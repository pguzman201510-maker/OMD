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Z:\Deuda\Informes\OPERACIONES DE MANEJO DE DEUDA\CALCULOS\"/>
    </mc:Choice>
  </mc:AlternateContent>
  <xr:revisionPtr revIDLastSave="0" documentId="13_ncr:1_{C18C5368-2A9F-4687-AE18-48031DD6C421}" xr6:coauthVersionLast="47" xr6:coauthVersionMax="47" xr10:uidLastSave="{00000000-0000-0000-0000-000000000000}"/>
  <bookViews>
    <workbookView xWindow="-105" yWindow="0" windowWidth="14610" windowHeight="15585" xr2:uid="{C90C60E2-0335-4CDF-B81C-D172538E7369}"/>
  </bookViews>
  <sheets>
    <sheet name="Resumen" sheetId="25" r:id="rId1"/>
    <sheet name="PONDERADAS" sheetId="32" r:id="rId2"/>
    <sheet name="VPP" sheetId="31" r:id="rId3"/>
    <sheet name="Emisiones" sheetId="18" r:id="rId4"/>
    <sheet name="Canjes desagregado" sheetId="1" r:id="rId5"/>
    <sheet name="HISTORICO" sheetId="2" r:id="rId6"/>
    <sheet name="Nuevo metod Cupón 2.0" sheetId="20" state="hidden" r:id="rId7"/>
    <sheet name="Inflación observada " sheetId="11" r:id="rId8"/>
    <sheet name="COSTO_OPORTUNIDAD" sheetId="27" r:id="rId9"/>
    <sheet name="Saldo" sheetId="24" state="hidden" r:id="rId10"/>
    <sheet name="Canjes desagregado 2023" sheetId="12" state="hidden" r:id="rId11"/>
    <sheet name="UVR" sheetId="19" r:id="rId12"/>
    <sheet name="Precios" sheetId="29" r:id="rId13"/>
    <sheet name="Tabla Resumen por canasta" sheetId="10" state="hidden" r:id="rId14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__123Graph_ATOTAL" hidden="1">[1]RESUMEN!#REF!</definedName>
    <definedName name="__123Graph_B" hidden="1">'[1]GIROS SITUAD.FISCAL- 2000'!#REF!</definedName>
    <definedName name="__123Graph_D" hidden="1">'[1]GIROS SITUAD.FISCAL- 2000'!#REF!</definedName>
    <definedName name="__123Graph_F" hidden="1">'[1]GIROS SITUAD.FISCAL- 2000'!#REF!</definedName>
    <definedName name="__123Graph_X" hidden="1">'[1]GIROS SITUAD.FISCAL- 2000'!#REF!</definedName>
    <definedName name="_Fill" hidden="1">[1]TCN!$B$53:$W$53</definedName>
    <definedName name="_xlnm._FilterDatabase" localSheetId="4" hidden="1">'Canjes desagregado'!$A$1:$S$172</definedName>
    <definedName name="_xlnm._FilterDatabase" localSheetId="5" hidden="1">HISTORICO!$A$5:$AV$363</definedName>
    <definedName name="_xlnm._FilterDatabase" localSheetId="6" hidden="1">'Nuevo metod Cupón 2.0'!$A$5:$W$114</definedName>
    <definedName name="_h35" hidden="1">{#N/A,#N/A,FALSE,"informes"}</definedName>
    <definedName name="_Key1" hidden="1">[1]RESUMEN!$A$861</definedName>
    <definedName name="_MatInverse_In" hidden="1">#REF!</definedName>
    <definedName name="_MatInverse_Out" hidden="1">#REF!</definedName>
    <definedName name="_Order1" hidden="1">255</definedName>
    <definedName name="_Order2" hidden="1">255</definedName>
    <definedName name="_R" hidden="1">{"INGRESOS DOLARES",#N/A,FALSE,"informes"}</definedName>
    <definedName name="_Regression_Out" hidden="1">#REF!</definedName>
    <definedName name="_Regression_X" hidden="1">#REF!</definedName>
    <definedName name="_Regression_Y" hidden="1">#REF!</definedName>
    <definedName name="_Sort" hidden="1">[1]RESUMEN!$A$861:$C$862</definedName>
    <definedName name="_Table1_Out" hidden="1">[1]CARBOCOL!#REF!</definedName>
    <definedName name="_Table2_In2" hidden="1">[1]ANUAL1!#REF!</definedName>
    <definedName name="_Table2_Out" hidden="1">[1]CARBOCOL!#REF!</definedName>
    <definedName name="aa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aaa" hidden="1">{"emca",#N/A,FALSE,"EMCA"}</definedName>
    <definedName name="AAA_DOCTOPS" hidden="1">"AAA_SET"</definedName>
    <definedName name="AAA_duser" hidden="1">"OFF"</definedName>
    <definedName name="aaaaa" hidden="1">{"INGRESOS DOLARES",#N/A,FALSE,"informes"}</definedName>
    <definedName name="AAB_Addin5" hidden="1">"AAB_Description for addin 5,Description for addin 5,Description for addin 5,Description for addin 5,Description for addin 5,Description for addin 5"</definedName>
    <definedName name="Actpecuaria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ad" hidden="1">{"empresa",#N/A,FALSE,"xEMPRESA"}</definedName>
    <definedName name="adi.yane" hidden="1">{"epma",#N/A,FALSE,"EPMA"}</definedName>
    <definedName name="ADICIONALCONIMPACTO" hidden="1">{"trimestre",#N/A,FALSE,"TRIMESTRE";"empresa",#N/A,FALSE,"xEMPRESA";"eaab",#N/A,FALSE,"EAAB";"epma",#N/A,FALSE,"EPMA";"emca",#N/A,FALSE,"EMCA"}</definedName>
    <definedName name="adicionalyaneth" hidden="1">{"epma",#N/A,FALSE,"EPMA"}</definedName>
    <definedName name="agrem" hidden="1">{"trimestre",#N/A,FALSE,"TRIMESTRE";"empresa",#N/A,FALSE,"xEMPRESA";"eaab",#N/A,FALSE,"EAAB";"epma",#N/A,FALSE,"EPMA";"emca",#N/A,FALSE,"EMCA"}</definedName>
    <definedName name="ALV" hidden="1">{#N/A,#N/A,FALSE,"informes"}</definedName>
    <definedName name="ART" hidden="1">{"INGRESOS DOLARES",#N/A,FALSE,"informes"}</definedName>
    <definedName name="as" hidden="1">{"trimestre",#N/A,FALSE,"TRIMESTRE";"empresa",#N/A,FALSE,"xEMPRESA";"eaab",#N/A,FALSE,"EAAB";"epma",#N/A,FALSE,"EPMA";"emca",#N/A,FALSE,"EMCA"}</definedName>
    <definedName name="asd" hidden="1">{"emca",#N/A,FALSE,"EMCA"}</definedName>
    <definedName name="BLPH2" hidden="1">[1]EMBI!#REF!</definedName>
    <definedName name="BLPH3" hidden="1">[1]EMBI!#REF!</definedName>
    <definedName name="bnño4swrlnaplnmfgmn" hidden="1">{#N/A,#N/A,FALSE,"informes"}</definedName>
    <definedName name="BRY" hidden="1">{#N/A,#N/A,FALSE,"informes"}</definedName>
    <definedName name="bsgdkjnbaklde" hidden="1">{"INGRESOS DOLARES",#N/A,FALSE,"informes"}</definedName>
    <definedName name="canjes">Tabla6[]</definedName>
    <definedName name="CC" hidden="1">{#N/A,#N/A,FALSE,"informes"}</definedName>
    <definedName name="COMPILADO">Resumen!$B$3:$C$12</definedName>
    <definedName name="composición" hidden="1">{"trimestre",#N/A,FALSE,"TRIMESTRE";"empresa",#N/A,FALSE,"xEMPRESA";"eaab",#N/A,FALSE,"EAAB";"epma",#N/A,FALSE,"EPMA";"emca",#N/A,FALSE,"EMCA"}</definedName>
    <definedName name="CONCENTRACIONESPROPIOS" hidden="1">{"empresa",#N/A,FALSE,"xEMPRESA"}</definedName>
    <definedName name="COPIA" hidden="1">{"PAGOS DOLARES",#N/A,FALSE,"informes"}</definedName>
    <definedName name="CUA18A" hidden="1">{"trimestre",#N/A,FALSE,"TRIMESTRE";"empresa",#N/A,FALSE,"xEMPRESA";"eaab",#N/A,FALSE,"EAAB";"epma",#N/A,FALSE,"EPMA";"emca",#N/A,FALSE,"EMCA"}</definedName>
    <definedName name="cua18b" hidden="1">{"trimestre",#N/A,FALSE,"TRIMESTRE";"empresa",#N/A,FALSE,"xEMPRESA";"eaab",#N/A,FALSE,"EAAB";"epma",#N/A,FALSE,"EPMA";"emca",#N/A,FALSE,"EMCA"}</definedName>
    <definedName name="CUAJO" hidden="1">{"trimestre",#N/A,FALSE,"TRIMESTRE";"empresa",#N/A,FALSE,"xEMPRESA";"eaab",#N/A,FALSE,"EAAB";"epma",#N/A,FALSE,"EPMA";"emca",#N/A,FALSE,"EMCA"}</definedName>
    <definedName name="Cwvu.ComparEneMar9697." hidden="1">'[1]Seguimiento CSF'!#REF!,'[1]Seguimiento CSF'!$A$30:$IV$34,'[1]Seguimiento CSF'!$A$104:$IV$104,'[1]Seguimiento CSF'!#REF!,'[1]Seguimiento CSF'!#REF!,'[1]Seguimiento CSF'!$A$124:$IV$125</definedName>
    <definedName name="Cwvu.EneFeb." hidden="1">'[1]Seguimiento CSF'!#REF!,'[1]Seguimiento CSF'!#REF!</definedName>
    <definedName name="Cwvu.EneMar." hidden="1">'[1]Seguimiento CSF'!#REF!,'[1]Seguimiento CSF'!$A$67:$IV$67,'[1]Seguimiento CSF'!#REF!,'[1]Seguimiento CSF'!#REF!</definedName>
    <definedName name="Cwvu.Formato._.Corto." hidden="1">'[1]Seguimiento CSF'!$A$11:$IV$12,'[1]Seguimiento CSF'!#REF!,'[1]Seguimiento CSF'!$A$45:$IV$46,'[1]Seguimiento CSF'!$A$48:$IV$57,'[1]Seguimiento CSF'!$A$61:$IV$63,'[1]Seguimiento CSF'!$A$65:$IV$66,'[1]Seguimiento CSF'!$A$72:$IV$82,'[1]Seguimiento CSF'!$A$89:$IV$92,'[1]Seguimiento CSF'!$A$114:$IV$116,'[1]Seguimiento CSF'!$A$118:$IV$122,'[1]Seguimiento CSF'!$A$129:$IV$132,'[1]Seguimiento CSF'!$A$134:$IV$135</definedName>
    <definedName name="Cwvu.Formato._.Total." hidden="1">'[1]Seguimiento CSF'!#REF!,'[1]Seguimiento CSF'!#REF!,'[1]Seguimiento CSF'!#REF!</definedName>
    <definedName name="d" hidden="1">{"trimestre",#N/A,FALSE,"TRIMESTRE";"empresa",#N/A,FALSE,"xEMPRESA";"eaab",#N/A,FALSE,"EAAB";"epma",#N/A,FALSE,"EPMA";"emca",#N/A,FALSE,"EMCA"}</definedName>
    <definedName name="DatosExternos_1" localSheetId="1">PONDERADAS!#REF!</definedName>
    <definedName name="DatosExternos_2" localSheetId="1" hidden="1">PONDERADAS!$A$1:$J$3</definedName>
    <definedName name="DD" hidden="1">{"empresa",#N/A,FALSE,"xEMPRESA"}</definedName>
    <definedName name="DDD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DDD" hidden="1">{#N/A,#N/A,FALSE,"informes"}</definedName>
    <definedName name="DDT" hidden="1">{"empresa",#N/A,FALSE,"xEMPRESA"}</definedName>
    <definedName name="DEDO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df" hidden="1">{"trimestre",#N/A,FALSE,"TRIMESTRE"}</definedName>
    <definedName name="dfd" hidden="1">{"empresa",#N/A,FALSE,"xEMPRESA"}</definedName>
    <definedName name="DIFU" hidden="1">{"INGRESOS DOLARES",#N/A,FALSE,"informes"}</definedName>
    <definedName name="DiscMan_ShowVariable" hidden="1">1</definedName>
    <definedName name="ds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dsfas" hidden="1">{#N/A,#N/A,FALSE,"informes"}</definedName>
    <definedName name="EDG" hidden="1">{#N/A,#N/A,FALSE,"informes"}</definedName>
    <definedName name="EE" hidden="1">{#N/A,#N/A,FALSE,"informes"}</definedName>
    <definedName name="EEEEE" hidden="1">{#N/A,#N/A,FALSE,"informes"}</definedName>
    <definedName name="ENERO" hidden="1">{#N/A,#N/A,FALSE,"informes"}</definedName>
    <definedName name="ES" hidden="1">{"PAGOS DOLARES",#N/A,FALSE,"informes"}</definedName>
    <definedName name="ESP" hidden="1">{#N/A,#N/A,FALSE,"informes"}</definedName>
    <definedName name="excedentes2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excedentes3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BAWV" hidden="1">{#N/A,#N/A,FALSE,"informes"}</definedName>
    <definedName name="fd" hidden="1">{#N/A,#N/A,FALSE,"informes"}</definedName>
    <definedName name="fdf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DG" hidden="1">{"empresa",#N/A,FALSE,"xEMPRESA"}</definedName>
    <definedName name="fds" hidden="1">{"epma",#N/A,FALSE,"EPMA"}</definedName>
    <definedName name="FER" hidden="1">{#N/A,#N/A,FALSE,"informes"}</definedName>
    <definedName name="FF" hidden="1">{"emca",#N/A,FALSE,"EMCA"}</definedName>
    <definedName name="ffff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GTR" hidden="1">{"PAGOS DOLARES",#N/A,FALSE,"informes"}</definedName>
    <definedName name="FHKJBEARNKBW" hidden="1">{"INGRESOS DOLARES",#N/A,FALSE,"informes"}</definedName>
    <definedName name="FIN" hidden="1">{#N/A,#N/A,FALSE,"informes"}</definedName>
    <definedName name="fkjrthnk3t" hidden="1">{"PAGOS DOLARES",#N/A,FALSE,"informes"}</definedName>
    <definedName name="fmdñklje" hidden="1">{#N/A,#N/A,FALSE,"informes"}</definedName>
    <definedName name="FOL" hidden="1">{"INGRESOS DOLARES",#N/A,FALSE,"informes"}</definedName>
    <definedName name="FONPETOTAL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RD" hidden="1">{#N/A,#N/A,FALSE,"informes"}</definedName>
    <definedName name="fs" hidden="1">{"empresa",#N/A,FALSE,"xEMPRESA"}</definedName>
    <definedName name="FUL" hidden="1">{#N/A,#N/A,FALSE,"informes"}</definedName>
    <definedName name="FUN" hidden="1">{"PAGOS DOLARES",#N/A,FALSE,"informes"}</definedName>
    <definedName name="gfnmgfxmmfg" hidden="1">{#N/A,#N/A,FALSE,"informes"}</definedName>
    <definedName name="gg" hidden="1">{#N/A,#N/A,FALSE,"informes"}</definedName>
    <definedName name="ghhhhhhhhhhhhhhhhhhhhhhhh" hidden="1">{"PAGOS DOLARES",#N/A,FALSE,"informes"}</definedName>
    <definedName name="GILÑ" hidden="1">{#N/A,#N/A,FALSE,"informes"}</definedName>
    <definedName name="gjhg" hidden="1">{"empresa",#N/A,FALSE,"xEMPRESA"}</definedName>
    <definedName name="gjrtiury6iryrirjyrysyrjyrjstrtjs" hidden="1">{#N/A,#N/A,FALSE,"informes"}</definedName>
    <definedName name="gkljae" hidden="1">{"PAGOS DOLARES",#N/A,FALSE,"informes"}</definedName>
    <definedName name="glkjheanbwBT" hidden="1">{"PAGOS DOLARES",#N/A,FALSE,"informes"}</definedName>
    <definedName name="god" hidden="1">{"INGRESOS DOLARES",#N/A,FALSE,"informes"}</definedName>
    <definedName name="GOL" hidden="1">{"INGRESOS DOLARES",#N/A,FALSE,"informes"}</definedName>
    <definedName name="GOP" hidden="1">{#N/A,#N/A,FALSE,"informes"}</definedName>
    <definedName name="gyirxsryyjry" hidden="1">{"INGRESOS DOLARES",#N/A,FALSE,"informes"}</definedName>
    <definedName name="h" hidden="1">{#N/A,#N/A,FALSE,"informes"}</definedName>
    <definedName name="HACER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hdtya547i76riei" hidden="1">{"PAGOS DOLARES",#N/A,FALSE,"informes"}</definedName>
    <definedName name="hfdha" hidden="1">{"INGRESOS DOLARES",#N/A,FALSE,"informes"}</definedName>
    <definedName name="hh" hidden="1">{#N/A,#N/A,FALSE,"informes"}</definedName>
    <definedName name="hhh" hidden="1">{"empresa",#N/A,FALSE,"xEMPRESA"}</definedName>
    <definedName name="hhhh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hjhjh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HJHJHJHJ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hjzr" hidden="1">{#N/A,#N/A,FALSE,"informes"}</definedName>
    <definedName name="hkmzlnmobznozdkgnodzo" hidden="1">{#N/A,#N/A,FALSE,"informes"}</definedName>
    <definedName name="hmj" hidden="1">{#N/A,#N/A,FALSE,"informes"}</definedName>
    <definedName name="IAMR" hidden="1">{"PAGOS DOLARES",#N/A,FALSE,"informes"}</definedName>
    <definedName name="IMAR" hidden="1">{"PAGOS DOLARES",#N/A,FALSE,"informes"}</definedName>
    <definedName name="imprimir.oswa" hidden="1">{"epma",#N/A,FALSE,"EPMA"}</definedName>
    <definedName name="impuestos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IS" hidden="1">{#N/A,#N/A,FALSE,"informes"}</definedName>
    <definedName name="IVAN" hidden="1">{"PAGOS DOLARES",#N/A,FALSE,"informes"}</definedName>
    <definedName name="IVG" hidden="1">{"PAGOS DOLARES",#N/A,FALSE,"informes"}</definedName>
    <definedName name="j6yuu" hidden="1">{#N/A,#N/A,FALSE,"informes"}</definedName>
    <definedName name="jasejrj" hidden="1">{"INGRESOS DOLARES",#N/A,FALSE,"informes"}</definedName>
    <definedName name="jbkgjhfhkjih" hidden="1">{#N/A,#N/A,FALSE,"informes"}</definedName>
    <definedName name="jes" hidden="1">{"INGRESOS DOLARES",#N/A,FALSE,"informes"}</definedName>
    <definedName name="jgfz" hidden="1">{"PAGOS DOLARES",#N/A,FALSE,"informes"}</definedName>
    <definedName name="jgjgj" hidden="1">{#N/A,#N/A,FALSE,"informes"}</definedName>
    <definedName name="jhet" hidden="1">{#N/A,#N/A,FALSE,"informes"}</definedName>
    <definedName name="jhtutuyu6iiiiiiiiiiiiiiiiiiiii" hidden="1">{#N/A,#N/A,FALSE,"informes"}</definedName>
    <definedName name="jhxkluxtikys" hidden="1">{"INGRESOS DOLARES",#N/A,FALSE,"informes"}</definedName>
    <definedName name="jiko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JKJKJK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JKJKJKJK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jkxhklxr7yikyxrjkr" hidden="1">{"PAGOS DOLARES",#N/A,FALSE,"informes"}</definedName>
    <definedName name="jnk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jreszjz" hidden="1">{#N/A,#N/A,FALSE,"informes"}</definedName>
    <definedName name="jrxsyktuod" hidden="1">{#N/A,#N/A,FALSE,"informes"}</definedName>
    <definedName name="JU" hidden="1">{#N/A,#N/A,FALSE,"informes"}</definedName>
    <definedName name="k.snkm" hidden="1">{"PAGOS DOLARES",#N/A,FALSE,"informes"}</definedName>
    <definedName name="kbijdbgea" hidden="1">{"PAGOS DOLARES",#N/A,FALSE,"informes"}</definedName>
    <definedName name="KBJAENB" hidden="1">{"INGRESOS DOLARES",#N/A,FALSE,"informes"}</definedName>
    <definedName name="KDJNHEANBH" hidden="1">{"INGRESOS DOLARES",#N/A,FALSE,"informes"}</definedName>
    <definedName name="kghs6r4k" hidden="1">{#N/A,#N/A,FALSE,"informes"}</definedName>
    <definedName name="KK" hidden="1">{#N/A,#N/A,FALSE,"informes"}</definedName>
    <definedName name="kky" hidden="1">{#N/A,#N/A,FALSE,"informes"}</definedName>
    <definedName name="KOL" hidden="1">{#N/A,#N/A,FALSE,"informes"}</definedName>
    <definedName name="kryxskrxkl" hidden="1">{#N/A,#N/A,FALSE,"informes"}</definedName>
    <definedName name="lastreview">#REF!</definedName>
    <definedName name="lastreview1">#REF!</definedName>
    <definedName name="lastreview2">#REF!</definedName>
    <definedName name="LES" hidden="1">{#N/A,#N/A,FALSE,"informes"}</definedName>
    <definedName name="LIS" hidden="1">{#N/A,#N/A,FALSE,"informes"}</definedName>
    <definedName name="lklm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lkrjslkndalñkvnkea" hidden="1">{"INGRESOS DOLARES",#N/A,FALSE,"informes"}</definedName>
    <definedName name="LL" hidden="1">{#N/A,#N/A,FALSE,"informes"}</definedName>
    <definedName name="LO" hidden="1">{"PAGOS DOLARES",#N/A,FALSE,"informes"}</definedName>
    <definedName name="loq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LUI" hidden="1">{#N/A,#N/A,FALSE,"informes"}</definedName>
    <definedName name="LUNA" hidden="1">{"PAGOS DOLARES",#N/A,FALSE,"informes"}</definedName>
    <definedName name="LUZ" hidden="1">{#N/A,#N/A,FALSE,"informes"}</definedName>
    <definedName name="mia" hidden="1">{#N/A,#N/A,FALSE,"informes"}</definedName>
    <definedName name="MM" hidden="1">{"PAGOS DOLARES",#N/A,FALSE,"informes"}</definedName>
    <definedName name="MMMMMM" hidden="1">{"INGRESOS DOLARES",#N/A,FALSE,"informes"}</definedName>
    <definedName name="MN" hidden="1">{"PAGOS DOLARES",#N/A,FALSE,"informes"}</definedName>
    <definedName name="mr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mw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Nemotecnicos">Emisiones[Mnemotécnico SEN]</definedName>
    <definedName name="nfoajañañldlfdkfkfgkfggjgjgj" hidden="1">{"PAGOS DOLARES",#N/A,FALSE,"informes"}</definedName>
    <definedName name="njzetzektryk" hidden="1">{"PAGOS DOLARES",#N/A,FALSE,"informes"}</definedName>
    <definedName name="nklfrtmhosdgmlfgpnjrmsnmlrmn" hidden="1">{#N/A,#N/A,FALSE,"informes"}</definedName>
    <definedName name="nmklmeaknkgñlnkkgnmplrsñmjg" hidden="1">{#N/A,#N/A,FALSE,"informes"}</definedName>
    <definedName name="nmltmylnmapemhammonkha" hidden="1">{"PAGOS DOLARES",#N/A,FALSE,"informes"}</definedName>
    <definedName name="noñkrmjeamnmtlnmkbvnsr" hidden="1">{#N/A,#N/A,FALSE,"informes"}</definedName>
    <definedName name="NOS" hidden="1">{"INGRESOS DOLARES",#N/A,FALSE,"informes"}</definedName>
    <definedName name="nsfj" hidden="1">{"PAGOS DOLARES",#N/A,FALSE,"informes"}</definedName>
    <definedName name="NUB" hidden="1">{#N/A,#N/A,FALSE,"informes"}</definedName>
    <definedName name="ÑÑ" hidden="1">{"INGRESOS DOLARES",#N/A,FALSE,"informes"}</definedName>
    <definedName name="oìjhioeonmonmea" hidden="1">{#N/A,#N/A,FALSE,"informes"}</definedName>
    <definedName name="OO" hidden="1">{"PAGOS DOLARES",#N/A,FALSE,"informes"}</definedName>
    <definedName name="OOO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ORTJBJBHKBFNKJD" hidden="1">{"INGRESOS DOLARES",#N/A,FALSE,"informes"}</definedName>
    <definedName name="P" hidden="1">{#N/A,#N/A,FALSE,"informes"}</definedName>
    <definedName name="PENE" hidden="1">{"PAGOS DOLARES",#N/A,FALSE,"informes"}</definedName>
    <definedName name="PMES01" hidden="1">{#N/A,#N/A,FALSE,"informes"}</definedName>
    <definedName name="PMES2" hidden="1">{"PAGOS DOLARES",#N/A,FALSE,"informes"}</definedName>
    <definedName name="PONJRYIONJPEKHN" hidden="1">{#N/A,#N/A,FALSE,"informes"}</definedName>
    <definedName name="pp" hidden="1">{"INGRESOS DOLARES",#N/A,FALSE,"informes"}</definedName>
    <definedName name="pq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PTT" hidden="1">{#N/A,#N/A,FALSE,"informes"}</definedName>
    <definedName name="q" hidden="1">{"emca",#N/A,FALSE,"EMCA"}</definedName>
    <definedName name="QEN" hidden="1">{#N/A,#N/A,FALSE,"informes"}</definedName>
    <definedName name="QQ" hidden="1">{#N/A,#N/A,FALSE,"informes"}</definedName>
    <definedName name="que" hidden="1">{"PAGOS DOLARES",#N/A,FALSE,"informes"}</definedName>
    <definedName name="RES" hidden="1">{#N/A,#N/A,FALSE,"informes"}</definedName>
    <definedName name="rew" hidden="1">{"emca",#N/A,FALSE,"EMCA"}</definedName>
    <definedName name="REZ" hidden="1">{#N/A,#N/A,FALSE,"informes"}</definedName>
    <definedName name="REZAGOENERO" hidden="1">{"PAGOS DOLARES",#N/A,FALSE,"informes"}</definedName>
    <definedName name="REZAGOMAY" hidden="1">{#N/A,#N/A,FALSE,"informes"}</definedName>
    <definedName name="rhjr" hidden="1">{"INGRESOS DOLARES",#N/A,FALSE,"informes"}</definedName>
    <definedName name="RIC" hidden="1">{#N/A,#N/A,FALSE,"informes"}</definedName>
    <definedName name="RNG_Actions">#REF!</definedName>
    <definedName name="RNG_AGENT">#REF!</definedName>
    <definedName name="RNG_ARROWS">#REF!</definedName>
    <definedName name="RNG_CHART1">#REF!</definedName>
    <definedName name="RNG_CHART2">#REF!</definedName>
    <definedName name="RNG_CHART3">#REF!</definedName>
    <definedName name="RNG_CHART4">#REF!</definedName>
    <definedName name="RNG_CHART5">#REF!</definedName>
    <definedName name="RNG_CHART6">#REF!</definedName>
    <definedName name="RNG_CHART7">#REF!</definedName>
    <definedName name="RNG_CHART8">#REF!</definedName>
    <definedName name="RNG_CLASS_CE_ABS">#REF!</definedName>
    <definedName name="RNG_CURRENT_DATE">#REF!</definedName>
    <definedName name="RNG_DEAL_HEADER">#REF!</definedName>
    <definedName name="RNG_GO_BACK">#REF!</definedName>
    <definedName name="RNG_HYP">#REF!</definedName>
    <definedName name="RNG_Industry">#REF!</definedName>
    <definedName name="RNG_INFORMATION">#REF!</definedName>
    <definedName name="RNG_LAST_DATE">#REF!</definedName>
    <definedName name="RNG_Markers">#REF!</definedName>
    <definedName name="RNG_PERFORM_SUM_ABS">#REF!</definedName>
    <definedName name="RNG_PERFORM_SUM_PERCENT">#REF!</definedName>
    <definedName name="RNG_PERFORMANCE_ABS">#REF!</definedName>
    <definedName name="RNG_PERFORMANCE_Number">#REF!</definedName>
    <definedName name="RNG_PERFORMANCE_SUMMARY">#REF!</definedName>
    <definedName name="RNG_PREPAYMENT">#REF!</definedName>
    <definedName name="RNG_PREVIOUS_DATE">#REF!</definedName>
    <definedName name="RNG_ROW_DOWN">#REF!</definedName>
    <definedName name="RNG_RTNG">#REF!</definedName>
    <definedName name="RNG_Scale">#REF!</definedName>
    <definedName name="rr" hidden="1">{#N/A,#N/A,FALSE,"informes"}</definedName>
    <definedName name="rt" hidden="1">{"emca",#N/A,FALSE,"EMCA"}</definedName>
    <definedName name="Rwvu.ComparEneMar9697." hidden="1">'[1]Seguimiento CSF'!$L$1:$N$65536,'[1]Seguimiento CSF'!$R$1:$BU$65536</definedName>
    <definedName name="Rwvu.EneFeb." hidden="1">'[1]Seguimiento CSF'!$L$1:$N$65536,'[1]Seguimiento CSF'!$Q$1:$AD$65536</definedName>
    <definedName name="Rwvu.Formato._.Corto." hidden="1">'[1]Seguimiento CSF'!$L$1:$N$65536,'[1]Seguimiento CSF'!$R$1:$AD$65536,'[1]Seguimiento CSF'!$AH$1:$AY$65536,'[1]Seguimiento CSF'!$BA$1:$BH$65536,'[1]Seguimiento CSF'!$BJ$1:$BQ$65536,'[1]Seguimiento CSF'!$BS$1:$CF$65536</definedName>
    <definedName name="Rwvu.OPEF._.96." hidden="1">'[1]Resumen OPEF'!$E$1:$J$65536,'[1]Resumen OPEF'!$M$1:$Q$65536</definedName>
    <definedName name="Rwvu.OPEF._.97." hidden="1">'[1]Resumen OPEF'!$C$1:$C$65536,'[1]Resumen OPEF'!#REF!,'[1]Resumen OPEF'!$K$1:$Q$65536</definedName>
    <definedName name="s" hidden="1">{"epma",#N/A,FALSE,"EPMA"}</definedName>
    <definedName name="sa" hidden="1">{"trimestre",#N/A,FALSE,"TRIMESTRE"}</definedName>
    <definedName name="san" hidden="1">{#N/A,#N/A,FALSE,"informes"}</definedName>
    <definedName name="sd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sda" hidden="1">{"eaab",#N/A,FALSE,"EAAB"}</definedName>
    <definedName name="SI" hidden="1">{#N/A,#N/A,FALSE,"informes"}</definedName>
    <definedName name="skghafdn" hidden="1">{"PAGOS DOLARES",#N/A,FALSE,"informes"}</definedName>
    <definedName name="SOL" hidden="1">{#N/A,#N/A,FALSE,"informes"}</definedName>
    <definedName name="SS" hidden="1">{"trimestre",#N/A,FALSE,"TRIMESTRE";"empresa",#N/A,FALSE,"xEMPRESA";"eaab",#N/A,FALSE,"EAAB";"epma",#N/A,FALSE,"EPMA";"emca",#N/A,FALSE,"EMCA"}</definedName>
    <definedName name="SSDS" hidden="1">{#N/A,#N/A,FALSE,"informes"}</definedName>
    <definedName name="SSSSS" hidden="1">{#N/A,#N/A,FALSE,"informes"}</definedName>
    <definedName name="TIM" hidden="1">{"PAGOS DOLARES",#N/A,FALSE,"informes"}</definedName>
    <definedName name="Transaction_Data_Int">#REF!</definedName>
    <definedName name="tt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ttt" hidden="1">{"INGRESOS DOLARES",#N/A,FALSE,"informes"}</definedName>
    <definedName name="TTTT" hidden="1">{#N/A,#N/A,FALSE,"informes"}</definedName>
    <definedName name="tyhjuopiwhsonjjy" hidden="1">{#N/A,#N/A,FALSE,"informes"}</definedName>
    <definedName name="Type">'[2]All Actions 1 Mar - 15 May'!#REF!</definedName>
    <definedName name="tyt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UN" hidden="1">{#N/A,#N/A,FALSE,"informes"}</definedName>
    <definedName name="URRA" hidden="1">{"empresa",#N/A,FALSE,"xEMPRESA"}</definedName>
    <definedName name="usrg" hidden="1">{#N/A,#N/A,FALSE,"informes"}</definedName>
    <definedName name="USS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uu" hidden="1">{"PAGOS DOLARES",#N/A,FALSE,"informes"}</definedName>
    <definedName name="uyuy" hidden="1">{"PAGOS DOLARES",#N/A,FALSE,"informes"}</definedName>
    <definedName name="v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ALOR_OP">Resumen!$C$3</definedName>
    <definedName name="vknmryspo" hidden="1">{#N/A,#N/A,FALSE,"informes"}</definedName>
    <definedName name="VKNRSKNLRSJYÑKLNHJ" hidden="1">{"PAGOS DOLARES",#N/A,FALSE,"informes"}</definedName>
    <definedName name="wrn.ACUDEC." hidden="1">{#N/A,#N/A,FALSE,"ACUM-REAL"}</definedName>
    <definedName name="wrn.eaab." hidden="1">{"eaab",#N/A,FALSE,"EAAB"}</definedName>
    <definedName name="wrn.emca." hidden="1">{"emca",#N/A,FALSE,"EMCA"}</definedName>
    <definedName name="wrn.epma." hidden="1">{"epma",#N/A,FALSE,"EPMA"}</definedName>
    <definedName name="wrn.INGRESOS._.DOLARES." hidden="1">{"INGRESOS DOLARES",#N/A,FALSE,"informes"}</definedName>
    <definedName name="wrn.INGRESOS._.PESOS." hidden="1">{#N/A,#N/A,FALSE,"informes"}</definedName>
    <definedName name="wrn.PAGOS._.DOLARES." hidden="1">{"PAGOS DOLARES",#N/A,FALSE,"informes"}</definedName>
    <definedName name="wrn.PAGOS._.PESOS." hidden="1">{#N/A,#N/A,FALSE,"informes"}</definedName>
    <definedName name="wrn.SINDEC." hidden="1">{#N/A,#N/A,FALSE,"PAC-REAL"}</definedName>
    <definedName name="wrn.TODOS." hidden="1">{"trimestre",#N/A,FALSE,"TRIMESTRE";"empresa",#N/A,FALSE,"xEMPRESA";"eaab",#N/A,FALSE,"EAAB";"epma",#N/A,FALSE,"EPMA";"emca",#N/A,FALSE,"EMCA"}</definedName>
    <definedName name="wrn.trimestre." hidden="1">{"trimestre",#N/A,FALSE,"TRIMESTRE"}</definedName>
    <definedName name="wrn.xempresa." hidden="1">{"empresa",#N/A,FALSE,"xEMPRESA"}</definedName>
    <definedName name="wvu.ComparEneMar9697.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EneFeb.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Formato._.Corto.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Total.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OPEF._.96.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7.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WWW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XIT" hidden="1">{"PAGOS DOLARES",#N/A,FALSE,"informes"}</definedName>
    <definedName name="XXX" hidden="1">{"epma",#N/A,FALSE,"EPMA"}</definedName>
    <definedName name="yjwi4ojonpiyjioha" hidden="1">{#N/A,#N/A,FALSE,"informes"}</definedName>
    <definedName name="YU" hidden="1">{#N/A,#N/A,FALSE,"informes"}</definedName>
    <definedName name="YUR" hidden="1">{"INGRESOS DOLARES",#N/A,FALSE,"informes"}</definedName>
    <definedName name="yuy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Z_91E95AE5_DCC2_11D0_8DF1_00805F2A002D_.wvu.Cols" hidden="1">'[1]Seguimiento CSF'!$L$1:$N$65536,'[1]Seguimiento CSF'!$R$1:$BU$65536</definedName>
    <definedName name="Z_91E95AE6_DCC2_11D0_8DF1_00805F2A002D_.wvu.Cols" hidden="1">'[1]Seguimiento CSF'!$L$1:$N$65536,'[1]Seguimiento CSF'!$Q$1:$AD$65536</definedName>
    <definedName name="Z_91E95AE6_DCC2_11D0_8DF1_00805F2A002D_.wvu.Rows" hidden="1">'[1]Seguimiento CSF'!#REF!,'[1]Seguimiento CSF'!#REF!</definedName>
    <definedName name="Z_91E95AE7_DCC2_11D0_8DF1_00805F2A002D_.wvu.Cols" hidden="1">'[1]Resumen MES OPEF'!$C$1:$C$65536,'[1]Resumen MES OPEF'!$N$1:$N$65536,'[1]Resumen MES OPEF'!$Y$1:$Y$65536,'[1]Resumen MES OPEF'!$AL$1:$AL$65536,'[1]Resumen MES OPEF'!$AV$1:$AV$65536,'[1]Resumen MES OPEF'!$BG$1:$BG$65536,'[1]Resumen MES OPEF'!$BR$1:$BR$65536,'[1]Resumen MES OPEF'!$CC$1:$CC$65536</definedName>
    <definedName name="Z_91E95AE8_DCC2_11D0_8DF1_00805F2A002D_.wvu.Cols" hidden="1">'[1]Seguimiento CSF'!$L$1:$N$65536,'[1]Seguimiento CSF'!$R$1:$AD$65536,'[1]Seguimiento CSF'!$AY$1:$AY$65536,'[1]Seguimiento CSF'!$BH$1:$BH$65536,'[1]Seguimiento CSF'!$BQ$1:$BQ$65536</definedName>
    <definedName name="Z_91E95AE9_DCC2_11D0_8DF1_00805F2A002D_.wvu.Cols" hidden="1">'[1]Seguimiento CSF'!$L$1:$N$65536,'[1]Seguimiento CSF'!$R$1:$AD$65536,'[1]Seguimiento CSF'!$AH$1:$AY$65536,'[1]Seguimiento CSF'!$BA$1:$BH$65536,'[1]Seguimiento CSF'!$BJ$1:$BQ$65536,'[1]Seguimiento CSF'!$BS$1:$CF$65536</definedName>
    <definedName name="Z_91E95AEB_DCC2_11D0_8DF1_00805F2A002D_.wvu.Cols" hidden="1">'[1]Resumen OPEF'!$E$1:$J$65536,'[1]Resumen OPEF'!$M$1:$Q$65536</definedName>
    <definedName name="Z_91E95AEC_DCC2_11D0_8DF1_00805F2A002D_.wvu.Cols" hidden="1">'[1]Resumen OPEF'!$C$1:$C$65536,'[1]Resumen OPEF'!$E$1:$E$65536,'[1]Resumen OPEF'!$H$1:$I$65536,'[1]Resumen OPEF'!$K$1:$L$65536,'[1]Resumen OPEF'!$O$1:$O$65536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2" l="1"/>
  <c r="C24" i="25" s="1"/>
  <c r="K3" i="32"/>
  <c r="C25" i="25" s="1"/>
  <c r="L2" i="32"/>
  <c r="L3" i="32"/>
  <c r="M2" i="32"/>
  <c r="M3" i="32"/>
  <c r="N2" i="32"/>
  <c r="N3" i="32"/>
  <c r="DO309" i="27"/>
  <c r="DP309" i="27" s="1" a="1"/>
  <c r="DP309" i="27" s="1"/>
  <c r="DR309" i="27" s="1"/>
  <c r="DT309" i="27"/>
  <c r="DU309" i="27" a="1"/>
  <c r="DU309" i="27"/>
  <c r="DW309" i="27" s="1"/>
  <c r="DV309" i="27"/>
  <c r="DY309" i="27"/>
  <c r="DO310" i="27"/>
  <c r="DP310" i="27" s="1" a="1"/>
  <c r="DP310" i="27" s="1"/>
  <c r="DR310" i="27" s="1"/>
  <c r="DT310" i="27"/>
  <c r="DV310" i="27" s="1"/>
  <c r="DY310" i="27"/>
  <c r="DO311" i="27"/>
  <c r="DP311" i="27" a="1"/>
  <c r="DP311" i="27"/>
  <c r="DR311" i="27" s="1"/>
  <c r="DQ311" i="27"/>
  <c r="DT311" i="27"/>
  <c r="DU311" i="27" s="1" a="1"/>
  <c r="DU311" i="27" s="1"/>
  <c r="DW311" i="27" s="1"/>
  <c r="DV311" i="27"/>
  <c r="DY311" i="27"/>
  <c r="DO312" i="27"/>
  <c r="DQ312" i="27" s="1"/>
  <c r="DT312" i="27"/>
  <c r="DU312" i="27" s="1" a="1"/>
  <c r="DU312" i="27" s="1"/>
  <c r="DW312" i="27" s="1"/>
  <c r="DY312" i="27"/>
  <c r="DO313" i="27"/>
  <c r="DP313" i="27" s="1" a="1"/>
  <c r="DP313" i="27" s="1"/>
  <c r="DR313" i="27" s="1"/>
  <c r="DQ313" i="27"/>
  <c r="DS313" i="27" s="1"/>
  <c r="DT313" i="27"/>
  <c r="DU313" i="27" a="1"/>
  <c r="DU313" i="27"/>
  <c r="DW313" i="27" s="1"/>
  <c r="DV313" i="27"/>
  <c r="DY313" i="27"/>
  <c r="CM309" i="27"/>
  <c r="CM310" i="27"/>
  <c r="CM311" i="27"/>
  <c r="CM312" i="27"/>
  <c r="CM313" i="27"/>
  <c r="BI309" i="27"/>
  <c r="BJ309" i="27"/>
  <c r="BK309" i="27" s="1"/>
  <c r="CL309" i="27" s="1"/>
  <c r="BL309" i="27"/>
  <c r="BM309" i="27"/>
  <c r="BN309" i="27"/>
  <c r="BO309" i="27"/>
  <c r="BP309" i="27"/>
  <c r="BQ309" i="27"/>
  <c r="BR309" i="27"/>
  <c r="BS309" i="27"/>
  <c r="BT309" i="27"/>
  <c r="BU309" i="27"/>
  <c r="BV309" i="27"/>
  <c r="BW309" i="27"/>
  <c r="BX309" i="27"/>
  <c r="BY309" i="27"/>
  <c r="BZ309" i="27"/>
  <c r="CA309" i="27"/>
  <c r="CB309" i="27"/>
  <c r="CC309" i="27"/>
  <c r="CD309" i="27"/>
  <c r="CE309" i="27"/>
  <c r="CF309" i="27"/>
  <c r="CG309" i="27"/>
  <c r="CH309" i="27"/>
  <c r="CI309" i="27"/>
  <c r="CJ309" i="27"/>
  <c r="CK309" i="27"/>
  <c r="BI310" i="27"/>
  <c r="CA310" i="27" s="1"/>
  <c r="BJ310" i="27"/>
  <c r="BO310" i="27" s="1"/>
  <c r="BK310" i="27"/>
  <c r="BW310" i="27"/>
  <c r="CG310" i="27"/>
  <c r="CH310" i="27"/>
  <c r="CI310" i="27"/>
  <c r="BI311" i="27"/>
  <c r="CI311" i="27" s="1"/>
  <c r="BJ311" i="27"/>
  <c r="BU311" i="27" s="1"/>
  <c r="BO311" i="27"/>
  <c r="BP311" i="27"/>
  <c r="BQ311" i="27"/>
  <c r="BR311" i="27"/>
  <c r="BS311" i="27"/>
  <c r="BT311" i="27"/>
  <c r="BV311" i="27"/>
  <c r="BY311" i="27"/>
  <c r="CA311" i="27"/>
  <c r="CB311" i="27"/>
  <c r="CC311" i="27"/>
  <c r="CD311" i="27"/>
  <c r="CE311" i="27"/>
  <c r="CF311" i="27"/>
  <c r="CG311" i="27"/>
  <c r="CH311" i="27"/>
  <c r="CJ311" i="27"/>
  <c r="CK311" i="27"/>
  <c r="BI312" i="27"/>
  <c r="CA312" i="27" s="1"/>
  <c r="BJ312" i="27"/>
  <c r="BO312" i="27" s="1"/>
  <c r="BK312" i="27"/>
  <c r="BV312" i="27"/>
  <c r="BW312" i="27"/>
  <c r="CG312" i="27"/>
  <c r="CH312" i="27"/>
  <c r="CI312" i="27"/>
  <c r="BI313" i="27"/>
  <c r="CI313" i="27" s="1"/>
  <c r="BJ313" i="27"/>
  <c r="BK313" i="27" s="1"/>
  <c r="BO313" i="27"/>
  <c r="BP313" i="27"/>
  <c r="BQ313" i="27"/>
  <c r="BR313" i="27"/>
  <c r="BS313" i="27"/>
  <c r="BT313" i="27"/>
  <c r="BU313" i="27"/>
  <c r="BV313" i="27"/>
  <c r="CA313" i="27"/>
  <c r="CB313" i="27"/>
  <c r="CC313" i="27"/>
  <c r="CD313" i="27"/>
  <c r="CE313" i="27"/>
  <c r="CF313" i="27"/>
  <c r="CG313" i="27"/>
  <c r="CH313" i="27"/>
  <c r="D309" i="27"/>
  <c r="E309" i="27"/>
  <c r="F309" i="27"/>
  <c r="G309" i="27"/>
  <c r="H309" i="27"/>
  <c r="I309" i="27"/>
  <c r="J309" i="27"/>
  <c r="K309" i="27"/>
  <c r="L309" i="27"/>
  <c r="M309" i="27"/>
  <c r="N309" i="27"/>
  <c r="O309" i="27"/>
  <c r="P309" i="27"/>
  <c r="Q309" i="27"/>
  <c r="R309" i="27"/>
  <c r="S309" i="27"/>
  <c r="T309" i="27"/>
  <c r="U309" i="27"/>
  <c r="V309" i="27"/>
  <c r="W309" i="27"/>
  <c r="X309" i="27"/>
  <c r="Y309" i="27"/>
  <c r="Z309" i="27"/>
  <c r="AA309" i="27"/>
  <c r="AB309" i="27"/>
  <c r="AC309" i="27"/>
  <c r="AD309" i="27"/>
  <c r="AE309" i="27"/>
  <c r="AF309" i="27"/>
  <c r="AH309" i="27"/>
  <c r="AI309" i="27"/>
  <c r="AJ309" i="27"/>
  <c r="AK309" i="27"/>
  <c r="AL309" i="27"/>
  <c r="AM309" i="27"/>
  <c r="AN309" i="27"/>
  <c r="AO309" i="27"/>
  <c r="AP309" i="27"/>
  <c r="AQ309" i="27"/>
  <c r="AR309" i="27"/>
  <c r="AS309" i="27"/>
  <c r="AT309" i="27"/>
  <c r="AU309" i="27"/>
  <c r="AV309" i="27"/>
  <c r="AW309" i="27"/>
  <c r="AX309" i="27"/>
  <c r="AY309" i="27"/>
  <c r="AZ309" i="27"/>
  <c r="BA309" i="27"/>
  <c r="BB309" i="27"/>
  <c r="BC309" i="27"/>
  <c r="BD309" i="27"/>
  <c r="BE309" i="27"/>
  <c r="BF309" i="27"/>
  <c r="BG309" i="27"/>
  <c r="BH309" i="27"/>
  <c r="D310" i="27"/>
  <c r="E310" i="27"/>
  <c r="F310" i="27"/>
  <c r="G310" i="27"/>
  <c r="H310" i="27"/>
  <c r="I310" i="27"/>
  <c r="J310" i="27"/>
  <c r="K310" i="27"/>
  <c r="L310" i="27"/>
  <c r="M310" i="27"/>
  <c r="N310" i="27"/>
  <c r="O310" i="27"/>
  <c r="P310" i="27"/>
  <c r="Q310" i="27"/>
  <c r="R310" i="27"/>
  <c r="S310" i="27"/>
  <c r="T310" i="27"/>
  <c r="U310" i="27"/>
  <c r="V310" i="27"/>
  <c r="W310" i="27"/>
  <c r="X310" i="27"/>
  <c r="Y310" i="27"/>
  <c r="Z310" i="27"/>
  <c r="AA310" i="27"/>
  <c r="AB310" i="27"/>
  <c r="AC310" i="27"/>
  <c r="AD310" i="27"/>
  <c r="AE310" i="27"/>
  <c r="AF310" i="27"/>
  <c r="AH310" i="27"/>
  <c r="AI310" i="27"/>
  <c r="AJ310" i="27"/>
  <c r="AK310" i="27"/>
  <c r="AL310" i="27"/>
  <c r="AM310" i="27"/>
  <c r="AN310" i="27"/>
  <c r="AO310" i="27"/>
  <c r="AP310" i="27"/>
  <c r="AQ310" i="27"/>
  <c r="AR310" i="27"/>
  <c r="AS310" i="27"/>
  <c r="AT310" i="27"/>
  <c r="AU310" i="27"/>
  <c r="AV310" i="27"/>
  <c r="AW310" i="27"/>
  <c r="AX310" i="27"/>
  <c r="AY310" i="27"/>
  <c r="AZ310" i="27"/>
  <c r="BA310" i="27"/>
  <c r="BB310" i="27"/>
  <c r="BC310" i="27"/>
  <c r="BD310" i="27"/>
  <c r="BE310" i="27"/>
  <c r="BF310" i="27"/>
  <c r="BG310" i="27"/>
  <c r="BH310" i="27"/>
  <c r="D311" i="27"/>
  <c r="E311" i="27"/>
  <c r="F311" i="27"/>
  <c r="G311" i="27"/>
  <c r="H311" i="27"/>
  <c r="I311" i="27"/>
  <c r="J311" i="27"/>
  <c r="K311" i="27"/>
  <c r="L311" i="27"/>
  <c r="M311" i="27"/>
  <c r="N311" i="27"/>
  <c r="O311" i="27"/>
  <c r="P311" i="27"/>
  <c r="Q311" i="27"/>
  <c r="R311" i="27"/>
  <c r="S311" i="27"/>
  <c r="T311" i="27"/>
  <c r="U311" i="27"/>
  <c r="V311" i="27"/>
  <c r="W311" i="27"/>
  <c r="X311" i="27"/>
  <c r="Y311" i="27"/>
  <c r="Z311" i="27"/>
  <c r="AA311" i="27"/>
  <c r="AB311" i="27"/>
  <c r="AC311" i="27"/>
  <c r="AD311" i="27"/>
  <c r="AE311" i="27"/>
  <c r="AF311" i="27"/>
  <c r="AH311" i="27"/>
  <c r="AI311" i="27"/>
  <c r="AJ311" i="27"/>
  <c r="AK311" i="27"/>
  <c r="AL311" i="27"/>
  <c r="AM311" i="27"/>
  <c r="AN311" i="27"/>
  <c r="AO311" i="27"/>
  <c r="AP311" i="27"/>
  <c r="AQ311" i="27"/>
  <c r="AR311" i="27"/>
  <c r="AS311" i="27"/>
  <c r="AT311" i="27"/>
  <c r="AU311" i="27"/>
  <c r="AV311" i="27"/>
  <c r="AW311" i="27"/>
  <c r="AX311" i="27"/>
  <c r="AY311" i="27"/>
  <c r="AZ311" i="27"/>
  <c r="BA311" i="27"/>
  <c r="BB311" i="27"/>
  <c r="BC311" i="27"/>
  <c r="BD311" i="27"/>
  <c r="BE311" i="27"/>
  <c r="BF311" i="27"/>
  <c r="BG311" i="27"/>
  <c r="BH311" i="27"/>
  <c r="D312" i="27"/>
  <c r="E312" i="27"/>
  <c r="F312" i="27"/>
  <c r="G312" i="27"/>
  <c r="H312" i="27"/>
  <c r="I312" i="27"/>
  <c r="J312" i="27"/>
  <c r="K312" i="27"/>
  <c r="L312" i="27"/>
  <c r="M312" i="27"/>
  <c r="N312" i="27"/>
  <c r="O312" i="27"/>
  <c r="P312" i="27"/>
  <c r="Q312" i="27"/>
  <c r="R312" i="27"/>
  <c r="S312" i="27"/>
  <c r="T312" i="27"/>
  <c r="U312" i="27"/>
  <c r="V312" i="27"/>
  <c r="W312" i="27"/>
  <c r="X312" i="27"/>
  <c r="Y312" i="27"/>
  <c r="Z312" i="27"/>
  <c r="AA312" i="27"/>
  <c r="AB312" i="27"/>
  <c r="AC312" i="27"/>
  <c r="AD312" i="27"/>
  <c r="AE312" i="27"/>
  <c r="AF312" i="27"/>
  <c r="AH312" i="27"/>
  <c r="AI312" i="27"/>
  <c r="AJ312" i="27"/>
  <c r="AK312" i="27"/>
  <c r="AL312" i="27"/>
  <c r="AM312" i="27"/>
  <c r="AN312" i="27"/>
  <c r="AO312" i="27"/>
  <c r="AP312" i="27"/>
  <c r="AQ312" i="27"/>
  <c r="AR312" i="27"/>
  <c r="AS312" i="27"/>
  <c r="AT312" i="27"/>
  <c r="AU312" i="27"/>
  <c r="AV312" i="27"/>
  <c r="AW312" i="27"/>
  <c r="AX312" i="27"/>
  <c r="AY312" i="27"/>
  <c r="AZ312" i="27"/>
  <c r="BA312" i="27"/>
  <c r="BB312" i="27"/>
  <c r="BC312" i="27"/>
  <c r="BD312" i="27"/>
  <c r="BE312" i="27"/>
  <c r="BF312" i="27"/>
  <c r="BG312" i="27"/>
  <c r="BH312" i="27"/>
  <c r="D313" i="27"/>
  <c r="E313" i="27"/>
  <c r="F313" i="27"/>
  <c r="G313" i="27"/>
  <c r="H313" i="27"/>
  <c r="I313" i="27"/>
  <c r="J313" i="27"/>
  <c r="K313" i="27"/>
  <c r="L313" i="27"/>
  <c r="M313" i="27"/>
  <c r="N313" i="27"/>
  <c r="O313" i="27"/>
  <c r="P313" i="27"/>
  <c r="Q313" i="27"/>
  <c r="R313" i="27"/>
  <c r="S313" i="27"/>
  <c r="T313" i="27"/>
  <c r="U313" i="27"/>
  <c r="V313" i="27"/>
  <c r="W313" i="27"/>
  <c r="X313" i="27"/>
  <c r="Y313" i="27"/>
  <c r="Z313" i="27"/>
  <c r="AA313" i="27"/>
  <c r="AB313" i="27"/>
  <c r="AC313" i="27"/>
  <c r="AD313" i="27"/>
  <c r="AE313" i="27"/>
  <c r="AF313" i="27"/>
  <c r="AH313" i="27"/>
  <c r="AI313" i="27"/>
  <c r="AJ313" i="27"/>
  <c r="AK313" i="27"/>
  <c r="AL313" i="27"/>
  <c r="AM313" i="27"/>
  <c r="AN313" i="27"/>
  <c r="AO313" i="27"/>
  <c r="AP313" i="27"/>
  <c r="AQ313" i="27"/>
  <c r="AR313" i="27"/>
  <c r="AS313" i="27"/>
  <c r="AT313" i="27"/>
  <c r="AU313" i="27"/>
  <c r="AV313" i="27"/>
  <c r="AW313" i="27"/>
  <c r="AX313" i="27"/>
  <c r="AY313" i="27"/>
  <c r="AZ313" i="27"/>
  <c r="BA313" i="27"/>
  <c r="BB313" i="27"/>
  <c r="BC313" i="27"/>
  <c r="BD313" i="27"/>
  <c r="BE313" i="27"/>
  <c r="BF313" i="27"/>
  <c r="BG313" i="27"/>
  <c r="BH313" i="27"/>
  <c r="C309" i="27"/>
  <c r="C310" i="27"/>
  <c r="C311" i="27"/>
  <c r="C312" i="27"/>
  <c r="C313" i="27"/>
  <c r="U358" i="2"/>
  <c r="V358" i="2"/>
  <c r="W358" i="2"/>
  <c r="X358" i="2"/>
  <c r="U359" i="2"/>
  <c r="V359" i="2" s="1"/>
  <c r="W359" i="2"/>
  <c r="X359" i="2"/>
  <c r="U360" i="2"/>
  <c r="V360" i="2"/>
  <c r="W360" i="2"/>
  <c r="X360" i="2"/>
  <c r="U361" i="2"/>
  <c r="V361" i="2"/>
  <c r="W361" i="2"/>
  <c r="X361" i="2"/>
  <c r="U362" i="2"/>
  <c r="V362" i="2"/>
  <c r="W362" i="2"/>
  <c r="X362" i="2"/>
  <c r="N362" i="2"/>
  <c r="L362" i="2"/>
  <c r="M362" i="2" s="1"/>
  <c r="J362" i="2"/>
  <c r="K362" i="2" s="1"/>
  <c r="I362" i="2"/>
  <c r="X363" i="2" s="1"/>
  <c r="H362" i="2"/>
  <c r="F362" i="2"/>
  <c r="D362" i="2"/>
  <c r="E362" i="2" s="1"/>
  <c r="C362" i="2"/>
  <c r="N361" i="2"/>
  <c r="L361" i="2"/>
  <c r="J361" i="2"/>
  <c r="K361" i="2" s="1"/>
  <c r="P361" i="2" s="1"/>
  <c r="I361" i="2"/>
  <c r="H361" i="2"/>
  <c r="F361" i="2"/>
  <c r="D361" i="2"/>
  <c r="G361" i="2" s="1"/>
  <c r="C361" i="2"/>
  <c r="N360" i="2"/>
  <c r="L360" i="2"/>
  <c r="J360" i="2"/>
  <c r="K360" i="2" s="1"/>
  <c r="I360" i="2"/>
  <c r="H360" i="2"/>
  <c r="F360" i="2"/>
  <c r="D360" i="2"/>
  <c r="G360" i="2" s="1"/>
  <c r="C360" i="2"/>
  <c r="N359" i="2"/>
  <c r="L359" i="2"/>
  <c r="J359" i="2"/>
  <c r="I359" i="2"/>
  <c r="H359" i="2"/>
  <c r="F359" i="2"/>
  <c r="D359" i="2"/>
  <c r="E359" i="2" s="1"/>
  <c r="C359" i="2"/>
  <c r="N358" i="2"/>
  <c r="L358" i="2"/>
  <c r="J358" i="2"/>
  <c r="I358" i="2"/>
  <c r="H358" i="2"/>
  <c r="F358" i="2"/>
  <c r="D358" i="2"/>
  <c r="G358" i="2" s="1"/>
  <c r="C358" i="2"/>
  <c r="D102" i="20"/>
  <c r="E102" i="20"/>
  <c r="E107" i="20"/>
  <c r="E104" i="20"/>
  <c r="D105" i="20"/>
  <c r="E103" i="20"/>
  <c r="D100" i="20"/>
  <c r="E105" i="20"/>
  <c r="D103" i="20"/>
  <c r="E108" i="20"/>
  <c r="E100" i="20"/>
  <c r="D106" i="20"/>
  <c r="D101" i="20"/>
  <c r="D107" i="20"/>
  <c r="D108" i="20"/>
  <c r="E106" i="20"/>
  <c r="D104" i="20"/>
  <c r="E101" i="20"/>
  <c r="A172" i="1"/>
  <c r="G172" i="1"/>
  <c r="Q172" i="1" s="1"/>
  <c r="R172" i="1" s="1"/>
  <c r="U172" i="1" s="1"/>
  <c r="J172" i="1"/>
  <c r="AG172" i="1" s="1"/>
  <c r="K172" i="1"/>
  <c r="N172" i="1" s="1"/>
  <c r="O172" i="1" s="1"/>
  <c r="P172" i="1" s="1"/>
  <c r="AE172" i="1" s="1"/>
  <c r="V172" i="1"/>
  <c r="AB172" i="1" s="1"/>
  <c r="A171" i="1"/>
  <c r="G171" i="1"/>
  <c r="Q171" i="1" s="1"/>
  <c r="J171" i="1"/>
  <c r="AG171" i="1" s="1"/>
  <c r="K171" i="1"/>
  <c r="N171" i="1" s="1"/>
  <c r="O171" i="1" s="1"/>
  <c r="V171" i="1"/>
  <c r="AB171" i="1" s="1"/>
  <c r="A169" i="1"/>
  <c r="A170" i="1"/>
  <c r="G169" i="1"/>
  <c r="AJ169" i="1" s="1"/>
  <c r="G170" i="1"/>
  <c r="Q170" i="1" s="1"/>
  <c r="R170" i="1" s="1"/>
  <c r="U170" i="1" s="1"/>
  <c r="J169" i="1"/>
  <c r="AG169" i="1" s="1"/>
  <c r="J170" i="1"/>
  <c r="AG170" i="1" s="1"/>
  <c r="K169" i="1"/>
  <c r="N169" i="1" s="1"/>
  <c r="O169" i="1" s="1"/>
  <c r="P169" i="1" s="1"/>
  <c r="AE169" i="1" s="1"/>
  <c r="K170" i="1"/>
  <c r="N170" i="1" s="1"/>
  <c r="O170" i="1" s="1"/>
  <c r="P170" i="1" s="1"/>
  <c r="AE170" i="1" s="1"/>
  <c r="AF170" i="1" s="1"/>
  <c r="T169" i="1"/>
  <c r="T170" i="1"/>
  <c r="V169" i="1"/>
  <c r="AB169" i="1" s="1"/>
  <c r="V170" i="1"/>
  <c r="AB170" i="1" s="1"/>
  <c r="W170" i="1"/>
  <c r="X170" i="1" s="1"/>
  <c r="AD170" i="1"/>
  <c r="A168" i="1"/>
  <c r="G168" i="1"/>
  <c r="Q168" i="1" s="1"/>
  <c r="R168" i="1" s="1"/>
  <c r="U168" i="1" s="1"/>
  <c r="J168" i="1"/>
  <c r="AG168" i="1" s="1"/>
  <c r="K168" i="1"/>
  <c r="N168" i="1" s="1"/>
  <c r="O168" i="1" s="1"/>
  <c r="P168" i="1" s="1"/>
  <c r="AE168" i="1" s="1"/>
  <c r="V168" i="1"/>
  <c r="AB168" i="1" s="1"/>
  <c r="A166" i="1"/>
  <c r="A167" i="1"/>
  <c r="G166" i="1"/>
  <c r="AJ166" i="1" s="1"/>
  <c r="G167" i="1"/>
  <c r="AD167" i="1" s="1"/>
  <c r="J166" i="1"/>
  <c r="T166" i="1" s="1"/>
  <c r="J167" i="1"/>
  <c r="T167" i="1" s="1"/>
  <c r="K166" i="1"/>
  <c r="N166" i="1" s="1"/>
  <c r="O166" i="1" s="1"/>
  <c r="P166" i="1" s="1"/>
  <c r="AE166" i="1" s="1"/>
  <c r="K167" i="1"/>
  <c r="V166" i="1"/>
  <c r="AB166" i="1" s="1"/>
  <c r="V167" i="1"/>
  <c r="AB167" i="1" s="1"/>
  <c r="A165" i="1"/>
  <c r="G165" i="1"/>
  <c r="AD165" i="1" s="1"/>
  <c r="J165" i="1"/>
  <c r="AG165" i="1" s="1"/>
  <c r="K165" i="1"/>
  <c r="N165" i="1" s="1"/>
  <c r="O165" i="1" s="1"/>
  <c r="P165" i="1" s="1"/>
  <c r="AE165" i="1" s="1"/>
  <c r="V165" i="1"/>
  <c r="AB165" i="1" s="1"/>
  <c r="Q164" i="1"/>
  <c r="Q163" i="1"/>
  <c r="Q161" i="1"/>
  <c r="G162" i="1"/>
  <c r="Q162" i="1" s="1"/>
  <c r="R162" i="1" s="1"/>
  <c r="G163" i="1"/>
  <c r="AD163" i="1" s="1"/>
  <c r="G164" i="1"/>
  <c r="J162" i="1"/>
  <c r="W162" i="1" s="1"/>
  <c r="X162" i="1" s="1"/>
  <c r="J163" i="1"/>
  <c r="W163" i="1" s="1"/>
  <c r="X163" i="1" s="1"/>
  <c r="J164" i="1"/>
  <c r="W164" i="1" s="1"/>
  <c r="X164" i="1" s="1"/>
  <c r="K162" i="1"/>
  <c r="N162" i="1" s="1"/>
  <c r="O162" i="1" s="1"/>
  <c r="P162" i="1" s="1"/>
  <c r="AE162" i="1" s="1"/>
  <c r="K163" i="1"/>
  <c r="N163" i="1" s="1"/>
  <c r="O163" i="1" s="1"/>
  <c r="P163" i="1" s="1"/>
  <c r="AE163" i="1" s="1"/>
  <c r="K164" i="1"/>
  <c r="V162" i="1"/>
  <c r="AB162" i="1" s="1"/>
  <c r="V163" i="1"/>
  <c r="AB163" i="1" s="1"/>
  <c r="V164" i="1"/>
  <c r="AB164" i="1" s="1"/>
  <c r="AD164" i="1"/>
  <c r="AJ164" i="1"/>
  <c r="A164" i="1"/>
  <c r="A163" i="1"/>
  <c r="A162" i="1"/>
  <c r="A161" i="1"/>
  <c r="G161" i="1"/>
  <c r="J161" i="1"/>
  <c r="AG161" i="1" s="1"/>
  <c r="K161" i="1"/>
  <c r="N161" i="1" s="1"/>
  <c r="O161" i="1" s="1"/>
  <c r="P161" i="1" s="1"/>
  <c r="AE161" i="1" s="1"/>
  <c r="V161" i="1"/>
  <c r="AB161" i="1" s="1"/>
  <c r="A160" i="1"/>
  <c r="G160" i="1"/>
  <c r="Q160" i="1" s="1"/>
  <c r="J160" i="1"/>
  <c r="AG160" i="1" s="1"/>
  <c r="K160" i="1"/>
  <c r="N160" i="1" s="1"/>
  <c r="O160" i="1" s="1"/>
  <c r="P160" i="1" s="1"/>
  <c r="AE160" i="1" s="1"/>
  <c r="V160" i="1"/>
  <c r="AB160" i="1" s="1"/>
  <c r="DY308" i="27"/>
  <c r="BH308" i="27"/>
  <c r="BG308" i="27"/>
  <c r="BF308" i="27"/>
  <c r="BE308" i="27"/>
  <c r="BD308" i="27"/>
  <c r="BC308" i="27"/>
  <c r="BB308" i="27"/>
  <c r="BA308" i="27"/>
  <c r="AZ308" i="27"/>
  <c r="AY308" i="27"/>
  <c r="AX308" i="27"/>
  <c r="AW308" i="27"/>
  <c r="AV308" i="27"/>
  <c r="AU308" i="27"/>
  <c r="AT308" i="27"/>
  <c r="AS308" i="27"/>
  <c r="AR308" i="27"/>
  <c r="AQ308" i="27"/>
  <c r="AP308" i="27"/>
  <c r="AO308" i="27"/>
  <c r="AN308" i="27"/>
  <c r="AM308" i="27"/>
  <c r="AL308" i="27"/>
  <c r="AK308" i="27"/>
  <c r="AJ308" i="27"/>
  <c r="AI308" i="27"/>
  <c r="K308" i="27"/>
  <c r="J308" i="27"/>
  <c r="C308" i="27"/>
  <c r="U308" i="27" s="1"/>
  <c r="DY307" i="27"/>
  <c r="BH307" i="27"/>
  <c r="BG307" i="27"/>
  <c r="BF307" i="27"/>
  <c r="BE307" i="27"/>
  <c r="BD307" i="27"/>
  <c r="BC307" i="27"/>
  <c r="BB307" i="27"/>
  <c r="BA307" i="27"/>
  <c r="AZ307" i="27"/>
  <c r="AY307" i="27"/>
  <c r="AX307" i="27"/>
  <c r="AW307" i="27"/>
  <c r="AV307" i="27"/>
  <c r="AU307" i="27"/>
  <c r="AT307" i="27"/>
  <c r="AS307" i="27"/>
  <c r="AR307" i="27"/>
  <c r="AQ307" i="27"/>
  <c r="AP307" i="27"/>
  <c r="AO307" i="27"/>
  <c r="AN307" i="27"/>
  <c r="AM307" i="27"/>
  <c r="AL307" i="27"/>
  <c r="AK307" i="27"/>
  <c r="AJ307" i="27"/>
  <c r="AI307" i="27"/>
  <c r="AF307" i="27"/>
  <c r="AE307" i="27"/>
  <c r="AD307" i="27"/>
  <c r="AC307" i="27"/>
  <c r="U307" i="27"/>
  <c r="T307" i="27"/>
  <c r="S307" i="27"/>
  <c r="R307" i="27"/>
  <c r="Q307" i="27"/>
  <c r="J307" i="27"/>
  <c r="I307" i="27"/>
  <c r="H307" i="27"/>
  <c r="G307" i="27"/>
  <c r="F307" i="27"/>
  <c r="E307" i="27"/>
  <c r="C307" i="27"/>
  <c r="AB307" i="27" s="1"/>
  <c r="D305" i="27"/>
  <c r="E305" i="27"/>
  <c r="F305" i="27"/>
  <c r="G305" i="27"/>
  <c r="H305" i="27"/>
  <c r="I305" i="27"/>
  <c r="J305" i="27"/>
  <c r="K305" i="27"/>
  <c r="L305" i="27"/>
  <c r="P305" i="27"/>
  <c r="Q305" i="27"/>
  <c r="R305" i="27"/>
  <c r="S305" i="27"/>
  <c r="T305" i="27"/>
  <c r="U305" i="27"/>
  <c r="V305" i="27"/>
  <c r="W305" i="27"/>
  <c r="X305" i="27"/>
  <c r="D306" i="27"/>
  <c r="E306" i="27"/>
  <c r="F306" i="27"/>
  <c r="G306" i="27"/>
  <c r="J306" i="27"/>
  <c r="K306" i="27"/>
  <c r="P306" i="27"/>
  <c r="Q306" i="27"/>
  <c r="R306" i="27"/>
  <c r="S306" i="27"/>
  <c r="V306" i="27"/>
  <c r="W306" i="27"/>
  <c r="N357" i="2"/>
  <c r="H357" i="2"/>
  <c r="D357" i="2"/>
  <c r="E357" i="2" s="1"/>
  <c r="C357" i="2"/>
  <c r="W357" i="2" s="1"/>
  <c r="N356" i="2"/>
  <c r="H356" i="2"/>
  <c r="D356" i="2"/>
  <c r="G356" i="2" s="1"/>
  <c r="C356" i="2"/>
  <c r="W356" i="2" s="1"/>
  <c r="A159" i="1"/>
  <c r="G159" i="1"/>
  <c r="AJ159" i="1" s="1"/>
  <c r="J159" i="1"/>
  <c r="AG159" i="1" s="1"/>
  <c r="K159" i="1"/>
  <c r="V159" i="1"/>
  <c r="AB159" i="1" s="1"/>
  <c r="A158" i="1"/>
  <c r="G158" i="1"/>
  <c r="AJ158" i="1" s="1"/>
  <c r="J158" i="1"/>
  <c r="AG158" i="1" s="1"/>
  <c r="K158" i="1"/>
  <c r="V158" i="1"/>
  <c r="AB158" i="1" s="1"/>
  <c r="A157" i="1"/>
  <c r="G157" i="1"/>
  <c r="AD157" i="1" s="1"/>
  <c r="J157" i="1"/>
  <c r="AG157" i="1" s="1"/>
  <c r="K157" i="1"/>
  <c r="V157" i="1"/>
  <c r="AB157" i="1" s="1"/>
  <c r="A156" i="1"/>
  <c r="G156" i="1"/>
  <c r="AD156" i="1" s="1"/>
  <c r="J156" i="1"/>
  <c r="AG156" i="1" s="1"/>
  <c r="K156" i="1"/>
  <c r="V156" i="1"/>
  <c r="AB156" i="1" s="1"/>
  <c r="DY306" i="27"/>
  <c r="DY305" i="27"/>
  <c r="C306" i="27"/>
  <c r="L306" i="27" s="1"/>
  <c r="C305" i="27"/>
  <c r="AC305" i="27" s="1"/>
  <c r="BH306" i="27"/>
  <c r="BG306" i="27"/>
  <c r="BF306" i="27"/>
  <c r="BE306" i="27"/>
  <c r="BD306" i="27"/>
  <c r="BC306" i="27"/>
  <c r="BB306" i="27"/>
  <c r="BA306" i="27"/>
  <c r="AZ306" i="27"/>
  <c r="AY306" i="27"/>
  <c r="AX306" i="27"/>
  <c r="AW306" i="27"/>
  <c r="AV306" i="27"/>
  <c r="AU306" i="27"/>
  <c r="AT306" i="27"/>
  <c r="AS306" i="27"/>
  <c r="AR306" i="27"/>
  <c r="AQ306" i="27"/>
  <c r="AP306" i="27"/>
  <c r="AO306" i="27"/>
  <c r="AN306" i="27"/>
  <c r="AM306" i="27"/>
  <c r="AL306" i="27"/>
  <c r="AK306" i="27"/>
  <c r="AJ306" i="27"/>
  <c r="AI306" i="27"/>
  <c r="BH305" i="27"/>
  <c r="BG305" i="27"/>
  <c r="BF305" i="27"/>
  <c r="BE305" i="27"/>
  <c r="BD305" i="27"/>
  <c r="BC305" i="27"/>
  <c r="BB305" i="27"/>
  <c r="BA305" i="27"/>
  <c r="AZ305" i="27"/>
  <c r="AY305" i="27"/>
  <c r="AX305" i="27"/>
  <c r="AW305" i="27"/>
  <c r="AV305" i="27"/>
  <c r="AU305" i="27"/>
  <c r="AT305" i="27"/>
  <c r="AS305" i="27"/>
  <c r="AR305" i="27"/>
  <c r="AQ305" i="27"/>
  <c r="AP305" i="27"/>
  <c r="AO305" i="27"/>
  <c r="AN305" i="27"/>
  <c r="AM305" i="27"/>
  <c r="AL305" i="27"/>
  <c r="AK305" i="27"/>
  <c r="AJ305" i="27"/>
  <c r="AI305" i="27"/>
  <c r="N355" i="2"/>
  <c r="H355" i="2"/>
  <c r="D355" i="2"/>
  <c r="E355" i="2" s="1"/>
  <c r="C355" i="2"/>
  <c r="W355" i="2" s="1"/>
  <c r="N354" i="2"/>
  <c r="H354" i="2"/>
  <c r="D354" i="2"/>
  <c r="G354" i="2" s="1"/>
  <c r="C354" i="2"/>
  <c r="W354" i="2" s="1"/>
  <c r="G154" i="1"/>
  <c r="AD154" i="1" s="1"/>
  <c r="G155" i="1"/>
  <c r="AD155" i="1" s="1"/>
  <c r="J154" i="1"/>
  <c r="W154" i="1" s="1"/>
  <c r="X154" i="1" s="1"/>
  <c r="J155" i="1"/>
  <c r="W155" i="1" s="1"/>
  <c r="X155" i="1" s="1"/>
  <c r="K154" i="1"/>
  <c r="K155" i="1"/>
  <c r="V154" i="1"/>
  <c r="AB154" i="1" s="1"/>
  <c r="V155" i="1"/>
  <c r="AB155" i="1" s="1"/>
  <c r="A155" i="1"/>
  <c r="A154" i="1"/>
  <c r="A153" i="1"/>
  <c r="G153" i="1"/>
  <c r="Q153" i="1" s="1"/>
  <c r="J153" i="1"/>
  <c r="AG153" i="1" s="1"/>
  <c r="K153" i="1"/>
  <c r="V153" i="1"/>
  <c r="AB153" i="1" s="1"/>
  <c r="A152" i="1"/>
  <c r="A151" i="1"/>
  <c r="A150" i="1"/>
  <c r="G151" i="1"/>
  <c r="AD151" i="1" s="1"/>
  <c r="G152" i="1"/>
  <c r="Q152" i="1" s="1"/>
  <c r="R152" i="1" s="1"/>
  <c r="U152" i="1" s="1"/>
  <c r="J151" i="1"/>
  <c r="AG151" i="1" s="1"/>
  <c r="J152" i="1"/>
  <c r="T152" i="1" s="1"/>
  <c r="K151" i="1"/>
  <c r="K152" i="1"/>
  <c r="V151" i="1"/>
  <c r="AB151" i="1" s="1"/>
  <c r="V152" i="1"/>
  <c r="AB152" i="1" s="1"/>
  <c r="G150" i="1"/>
  <c r="Q150" i="1" s="1"/>
  <c r="R150" i="1" s="1"/>
  <c r="U150" i="1" s="1"/>
  <c r="J150" i="1"/>
  <c r="AG150" i="1" s="1"/>
  <c r="K150" i="1"/>
  <c r="V150" i="1"/>
  <c r="AB150" i="1" s="1"/>
  <c r="A149" i="1"/>
  <c r="G149" i="1"/>
  <c r="Q149" i="1" s="1"/>
  <c r="R149" i="1" s="1"/>
  <c r="U149" i="1" s="1"/>
  <c r="J149" i="1"/>
  <c r="AG149" i="1" s="1"/>
  <c r="K149" i="1"/>
  <c r="V149" i="1"/>
  <c r="AB149" i="1" s="1"/>
  <c r="DY304" i="27"/>
  <c r="BH304" i="27"/>
  <c r="BG304" i="27"/>
  <c r="BF304" i="27"/>
  <c r="BE304" i="27"/>
  <c r="BD304" i="27"/>
  <c r="BC304" i="27"/>
  <c r="BB304" i="27"/>
  <c r="BA304" i="27"/>
  <c r="AZ304" i="27"/>
  <c r="AY304" i="27"/>
  <c r="AX304" i="27"/>
  <c r="AW304" i="27"/>
  <c r="AV304" i="27"/>
  <c r="AU304" i="27"/>
  <c r="AT304" i="27"/>
  <c r="AS304" i="27"/>
  <c r="AR304" i="27"/>
  <c r="AQ304" i="27"/>
  <c r="AP304" i="27"/>
  <c r="AO304" i="27"/>
  <c r="AN304" i="27"/>
  <c r="AM304" i="27"/>
  <c r="AL304" i="27"/>
  <c r="AK304" i="27"/>
  <c r="AJ304" i="27"/>
  <c r="AI304" i="27"/>
  <c r="C304" i="27"/>
  <c r="AF304" i="27" s="1"/>
  <c r="N353" i="2"/>
  <c r="H353" i="2"/>
  <c r="D353" i="2"/>
  <c r="E353" i="2" s="1"/>
  <c r="C353" i="2"/>
  <c r="W353" i="2" s="1"/>
  <c r="A146" i="1"/>
  <c r="A147" i="1"/>
  <c r="A148" i="1"/>
  <c r="G146" i="1"/>
  <c r="G147" i="1"/>
  <c r="Q147" i="1" s="1"/>
  <c r="G148" i="1"/>
  <c r="Q148" i="1" s="1"/>
  <c r="J146" i="1"/>
  <c r="W146" i="1" s="1"/>
  <c r="X146" i="1" s="1"/>
  <c r="J147" i="1"/>
  <c r="W147" i="1" s="1"/>
  <c r="X147" i="1" s="1"/>
  <c r="J148" i="1"/>
  <c r="W148" i="1" s="1"/>
  <c r="X148" i="1" s="1"/>
  <c r="K146" i="1"/>
  <c r="K147" i="1"/>
  <c r="K148" i="1"/>
  <c r="V146" i="1"/>
  <c r="AB146" i="1" s="1"/>
  <c r="V147" i="1"/>
  <c r="AB147" i="1" s="1"/>
  <c r="V148" i="1"/>
  <c r="AB148" i="1" s="1"/>
  <c r="A145" i="1"/>
  <c r="G145" i="1"/>
  <c r="Q145" i="1" s="1"/>
  <c r="J145" i="1"/>
  <c r="AG145" i="1" s="1"/>
  <c r="K145" i="1"/>
  <c r="V145" i="1"/>
  <c r="AB145" i="1" s="1"/>
  <c r="DW303" i="27"/>
  <c r="DY303" i="27"/>
  <c r="DY302" i="27"/>
  <c r="BH303" i="27"/>
  <c r="BG303" i="27"/>
  <c r="BF303" i="27"/>
  <c r="BE303" i="27"/>
  <c r="BD303" i="27"/>
  <c r="BC303" i="27"/>
  <c r="BB303" i="27"/>
  <c r="BA303" i="27"/>
  <c r="AZ303" i="27"/>
  <c r="AY303" i="27"/>
  <c r="AX303" i="27"/>
  <c r="AW303" i="27"/>
  <c r="AV303" i="27"/>
  <c r="AU303" i="27"/>
  <c r="AT303" i="27"/>
  <c r="AS303" i="27"/>
  <c r="AR303" i="27"/>
  <c r="AQ303" i="27"/>
  <c r="AP303" i="27"/>
  <c r="AO303" i="27"/>
  <c r="AN303" i="27"/>
  <c r="AM303" i="27"/>
  <c r="AL303" i="27"/>
  <c r="AK303" i="27"/>
  <c r="AJ303" i="27"/>
  <c r="AI303" i="27"/>
  <c r="C303" i="27"/>
  <c r="V303" i="27" s="1"/>
  <c r="AO352" i="2"/>
  <c r="AN352" i="2"/>
  <c r="AM352" i="2"/>
  <c r="AO351" i="2"/>
  <c r="AN351" i="2"/>
  <c r="AM351" i="2"/>
  <c r="AO350" i="2"/>
  <c r="AN350" i="2"/>
  <c r="AM350" i="2"/>
  <c r="AO349" i="2"/>
  <c r="AN349" i="2"/>
  <c r="AM349" i="2"/>
  <c r="AO348" i="2"/>
  <c r="AN348" i="2"/>
  <c r="AM348" i="2"/>
  <c r="AO347" i="2"/>
  <c r="AN347" i="2"/>
  <c r="AM347" i="2"/>
  <c r="AO346" i="2"/>
  <c r="AN346" i="2"/>
  <c r="AM346" i="2"/>
  <c r="AE346" i="2"/>
  <c r="AD346" i="2"/>
  <c r="AO345" i="2"/>
  <c r="AN345" i="2"/>
  <c r="AM345" i="2"/>
  <c r="N352" i="2"/>
  <c r="H352" i="2"/>
  <c r="D352" i="2"/>
  <c r="E352" i="2" s="1"/>
  <c r="C352" i="2"/>
  <c r="W352" i="2" s="1"/>
  <c r="A141" i="1"/>
  <c r="A142" i="1"/>
  <c r="A143" i="1"/>
  <c r="A144" i="1"/>
  <c r="G141" i="1"/>
  <c r="Q141" i="1" s="1"/>
  <c r="R141" i="1" s="1"/>
  <c r="U141" i="1" s="1"/>
  <c r="G142" i="1"/>
  <c r="Q142" i="1" s="1"/>
  <c r="R142" i="1" s="1"/>
  <c r="U142" i="1" s="1"/>
  <c r="G143" i="1"/>
  <c r="Q143" i="1" s="1"/>
  <c r="R143" i="1" s="1"/>
  <c r="U143" i="1" s="1"/>
  <c r="G144" i="1"/>
  <c r="J141" i="1"/>
  <c r="AG141" i="1" s="1"/>
  <c r="J142" i="1"/>
  <c r="T142" i="1" s="1"/>
  <c r="J143" i="1"/>
  <c r="T143" i="1" s="1"/>
  <c r="J144" i="1"/>
  <c r="T144" i="1" s="1"/>
  <c r="K141" i="1"/>
  <c r="K142" i="1"/>
  <c r="K143" i="1"/>
  <c r="N143" i="1" s="1"/>
  <c r="O143" i="1" s="1"/>
  <c r="P143" i="1" s="1"/>
  <c r="AE143" i="1" s="1"/>
  <c r="K144" i="1"/>
  <c r="V141" i="1"/>
  <c r="AB141" i="1" s="1"/>
  <c r="V142" i="1"/>
  <c r="AB142" i="1" s="1"/>
  <c r="V143" i="1"/>
  <c r="AB143" i="1" s="1"/>
  <c r="V144" i="1"/>
  <c r="AB144" i="1" s="1"/>
  <c r="A139" i="1"/>
  <c r="A140" i="1"/>
  <c r="G139" i="1"/>
  <c r="AD139" i="1" s="1"/>
  <c r="G140" i="1"/>
  <c r="AD140" i="1" s="1"/>
  <c r="J139" i="1"/>
  <c r="AG139" i="1" s="1"/>
  <c r="J140" i="1"/>
  <c r="T140" i="1" s="1"/>
  <c r="K139" i="1"/>
  <c r="K140" i="1"/>
  <c r="V139" i="1"/>
  <c r="AB139" i="1" s="1"/>
  <c r="V140" i="1"/>
  <c r="AB140" i="1" s="1"/>
  <c r="BH302" i="27"/>
  <c r="BG302" i="27"/>
  <c r="BF302" i="27"/>
  <c r="BE302" i="27"/>
  <c r="BD302" i="27"/>
  <c r="BC302" i="27"/>
  <c r="BB302" i="27"/>
  <c r="BA302" i="27"/>
  <c r="AZ302" i="27"/>
  <c r="AY302" i="27"/>
  <c r="AX302" i="27"/>
  <c r="AW302" i="27"/>
  <c r="AV302" i="27"/>
  <c r="AU302" i="27"/>
  <c r="AT302" i="27"/>
  <c r="AS302" i="27"/>
  <c r="AR302" i="27"/>
  <c r="AQ302" i="27"/>
  <c r="AP302" i="27"/>
  <c r="AO302" i="27"/>
  <c r="AN302" i="27"/>
  <c r="AM302" i="27"/>
  <c r="AL302" i="27"/>
  <c r="AK302" i="27"/>
  <c r="AJ302" i="27"/>
  <c r="AI302" i="27"/>
  <c r="C302" i="27"/>
  <c r="AF302" i="27" s="1"/>
  <c r="N351" i="2"/>
  <c r="H351" i="2"/>
  <c r="D351" i="2"/>
  <c r="E351" i="2" s="1"/>
  <c r="C351" i="2"/>
  <c r="W351" i="2" s="1"/>
  <c r="A132" i="1"/>
  <c r="A351" i="2" s="1"/>
  <c r="G132" i="1"/>
  <c r="Q132" i="1" s="1"/>
  <c r="J132" i="1"/>
  <c r="AG132" i="1" s="1"/>
  <c r="K132" i="1"/>
  <c r="V132" i="1"/>
  <c r="AB132" i="1" s="1"/>
  <c r="A136" i="1"/>
  <c r="A137" i="1"/>
  <c r="A138" i="1"/>
  <c r="G136" i="1"/>
  <c r="Q136" i="1" s="1"/>
  <c r="R136" i="1" s="1"/>
  <c r="U136" i="1" s="1"/>
  <c r="G137" i="1"/>
  <c r="AD137" i="1" s="1"/>
  <c r="G138" i="1"/>
  <c r="AJ138" i="1" s="1"/>
  <c r="J136" i="1"/>
  <c r="AG136" i="1" s="1"/>
  <c r="J137" i="1"/>
  <c r="AG137" i="1" s="1"/>
  <c r="J138" i="1"/>
  <c r="T138" i="1" s="1"/>
  <c r="K136" i="1"/>
  <c r="K137" i="1"/>
  <c r="K138" i="1"/>
  <c r="V136" i="1"/>
  <c r="AB136" i="1" s="1"/>
  <c r="V137" i="1"/>
  <c r="AB137" i="1" s="1"/>
  <c r="V138" i="1"/>
  <c r="AB138" i="1" s="1"/>
  <c r="A135" i="1"/>
  <c r="G135" i="1"/>
  <c r="Q135" i="1" s="1"/>
  <c r="R135" i="1" s="1"/>
  <c r="U135" i="1" s="1"/>
  <c r="J135" i="1"/>
  <c r="AG135" i="1" s="1"/>
  <c r="K135" i="1"/>
  <c r="V135" i="1"/>
  <c r="AB135" i="1" s="1"/>
  <c r="A134" i="1"/>
  <c r="G134" i="1"/>
  <c r="Q134" i="1" s="1"/>
  <c r="J134" i="1"/>
  <c r="T134" i="1" s="1"/>
  <c r="K134" i="1"/>
  <c r="V134" i="1"/>
  <c r="AB134" i="1" s="1"/>
  <c r="A133" i="1"/>
  <c r="G133" i="1"/>
  <c r="AD133" i="1" s="1"/>
  <c r="J133" i="1"/>
  <c r="T133" i="1" s="1"/>
  <c r="K133" i="1"/>
  <c r="V133" i="1"/>
  <c r="AB133" i="1" s="1"/>
  <c r="DY301" i="27"/>
  <c r="BH301" i="27"/>
  <c r="BG301" i="27"/>
  <c r="BF301" i="27"/>
  <c r="BE301" i="27"/>
  <c r="BD301" i="27"/>
  <c r="BC301" i="27"/>
  <c r="BB301" i="27"/>
  <c r="BA301" i="27"/>
  <c r="AZ301" i="27"/>
  <c r="AY301" i="27"/>
  <c r="AX301" i="27"/>
  <c r="AW301" i="27"/>
  <c r="AV301" i="27"/>
  <c r="AU301" i="27"/>
  <c r="AT301" i="27"/>
  <c r="AS301" i="27"/>
  <c r="AR301" i="27"/>
  <c r="AP301" i="27"/>
  <c r="AO301" i="27"/>
  <c r="AN301" i="27"/>
  <c r="AM301" i="27"/>
  <c r="AL301" i="27"/>
  <c r="AK301" i="27"/>
  <c r="AJ301" i="27"/>
  <c r="AI301" i="27"/>
  <c r="AH301" i="27"/>
  <c r="C301" i="27"/>
  <c r="U301" i="27" s="1"/>
  <c r="N350" i="2"/>
  <c r="H350" i="2"/>
  <c r="D350" i="2"/>
  <c r="G350" i="2" s="1"/>
  <c r="C350" i="2"/>
  <c r="W350" i="2" s="1"/>
  <c r="A130" i="1"/>
  <c r="A131" i="1"/>
  <c r="G130" i="1"/>
  <c r="AD130" i="1" s="1"/>
  <c r="G131" i="1"/>
  <c r="AD131" i="1" s="1"/>
  <c r="J130" i="1"/>
  <c r="AG130" i="1" s="1"/>
  <c r="J131" i="1"/>
  <c r="T131" i="1" s="1"/>
  <c r="K130" i="1"/>
  <c r="K131" i="1"/>
  <c r="V130" i="1"/>
  <c r="AB130" i="1" s="1"/>
  <c r="V131" i="1"/>
  <c r="AB131" i="1" s="1"/>
  <c r="A129" i="1"/>
  <c r="A350" i="2" s="1"/>
  <c r="G129" i="1"/>
  <c r="Q129" i="1" s="1"/>
  <c r="R129" i="1" s="1"/>
  <c r="U129" i="1" s="1"/>
  <c r="J129" i="1"/>
  <c r="AG129" i="1" s="1"/>
  <c r="K129" i="1"/>
  <c r="V129" i="1"/>
  <c r="AB129" i="1" s="1"/>
  <c r="AW300" i="27"/>
  <c r="AW299" i="27"/>
  <c r="AW298" i="27"/>
  <c r="AW297" i="27"/>
  <c r="DY300" i="27"/>
  <c r="DY299" i="27"/>
  <c r="DY298" i="27"/>
  <c r="DY297" i="27"/>
  <c r="AH297" i="27"/>
  <c r="AH298" i="27"/>
  <c r="AH299" i="27"/>
  <c r="AH300" i="27"/>
  <c r="AI297" i="27"/>
  <c r="AI298" i="27"/>
  <c r="AI299" i="27"/>
  <c r="AI300" i="27"/>
  <c r="AJ297" i="27"/>
  <c r="AJ298" i="27"/>
  <c r="AJ299" i="27"/>
  <c r="AJ300" i="27"/>
  <c r="AK297" i="27"/>
  <c r="AK298" i="27"/>
  <c r="AK299" i="27"/>
  <c r="AK300" i="27"/>
  <c r="AL297" i="27"/>
  <c r="AL298" i="27"/>
  <c r="AL299" i="27"/>
  <c r="AL300" i="27"/>
  <c r="AM297" i="27"/>
  <c r="AM298" i="27"/>
  <c r="AM299" i="27"/>
  <c r="AM300" i="27"/>
  <c r="AN297" i="27"/>
  <c r="AN298" i="27"/>
  <c r="AN299" i="27"/>
  <c r="AN300" i="27"/>
  <c r="AO297" i="27"/>
  <c r="AO298" i="27"/>
  <c r="AO299" i="27"/>
  <c r="AO300" i="27"/>
  <c r="AP297" i="27"/>
  <c r="AP298" i="27"/>
  <c r="AP299" i="27"/>
  <c r="AP300" i="27"/>
  <c r="AR297" i="27"/>
  <c r="AR298" i="27"/>
  <c r="AR299" i="27"/>
  <c r="AR300" i="27"/>
  <c r="AS297" i="27"/>
  <c r="AS298" i="27"/>
  <c r="AS299" i="27"/>
  <c r="AS300" i="27"/>
  <c r="AT297" i="27"/>
  <c r="AT298" i="27"/>
  <c r="AT299" i="27"/>
  <c r="AT300" i="27"/>
  <c r="AU297" i="27"/>
  <c r="AU298" i="27"/>
  <c r="AU299" i="27"/>
  <c r="AU300" i="27"/>
  <c r="AV297" i="27"/>
  <c r="AV298" i="27"/>
  <c r="AV299" i="27"/>
  <c r="AV300" i="27"/>
  <c r="AX297" i="27"/>
  <c r="AX298" i="27"/>
  <c r="AX299" i="27"/>
  <c r="AX300" i="27"/>
  <c r="AY297" i="27"/>
  <c r="AY298" i="27"/>
  <c r="AY299" i="27"/>
  <c r="AY300" i="27"/>
  <c r="AZ297" i="27"/>
  <c r="AZ298" i="27"/>
  <c r="AZ299" i="27"/>
  <c r="AZ300" i="27"/>
  <c r="BA297" i="27"/>
  <c r="BA298" i="27"/>
  <c r="BA299" i="27"/>
  <c r="BA300" i="27"/>
  <c r="BB297" i="27"/>
  <c r="BB298" i="27"/>
  <c r="BB299" i="27"/>
  <c r="BB300" i="27"/>
  <c r="BC297" i="27"/>
  <c r="BC298" i="27"/>
  <c r="BC299" i="27"/>
  <c r="BC300" i="27"/>
  <c r="BD297" i="27"/>
  <c r="BD298" i="27"/>
  <c r="BD299" i="27"/>
  <c r="BD300" i="27"/>
  <c r="BE297" i="27"/>
  <c r="BE298" i="27"/>
  <c r="BE299" i="27"/>
  <c r="BE300" i="27"/>
  <c r="BF297" i="27"/>
  <c r="BF298" i="27"/>
  <c r="BF299" i="27"/>
  <c r="BF300" i="27"/>
  <c r="BG297" i="27"/>
  <c r="BG298" i="27"/>
  <c r="BG299" i="27"/>
  <c r="BG300" i="27"/>
  <c r="BH297" i="27"/>
  <c r="BH298" i="27"/>
  <c r="BH299" i="27"/>
  <c r="BH300" i="27"/>
  <c r="C300" i="27"/>
  <c r="Y300" i="27" s="1"/>
  <c r="C299" i="27"/>
  <c r="AD299" i="27" s="1"/>
  <c r="N349" i="2"/>
  <c r="H349" i="2"/>
  <c r="D349" i="2"/>
  <c r="E349" i="2" s="1"/>
  <c r="C349" i="2"/>
  <c r="W349" i="2" s="1"/>
  <c r="N348" i="2"/>
  <c r="H348" i="2"/>
  <c r="D348" i="2"/>
  <c r="G348" i="2" s="1"/>
  <c r="C348" i="2"/>
  <c r="W348" i="2" s="1"/>
  <c r="C347" i="2"/>
  <c r="A127" i="1"/>
  <c r="A128" i="1"/>
  <c r="G127" i="1"/>
  <c r="Q127" i="1" s="1"/>
  <c r="G128" i="1"/>
  <c r="Q128" i="1" s="1"/>
  <c r="R128" i="1" s="1"/>
  <c r="U128" i="1" s="1"/>
  <c r="J127" i="1"/>
  <c r="AG127" i="1" s="1"/>
  <c r="J128" i="1"/>
  <c r="AG128" i="1" s="1"/>
  <c r="K127" i="1"/>
  <c r="K128" i="1"/>
  <c r="V127" i="1"/>
  <c r="AB127" i="1" s="1"/>
  <c r="V128" i="1"/>
  <c r="AB128" i="1" s="1"/>
  <c r="A126" i="1"/>
  <c r="A349" i="2" s="1"/>
  <c r="G126" i="1"/>
  <c r="AD126" i="1" s="1"/>
  <c r="J126" i="1"/>
  <c r="AG126" i="1" s="1"/>
  <c r="K126" i="1"/>
  <c r="V126" i="1"/>
  <c r="AB126" i="1" s="1"/>
  <c r="A123" i="1"/>
  <c r="A124" i="1"/>
  <c r="A125" i="1"/>
  <c r="G123" i="1"/>
  <c r="AD123" i="1" s="1"/>
  <c r="G124" i="1"/>
  <c r="Q124" i="1" s="1"/>
  <c r="R124" i="1" s="1"/>
  <c r="U124" i="1" s="1"/>
  <c r="G125" i="1"/>
  <c r="Q125" i="1" s="1"/>
  <c r="R125" i="1" s="1"/>
  <c r="U125" i="1" s="1"/>
  <c r="J123" i="1"/>
  <c r="T123" i="1" s="1"/>
  <c r="J124" i="1"/>
  <c r="T124" i="1" s="1"/>
  <c r="J125" i="1"/>
  <c r="T125" i="1" s="1"/>
  <c r="K123" i="1"/>
  <c r="K124" i="1"/>
  <c r="K125" i="1"/>
  <c r="V123" i="1"/>
  <c r="AB123" i="1" s="1"/>
  <c r="V124" i="1"/>
  <c r="AB124" i="1" s="1"/>
  <c r="V125" i="1"/>
  <c r="AB125" i="1" s="1"/>
  <c r="A122" i="1"/>
  <c r="A348" i="2" s="1"/>
  <c r="G122" i="1"/>
  <c r="Q122" i="1" s="1"/>
  <c r="R122" i="1" s="1"/>
  <c r="U122" i="1" s="1"/>
  <c r="J122" i="1"/>
  <c r="AG122" i="1" s="1"/>
  <c r="K122" i="1"/>
  <c r="V122" i="1"/>
  <c r="AB122" i="1" s="1"/>
  <c r="A118" i="1"/>
  <c r="A346" i="2" s="1"/>
  <c r="C298" i="27"/>
  <c r="X298" i="27" s="1"/>
  <c r="N347" i="2"/>
  <c r="H347" i="2"/>
  <c r="D347" i="2"/>
  <c r="E347" i="2" s="1"/>
  <c r="N346" i="2"/>
  <c r="H346" i="2"/>
  <c r="D346" i="2"/>
  <c r="G346" i="2" s="1"/>
  <c r="C346" i="2"/>
  <c r="V346" i="2" s="1"/>
  <c r="G118" i="1"/>
  <c r="F346" i="2" s="1"/>
  <c r="J118" i="1"/>
  <c r="AG118" i="1" s="1"/>
  <c r="K118" i="1"/>
  <c r="N118" i="1"/>
  <c r="O118" i="1"/>
  <c r="P118" i="1"/>
  <c r="Q118" i="1"/>
  <c r="R118" i="1"/>
  <c r="U118" i="1" s="1"/>
  <c r="I346" i="2" s="1"/>
  <c r="V118" i="1"/>
  <c r="W118" i="1"/>
  <c r="X118" i="1" s="1"/>
  <c r="J346" i="2" s="1"/>
  <c r="AB118" i="1"/>
  <c r="AD118" i="1"/>
  <c r="L346" i="2" s="1"/>
  <c r="AE118" i="1"/>
  <c r="AF118" i="1"/>
  <c r="AJ118" i="1"/>
  <c r="A120" i="1"/>
  <c r="A121" i="1"/>
  <c r="G120" i="1"/>
  <c r="AD120" i="1" s="1"/>
  <c r="G121" i="1"/>
  <c r="AD121" i="1" s="1"/>
  <c r="J120" i="1"/>
  <c r="T120" i="1" s="1"/>
  <c r="J121" i="1"/>
  <c r="T121" i="1" s="1"/>
  <c r="K120" i="1"/>
  <c r="K121" i="1"/>
  <c r="V120" i="1"/>
  <c r="AB120" i="1" s="1"/>
  <c r="V121" i="1"/>
  <c r="AB121" i="1" s="1"/>
  <c r="A119" i="1"/>
  <c r="A347" i="2" s="1"/>
  <c r="G119" i="1"/>
  <c r="AD119" i="1" s="1"/>
  <c r="J119" i="1"/>
  <c r="AG119" i="1" s="1"/>
  <c r="K119" i="1"/>
  <c r="V119" i="1"/>
  <c r="AB119" i="1" s="1"/>
  <c r="C297" i="27"/>
  <c r="AA297" i="27" s="1"/>
  <c r="N345" i="2"/>
  <c r="H345" i="2"/>
  <c r="D345" i="2"/>
  <c r="G345" i="2" s="1"/>
  <c r="C345" i="2"/>
  <c r="W345" i="2" s="1"/>
  <c r="A117" i="1"/>
  <c r="G117" i="1"/>
  <c r="Q117" i="1" s="1"/>
  <c r="R117" i="1" s="1"/>
  <c r="U117" i="1" s="1"/>
  <c r="J117" i="1"/>
  <c r="AG117" i="1" s="1"/>
  <c r="K117" i="1"/>
  <c r="V117" i="1"/>
  <c r="AB117" i="1" s="1"/>
  <c r="A116" i="1"/>
  <c r="A345" i="2" s="1"/>
  <c r="G116" i="1"/>
  <c r="Q116" i="1" s="1"/>
  <c r="J116" i="1"/>
  <c r="AG116" i="1" s="1"/>
  <c r="K116" i="1"/>
  <c r="V116" i="1"/>
  <c r="AB116" i="1" s="1"/>
  <c r="DY296" i="27"/>
  <c r="DY295" i="27"/>
  <c r="DY294" i="27"/>
  <c r="DY293" i="27"/>
  <c r="AW296" i="27"/>
  <c r="AW295" i="27"/>
  <c r="AW294" i="27"/>
  <c r="AW293" i="27"/>
  <c r="AH293" i="27"/>
  <c r="AH294" i="27"/>
  <c r="AH295" i="27"/>
  <c r="AH296" i="27"/>
  <c r="AI293" i="27"/>
  <c r="AI294" i="27"/>
  <c r="AI295" i="27"/>
  <c r="AI296" i="27"/>
  <c r="AJ293" i="27"/>
  <c r="AJ294" i="27"/>
  <c r="AJ295" i="27"/>
  <c r="AJ296" i="27"/>
  <c r="AK293" i="27"/>
  <c r="AK294" i="27"/>
  <c r="AK295" i="27"/>
  <c r="AK296" i="27"/>
  <c r="AL293" i="27"/>
  <c r="AL294" i="27"/>
  <c r="AL295" i="27"/>
  <c r="AL296" i="27"/>
  <c r="AM293" i="27"/>
  <c r="AM294" i="27"/>
  <c r="AM295" i="27"/>
  <c r="AM296" i="27"/>
  <c r="AN293" i="27"/>
  <c r="AN294" i="27"/>
  <c r="AN295" i="27"/>
  <c r="AN296" i="27"/>
  <c r="AO293" i="27"/>
  <c r="AO294" i="27"/>
  <c r="AO295" i="27"/>
  <c r="AO296" i="27"/>
  <c r="AP293" i="27"/>
  <c r="AP294" i="27"/>
  <c r="AP295" i="27"/>
  <c r="AP296" i="27"/>
  <c r="AR293" i="27"/>
  <c r="AR294" i="27"/>
  <c r="AR295" i="27"/>
  <c r="AR296" i="27"/>
  <c r="AS293" i="27"/>
  <c r="AS294" i="27"/>
  <c r="AS295" i="27"/>
  <c r="AS296" i="27"/>
  <c r="AT293" i="27"/>
  <c r="AT294" i="27"/>
  <c r="AT295" i="27"/>
  <c r="AT296" i="27"/>
  <c r="AU293" i="27"/>
  <c r="AU294" i="27"/>
  <c r="AU295" i="27"/>
  <c r="AU296" i="27"/>
  <c r="AV293" i="27"/>
  <c r="AV294" i="27"/>
  <c r="AV295" i="27"/>
  <c r="AV296" i="27"/>
  <c r="AX293" i="27"/>
  <c r="AX294" i="27"/>
  <c r="AX295" i="27"/>
  <c r="AX296" i="27"/>
  <c r="AY293" i="27"/>
  <c r="AY294" i="27"/>
  <c r="AY295" i="27"/>
  <c r="AY296" i="27"/>
  <c r="AZ293" i="27"/>
  <c r="AZ294" i="27"/>
  <c r="AZ295" i="27"/>
  <c r="AZ296" i="27"/>
  <c r="BA293" i="27"/>
  <c r="BA294" i="27"/>
  <c r="BA295" i="27"/>
  <c r="BA296" i="27"/>
  <c r="BB293" i="27"/>
  <c r="BB294" i="27"/>
  <c r="BB295" i="27"/>
  <c r="BB296" i="27"/>
  <c r="BC293" i="27"/>
  <c r="BC294" i="27"/>
  <c r="BC295" i="27"/>
  <c r="BC296" i="27"/>
  <c r="BD293" i="27"/>
  <c r="BD294" i="27"/>
  <c r="BD295" i="27"/>
  <c r="BD296" i="27"/>
  <c r="BE293" i="27"/>
  <c r="BE294" i="27"/>
  <c r="BE295" i="27"/>
  <c r="BE296" i="27"/>
  <c r="BF293" i="27"/>
  <c r="BF294" i="27"/>
  <c r="BF295" i="27"/>
  <c r="BF296" i="27"/>
  <c r="BG293" i="27"/>
  <c r="BG294" i="27"/>
  <c r="BG295" i="27"/>
  <c r="BG296" i="27"/>
  <c r="BH293" i="27"/>
  <c r="BH294" i="27"/>
  <c r="BH295" i="27"/>
  <c r="BH296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E213" i="27"/>
  <c r="E214" i="27"/>
  <c r="E215" i="27"/>
  <c r="E216" i="27"/>
  <c r="E217" i="27"/>
  <c r="E218" i="27"/>
  <c r="E219" i="27"/>
  <c r="E220" i="27"/>
  <c r="E221" i="27"/>
  <c r="E222" i="27"/>
  <c r="E223" i="27"/>
  <c r="E224" i="27"/>
  <c r="E225" i="27"/>
  <c r="E226" i="27"/>
  <c r="E227" i="27"/>
  <c r="E228" i="27"/>
  <c r="E229" i="27"/>
  <c r="E230" i="27"/>
  <c r="E231" i="27"/>
  <c r="E232" i="27"/>
  <c r="E233" i="27"/>
  <c r="E234" i="27"/>
  <c r="E235" i="27"/>
  <c r="E236" i="27"/>
  <c r="E237" i="27"/>
  <c r="E238" i="27"/>
  <c r="E239" i="27"/>
  <c r="E240" i="27"/>
  <c r="E241" i="27"/>
  <c r="E242" i="27"/>
  <c r="E243" i="27"/>
  <c r="E244" i="27"/>
  <c r="E245" i="27"/>
  <c r="E246" i="27"/>
  <c r="E247" i="27"/>
  <c r="E248" i="27"/>
  <c r="E249" i="27"/>
  <c r="E250" i="27"/>
  <c r="E251" i="27"/>
  <c r="E252" i="27"/>
  <c r="E253" i="27"/>
  <c r="E254" i="27"/>
  <c r="E255" i="27"/>
  <c r="E256" i="27"/>
  <c r="E257" i="27"/>
  <c r="E258" i="27"/>
  <c r="E259" i="27"/>
  <c r="E260" i="27"/>
  <c r="E261" i="27"/>
  <c r="E262" i="27"/>
  <c r="E263" i="27"/>
  <c r="E264" i="27"/>
  <c r="E265" i="27"/>
  <c r="E266" i="27"/>
  <c r="E267" i="27"/>
  <c r="E268" i="27"/>
  <c r="E269" i="27"/>
  <c r="E270" i="27"/>
  <c r="E271" i="27"/>
  <c r="E272" i="27"/>
  <c r="E273" i="27"/>
  <c r="E274" i="27"/>
  <c r="E275" i="27"/>
  <c r="E276" i="27"/>
  <c r="E277" i="27"/>
  <c r="E17" i="27"/>
  <c r="D17" i="27"/>
  <c r="AH303" i="27" s="1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5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D205" i="27"/>
  <c r="D206" i="27"/>
  <c r="D207" i="27"/>
  <c r="D208" i="27"/>
  <c r="D209" i="27"/>
  <c r="D210" i="27"/>
  <c r="D211" i="27"/>
  <c r="D212" i="27"/>
  <c r="D213" i="27"/>
  <c r="D214" i="27"/>
  <c r="D215" i="27"/>
  <c r="D216" i="27"/>
  <c r="D217" i="27"/>
  <c r="D218" i="27"/>
  <c r="D219" i="27"/>
  <c r="D220" i="27"/>
  <c r="D221" i="27"/>
  <c r="D222" i="27"/>
  <c r="D223" i="27"/>
  <c r="D224" i="27"/>
  <c r="D225" i="27"/>
  <c r="D226" i="27"/>
  <c r="D227" i="27"/>
  <c r="D228" i="27"/>
  <c r="D229" i="27"/>
  <c r="D230" i="27"/>
  <c r="D231" i="27"/>
  <c r="D232" i="27"/>
  <c r="D233" i="27"/>
  <c r="D234" i="27"/>
  <c r="D235" i="27"/>
  <c r="D236" i="27"/>
  <c r="D237" i="27"/>
  <c r="D238" i="27"/>
  <c r="D239" i="27"/>
  <c r="D240" i="27"/>
  <c r="D241" i="27"/>
  <c r="D242" i="27"/>
  <c r="D243" i="27"/>
  <c r="D244" i="27"/>
  <c r="D245" i="27"/>
  <c r="D246" i="27"/>
  <c r="D247" i="27"/>
  <c r="D248" i="27"/>
  <c r="D249" i="27"/>
  <c r="D250" i="27"/>
  <c r="D251" i="27"/>
  <c r="D252" i="27"/>
  <c r="D253" i="27"/>
  <c r="D254" i="27"/>
  <c r="D255" i="27"/>
  <c r="D256" i="27"/>
  <c r="D257" i="27"/>
  <c r="D258" i="27"/>
  <c r="D259" i="27"/>
  <c r="D260" i="27"/>
  <c r="D261" i="27"/>
  <c r="D262" i="27"/>
  <c r="D263" i="27"/>
  <c r="D264" i="27"/>
  <c r="D265" i="27"/>
  <c r="D266" i="27"/>
  <c r="D267" i="27"/>
  <c r="D268" i="27"/>
  <c r="D269" i="27"/>
  <c r="D270" i="27"/>
  <c r="D271" i="27"/>
  <c r="D272" i="27"/>
  <c r="D273" i="27"/>
  <c r="D274" i="27"/>
  <c r="D275" i="27"/>
  <c r="D276" i="27"/>
  <c r="D277" i="27"/>
  <c r="C293" i="27"/>
  <c r="AC293" i="27" s="1"/>
  <c r="C294" i="27"/>
  <c r="Z294" i="27" s="1"/>
  <c r="C295" i="27"/>
  <c r="W295" i="27" s="1"/>
  <c r="C296" i="27"/>
  <c r="AF296" i="27" s="1"/>
  <c r="AO344" i="2"/>
  <c r="AN344" i="2"/>
  <c r="AM344" i="2"/>
  <c r="AB344" i="2"/>
  <c r="AO343" i="2"/>
  <c r="AN343" i="2"/>
  <c r="AM343" i="2"/>
  <c r="AE343" i="2"/>
  <c r="AD343" i="2"/>
  <c r="AB343" i="2"/>
  <c r="AO342" i="2"/>
  <c r="AN342" i="2"/>
  <c r="AM342" i="2"/>
  <c r="AE342" i="2"/>
  <c r="AD342" i="2"/>
  <c r="AB342" i="2"/>
  <c r="AO341" i="2"/>
  <c r="AN341" i="2"/>
  <c r="AM341" i="2"/>
  <c r="AE341" i="2"/>
  <c r="AD341" i="2"/>
  <c r="AB341" i="2"/>
  <c r="AO340" i="2"/>
  <c r="AN340" i="2"/>
  <c r="AM340" i="2"/>
  <c r="AB340" i="2"/>
  <c r="AO339" i="2"/>
  <c r="AN339" i="2"/>
  <c r="AM339" i="2"/>
  <c r="AB339" i="2"/>
  <c r="AO338" i="2"/>
  <c r="AN338" i="2"/>
  <c r="AM338" i="2"/>
  <c r="AB338" i="2"/>
  <c r="N344" i="2"/>
  <c r="H344" i="2"/>
  <c r="F343" i="2"/>
  <c r="F342" i="2"/>
  <c r="F341" i="2"/>
  <c r="D344" i="2"/>
  <c r="E344" i="2" s="1"/>
  <c r="D343" i="2"/>
  <c r="E343" i="2" s="1"/>
  <c r="D342" i="2"/>
  <c r="G342" i="2" s="1"/>
  <c r="D341" i="2"/>
  <c r="E341" i="2" s="1"/>
  <c r="D340" i="2"/>
  <c r="D339" i="2"/>
  <c r="D338" i="2"/>
  <c r="D337" i="2"/>
  <c r="D336" i="2"/>
  <c r="C344" i="2"/>
  <c r="W344" i="2" s="1"/>
  <c r="C343" i="2"/>
  <c r="W343" i="2" s="1"/>
  <c r="C342" i="2"/>
  <c r="W342" i="2" s="1"/>
  <c r="C341" i="2"/>
  <c r="W341" i="2" s="1"/>
  <c r="C340" i="2"/>
  <c r="C339" i="2"/>
  <c r="C338" i="2"/>
  <c r="C337" i="2"/>
  <c r="C336" i="2"/>
  <c r="A115" i="1"/>
  <c r="G115" i="1"/>
  <c r="AD115" i="1" s="1"/>
  <c r="J115" i="1"/>
  <c r="T115" i="1" s="1"/>
  <c r="K115" i="1"/>
  <c r="V115" i="1"/>
  <c r="AB115" i="1" s="1"/>
  <c r="A114" i="1"/>
  <c r="G114" i="1"/>
  <c r="AD114" i="1" s="1"/>
  <c r="J114" i="1"/>
  <c r="AG114" i="1" s="1"/>
  <c r="K114" i="1"/>
  <c r="V114" i="1"/>
  <c r="AB114" i="1" s="1"/>
  <c r="A113" i="1"/>
  <c r="A344" i="2" s="1"/>
  <c r="G113" i="1"/>
  <c r="Q113" i="1" s="1"/>
  <c r="R113" i="1" s="1"/>
  <c r="U113" i="1" s="1"/>
  <c r="J113" i="1"/>
  <c r="AG113" i="1" s="1"/>
  <c r="K113" i="1"/>
  <c r="V113" i="1"/>
  <c r="AB113" i="1" s="1"/>
  <c r="H341" i="2"/>
  <c r="N341" i="2"/>
  <c r="H342" i="2"/>
  <c r="N342" i="2"/>
  <c r="H343" i="2"/>
  <c r="N343" i="2"/>
  <c r="A343" i="2"/>
  <c r="A341" i="2"/>
  <c r="A342" i="2"/>
  <c r="G112" i="1"/>
  <c r="Q112" i="1" s="1"/>
  <c r="R112" i="1" s="1"/>
  <c r="U112" i="1" s="1"/>
  <c r="G111" i="1"/>
  <c r="Q111" i="1" s="1"/>
  <c r="AJ110" i="1"/>
  <c r="AJ109" i="1"/>
  <c r="J112" i="1"/>
  <c r="AG112" i="1" s="1"/>
  <c r="K112" i="1"/>
  <c r="V112" i="1"/>
  <c r="AB112" i="1" s="1"/>
  <c r="G108" i="1"/>
  <c r="Q108" i="1" s="1"/>
  <c r="J108" i="1"/>
  <c r="AG108" i="1" s="1"/>
  <c r="K108" i="1"/>
  <c r="V108" i="1"/>
  <c r="AB108" i="1" s="1"/>
  <c r="N105" i="1"/>
  <c r="N102" i="1"/>
  <c r="J104" i="1"/>
  <c r="J111" i="1"/>
  <c r="AG111" i="1" s="1"/>
  <c r="K111" i="1"/>
  <c r="V111" i="1"/>
  <c r="AB111" i="1" s="1"/>
  <c r="AG110" i="1"/>
  <c r="V110" i="1"/>
  <c r="AB110" i="1" s="1"/>
  <c r="AG109" i="1"/>
  <c r="V109" i="1"/>
  <c r="AB109" i="1" s="1"/>
  <c r="G107" i="1"/>
  <c r="Q107" i="1" s="1"/>
  <c r="R107" i="1" s="1"/>
  <c r="U107" i="1" s="1"/>
  <c r="J107" i="1"/>
  <c r="AG107" i="1" s="1"/>
  <c r="K107" i="1"/>
  <c r="V107" i="1"/>
  <c r="AB107" i="1" s="1"/>
  <c r="G106" i="1"/>
  <c r="Q106" i="1" s="1"/>
  <c r="R106" i="1" s="1"/>
  <c r="U106" i="1" s="1"/>
  <c r="J106" i="1"/>
  <c r="AG106" i="1" s="1"/>
  <c r="K106" i="1"/>
  <c r="V106" i="1"/>
  <c r="AB106" i="1" s="1"/>
  <c r="Q105" i="1"/>
  <c r="R105" i="1" s="1"/>
  <c r="U105" i="1" s="1"/>
  <c r="AG105" i="1"/>
  <c r="V105" i="1"/>
  <c r="AB105" i="1" s="1"/>
  <c r="DX311" i="27" l="1"/>
  <c r="DZ311" i="27" s="1"/>
  <c r="DX313" i="27"/>
  <c r="DZ313" i="27" s="1"/>
  <c r="EA313" i="27" s="1"/>
  <c r="DS311" i="27"/>
  <c r="EA311" i="27" s="1"/>
  <c r="DX309" i="27"/>
  <c r="DZ309" i="27" s="1"/>
  <c r="DP312" i="27" a="1"/>
  <c r="DP312" i="27" s="1"/>
  <c r="DR312" i="27" s="1"/>
  <c r="DU310" i="27" a="1"/>
  <c r="DU310" i="27" s="1"/>
  <c r="DW310" i="27" s="1"/>
  <c r="DV312" i="27"/>
  <c r="DX312" i="27" s="1"/>
  <c r="DZ312" i="27" s="1"/>
  <c r="DQ310" i="27"/>
  <c r="DS310" i="27" s="1"/>
  <c r="DQ309" i="27"/>
  <c r="DS309" i="27" s="1"/>
  <c r="EA309" i="27" s="1"/>
  <c r="BZ312" i="27"/>
  <c r="BN312" i="27"/>
  <c r="BZ310" i="27"/>
  <c r="BN310" i="27"/>
  <c r="CK312" i="27"/>
  <c r="BY312" i="27"/>
  <c r="BM312" i="27"/>
  <c r="CK310" i="27"/>
  <c r="BY310" i="27"/>
  <c r="BM310" i="27"/>
  <c r="CJ312" i="27"/>
  <c r="BX312" i="27"/>
  <c r="BL312" i="27"/>
  <c r="CL312" i="27" s="1"/>
  <c r="CJ310" i="27"/>
  <c r="BX310" i="27"/>
  <c r="BL310" i="27"/>
  <c r="CL310" i="27" s="1"/>
  <c r="BU312" i="27"/>
  <c r="BU310" i="27"/>
  <c r="BZ313" i="27"/>
  <c r="BN313" i="27"/>
  <c r="CF312" i="27"/>
  <c r="BT312" i="27"/>
  <c r="BZ311" i="27"/>
  <c r="BN311" i="27"/>
  <c r="CF310" i="27"/>
  <c r="BT310" i="27"/>
  <c r="CK313" i="27"/>
  <c r="BY313" i="27"/>
  <c r="BM313" i="27"/>
  <c r="CE312" i="27"/>
  <c r="BS312" i="27"/>
  <c r="BM311" i="27"/>
  <c r="CE310" i="27"/>
  <c r="BS310" i="27"/>
  <c r="BV310" i="27"/>
  <c r="CJ313" i="27"/>
  <c r="BX313" i="27"/>
  <c r="BL313" i="27"/>
  <c r="CL313" i="27" s="1"/>
  <c r="CD312" i="27"/>
  <c r="BR312" i="27"/>
  <c r="BX311" i="27"/>
  <c r="BL311" i="27"/>
  <c r="CD310" i="27"/>
  <c r="BR310" i="27"/>
  <c r="BW313" i="27"/>
  <c r="CC312" i="27"/>
  <c r="BQ312" i="27"/>
  <c r="BW311" i="27"/>
  <c r="BK311" i="27"/>
  <c r="CC310" i="27"/>
  <c r="BQ310" i="27"/>
  <c r="CB312" i="27"/>
  <c r="BP312" i="27"/>
  <c r="CB310" i="27"/>
  <c r="BP310" i="27"/>
  <c r="M358" i="2"/>
  <c r="O358" i="2"/>
  <c r="M360" i="2"/>
  <c r="K359" i="2"/>
  <c r="P359" i="2" s="1"/>
  <c r="K358" i="2"/>
  <c r="P358" i="2" s="1"/>
  <c r="M361" i="2"/>
  <c r="Q361" i="2" s="1"/>
  <c r="P360" i="2"/>
  <c r="G359" i="2"/>
  <c r="G362" i="2"/>
  <c r="M359" i="2"/>
  <c r="Q359" i="2" s="1"/>
  <c r="P362" i="2"/>
  <c r="Q362" i="2"/>
  <c r="Q358" i="2"/>
  <c r="O360" i="2"/>
  <c r="Q360" i="2"/>
  <c r="O362" i="2"/>
  <c r="E360" i="2"/>
  <c r="E358" i="2"/>
  <c r="E361" i="2"/>
  <c r="AF172" i="1"/>
  <c r="AJ172" i="1"/>
  <c r="AD172" i="1"/>
  <c r="W172" i="1"/>
  <c r="X172" i="1" s="1"/>
  <c r="AD171" i="1"/>
  <c r="T172" i="1"/>
  <c r="P171" i="1"/>
  <c r="AE171" i="1" s="1"/>
  <c r="AF171" i="1" s="1"/>
  <c r="W171" i="1"/>
  <c r="X171" i="1" s="1"/>
  <c r="T171" i="1"/>
  <c r="R171" i="1"/>
  <c r="U171" i="1" s="1"/>
  <c r="AJ171" i="1"/>
  <c r="Q169" i="1"/>
  <c r="AF169" i="1"/>
  <c r="W169" i="1"/>
  <c r="X169" i="1" s="1"/>
  <c r="W168" i="1"/>
  <c r="X168" i="1" s="1"/>
  <c r="AF168" i="1"/>
  <c r="AD169" i="1"/>
  <c r="AJ168" i="1"/>
  <c r="AD168" i="1"/>
  <c r="AJ170" i="1"/>
  <c r="R169" i="1"/>
  <c r="U169" i="1" s="1"/>
  <c r="L356" i="2"/>
  <c r="W159" i="1"/>
  <c r="X159" i="1" s="1"/>
  <c r="F357" i="2"/>
  <c r="AF161" i="1"/>
  <c r="W142" i="1"/>
  <c r="X142" i="1" s="1"/>
  <c r="N158" i="1"/>
  <c r="O158" i="1" s="1"/>
  <c r="P158" i="1" s="1"/>
  <c r="AE158" i="1" s="1"/>
  <c r="W166" i="1"/>
  <c r="X166" i="1" s="1"/>
  <c r="F355" i="2"/>
  <c r="T168" i="1"/>
  <c r="N167" i="1"/>
  <c r="O167" i="1" s="1"/>
  <c r="P167" i="1" s="1"/>
  <c r="AE167" i="1" s="1"/>
  <c r="Q165" i="1"/>
  <c r="R165" i="1" s="1"/>
  <c r="U165" i="1" s="1"/>
  <c r="AJ165" i="1"/>
  <c r="W165" i="1"/>
  <c r="X165" i="1" s="1"/>
  <c r="AD166" i="1"/>
  <c r="W167" i="1"/>
  <c r="X167" i="1" s="1"/>
  <c r="Q167" i="1"/>
  <c r="R167" i="1" s="1"/>
  <c r="U167" i="1" s="1"/>
  <c r="Q166" i="1"/>
  <c r="R166" i="1" s="1"/>
  <c r="U166" i="1" s="1"/>
  <c r="AJ167" i="1"/>
  <c r="AG167" i="1"/>
  <c r="AG166" i="1"/>
  <c r="T165" i="1"/>
  <c r="AF160" i="1"/>
  <c r="T163" i="1"/>
  <c r="AG162" i="1"/>
  <c r="AJ163" i="1"/>
  <c r="T162" i="1"/>
  <c r="AG164" i="1"/>
  <c r="R164" i="1"/>
  <c r="U164" i="1" s="1"/>
  <c r="AG163" i="1"/>
  <c r="R163" i="1"/>
  <c r="U163" i="1" s="1"/>
  <c r="N164" i="1"/>
  <c r="O164" i="1" s="1"/>
  <c r="P164" i="1" s="1"/>
  <c r="AE164" i="1" s="1"/>
  <c r="AF164" i="1" s="1"/>
  <c r="AF162" i="1"/>
  <c r="T164" i="1"/>
  <c r="U162" i="1"/>
  <c r="AJ162" i="1"/>
  <c r="AD162" i="1"/>
  <c r="AJ160" i="1"/>
  <c r="AJ161" i="1"/>
  <c r="AD160" i="1"/>
  <c r="AD161" i="1"/>
  <c r="W160" i="1"/>
  <c r="X160" i="1" s="1"/>
  <c r="W161" i="1"/>
  <c r="X161" i="1" s="1"/>
  <c r="R160" i="1"/>
  <c r="U160" i="1" s="1"/>
  <c r="R161" i="1"/>
  <c r="U161" i="1" s="1"/>
  <c r="T161" i="1"/>
  <c r="T160" i="1"/>
  <c r="U306" i="27"/>
  <c r="I306" i="27"/>
  <c r="AH308" i="27"/>
  <c r="N156" i="1"/>
  <c r="O156" i="1" s="1"/>
  <c r="P156" i="1" s="1"/>
  <c r="AE156" i="1" s="1"/>
  <c r="N159" i="1"/>
  <c r="O159" i="1" s="1"/>
  <c r="P159" i="1" s="1"/>
  <c r="AE159" i="1" s="1"/>
  <c r="T306" i="27"/>
  <c r="H306" i="27"/>
  <c r="AG142" i="1"/>
  <c r="AJ152" i="1"/>
  <c r="AD152" i="1"/>
  <c r="G357" i="2"/>
  <c r="N157" i="1"/>
  <c r="O157" i="1" s="1"/>
  <c r="P157" i="1" s="1"/>
  <c r="AE157" i="1" s="1"/>
  <c r="AA306" i="27"/>
  <c r="O306" i="27"/>
  <c r="AA305" i="27"/>
  <c r="O305" i="27"/>
  <c r="V307" i="27"/>
  <c r="M308" i="27"/>
  <c r="F356" i="2"/>
  <c r="Z306" i="27"/>
  <c r="N306" i="27"/>
  <c r="Z305" i="27"/>
  <c r="N305" i="27"/>
  <c r="N308" i="27"/>
  <c r="Y306" i="27"/>
  <c r="M306" i="27"/>
  <c r="Y305" i="27"/>
  <c r="M305" i="27"/>
  <c r="V308" i="27"/>
  <c r="X306" i="27"/>
  <c r="W308" i="27"/>
  <c r="AD158" i="1"/>
  <c r="AD159" i="1"/>
  <c r="Y308" i="27"/>
  <c r="AH307" i="27"/>
  <c r="Z308" i="27"/>
  <c r="L308" i="27"/>
  <c r="X308" i="27"/>
  <c r="O308" i="27"/>
  <c r="AA308" i="27"/>
  <c r="K307" i="27"/>
  <c r="W307" i="27"/>
  <c r="D308" i="27"/>
  <c r="P308" i="27"/>
  <c r="AB308" i="27"/>
  <c r="L307" i="27"/>
  <c r="X307" i="27"/>
  <c r="E308" i="27"/>
  <c r="Q308" i="27"/>
  <c r="AC308" i="27"/>
  <c r="M307" i="27"/>
  <c r="Y307" i="27"/>
  <c r="F308" i="27"/>
  <c r="R308" i="27"/>
  <c r="AD308" i="27"/>
  <c r="N307" i="27"/>
  <c r="Z307" i="27"/>
  <c r="G308" i="27"/>
  <c r="S308" i="27"/>
  <c r="AE308" i="27"/>
  <c r="O307" i="27"/>
  <c r="AA307" i="27"/>
  <c r="H308" i="27"/>
  <c r="T308" i="27"/>
  <c r="AF308" i="27"/>
  <c r="D307" i="27"/>
  <c r="P307" i="27"/>
  <c r="I308" i="27"/>
  <c r="E356" i="2"/>
  <c r="Q159" i="1"/>
  <c r="AF159" i="1" s="1"/>
  <c r="W158" i="1"/>
  <c r="X158" i="1" s="1"/>
  <c r="J357" i="2" s="1"/>
  <c r="N150" i="1"/>
  <c r="O150" i="1" s="1"/>
  <c r="P150" i="1" s="1"/>
  <c r="AE150" i="1" s="1"/>
  <c r="AF150" i="1" s="1"/>
  <c r="T159" i="1"/>
  <c r="Q158" i="1"/>
  <c r="R158" i="1" s="1"/>
  <c r="U158" i="1" s="1"/>
  <c r="F352" i="2"/>
  <c r="W156" i="1"/>
  <c r="X156" i="1" s="1"/>
  <c r="T158" i="1"/>
  <c r="Q157" i="1"/>
  <c r="R157" i="1" s="1"/>
  <c r="U157" i="1" s="1"/>
  <c r="Q156" i="1"/>
  <c r="AF156" i="1" s="1"/>
  <c r="AJ156" i="1"/>
  <c r="AJ157" i="1"/>
  <c r="W157" i="1"/>
  <c r="X157" i="1" s="1"/>
  <c r="T157" i="1"/>
  <c r="T156" i="1"/>
  <c r="G355" i="2"/>
  <c r="AE305" i="27"/>
  <c r="AF305" i="27"/>
  <c r="F354" i="2"/>
  <c r="N144" i="1"/>
  <c r="O144" i="1" s="1"/>
  <c r="P144" i="1" s="1"/>
  <c r="AE144" i="1" s="1"/>
  <c r="AD305" i="27"/>
  <c r="G304" i="27"/>
  <c r="AH305" i="27"/>
  <c r="U304" i="27"/>
  <c r="V304" i="27"/>
  <c r="AB306" i="27"/>
  <c r="AC306" i="27"/>
  <c r="AD306" i="27"/>
  <c r="AE306" i="27"/>
  <c r="AB305" i="27"/>
  <c r="AF306" i="27"/>
  <c r="AH306" i="27"/>
  <c r="E354" i="2"/>
  <c r="AJ154" i="1"/>
  <c r="AJ155" i="1"/>
  <c r="N152" i="1"/>
  <c r="O152" i="1" s="1"/>
  <c r="P152" i="1" s="1"/>
  <c r="AE152" i="1" s="1"/>
  <c r="AF152" i="1" s="1"/>
  <c r="N155" i="1"/>
  <c r="O155" i="1" s="1"/>
  <c r="P155" i="1" s="1"/>
  <c r="AE155" i="1" s="1"/>
  <c r="N154" i="1"/>
  <c r="O154" i="1" s="1"/>
  <c r="P154" i="1" s="1"/>
  <c r="AE154" i="1" s="1"/>
  <c r="N149" i="1"/>
  <c r="O149" i="1" s="1"/>
  <c r="P149" i="1" s="1"/>
  <c r="AE149" i="1" s="1"/>
  <c r="AF149" i="1" s="1"/>
  <c r="W152" i="1"/>
  <c r="X152" i="1" s="1"/>
  <c r="W151" i="1"/>
  <c r="X151" i="1" s="1"/>
  <c r="AG155" i="1"/>
  <c r="AG154" i="1"/>
  <c r="T151" i="1"/>
  <c r="N151" i="1"/>
  <c r="O151" i="1" s="1"/>
  <c r="P151" i="1" s="1"/>
  <c r="AE151" i="1" s="1"/>
  <c r="F351" i="2"/>
  <c r="N142" i="1"/>
  <c r="O142" i="1" s="1"/>
  <c r="P142" i="1" s="1"/>
  <c r="AE142" i="1" s="1"/>
  <c r="N141" i="1"/>
  <c r="O141" i="1" s="1"/>
  <c r="P141" i="1" s="1"/>
  <c r="AE141" i="1" s="1"/>
  <c r="N146" i="1"/>
  <c r="O146" i="1" s="1"/>
  <c r="P146" i="1" s="1"/>
  <c r="AE146" i="1" s="1"/>
  <c r="Q151" i="1"/>
  <c r="R151" i="1" s="1"/>
  <c r="U151" i="1" s="1"/>
  <c r="I354" i="2" s="1"/>
  <c r="Q137" i="1"/>
  <c r="R137" i="1" s="1"/>
  <c r="U137" i="1" s="1"/>
  <c r="AJ149" i="1"/>
  <c r="AJ150" i="1"/>
  <c r="AJ151" i="1"/>
  <c r="AD149" i="1"/>
  <c r="AD150" i="1"/>
  <c r="W140" i="1"/>
  <c r="X140" i="1" s="1"/>
  <c r="N145" i="1"/>
  <c r="O145" i="1" s="1"/>
  <c r="P145" i="1" s="1"/>
  <c r="AE145" i="1" s="1"/>
  <c r="W149" i="1"/>
  <c r="X149" i="1" s="1"/>
  <c r="T155" i="1"/>
  <c r="W150" i="1"/>
  <c r="X150" i="1" s="1"/>
  <c r="T154" i="1"/>
  <c r="Q155" i="1"/>
  <c r="Q154" i="1"/>
  <c r="R154" i="1" s="1"/>
  <c r="U154" i="1" s="1"/>
  <c r="N153" i="1"/>
  <c r="O153" i="1" s="1"/>
  <c r="P153" i="1" s="1"/>
  <c r="AE153" i="1" s="1"/>
  <c r="AF153" i="1" s="1"/>
  <c r="AD153" i="1"/>
  <c r="L355" i="2" s="1"/>
  <c r="W153" i="1"/>
  <c r="X153" i="1" s="1"/>
  <c r="J355" i="2" s="1"/>
  <c r="T153" i="1"/>
  <c r="R153" i="1"/>
  <c r="U153" i="1" s="1"/>
  <c r="AJ153" i="1"/>
  <c r="AG152" i="1"/>
  <c r="T150" i="1"/>
  <c r="T149" i="1"/>
  <c r="AG144" i="1"/>
  <c r="AG147" i="1"/>
  <c r="F353" i="2"/>
  <c r="I304" i="27"/>
  <c r="J304" i="27"/>
  <c r="W144" i="1"/>
  <c r="X144" i="1" s="1"/>
  <c r="K304" i="27"/>
  <c r="AD350" i="2"/>
  <c r="L304" i="27"/>
  <c r="N140" i="1"/>
  <c r="O140" i="1" s="1"/>
  <c r="P140" i="1" s="1"/>
  <c r="AE140" i="1" s="1"/>
  <c r="W141" i="1"/>
  <c r="X141" i="1" s="1"/>
  <c r="M304" i="27"/>
  <c r="N139" i="1"/>
  <c r="O139" i="1" s="1"/>
  <c r="P139" i="1" s="1"/>
  <c r="AE139" i="1" s="1"/>
  <c r="N147" i="1"/>
  <c r="O147" i="1" s="1"/>
  <c r="P147" i="1" s="1"/>
  <c r="AE147" i="1" s="1"/>
  <c r="AF147" i="1" s="1"/>
  <c r="N304" i="27"/>
  <c r="S304" i="27"/>
  <c r="AE345" i="2"/>
  <c r="AE348" i="2"/>
  <c r="T141" i="1"/>
  <c r="W304" i="27"/>
  <c r="F24" i="25"/>
  <c r="AH304" i="27"/>
  <c r="X304" i="27"/>
  <c r="Y304" i="27"/>
  <c r="Z304" i="27"/>
  <c r="O304" i="27"/>
  <c r="AA304" i="27"/>
  <c r="D304" i="27"/>
  <c r="P304" i="27"/>
  <c r="AB304" i="27"/>
  <c r="E304" i="27"/>
  <c r="Q304" i="27"/>
  <c r="AC304" i="27"/>
  <c r="F304" i="27"/>
  <c r="R304" i="27"/>
  <c r="AD304" i="27"/>
  <c r="AE304" i="27"/>
  <c r="H304" i="27"/>
  <c r="T304" i="27"/>
  <c r="G353" i="2"/>
  <c r="AF145" i="1"/>
  <c r="T148" i="1"/>
  <c r="N148" i="1"/>
  <c r="O148" i="1" s="1"/>
  <c r="P148" i="1" s="1"/>
  <c r="AE148" i="1" s="1"/>
  <c r="AF148" i="1" s="1"/>
  <c r="AG146" i="1"/>
  <c r="AJ145" i="1"/>
  <c r="AJ147" i="1"/>
  <c r="T147" i="1"/>
  <c r="AD145" i="1"/>
  <c r="T146" i="1"/>
  <c r="W145" i="1"/>
  <c r="X145" i="1" s="1"/>
  <c r="J353" i="2" s="1"/>
  <c r="AG148" i="1"/>
  <c r="Q146" i="1"/>
  <c r="AD146" i="1" s="1"/>
  <c r="R145" i="1"/>
  <c r="U145" i="1" s="1"/>
  <c r="AD147" i="1"/>
  <c r="R148" i="1"/>
  <c r="U148" i="1" s="1"/>
  <c r="R147" i="1"/>
  <c r="U147" i="1" s="1"/>
  <c r="AJ148" i="1"/>
  <c r="AD148" i="1"/>
  <c r="T145" i="1"/>
  <c r="K303" i="27"/>
  <c r="W303" i="27"/>
  <c r="AD143" i="1"/>
  <c r="G352" i="2"/>
  <c r="AE350" i="2"/>
  <c r="L303" i="27"/>
  <c r="X303" i="27"/>
  <c r="AD348" i="2"/>
  <c r="M303" i="27"/>
  <c r="Y303" i="27"/>
  <c r="O303" i="27"/>
  <c r="AA303" i="27"/>
  <c r="N303" i="27"/>
  <c r="AD351" i="2"/>
  <c r="D303" i="27"/>
  <c r="P303" i="27"/>
  <c r="AB303" i="27"/>
  <c r="H302" i="27"/>
  <c r="AE351" i="2"/>
  <c r="E303" i="27"/>
  <c r="Q303" i="27"/>
  <c r="AC303" i="27"/>
  <c r="Z303" i="27"/>
  <c r="J302" i="27"/>
  <c r="AD349" i="2"/>
  <c r="F303" i="27"/>
  <c r="R303" i="27"/>
  <c r="AD303" i="27"/>
  <c r="AH302" i="27"/>
  <c r="AE349" i="2"/>
  <c r="G303" i="27"/>
  <c r="S303" i="27"/>
  <c r="AE303" i="27"/>
  <c r="AD347" i="2"/>
  <c r="H303" i="27"/>
  <c r="T303" i="27"/>
  <c r="AF303" i="27"/>
  <c r="AE347" i="2"/>
  <c r="AD352" i="2"/>
  <c r="I303" i="27"/>
  <c r="U303" i="27"/>
  <c r="AD345" i="2"/>
  <c r="AE352" i="2"/>
  <c r="J303" i="27"/>
  <c r="Q144" i="1"/>
  <c r="AF144" i="1" s="1"/>
  <c r="W143" i="1"/>
  <c r="X143" i="1" s="1"/>
  <c r="AJ143" i="1"/>
  <c r="AG143" i="1"/>
  <c r="AJ141" i="1"/>
  <c r="AF141" i="1"/>
  <c r="AD141" i="1"/>
  <c r="AF142" i="1"/>
  <c r="AD142" i="1"/>
  <c r="T139" i="1"/>
  <c r="Q140" i="1"/>
  <c r="R140" i="1" s="1"/>
  <c r="U140" i="1" s="1"/>
  <c r="Q139" i="1"/>
  <c r="R139" i="1" s="1"/>
  <c r="U139" i="1" s="1"/>
  <c r="AJ140" i="1"/>
  <c r="AJ142" i="1"/>
  <c r="AJ139" i="1"/>
  <c r="W139" i="1"/>
  <c r="X139" i="1" s="1"/>
  <c r="AF143" i="1"/>
  <c r="G351" i="2"/>
  <c r="AG140" i="1"/>
  <c r="I302" i="27"/>
  <c r="K302" i="27"/>
  <c r="L302" i="27"/>
  <c r="U302" i="27"/>
  <c r="V302" i="27"/>
  <c r="W302" i="27"/>
  <c r="X302" i="27"/>
  <c r="O302" i="27"/>
  <c r="Y302" i="27"/>
  <c r="M302" i="27"/>
  <c r="Z302" i="27"/>
  <c r="N302" i="27"/>
  <c r="AA302" i="27"/>
  <c r="P302" i="27"/>
  <c r="AB302" i="27"/>
  <c r="D302" i="27"/>
  <c r="Q302" i="27"/>
  <c r="AC302" i="27"/>
  <c r="E302" i="27"/>
  <c r="R302" i="27"/>
  <c r="AD302" i="27"/>
  <c r="F302" i="27"/>
  <c r="S302" i="27"/>
  <c r="AE302" i="27"/>
  <c r="G302" i="27"/>
  <c r="T302" i="27"/>
  <c r="AJ125" i="1"/>
  <c r="AJ136" i="1"/>
  <c r="W136" i="1"/>
  <c r="X136" i="1" s="1"/>
  <c r="AJ124" i="1"/>
  <c r="N137" i="1"/>
  <c r="O137" i="1" s="1"/>
  <c r="P137" i="1" s="1"/>
  <c r="AE137" i="1" s="1"/>
  <c r="AF137" i="1" s="1"/>
  <c r="N132" i="1"/>
  <c r="O132" i="1" s="1"/>
  <c r="P132" i="1" s="1"/>
  <c r="AE132" i="1" s="1"/>
  <c r="AF132" i="1" s="1"/>
  <c r="AJ137" i="1"/>
  <c r="N136" i="1"/>
  <c r="O136" i="1" s="1"/>
  <c r="P136" i="1" s="1"/>
  <c r="AE136" i="1" s="1"/>
  <c r="AF136" i="1" s="1"/>
  <c r="W128" i="1"/>
  <c r="X128" i="1" s="1"/>
  <c r="AD136" i="1"/>
  <c r="AD124" i="1"/>
  <c r="N135" i="1"/>
  <c r="O135" i="1" s="1"/>
  <c r="P135" i="1" s="1"/>
  <c r="AE135" i="1" s="1"/>
  <c r="AF135" i="1" s="1"/>
  <c r="T136" i="1"/>
  <c r="AJ132" i="1"/>
  <c r="W132" i="1"/>
  <c r="X132" i="1" s="1"/>
  <c r="AJ133" i="1"/>
  <c r="AD132" i="1"/>
  <c r="AJ135" i="1"/>
  <c r="AD135" i="1"/>
  <c r="R132" i="1"/>
  <c r="U132" i="1" s="1"/>
  <c r="W137" i="1"/>
  <c r="X137" i="1" s="1"/>
  <c r="N138" i="1"/>
  <c r="O138" i="1" s="1"/>
  <c r="P138" i="1" s="1"/>
  <c r="AE138" i="1" s="1"/>
  <c r="AJ134" i="1"/>
  <c r="T137" i="1"/>
  <c r="N129" i="1"/>
  <c r="O129" i="1" s="1"/>
  <c r="P129" i="1" s="1"/>
  <c r="AE129" i="1" s="1"/>
  <c r="AG134" i="1"/>
  <c r="W138" i="1"/>
  <c r="X138" i="1" s="1"/>
  <c r="Q138" i="1"/>
  <c r="T132" i="1"/>
  <c r="AD134" i="1"/>
  <c r="AG138" i="1"/>
  <c r="W133" i="1"/>
  <c r="X133" i="1" s="1"/>
  <c r="W134" i="1"/>
  <c r="X134" i="1" s="1"/>
  <c r="W135" i="1"/>
  <c r="X135" i="1" s="1"/>
  <c r="Q133" i="1"/>
  <c r="R133" i="1" s="1"/>
  <c r="U133" i="1" s="1"/>
  <c r="AD138" i="1"/>
  <c r="N133" i="1"/>
  <c r="O133" i="1" s="1"/>
  <c r="P133" i="1" s="1"/>
  <c r="AE133" i="1" s="1"/>
  <c r="R134" i="1"/>
  <c r="U134" i="1" s="1"/>
  <c r="N134" i="1"/>
  <c r="O134" i="1" s="1"/>
  <c r="P134" i="1" s="1"/>
  <c r="AE134" i="1" s="1"/>
  <c r="AF134" i="1" s="1"/>
  <c r="T135" i="1"/>
  <c r="N124" i="1"/>
  <c r="O124" i="1" s="1"/>
  <c r="P124" i="1" s="1"/>
  <c r="AE124" i="1" s="1"/>
  <c r="AF124" i="1" s="1"/>
  <c r="F349" i="2"/>
  <c r="N122" i="1"/>
  <c r="O122" i="1" s="1"/>
  <c r="P122" i="1" s="1"/>
  <c r="AE122" i="1" s="1"/>
  <c r="AF122" i="1" s="1"/>
  <c r="N123" i="1"/>
  <c r="O123" i="1" s="1"/>
  <c r="P123" i="1" s="1"/>
  <c r="AE123" i="1" s="1"/>
  <c r="F350" i="2"/>
  <c r="AG133" i="1"/>
  <c r="N127" i="1"/>
  <c r="O127" i="1" s="1"/>
  <c r="P127" i="1" s="1"/>
  <c r="AE127" i="1" s="1"/>
  <c r="AF127" i="1" s="1"/>
  <c r="F348" i="2"/>
  <c r="N126" i="1"/>
  <c r="O126" i="1" s="1"/>
  <c r="P126" i="1" s="1"/>
  <c r="AE126" i="1" s="1"/>
  <c r="AJ127" i="1"/>
  <c r="N128" i="1"/>
  <c r="O128" i="1" s="1"/>
  <c r="P128" i="1" s="1"/>
  <c r="AE128" i="1" s="1"/>
  <c r="AF128" i="1" s="1"/>
  <c r="AF299" i="27"/>
  <c r="G299" i="27"/>
  <c r="H299" i="27"/>
  <c r="I299" i="27"/>
  <c r="K299" i="27"/>
  <c r="S299" i="27"/>
  <c r="U299" i="27"/>
  <c r="V299" i="27"/>
  <c r="AE299" i="27"/>
  <c r="I301" i="27"/>
  <c r="F299" i="27"/>
  <c r="J301" i="27"/>
  <c r="D300" i="27"/>
  <c r="K301" i="27"/>
  <c r="M300" i="27"/>
  <c r="L301" i="27"/>
  <c r="N300" i="27"/>
  <c r="V301" i="27"/>
  <c r="J299" i="27"/>
  <c r="P300" i="27"/>
  <c r="W301" i="27"/>
  <c r="Q300" i="27"/>
  <c r="X301" i="27"/>
  <c r="Z300" i="27"/>
  <c r="Y301" i="27"/>
  <c r="T299" i="27"/>
  <c r="AB300" i="27"/>
  <c r="AC300" i="27"/>
  <c r="M301" i="27"/>
  <c r="Z301" i="27"/>
  <c r="N301" i="27"/>
  <c r="AA301" i="27"/>
  <c r="P301" i="27"/>
  <c r="AB301" i="27"/>
  <c r="D301" i="27"/>
  <c r="Q301" i="27"/>
  <c r="AC301" i="27"/>
  <c r="E301" i="27"/>
  <c r="R301" i="27"/>
  <c r="AD301" i="27"/>
  <c r="F301" i="27"/>
  <c r="S301" i="27"/>
  <c r="AE301" i="27"/>
  <c r="G301" i="27"/>
  <c r="T301" i="27"/>
  <c r="AF301" i="27"/>
  <c r="H301" i="27"/>
  <c r="E350" i="2"/>
  <c r="AF129" i="1"/>
  <c r="W131" i="1"/>
  <c r="X131" i="1" s="1"/>
  <c r="N131" i="1"/>
  <c r="O131" i="1" s="1"/>
  <c r="P131" i="1" s="1"/>
  <c r="AE131" i="1" s="1"/>
  <c r="W130" i="1"/>
  <c r="X130" i="1" s="1"/>
  <c r="N130" i="1"/>
  <c r="O130" i="1" s="1"/>
  <c r="P130" i="1" s="1"/>
  <c r="AE130" i="1" s="1"/>
  <c r="T130" i="1"/>
  <c r="AJ131" i="1"/>
  <c r="AJ130" i="1"/>
  <c r="Q131" i="1"/>
  <c r="AJ129" i="1"/>
  <c r="Q130" i="1"/>
  <c r="R130" i="1" s="1"/>
  <c r="U130" i="1" s="1"/>
  <c r="AD129" i="1"/>
  <c r="L350" i="2" s="1"/>
  <c r="W129" i="1"/>
  <c r="X129" i="1" s="1"/>
  <c r="AG131" i="1"/>
  <c r="T129" i="1"/>
  <c r="AA300" i="27"/>
  <c r="W299" i="27"/>
  <c r="E300" i="27"/>
  <c r="R300" i="27"/>
  <c r="AD300" i="27"/>
  <c r="X299" i="27"/>
  <c r="F300" i="27"/>
  <c r="S300" i="27"/>
  <c r="AE300" i="27"/>
  <c r="L299" i="27"/>
  <c r="Y299" i="27"/>
  <c r="G300" i="27"/>
  <c r="T300" i="27"/>
  <c r="AF300" i="27"/>
  <c r="M299" i="27"/>
  <c r="Z299" i="27"/>
  <c r="H300" i="27"/>
  <c r="U300" i="27"/>
  <c r="N299" i="27"/>
  <c r="AA299" i="27"/>
  <c r="I300" i="27"/>
  <c r="V300" i="27"/>
  <c r="L295" i="27"/>
  <c r="P299" i="27"/>
  <c r="AB299" i="27"/>
  <c r="J300" i="27"/>
  <c r="W300" i="27"/>
  <c r="D294" i="27"/>
  <c r="D299" i="27"/>
  <c r="Q299" i="27"/>
  <c r="AC299" i="27"/>
  <c r="K300" i="27"/>
  <c r="X300" i="27"/>
  <c r="E299" i="27"/>
  <c r="R299" i="27"/>
  <c r="L300" i="27"/>
  <c r="G349" i="2"/>
  <c r="E348" i="2"/>
  <c r="AJ128" i="1"/>
  <c r="T127" i="1"/>
  <c r="R127" i="1"/>
  <c r="U127" i="1" s="1"/>
  <c r="W127" i="1"/>
  <c r="X127" i="1" s="1"/>
  <c r="W126" i="1"/>
  <c r="X126" i="1" s="1"/>
  <c r="Q126" i="1"/>
  <c r="R126" i="1" s="1"/>
  <c r="U126" i="1" s="1"/>
  <c r="AD128" i="1"/>
  <c r="AD127" i="1"/>
  <c r="AJ126" i="1"/>
  <c r="L347" i="2"/>
  <c r="AG123" i="1"/>
  <c r="T128" i="1"/>
  <c r="N125" i="1"/>
  <c r="O125" i="1" s="1"/>
  <c r="P125" i="1" s="1"/>
  <c r="AE125" i="1" s="1"/>
  <c r="AF125" i="1" s="1"/>
  <c r="T126" i="1"/>
  <c r="AG124" i="1"/>
  <c r="AG125" i="1"/>
  <c r="AD125" i="1"/>
  <c r="W123" i="1"/>
  <c r="X123" i="1" s="1"/>
  <c r="AJ123" i="1"/>
  <c r="Q123" i="1"/>
  <c r="R123" i="1" s="1"/>
  <c r="U123" i="1" s="1"/>
  <c r="I348" i="2" s="1"/>
  <c r="W125" i="1"/>
  <c r="X125" i="1" s="1"/>
  <c r="W124" i="1"/>
  <c r="X124" i="1" s="1"/>
  <c r="AJ122" i="1"/>
  <c r="AD122" i="1"/>
  <c r="W122" i="1"/>
  <c r="X122" i="1" s="1"/>
  <c r="T122" i="1"/>
  <c r="K346" i="2"/>
  <c r="P346" i="2" s="1"/>
  <c r="X346" i="2"/>
  <c r="U346" i="2"/>
  <c r="W346" i="2" s="1"/>
  <c r="W347" i="2"/>
  <c r="L298" i="27"/>
  <c r="Y298" i="27"/>
  <c r="F347" i="2"/>
  <c r="M298" i="27"/>
  <c r="Z298" i="27"/>
  <c r="N298" i="27"/>
  <c r="AA298" i="27"/>
  <c r="P298" i="27"/>
  <c r="AB298" i="27"/>
  <c r="D298" i="27"/>
  <c r="Q298" i="27"/>
  <c r="AC298" i="27"/>
  <c r="E298" i="27"/>
  <c r="R298" i="27"/>
  <c r="AD298" i="27"/>
  <c r="N120" i="1"/>
  <c r="O120" i="1" s="1"/>
  <c r="P120" i="1" s="1"/>
  <c r="AE120" i="1" s="1"/>
  <c r="F298" i="27"/>
  <c r="S298" i="27"/>
  <c r="AE298" i="27"/>
  <c r="G298" i="27"/>
  <c r="T298" i="27"/>
  <c r="AF298" i="27"/>
  <c r="M346" i="2"/>
  <c r="Q346" i="2" s="1"/>
  <c r="H298" i="27"/>
  <c r="U298" i="27"/>
  <c r="I298" i="27"/>
  <c r="V298" i="27"/>
  <c r="J298" i="27"/>
  <c r="W298" i="27"/>
  <c r="K298" i="27"/>
  <c r="G347" i="2"/>
  <c r="E346" i="2"/>
  <c r="T118" i="1"/>
  <c r="N119" i="1"/>
  <c r="O119" i="1" s="1"/>
  <c r="P119" i="1" s="1"/>
  <c r="AE119" i="1" s="1"/>
  <c r="N121" i="1"/>
  <c r="O121" i="1" s="1"/>
  <c r="P121" i="1" s="1"/>
  <c r="AE121" i="1" s="1"/>
  <c r="Q119" i="1"/>
  <c r="R119" i="1" s="1"/>
  <c r="U119" i="1" s="1"/>
  <c r="W121" i="1"/>
  <c r="X121" i="1" s="1"/>
  <c r="W120" i="1"/>
  <c r="X120" i="1" s="1"/>
  <c r="Q121" i="1"/>
  <c r="AJ121" i="1"/>
  <c r="Q120" i="1"/>
  <c r="R120" i="1" s="1"/>
  <c r="U120" i="1" s="1"/>
  <c r="AJ120" i="1"/>
  <c r="AJ119" i="1"/>
  <c r="W119" i="1"/>
  <c r="X119" i="1" s="1"/>
  <c r="AG121" i="1"/>
  <c r="AG120" i="1"/>
  <c r="E345" i="2"/>
  <c r="T119" i="1"/>
  <c r="F345" i="2"/>
  <c r="P297" i="27"/>
  <c r="AB297" i="27"/>
  <c r="D297" i="27"/>
  <c r="Q297" i="27"/>
  <c r="AC297" i="27"/>
  <c r="W294" i="27"/>
  <c r="E297" i="27"/>
  <c r="R297" i="27"/>
  <c r="AD297" i="27"/>
  <c r="R294" i="27"/>
  <c r="AC294" i="27"/>
  <c r="AD294" i="27"/>
  <c r="AE294" i="27"/>
  <c r="F297" i="27"/>
  <c r="S297" i="27"/>
  <c r="AE297" i="27"/>
  <c r="AF294" i="27"/>
  <c r="G297" i="27"/>
  <c r="T297" i="27"/>
  <c r="AF297" i="27"/>
  <c r="H297" i="27"/>
  <c r="U297" i="27"/>
  <c r="I297" i="27"/>
  <c r="V297" i="27"/>
  <c r="J297" i="27"/>
  <c r="W297" i="27"/>
  <c r="K297" i="27"/>
  <c r="X297" i="27"/>
  <c r="L297" i="27"/>
  <c r="Y297" i="27"/>
  <c r="N117" i="1"/>
  <c r="O117" i="1" s="1"/>
  <c r="P117" i="1" s="1"/>
  <c r="AE117" i="1" s="1"/>
  <c r="AF117" i="1" s="1"/>
  <c r="M297" i="27"/>
  <c r="Z297" i="27"/>
  <c r="N297" i="27"/>
  <c r="AD116" i="1"/>
  <c r="AJ117" i="1"/>
  <c r="AD117" i="1"/>
  <c r="W117" i="1"/>
  <c r="X117" i="1" s="1"/>
  <c r="G344" i="2"/>
  <c r="T117" i="1"/>
  <c r="N116" i="1"/>
  <c r="O116" i="1" s="1"/>
  <c r="P116" i="1" s="1"/>
  <c r="AE116" i="1" s="1"/>
  <c r="AF116" i="1" s="1"/>
  <c r="W116" i="1"/>
  <c r="X116" i="1" s="1"/>
  <c r="T116" i="1"/>
  <c r="R116" i="1"/>
  <c r="U116" i="1" s="1"/>
  <c r="I345" i="2" s="1"/>
  <c r="AJ116" i="1"/>
  <c r="G293" i="27"/>
  <c r="D293" i="27"/>
  <c r="I293" i="27"/>
  <c r="AE344" i="2"/>
  <c r="Y293" i="27"/>
  <c r="Z293" i="27"/>
  <c r="N295" i="27"/>
  <c r="S295" i="27"/>
  <c r="AD344" i="2"/>
  <c r="W293" i="27"/>
  <c r="I294" i="27"/>
  <c r="X295" i="27"/>
  <c r="E293" i="27"/>
  <c r="H293" i="27"/>
  <c r="Q294" i="27"/>
  <c r="Y295" i="27"/>
  <c r="Z295" i="27"/>
  <c r="F344" i="2"/>
  <c r="S294" i="27"/>
  <c r="AA295" i="27"/>
  <c r="E294" i="27"/>
  <c r="F25" i="25"/>
  <c r="V293" i="27"/>
  <c r="T294" i="27"/>
  <c r="T295" i="27"/>
  <c r="AB295" i="27"/>
  <c r="J294" i="27"/>
  <c r="F295" i="27"/>
  <c r="AC295" i="27"/>
  <c r="N294" i="27"/>
  <c r="G295" i="27"/>
  <c r="AF295" i="27"/>
  <c r="F293" i="27"/>
  <c r="P294" i="27"/>
  <c r="K295" i="27"/>
  <c r="D295" i="27"/>
  <c r="E296" i="27"/>
  <c r="E295" i="27"/>
  <c r="J293" i="27"/>
  <c r="AD293" i="27"/>
  <c r="K293" i="27"/>
  <c r="AE293" i="27"/>
  <c r="L293" i="27"/>
  <c r="AF293" i="27"/>
  <c r="V294" i="27"/>
  <c r="M295" i="27"/>
  <c r="AE295" i="27"/>
  <c r="R293" i="27"/>
  <c r="F294" i="27"/>
  <c r="AA294" i="27"/>
  <c r="P295" i="27"/>
  <c r="H296" i="27"/>
  <c r="M293" i="27"/>
  <c r="S293" i="27"/>
  <c r="G294" i="27"/>
  <c r="AB294" i="27"/>
  <c r="Q295" i="27"/>
  <c r="I296" i="27"/>
  <c r="T293" i="27"/>
  <c r="U296" i="27"/>
  <c r="U293" i="27"/>
  <c r="V296" i="27"/>
  <c r="D296" i="27"/>
  <c r="J296" i="27"/>
  <c r="W296" i="27"/>
  <c r="K296" i="27"/>
  <c r="X296" i="27"/>
  <c r="L296" i="27"/>
  <c r="Y296" i="27"/>
  <c r="M296" i="27"/>
  <c r="Z296" i="27"/>
  <c r="X293" i="27"/>
  <c r="H294" i="27"/>
  <c r="U294" i="27"/>
  <c r="R295" i="27"/>
  <c r="AD295" i="27"/>
  <c r="N296" i="27"/>
  <c r="AA296" i="27"/>
  <c r="P296" i="27"/>
  <c r="AB296" i="27"/>
  <c r="AC296" i="27"/>
  <c r="N293" i="27"/>
  <c r="AA293" i="27"/>
  <c r="K294" i="27"/>
  <c r="X294" i="27"/>
  <c r="H295" i="27"/>
  <c r="U295" i="27"/>
  <c r="R296" i="27"/>
  <c r="AD296" i="27"/>
  <c r="Q296" i="27"/>
  <c r="P293" i="27"/>
  <c r="AB293" i="27"/>
  <c r="L294" i="27"/>
  <c r="Y294" i="27"/>
  <c r="I295" i="27"/>
  <c r="V295" i="27"/>
  <c r="F296" i="27"/>
  <c r="S296" i="27"/>
  <c r="AE296" i="27"/>
  <c r="Q293" i="27"/>
  <c r="M294" i="27"/>
  <c r="J295" i="27"/>
  <c r="G296" i="27"/>
  <c r="T296" i="27"/>
  <c r="Q114" i="1"/>
  <c r="R114" i="1" s="1"/>
  <c r="U114" i="1" s="1"/>
  <c r="W114" i="1"/>
  <c r="X114" i="1" s="1"/>
  <c r="N114" i="1"/>
  <c r="O114" i="1" s="1"/>
  <c r="P114" i="1" s="1"/>
  <c r="AE114" i="1" s="1"/>
  <c r="W113" i="1"/>
  <c r="X113" i="1" s="1"/>
  <c r="N112" i="1"/>
  <c r="O112" i="1" s="1"/>
  <c r="P112" i="1" s="1"/>
  <c r="AE112" i="1" s="1"/>
  <c r="AF112" i="1" s="1"/>
  <c r="N113" i="1"/>
  <c r="O113" i="1" s="1"/>
  <c r="P113" i="1" s="1"/>
  <c r="AJ113" i="1"/>
  <c r="AD113" i="1"/>
  <c r="L344" i="2" s="1"/>
  <c r="N115" i="1"/>
  <c r="O115" i="1" s="1"/>
  <c r="P115" i="1" s="1"/>
  <c r="AE115" i="1" s="1"/>
  <c r="W115" i="1"/>
  <c r="X115" i="1" s="1"/>
  <c r="Q115" i="1"/>
  <c r="AJ115" i="1"/>
  <c r="AJ114" i="1"/>
  <c r="AG115" i="1"/>
  <c r="T114" i="1"/>
  <c r="T113" i="1"/>
  <c r="E342" i="2"/>
  <c r="T106" i="1" a="1"/>
  <c r="T106" i="1" s="1"/>
  <c r="G343" i="2"/>
  <c r="G341" i="2"/>
  <c r="W112" i="1"/>
  <c r="X112" i="1" s="1"/>
  <c r="AJ112" i="1"/>
  <c r="AD112" i="1"/>
  <c r="T112" i="1"/>
  <c r="N108" i="1"/>
  <c r="O108" i="1" s="1"/>
  <c r="P108" i="1" s="1"/>
  <c r="AE108" i="1" s="1"/>
  <c r="AF108" i="1" s="1"/>
  <c r="N109" i="1"/>
  <c r="O109" i="1" s="1"/>
  <c r="P109" i="1" s="1"/>
  <c r="AE109" i="1" s="1"/>
  <c r="AJ108" i="1"/>
  <c r="AD108" i="1"/>
  <c r="W108" i="1"/>
  <c r="X108" i="1" s="1"/>
  <c r="R108" i="1"/>
  <c r="U108" i="1" s="1"/>
  <c r="I342" i="2" s="1"/>
  <c r="AC342" i="2" s="1"/>
  <c r="N106" i="1"/>
  <c r="O106" i="1" s="1"/>
  <c r="P106" i="1" s="1"/>
  <c r="AE106" i="1" s="1"/>
  <c r="AF106" i="1" s="1"/>
  <c r="N110" i="1"/>
  <c r="O110" i="1" s="1"/>
  <c r="P110" i="1" s="1"/>
  <c r="AE110" i="1" s="1"/>
  <c r="T108" i="1"/>
  <c r="AD109" i="1"/>
  <c r="AJ106" i="1"/>
  <c r="W106" i="1"/>
  <c r="X106" i="1" s="1"/>
  <c r="Q109" i="1"/>
  <c r="R109" i="1" s="1"/>
  <c r="U109" i="1" s="1"/>
  <c r="N111" i="1"/>
  <c r="O111" i="1" s="1"/>
  <c r="P111" i="1" s="1"/>
  <c r="AE111" i="1" s="1"/>
  <c r="AF111" i="1" s="1"/>
  <c r="AJ105" i="1"/>
  <c r="AD105" i="1"/>
  <c r="AD110" i="1"/>
  <c r="W105" i="1"/>
  <c r="X105" i="1" s="1"/>
  <c r="AD107" i="1"/>
  <c r="O105" i="1"/>
  <c r="AJ107" i="1"/>
  <c r="W109" i="1"/>
  <c r="X109" i="1" s="1"/>
  <c r="Q110" i="1"/>
  <c r="R110" i="1" s="1"/>
  <c r="U110" i="1" s="1"/>
  <c r="AD106" i="1"/>
  <c r="W107" i="1"/>
  <c r="X107" i="1" s="1"/>
  <c r="AJ111" i="1"/>
  <c r="N107" i="1"/>
  <c r="O107" i="1" s="1"/>
  <c r="P107" i="1" s="1"/>
  <c r="AE107" i="1" s="1"/>
  <c r="AF107" i="1" s="1"/>
  <c r="AD111" i="1"/>
  <c r="W111" i="1"/>
  <c r="X111" i="1" s="1"/>
  <c r="R111" i="1"/>
  <c r="U111" i="1" s="1"/>
  <c r="W110" i="1"/>
  <c r="X110" i="1" s="1"/>
  <c r="T111" i="1"/>
  <c r="T110" i="1"/>
  <c r="T109" i="1"/>
  <c r="T107" i="1"/>
  <c r="T105" i="1"/>
  <c r="DS312" i="27" l="1"/>
  <c r="EA312" i="27" s="1"/>
  <c r="DX310" i="27"/>
  <c r="DZ310" i="27" s="1"/>
  <c r="EA310" i="27" s="1"/>
  <c r="CL311" i="27"/>
  <c r="O361" i="2"/>
  <c r="O359" i="2"/>
  <c r="L357" i="2"/>
  <c r="AF167" i="1"/>
  <c r="AF165" i="1"/>
  <c r="AF166" i="1"/>
  <c r="AF163" i="1"/>
  <c r="J356" i="2"/>
  <c r="BI307" i="27"/>
  <c r="CC307" i="27" s="1"/>
  <c r="BI308" i="27"/>
  <c r="CE308" i="27" s="1"/>
  <c r="BJ308" i="27"/>
  <c r="BQ308" i="27" s="1"/>
  <c r="BJ307" i="27"/>
  <c r="BT307" i="27" s="1"/>
  <c r="R159" i="1"/>
  <c r="U159" i="1" s="1"/>
  <c r="I357" i="2" s="1"/>
  <c r="K357" i="2" s="1"/>
  <c r="P357" i="2" s="1"/>
  <c r="L354" i="2"/>
  <c r="AF158" i="1"/>
  <c r="AF157" i="1"/>
  <c r="R156" i="1"/>
  <c r="U156" i="1" s="1"/>
  <c r="I356" i="2" s="1"/>
  <c r="BJ305" i="27"/>
  <c r="BY305" i="27" s="1"/>
  <c r="BI305" i="27"/>
  <c r="CB305" i="27" s="1"/>
  <c r="J354" i="2"/>
  <c r="K354" i="2" s="1"/>
  <c r="P354" i="2" s="1"/>
  <c r="BJ306" i="27"/>
  <c r="BK306" i="27" s="1"/>
  <c r="BI306" i="27"/>
  <c r="CH306" i="27" s="1"/>
  <c r="AF151" i="1"/>
  <c r="AF154" i="1"/>
  <c r="AF155" i="1"/>
  <c r="R155" i="1"/>
  <c r="U155" i="1" s="1"/>
  <c r="I355" i="2" s="1"/>
  <c r="L353" i="2"/>
  <c r="BI304" i="27"/>
  <c r="CG304" i="27" s="1"/>
  <c r="BJ304" i="27"/>
  <c r="BM304" i="27" s="1"/>
  <c r="AJ146" i="1"/>
  <c r="AF146" i="1"/>
  <c r="R146" i="1"/>
  <c r="U146" i="1" s="1"/>
  <c r="I353" i="2" s="1"/>
  <c r="J351" i="2"/>
  <c r="J352" i="2"/>
  <c r="BJ303" i="27"/>
  <c r="BR303" i="27" s="1"/>
  <c r="BI303" i="27"/>
  <c r="CC303" i="27" s="1"/>
  <c r="R144" i="1"/>
  <c r="U144" i="1" s="1"/>
  <c r="I352" i="2" s="1"/>
  <c r="AD144" i="1"/>
  <c r="L351" i="2" s="1"/>
  <c r="AJ144" i="1"/>
  <c r="AF139" i="1"/>
  <c r="AF140" i="1"/>
  <c r="BI302" i="27"/>
  <c r="CK302" i="27" s="1"/>
  <c r="BJ302" i="27"/>
  <c r="BU302" i="27" s="1"/>
  <c r="AF133" i="1"/>
  <c r="AF138" i="1"/>
  <c r="L348" i="2"/>
  <c r="R138" i="1"/>
  <c r="U138" i="1" s="1"/>
  <c r="I351" i="2" s="1"/>
  <c r="J350" i="2"/>
  <c r="L349" i="2"/>
  <c r="J348" i="2"/>
  <c r="K348" i="2" s="1"/>
  <c r="P348" i="2" s="1"/>
  <c r="J349" i="2"/>
  <c r="I349" i="2"/>
  <c r="BJ301" i="27"/>
  <c r="BO301" i="27" s="1"/>
  <c r="BI301" i="27"/>
  <c r="CG301" i="27" s="1"/>
  <c r="AF131" i="1"/>
  <c r="R131" i="1"/>
  <c r="U131" i="1" s="1"/>
  <c r="I350" i="2" s="1"/>
  <c r="AF130" i="1"/>
  <c r="BJ300" i="27"/>
  <c r="BW300" i="27" s="1"/>
  <c r="BJ299" i="27"/>
  <c r="BJ298" i="27"/>
  <c r="BX298" i="27" s="1"/>
  <c r="BJ297" i="27"/>
  <c r="BQ297" i="27" s="1"/>
  <c r="BI300" i="27"/>
  <c r="CF300" i="27" s="1"/>
  <c r="BI297" i="27"/>
  <c r="CD297" i="27" s="1"/>
  <c r="BI298" i="27"/>
  <c r="CK298" i="27" s="1"/>
  <c r="BI299" i="27"/>
  <c r="CD299" i="27" s="1"/>
  <c r="AF126" i="1"/>
  <c r="AF123" i="1"/>
  <c r="J347" i="2"/>
  <c r="O346" i="2"/>
  <c r="AF114" i="1"/>
  <c r="L345" i="2"/>
  <c r="AF121" i="1"/>
  <c r="AF119" i="1"/>
  <c r="R121" i="1"/>
  <c r="U121" i="1" s="1"/>
  <c r="I347" i="2" s="1"/>
  <c r="AF120" i="1"/>
  <c r="J345" i="2"/>
  <c r="K345" i="2" s="1"/>
  <c r="P345" i="2" s="1"/>
  <c r="J344" i="2"/>
  <c r="BJ294" i="27"/>
  <c r="BL294" i="27" s="1"/>
  <c r="BJ293" i="27"/>
  <c r="BX293" i="27" s="1"/>
  <c r="AE113" i="1"/>
  <c r="AF113" i="1" s="1"/>
  <c r="BJ296" i="27"/>
  <c r="BO296" i="27" s="1"/>
  <c r="BJ295" i="27"/>
  <c r="BL295" i="27" s="1"/>
  <c r="BI294" i="27"/>
  <c r="CE294" i="27" s="1"/>
  <c r="BI293" i="27"/>
  <c r="CH293" i="27" s="1"/>
  <c r="BI295" i="27"/>
  <c r="CB295" i="27" s="1"/>
  <c r="BI296" i="27"/>
  <c r="CK296" i="27" s="1"/>
  <c r="AF115" i="1"/>
  <c r="J343" i="2"/>
  <c r="L342" i="2"/>
  <c r="R115" i="1"/>
  <c r="U115" i="1" s="1"/>
  <c r="I344" i="2" s="1"/>
  <c r="L343" i="2"/>
  <c r="J342" i="2"/>
  <c r="K342" i="2" s="1"/>
  <c r="P342" i="2" s="1"/>
  <c r="I343" i="2"/>
  <c r="AC343" i="2" s="1"/>
  <c r="AF109" i="1"/>
  <c r="P105" i="1"/>
  <c r="AE105" i="1" s="1"/>
  <c r="AF105" i="1" s="1"/>
  <c r="AF110" i="1"/>
  <c r="CE307" i="27" l="1"/>
  <c r="CF307" i="27"/>
  <c r="CF308" i="27"/>
  <c r="CB308" i="27"/>
  <c r="CJ307" i="27"/>
  <c r="CI307" i="27"/>
  <c r="CH307" i="27"/>
  <c r="CD307" i="27"/>
  <c r="CK307" i="27"/>
  <c r="CK308" i="27"/>
  <c r="CG307" i="27"/>
  <c r="CB307" i="27"/>
  <c r="CA307" i="27"/>
  <c r="CA308" i="27"/>
  <c r="CG308" i="27"/>
  <c r="CJ308" i="27"/>
  <c r="CI308" i="27"/>
  <c r="CC308" i="27"/>
  <c r="BL308" i="27"/>
  <c r="BQ307" i="27"/>
  <c r="CJ305" i="27"/>
  <c r="BT305" i="27"/>
  <c r="CH308" i="27"/>
  <c r="BW308" i="27"/>
  <c r="U356" i="2"/>
  <c r="V356" i="2" s="1"/>
  <c r="X356" i="2"/>
  <c r="BM308" i="27"/>
  <c r="X357" i="2"/>
  <c r="U357" i="2"/>
  <c r="V357" i="2" s="1"/>
  <c r="CD308" i="27"/>
  <c r="K356" i="2"/>
  <c r="P356" i="2" s="1"/>
  <c r="M356" i="2"/>
  <c r="M357" i="2"/>
  <c r="BO307" i="27"/>
  <c r="BZ307" i="27"/>
  <c r="BN307" i="27"/>
  <c r="BX307" i="27"/>
  <c r="BY307" i="27"/>
  <c r="BM307" i="27"/>
  <c r="BV307" i="27"/>
  <c r="BW307" i="27"/>
  <c r="BK307" i="27"/>
  <c r="BL307" i="27"/>
  <c r="BU307" i="27"/>
  <c r="BS308" i="27"/>
  <c r="BP308" i="27"/>
  <c r="BO308" i="27"/>
  <c r="BR308" i="27"/>
  <c r="BZ308" i="27"/>
  <c r="BR307" i="27"/>
  <c r="BU308" i="27"/>
  <c r="BS307" i="27"/>
  <c r="BY308" i="27"/>
  <c r="BN308" i="27"/>
  <c r="BV308" i="27"/>
  <c r="BP307" i="27"/>
  <c r="BT308" i="27"/>
  <c r="BX308" i="27"/>
  <c r="BK308" i="27"/>
  <c r="CH305" i="27"/>
  <c r="CF305" i="27"/>
  <c r="CI305" i="27"/>
  <c r="CG305" i="27"/>
  <c r="CK305" i="27"/>
  <c r="BP305" i="27"/>
  <c r="BZ305" i="27"/>
  <c r="BM305" i="27"/>
  <c r="BL305" i="27"/>
  <c r="BR305" i="27"/>
  <c r="BL306" i="27"/>
  <c r="BO306" i="27"/>
  <c r="BV305" i="27"/>
  <c r="BW305" i="27"/>
  <c r="BV306" i="27"/>
  <c r="BZ306" i="27"/>
  <c r="BN305" i="27"/>
  <c r="BX305" i="27"/>
  <c r="BO305" i="27"/>
  <c r="BQ305" i="27"/>
  <c r="BU305" i="27"/>
  <c r="BS305" i="27"/>
  <c r="CC306" i="27"/>
  <c r="BK305" i="27"/>
  <c r="CK306" i="27"/>
  <c r="CG306" i="27"/>
  <c r="CE306" i="27"/>
  <c r="BS306" i="27"/>
  <c r="CC305" i="27"/>
  <c r="CD305" i="27"/>
  <c r="CE305" i="27"/>
  <c r="CA305" i="27"/>
  <c r="CB306" i="27"/>
  <c r="CI306" i="27"/>
  <c r="X355" i="2"/>
  <c r="U355" i="2"/>
  <c r="V355" i="2" s="1"/>
  <c r="K355" i="2"/>
  <c r="P355" i="2" s="1"/>
  <c r="M355" i="2"/>
  <c r="BX306" i="27"/>
  <c r="BR306" i="27"/>
  <c r="BU306" i="27"/>
  <c r="BN306" i="27"/>
  <c r="BY306" i="27"/>
  <c r="M354" i="2"/>
  <c r="CF306" i="27"/>
  <c r="BQ306" i="27"/>
  <c r="BM306" i="27"/>
  <c r="BT306" i="27"/>
  <c r="CD306" i="27"/>
  <c r="CJ306" i="27"/>
  <c r="BW306" i="27"/>
  <c r="CA306" i="27"/>
  <c r="X354" i="2"/>
  <c r="BP306" i="27"/>
  <c r="U354" i="2"/>
  <c r="V354" i="2" s="1"/>
  <c r="CF304" i="27"/>
  <c r="CJ304" i="27"/>
  <c r="X353" i="2"/>
  <c r="U353" i="2"/>
  <c r="V353" i="2" s="1"/>
  <c r="K353" i="2"/>
  <c r="P353" i="2" s="1"/>
  <c r="M353" i="2"/>
  <c r="BO304" i="27"/>
  <c r="BL304" i="27"/>
  <c r="BP304" i="27"/>
  <c r="BQ304" i="27"/>
  <c r="BR304" i="27"/>
  <c r="BS304" i="27"/>
  <c r="BX304" i="27"/>
  <c r="BN304" i="27"/>
  <c r="BZ304" i="27"/>
  <c r="BY304" i="27"/>
  <c r="CB304" i="27"/>
  <c r="CA304" i="27"/>
  <c r="CK304" i="27"/>
  <c r="CD304" i="27"/>
  <c r="CH304" i="27"/>
  <c r="BU304" i="27"/>
  <c r="CI304" i="27"/>
  <c r="BK304" i="27"/>
  <c r="CE304" i="27"/>
  <c r="CC304" i="27"/>
  <c r="BW304" i="27"/>
  <c r="BT304" i="27"/>
  <c r="BV304" i="27"/>
  <c r="CD303" i="27"/>
  <c r="BK303" i="27"/>
  <c r="BS303" i="27"/>
  <c r="BQ303" i="27"/>
  <c r="CA303" i="27"/>
  <c r="CI303" i="27"/>
  <c r="CJ303" i="27"/>
  <c r="CF303" i="27"/>
  <c r="CK303" i="27"/>
  <c r="CH303" i="27"/>
  <c r="BO303" i="27"/>
  <c r="BX303" i="27"/>
  <c r="BY303" i="27"/>
  <c r="BU303" i="27"/>
  <c r="BV303" i="27"/>
  <c r="BZ303" i="27"/>
  <c r="BW303" i="27"/>
  <c r="L352" i="2"/>
  <c r="M352" i="2" s="1"/>
  <c r="BP303" i="27"/>
  <c r="BN303" i="27"/>
  <c r="CE303" i="27"/>
  <c r="CG303" i="27"/>
  <c r="K352" i="2"/>
  <c r="P352" i="2" s="1"/>
  <c r="BL303" i="27"/>
  <c r="BT303" i="27"/>
  <c r="CB303" i="27"/>
  <c r="BM303" i="27"/>
  <c r="X351" i="2"/>
  <c r="U351" i="2"/>
  <c r="V351" i="2" s="1"/>
  <c r="M351" i="2"/>
  <c r="K351" i="2"/>
  <c r="P351" i="2" s="1"/>
  <c r="CD302" i="27"/>
  <c r="CI302" i="27"/>
  <c r="CE302" i="27"/>
  <c r="CA302" i="27"/>
  <c r="BT302" i="27"/>
  <c r="BP302" i="27"/>
  <c r="BR302" i="27"/>
  <c r="BQ302" i="27"/>
  <c r="BM302" i="27"/>
  <c r="BO302" i="27"/>
  <c r="BW302" i="27"/>
  <c r="BY302" i="27"/>
  <c r="BK302" i="27"/>
  <c r="BS302" i="27"/>
  <c r="BX302" i="27"/>
  <c r="BZ302" i="27"/>
  <c r="BL302" i="27"/>
  <c r="BN302" i="27"/>
  <c r="CG302" i="27"/>
  <c r="CC302" i="27"/>
  <c r="CF302" i="27"/>
  <c r="CB302" i="27"/>
  <c r="CH302" i="27"/>
  <c r="CJ302" i="27"/>
  <c r="BV302" i="27"/>
  <c r="BS301" i="27"/>
  <c r="BL301" i="27"/>
  <c r="BZ301" i="27"/>
  <c r="BQ301" i="27"/>
  <c r="U348" i="2"/>
  <c r="V348" i="2" s="1"/>
  <c r="X348" i="2"/>
  <c r="M348" i="2"/>
  <c r="BP301" i="27"/>
  <c r="X350" i="2"/>
  <c r="U350" i="2"/>
  <c r="V350" i="2" s="1"/>
  <c r="K350" i="2"/>
  <c r="P350" i="2" s="1"/>
  <c r="M350" i="2"/>
  <c r="BN301" i="27"/>
  <c r="BX301" i="27"/>
  <c r="U349" i="2"/>
  <c r="V349" i="2" s="1"/>
  <c r="X349" i="2"/>
  <c r="BV301" i="27"/>
  <c r="BW301" i="27"/>
  <c r="K349" i="2"/>
  <c r="P349" i="2" s="1"/>
  <c r="BK301" i="27"/>
  <c r="BR301" i="27"/>
  <c r="M349" i="2"/>
  <c r="BT301" i="27"/>
  <c r="BY301" i="27"/>
  <c r="BU301" i="27"/>
  <c r="BM301" i="27"/>
  <c r="CI301" i="27"/>
  <c r="CF301" i="27"/>
  <c r="CK301" i="27"/>
  <c r="CE301" i="27"/>
  <c r="CJ301" i="27"/>
  <c r="CA301" i="27"/>
  <c r="CB301" i="27"/>
  <c r="CC301" i="27"/>
  <c r="CD301" i="27"/>
  <c r="CH301" i="27"/>
  <c r="BM300" i="27"/>
  <c r="BX300" i="27"/>
  <c r="BU300" i="27"/>
  <c r="BS300" i="27"/>
  <c r="BR300" i="27"/>
  <c r="BV300" i="27"/>
  <c r="BQ300" i="27"/>
  <c r="BZ300" i="27"/>
  <c r="BP300" i="27"/>
  <c r="BK300" i="27"/>
  <c r="BO300" i="27"/>
  <c r="BN300" i="27"/>
  <c r="CB297" i="27"/>
  <c r="BL300" i="27"/>
  <c r="CI298" i="27"/>
  <c r="CE295" i="27"/>
  <c r="BY300" i="27"/>
  <c r="BS297" i="27"/>
  <c r="CD293" i="27"/>
  <c r="BV297" i="27"/>
  <c r="BN297" i="27"/>
  <c r="BX297" i="27"/>
  <c r="CD294" i="27"/>
  <c r="CI293" i="27"/>
  <c r="BW297" i="27"/>
  <c r="BP297" i="27"/>
  <c r="CI297" i="27"/>
  <c r="CC296" i="27"/>
  <c r="BL297" i="27"/>
  <c r="BU297" i="27"/>
  <c r="BM297" i="27"/>
  <c r="BT300" i="27"/>
  <c r="BP298" i="27"/>
  <c r="BM298" i="27"/>
  <c r="BS299" i="27"/>
  <c r="BO299" i="27"/>
  <c r="BM299" i="27"/>
  <c r="BK299" i="27"/>
  <c r="BY299" i="27"/>
  <c r="BP299" i="27"/>
  <c r="BL299" i="27"/>
  <c r="BN299" i="27"/>
  <c r="BX299" i="27"/>
  <c r="BZ299" i="27"/>
  <c r="BY298" i="27"/>
  <c r="BL298" i="27"/>
  <c r="CH298" i="27"/>
  <c r="CJ297" i="27"/>
  <c r="CI300" i="27"/>
  <c r="BU299" i="27"/>
  <c r="BU298" i="27"/>
  <c r="BT298" i="27"/>
  <c r="CD296" i="27"/>
  <c r="CG297" i="27"/>
  <c r="CK300" i="27"/>
  <c r="BT299" i="27"/>
  <c r="BN298" i="27"/>
  <c r="BS298" i="27"/>
  <c r="BV298" i="27"/>
  <c r="CE297" i="27"/>
  <c r="CG293" i="27"/>
  <c r="CA295" i="27"/>
  <c r="CG299" i="27"/>
  <c r="BK297" i="27"/>
  <c r="BQ299" i="27"/>
  <c r="CJ295" i="27"/>
  <c r="CG294" i="27"/>
  <c r="CE299" i="27"/>
  <c r="BY297" i="27"/>
  <c r="BT297" i="27"/>
  <c r="BR299" i="27"/>
  <c r="BW299" i="27"/>
  <c r="CK297" i="27"/>
  <c r="CH297" i="27"/>
  <c r="BZ298" i="27"/>
  <c r="BW298" i="27"/>
  <c r="CH296" i="27"/>
  <c r="CB299" i="27"/>
  <c r="CF296" i="27"/>
  <c r="BR297" i="27"/>
  <c r="BO298" i="27"/>
  <c r="BZ297" i="27"/>
  <c r="BV299" i="27"/>
  <c r="BQ298" i="27"/>
  <c r="CJ296" i="27"/>
  <c r="BO297" i="27"/>
  <c r="BR298" i="27"/>
  <c r="BK298" i="27"/>
  <c r="CI299" i="27"/>
  <c r="CJ299" i="27"/>
  <c r="CK299" i="27"/>
  <c r="CA299" i="27"/>
  <c r="CA298" i="27"/>
  <c r="CA300" i="27"/>
  <c r="CC299" i="27"/>
  <c r="CJ298" i="27"/>
  <c r="CJ300" i="27"/>
  <c r="CC300" i="27"/>
  <c r="CG298" i="27"/>
  <c r="CF295" i="27"/>
  <c r="CI294" i="27"/>
  <c r="CE298" i="27"/>
  <c r="CD295" i="27"/>
  <c r="CB294" i="27"/>
  <c r="CF297" i="27"/>
  <c r="CC297" i="27"/>
  <c r="CD298" i="27"/>
  <c r="CE296" i="27"/>
  <c r="CA297" i="27"/>
  <c r="CJ294" i="27"/>
  <c r="CC294" i="27"/>
  <c r="CE293" i="27"/>
  <c r="CJ293" i="27"/>
  <c r="CI296" i="27"/>
  <c r="CH294" i="27"/>
  <c r="CA296" i="27"/>
  <c r="CA294" i="27"/>
  <c r="CC295" i="27"/>
  <c r="CC293" i="27"/>
  <c r="CG295" i="27"/>
  <c r="CH295" i="27"/>
  <c r="CB296" i="27"/>
  <c r="CK293" i="27"/>
  <c r="CG296" i="27"/>
  <c r="CC298" i="27"/>
  <c r="CD300" i="27"/>
  <c r="CE300" i="27"/>
  <c r="CG300" i="27"/>
  <c r="CH300" i="27"/>
  <c r="CB300" i="27"/>
  <c r="CB298" i="27"/>
  <c r="CF299" i="27"/>
  <c r="CH299" i="27"/>
  <c r="CK294" i="27"/>
  <c r="CB293" i="27"/>
  <c r="CA293" i="27"/>
  <c r="CF293" i="27"/>
  <c r="CF294" i="27"/>
  <c r="CF298" i="27"/>
  <c r="CK295" i="27"/>
  <c r="CI295" i="27"/>
  <c r="U347" i="2"/>
  <c r="V347" i="2" s="1"/>
  <c r="X347" i="2"/>
  <c r="K347" i="2"/>
  <c r="P347" i="2" s="1"/>
  <c r="M347" i="2"/>
  <c r="BQ294" i="27"/>
  <c r="BY294" i="27"/>
  <c r="BO294" i="27"/>
  <c r="K344" i="2"/>
  <c r="P344" i="2" s="1"/>
  <c r="BR294" i="27"/>
  <c r="U345" i="2"/>
  <c r="V345" i="2" s="1"/>
  <c r="M345" i="2"/>
  <c r="X345" i="2"/>
  <c r="BS294" i="27"/>
  <c r="BW294" i="27"/>
  <c r="BP294" i="27"/>
  <c r="BK294" i="27"/>
  <c r="BX294" i="27"/>
  <c r="BZ294" i="27"/>
  <c r="BU294" i="27"/>
  <c r="BV294" i="27"/>
  <c r="BM294" i="27"/>
  <c r="BT294" i="27"/>
  <c r="BN294" i="27"/>
  <c r="BN295" i="27"/>
  <c r="BK295" i="27"/>
  <c r="BM295" i="27"/>
  <c r="BT295" i="27"/>
  <c r="BY295" i="27"/>
  <c r="BZ293" i="27"/>
  <c r="BR293" i="27"/>
  <c r="BZ295" i="27"/>
  <c r="BT296" i="27"/>
  <c r="BW295" i="27"/>
  <c r="M344" i="2"/>
  <c r="BU293" i="27"/>
  <c r="BM293" i="27"/>
  <c r="BN293" i="27"/>
  <c r="BW293" i="27"/>
  <c r="BO293" i="27"/>
  <c r="BK296" i="27"/>
  <c r="BW296" i="27"/>
  <c r="X344" i="2"/>
  <c r="AC344" i="2"/>
  <c r="U344" i="2"/>
  <c r="V344" i="2" s="1"/>
  <c r="BL293" i="27"/>
  <c r="BP293" i="27"/>
  <c r="BU296" i="27"/>
  <c r="BR296" i="27"/>
  <c r="BZ296" i="27"/>
  <c r="BX296" i="27"/>
  <c r="BP296" i="27"/>
  <c r="BS293" i="27"/>
  <c r="BV295" i="27"/>
  <c r="BY293" i="27"/>
  <c r="BU295" i="27"/>
  <c r="BS295" i="27"/>
  <c r="BP295" i="27"/>
  <c r="BR295" i="27"/>
  <c r="BX295" i="27"/>
  <c r="BQ295" i="27"/>
  <c r="BS296" i="27"/>
  <c r="BM296" i="27"/>
  <c r="BK293" i="27"/>
  <c r="BV293" i="27"/>
  <c r="BQ293" i="27"/>
  <c r="BL296" i="27"/>
  <c r="BO295" i="27"/>
  <c r="BV296" i="27"/>
  <c r="BQ296" i="27"/>
  <c r="BY296" i="27"/>
  <c r="BT293" i="27"/>
  <c r="BN296" i="27"/>
  <c r="U343" i="2"/>
  <c r="V343" i="2" s="1"/>
  <c r="X343" i="2"/>
  <c r="M343" i="2"/>
  <c r="K343" i="2"/>
  <c r="P343" i="2" s="1"/>
  <c r="U342" i="2"/>
  <c r="V342" i="2" s="1"/>
  <c r="M342" i="2"/>
  <c r="X342" i="2"/>
  <c r="J103" i="1"/>
  <c r="T103" i="1" s="1"/>
  <c r="T104" i="1"/>
  <c r="K103" i="1"/>
  <c r="K104" i="1"/>
  <c r="N104" i="1" s="1"/>
  <c r="O104" i="1" s="1"/>
  <c r="P104" i="1" s="1"/>
  <c r="AE104" i="1" s="1"/>
  <c r="Q103" i="1"/>
  <c r="R103" i="1" s="1"/>
  <c r="U103" i="1" s="1"/>
  <c r="Q104" i="1"/>
  <c r="R104" i="1" s="1"/>
  <c r="U104" i="1" s="1"/>
  <c r="V103" i="1"/>
  <c r="AB103" i="1" s="1"/>
  <c r="V104" i="1"/>
  <c r="AB104" i="1" s="1"/>
  <c r="AD103" i="1"/>
  <c r="AD104" i="1"/>
  <c r="AJ103" i="1"/>
  <c r="AJ104" i="1"/>
  <c r="T102" i="1"/>
  <c r="O102" i="1"/>
  <c r="P102" i="1" s="1"/>
  <c r="AE102" i="1" s="1"/>
  <c r="Q102" i="1"/>
  <c r="R102" i="1" s="1"/>
  <c r="U102" i="1" s="1"/>
  <c r="V102" i="1"/>
  <c r="AB102" i="1" s="1"/>
  <c r="W102" i="1"/>
  <c r="X102" i="1" s="1"/>
  <c r="AD102" i="1"/>
  <c r="AG102" i="1"/>
  <c r="AJ102" i="1"/>
  <c r="DY292" i="27"/>
  <c r="AW292" i="27"/>
  <c r="AH292" i="27"/>
  <c r="AI292" i="27"/>
  <c r="AJ292" i="27"/>
  <c r="AK292" i="27"/>
  <c r="AL292" i="27"/>
  <c r="AM292" i="27"/>
  <c r="AN292" i="27"/>
  <c r="AO292" i="27"/>
  <c r="AP292" i="27"/>
  <c r="AR292" i="27"/>
  <c r="AS292" i="27"/>
  <c r="AT292" i="27"/>
  <c r="AU292" i="27"/>
  <c r="AV292" i="27"/>
  <c r="AX292" i="27"/>
  <c r="AY292" i="27"/>
  <c r="AZ292" i="27"/>
  <c r="BA292" i="27"/>
  <c r="BB292" i="27"/>
  <c r="BC292" i="27"/>
  <c r="BD292" i="27"/>
  <c r="BE292" i="27"/>
  <c r="BF292" i="27"/>
  <c r="BG292" i="27"/>
  <c r="BH292" i="27"/>
  <c r="C292" i="27"/>
  <c r="E292" i="27" s="1"/>
  <c r="N340" i="2"/>
  <c r="H340" i="2"/>
  <c r="E340" i="2"/>
  <c r="W340" i="2"/>
  <c r="A98" i="1"/>
  <c r="A99" i="1"/>
  <c r="A100" i="1"/>
  <c r="A101" i="1"/>
  <c r="G98" i="1"/>
  <c r="Q98" i="1" s="1"/>
  <c r="R98" i="1" s="1"/>
  <c r="U98" i="1" s="1"/>
  <c r="G99" i="1"/>
  <c r="Q99" i="1" s="1"/>
  <c r="R99" i="1" s="1"/>
  <c r="U99" i="1" s="1"/>
  <c r="G100" i="1"/>
  <c r="Q100" i="1" s="1"/>
  <c r="R100" i="1" s="1"/>
  <c r="U100" i="1" s="1"/>
  <c r="G101" i="1"/>
  <c r="Q101" i="1" s="1"/>
  <c r="R101" i="1" s="1"/>
  <c r="U101" i="1" s="1"/>
  <c r="J98" i="1"/>
  <c r="J99" i="1"/>
  <c r="T99" i="1" s="1"/>
  <c r="J100" i="1"/>
  <c r="T100" i="1" s="1"/>
  <c r="J101" i="1"/>
  <c r="K98" i="1"/>
  <c r="K99" i="1"/>
  <c r="K100" i="1"/>
  <c r="K101" i="1"/>
  <c r="V98" i="1"/>
  <c r="AB98" i="1" s="1"/>
  <c r="V99" i="1"/>
  <c r="AB99" i="1" s="1"/>
  <c r="V100" i="1"/>
  <c r="AB100" i="1" s="1"/>
  <c r="V101" i="1"/>
  <c r="AB101" i="1" s="1"/>
  <c r="A97" i="1"/>
  <c r="G97" i="1"/>
  <c r="Q97" i="1" s="1"/>
  <c r="J97" i="1"/>
  <c r="AG97" i="1" s="1"/>
  <c r="K97" i="1"/>
  <c r="V97" i="1"/>
  <c r="AB97" i="1" s="1"/>
  <c r="A96" i="1"/>
  <c r="A340" i="2" s="1"/>
  <c r="G96" i="1"/>
  <c r="J96" i="1"/>
  <c r="AG96" i="1" s="1"/>
  <c r="K96" i="1"/>
  <c r="V96" i="1"/>
  <c r="AB96" i="1" s="1"/>
  <c r="DY291" i="27"/>
  <c r="AH291" i="27"/>
  <c r="AI291" i="27"/>
  <c r="AJ291" i="27"/>
  <c r="AK291" i="27"/>
  <c r="AL291" i="27"/>
  <c r="AM291" i="27"/>
  <c r="AN291" i="27"/>
  <c r="AO291" i="27"/>
  <c r="AP291" i="27"/>
  <c r="AR291" i="27"/>
  <c r="AS291" i="27"/>
  <c r="AT291" i="27"/>
  <c r="AU291" i="27"/>
  <c r="AV291" i="27"/>
  <c r="AW291" i="27"/>
  <c r="AX291" i="27"/>
  <c r="AY291" i="27"/>
  <c r="AZ291" i="27"/>
  <c r="BA291" i="27"/>
  <c r="BB291" i="27"/>
  <c r="BC291" i="27"/>
  <c r="BD291" i="27"/>
  <c r="BE291" i="27"/>
  <c r="BF291" i="27"/>
  <c r="BG291" i="27"/>
  <c r="BH291" i="27"/>
  <c r="C291" i="27"/>
  <c r="E291" i="27" s="1"/>
  <c r="H339" i="2"/>
  <c r="N339" i="2"/>
  <c r="G339" i="2"/>
  <c r="W339" i="2"/>
  <c r="A95" i="1"/>
  <c r="G95" i="1"/>
  <c r="AD95" i="1" s="1"/>
  <c r="J95" i="1"/>
  <c r="AG95" i="1" s="1"/>
  <c r="K95" i="1"/>
  <c r="V95" i="1"/>
  <c r="AB95" i="1" s="1"/>
  <c r="A94" i="1"/>
  <c r="A339" i="2" s="1"/>
  <c r="G94" i="1"/>
  <c r="J94" i="1"/>
  <c r="AG94" i="1" s="1"/>
  <c r="K94" i="1"/>
  <c r="V94" i="1"/>
  <c r="AB94" i="1" s="1"/>
  <c r="DY290" i="27"/>
  <c r="BH288" i="27"/>
  <c r="BH287" i="27"/>
  <c r="BH286" i="27"/>
  <c r="BH285" i="27"/>
  <c r="BH284" i="27"/>
  <c r="BH283" i="27"/>
  <c r="BH282" i="27"/>
  <c r="BH281" i="27"/>
  <c r="BH280" i="27"/>
  <c r="BH279" i="27"/>
  <c r="BH278" i="27"/>
  <c r="BH277" i="27"/>
  <c r="BH276" i="27"/>
  <c r="BH275" i="27"/>
  <c r="BH274" i="27"/>
  <c r="BH273" i="27"/>
  <c r="BH272" i="27"/>
  <c r="BH271" i="27"/>
  <c r="BH290" i="27"/>
  <c r="BH289" i="27"/>
  <c r="BG290" i="27"/>
  <c r="BF290" i="27"/>
  <c r="BE290" i="27"/>
  <c r="BD290" i="27"/>
  <c r="BC290" i="27"/>
  <c r="BB290" i="27"/>
  <c r="BA290" i="27"/>
  <c r="AZ290" i="27"/>
  <c r="AY290" i="27"/>
  <c r="AX290" i="27"/>
  <c r="AW290" i="27"/>
  <c r="AV290" i="27"/>
  <c r="AU290" i="27"/>
  <c r="AT290" i="27"/>
  <c r="AS290" i="27"/>
  <c r="AR290" i="27"/>
  <c r="AP290" i="27"/>
  <c r="AO290" i="27"/>
  <c r="AN290" i="27"/>
  <c r="AM290" i="27"/>
  <c r="AL290" i="27"/>
  <c r="AK290" i="27"/>
  <c r="AJ290" i="27"/>
  <c r="AI290" i="27"/>
  <c r="AH290" i="27"/>
  <c r="C290" i="27"/>
  <c r="E290" i="27" s="1"/>
  <c r="N338" i="2"/>
  <c r="H338" i="2"/>
  <c r="E338" i="2"/>
  <c r="W338" i="2"/>
  <c r="V92" i="1"/>
  <c r="AB92" i="1" s="1"/>
  <c r="V93" i="1"/>
  <c r="AB93" i="1" s="1"/>
  <c r="A93" i="1"/>
  <c r="G93" i="1"/>
  <c r="Q93" i="1" s="1"/>
  <c r="R93" i="1" s="1"/>
  <c r="U93" i="1" s="1"/>
  <c r="J93" i="1"/>
  <c r="T93" i="1" s="1"/>
  <c r="K93" i="1"/>
  <c r="A92" i="1"/>
  <c r="A338" i="2" s="1"/>
  <c r="G92" i="1"/>
  <c r="J92" i="1"/>
  <c r="AG92" i="1" s="1"/>
  <c r="K92" i="1"/>
  <c r="C22" i="25"/>
  <c r="F22" i="25" s="1"/>
  <c r="CM307" i="27" l="1"/>
  <c r="DT307" i="27" s="1"/>
  <c r="DV307" i="27" s="1"/>
  <c r="CM308" i="27"/>
  <c r="DT308" i="27" s="1"/>
  <c r="DV308" i="27" s="1"/>
  <c r="Q356" i="2"/>
  <c r="O356" i="2"/>
  <c r="Q357" i="2"/>
  <c r="O357" i="2"/>
  <c r="W101" i="1"/>
  <c r="X101" i="1" s="1"/>
  <c r="CL307" i="27"/>
  <c r="DO307" i="27" s="1"/>
  <c r="CL308" i="27"/>
  <c r="DO308" i="27" s="1"/>
  <c r="CM305" i="27"/>
  <c r="DT305" i="27" s="1"/>
  <c r="DU305" i="27" s="1" a="1"/>
  <c r="DU305" i="27" s="1"/>
  <c r="DW305" i="27" s="1"/>
  <c r="CL305" i="27"/>
  <c r="DO305" i="27" s="1"/>
  <c r="DQ305" i="27" s="1"/>
  <c r="CM306" i="27"/>
  <c r="DT306" i="27" s="1"/>
  <c r="DV306" i="27" s="1"/>
  <c r="Q354" i="2"/>
  <c r="O354" i="2"/>
  <c r="CL306" i="27"/>
  <c r="DO306" i="27" s="1"/>
  <c r="Q355" i="2"/>
  <c r="O355" i="2"/>
  <c r="CM304" i="27"/>
  <c r="DT304" i="27" s="1"/>
  <c r="Q353" i="2"/>
  <c r="O353" i="2"/>
  <c r="CL304" i="27"/>
  <c r="DO304" i="27" s="1"/>
  <c r="CL303" i="27"/>
  <c r="DO303" i="27" s="1"/>
  <c r="CM303" i="27"/>
  <c r="DT303" i="27" s="1"/>
  <c r="Q352" i="2"/>
  <c r="O352" i="2"/>
  <c r="U352" i="2"/>
  <c r="V352" i="2" s="1"/>
  <c r="X352" i="2"/>
  <c r="Q351" i="2"/>
  <c r="O351" i="2"/>
  <c r="CM302" i="27"/>
  <c r="DT302" i="27" s="1"/>
  <c r="CL302" i="27"/>
  <c r="DO302" i="27" s="1"/>
  <c r="Q348" i="2"/>
  <c r="O348" i="2"/>
  <c r="CL301" i="27"/>
  <c r="DO301" i="27" s="1"/>
  <c r="Q350" i="2"/>
  <c r="O350" i="2"/>
  <c r="Q349" i="2"/>
  <c r="O349" i="2"/>
  <c r="CM301" i="27"/>
  <c r="DT301" i="27" s="1"/>
  <c r="CL300" i="27"/>
  <c r="DO300" i="27" s="1"/>
  <c r="DQ300" i="27" s="1"/>
  <c r="CL298" i="27"/>
  <c r="DO298" i="27" s="1"/>
  <c r="DQ298" i="27" s="1"/>
  <c r="CM300" i="27"/>
  <c r="DT300" i="27" s="1"/>
  <c r="CM298" i="27"/>
  <c r="DT298" i="27" s="1"/>
  <c r="CL297" i="27"/>
  <c r="DO297" i="27" s="1"/>
  <c r="CL299" i="27"/>
  <c r="DO299" i="27" s="1"/>
  <c r="CM299" i="27"/>
  <c r="DT299" i="27" s="1"/>
  <c r="CM297" i="27"/>
  <c r="DT297" i="27" s="1"/>
  <c r="Q347" i="2"/>
  <c r="O347" i="2"/>
  <c r="Q345" i="2"/>
  <c r="O345" i="2"/>
  <c r="CL294" i="27"/>
  <c r="DO294" i="27" s="1"/>
  <c r="DP294" i="27" s="1" a="1"/>
  <c r="DP294" i="27" s="1"/>
  <c r="DR294" i="27" s="1"/>
  <c r="CM293" i="27"/>
  <c r="DT293" i="27" s="1"/>
  <c r="DU293" i="27" s="1" a="1"/>
  <c r="DU293" i="27" s="1"/>
  <c r="DW293" i="27" s="1"/>
  <c r="CL295" i="27"/>
  <c r="DO295" i="27" s="1"/>
  <c r="DQ295" i="27" s="1"/>
  <c r="AJ94" i="1"/>
  <c r="AE339" i="2"/>
  <c r="AD339" i="2"/>
  <c r="CL293" i="27"/>
  <c r="DO293" i="27" s="1"/>
  <c r="CM296" i="27"/>
  <c r="DT296" i="27" s="1"/>
  <c r="CM295" i="27"/>
  <c r="DT295" i="27" s="1"/>
  <c r="CL296" i="27"/>
  <c r="DO296" i="27" s="1"/>
  <c r="Q344" i="2"/>
  <c r="O344" i="2"/>
  <c r="CM294" i="27"/>
  <c r="DT294" i="27" s="1"/>
  <c r="Q92" i="1"/>
  <c r="R92" i="1" s="1"/>
  <c r="U92" i="1" s="1"/>
  <c r="I338" i="2" s="1"/>
  <c r="AC338" i="2" s="1"/>
  <c r="AE338" i="2"/>
  <c r="AD338" i="2"/>
  <c r="Q96" i="1"/>
  <c r="R96" i="1" s="1"/>
  <c r="U96" i="1" s="1"/>
  <c r="F340" i="2"/>
  <c r="AD340" i="2"/>
  <c r="AE340" i="2"/>
  <c r="L341" i="2"/>
  <c r="AC290" i="27"/>
  <c r="D290" i="27"/>
  <c r="F291" i="27"/>
  <c r="D291" i="27"/>
  <c r="W292" i="27"/>
  <c r="D292" i="27"/>
  <c r="I341" i="2"/>
  <c r="AC341" i="2" s="1"/>
  <c r="Q342" i="2"/>
  <c r="O342" i="2"/>
  <c r="Q343" i="2"/>
  <c r="O343" i="2"/>
  <c r="N103" i="1"/>
  <c r="O103" i="1" s="1"/>
  <c r="P103" i="1" s="1"/>
  <c r="AE103" i="1" s="1"/>
  <c r="AF103" i="1" s="1"/>
  <c r="N93" i="1"/>
  <c r="O93" i="1" s="1"/>
  <c r="P93" i="1" s="1"/>
  <c r="AE93" i="1" s="1"/>
  <c r="AF93" i="1" s="1"/>
  <c r="N95" i="1"/>
  <c r="O95" i="1" s="1"/>
  <c r="P95" i="1" s="1"/>
  <c r="AE95" i="1" s="1"/>
  <c r="N92" i="1"/>
  <c r="O92" i="1" s="1"/>
  <c r="P92" i="1" s="1"/>
  <c r="AE92" i="1" s="1"/>
  <c r="AG99" i="1"/>
  <c r="F292" i="27"/>
  <c r="AF104" i="1"/>
  <c r="W104" i="1"/>
  <c r="X104" i="1" s="1"/>
  <c r="W103" i="1"/>
  <c r="X103" i="1" s="1"/>
  <c r="AG104" i="1"/>
  <c r="AG103" i="1"/>
  <c r="AF102" i="1"/>
  <c r="T101" i="1"/>
  <c r="N101" i="1"/>
  <c r="O101" i="1" s="1"/>
  <c r="P101" i="1" s="1"/>
  <c r="AE101" i="1" s="1"/>
  <c r="AF101" i="1" s="1"/>
  <c r="N97" i="1"/>
  <c r="O97" i="1" s="1"/>
  <c r="P97" i="1" s="1"/>
  <c r="AE97" i="1" s="1"/>
  <c r="AF97" i="1" s="1"/>
  <c r="W98" i="1"/>
  <c r="X98" i="1" s="1"/>
  <c r="N96" i="1"/>
  <c r="O96" i="1" s="1"/>
  <c r="P96" i="1" s="1"/>
  <c r="AE96" i="1" s="1"/>
  <c r="AD101" i="1"/>
  <c r="G292" i="27"/>
  <c r="K292" i="27"/>
  <c r="N100" i="1"/>
  <c r="O100" i="1" s="1"/>
  <c r="P100" i="1" s="1"/>
  <c r="AE100" i="1" s="1"/>
  <c r="AF100" i="1" s="1"/>
  <c r="X292" i="27"/>
  <c r="N99" i="1"/>
  <c r="O99" i="1" s="1"/>
  <c r="P99" i="1" s="1"/>
  <c r="AE99" i="1" s="1"/>
  <c r="AF99" i="1" s="1"/>
  <c r="G340" i="2"/>
  <c r="W94" i="1"/>
  <c r="X94" i="1" s="1"/>
  <c r="L292" i="27"/>
  <c r="Y292" i="27"/>
  <c r="M292" i="27"/>
  <c r="Z292" i="27"/>
  <c r="N292" i="27"/>
  <c r="AA292" i="27"/>
  <c r="P292" i="27"/>
  <c r="AB292" i="27"/>
  <c r="Q292" i="27"/>
  <c r="AC292" i="27"/>
  <c r="R292" i="27"/>
  <c r="AD292" i="27"/>
  <c r="S292" i="27"/>
  <c r="AE292" i="27"/>
  <c r="T292" i="27"/>
  <c r="AF292" i="27"/>
  <c r="H292" i="27"/>
  <c r="U292" i="27"/>
  <c r="I292" i="27"/>
  <c r="V292" i="27"/>
  <c r="J292" i="27"/>
  <c r="AC291" i="27"/>
  <c r="AB291" i="27"/>
  <c r="AA291" i="27"/>
  <c r="W291" i="27"/>
  <c r="Z291" i="27"/>
  <c r="AJ101" i="1"/>
  <c r="AG101" i="1"/>
  <c r="AJ100" i="1"/>
  <c r="AG100" i="1"/>
  <c r="AD100" i="1"/>
  <c r="AD99" i="1"/>
  <c r="W99" i="1"/>
  <c r="X99" i="1" s="1"/>
  <c r="AD98" i="1"/>
  <c r="AJ98" i="1"/>
  <c r="AG98" i="1"/>
  <c r="N98" i="1"/>
  <c r="O98" i="1" s="1"/>
  <c r="P98" i="1" s="1"/>
  <c r="AE98" i="1" s="1"/>
  <c r="AF98" i="1" s="1"/>
  <c r="AJ97" i="1"/>
  <c r="AD97" i="1"/>
  <c r="AJ99" i="1"/>
  <c r="T98" i="1"/>
  <c r="W97" i="1"/>
  <c r="X97" i="1" s="1"/>
  <c r="W100" i="1"/>
  <c r="X100" i="1" s="1"/>
  <c r="R97" i="1"/>
  <c r="U97" i="1" s="1"/>
  <c r="AJ96" i="1"/>
  <c r="AD96" i="1"/>
  <c r="W96" i="1"/>
  <c r="X96" i="1" s="1"/>
  <c r="T97" i="1"/>
  <c r="AD94" i="1"/>
  <c r="L339" i="2" s="1"/>
  <c r="N94" i="1"/>
  <c r="O94" i="1" s="1"/>
  <c r="P94" i="1" s="1"/>
  <c r="AE94" i="1" s="1"/>
  <c r="F339" i="2"/>
  <c r="T96" i="1"/>
  <c r="E339" i="2"/>
  <c r="F338" i="2"/>
  <c r="Q95" i="1"/>
  <c r="Q94" i="1"/>
  <c r="R94" i="1" s="1"/>
  <c r="U94" i="1" s="1"/>
  <c r="R291" i="27"/>
  <c r="Q291" i="27"/>
  <c r="P291" i="27"/>
  <c r="N291" i="27"/>
  <c r="M291" i="27"/>
  <c r="J291" i="27"/>
  <c r="AD291" i="27"/>
  <c r="Y291" i="27"/>
  <c r="L291" i="27"/>
  <c r="X291" i="27"/>
  <c r="K291" i="27"/>
  <c r="V291" i="27"/>
  <c r="I291" i="27"/>
  <c r="U291" i="27"/>
  <c r="H291" i="27"/>
  <c r="AF291" i="27"/>
  <c r="T291" i="27"/>
  <c r="G291" i="27"/>
  <c r="AE291" i="27"/>
  <c r="S291" i="27"/>
  <c r="AJ95" i="1"/>
  <c r="W95" i="1"/>
  <c r="X95" i="1" s="1"/>
  <c r="T95" i="1"/>
  <c r="T94" i="1"/>
  <c r="T92" i="1"/>
  <c r="R290" i="27"/>
  <c r="AD290" i="27"/>
  <c r="G338" i="2"/>
  <c r="S290" i="27"/>
  <c r="I290" i="27"/>
  <c r="J290" i="27"/>
  <c r="W290" i="27"/>
  <c r="K290" i="27"/>
  <c r="X290" i="27"/>
  <c r="F290" i="27"/>
  <c r="AF290" i="27"/>
  <c r="V290" i="27"/>
  <c r="M290" i="27"/>
  <c r="N290" i="27"/>
  <c r="AA290" i="27"/>
  <c r="G290" i="27"/>
  <c r="U290" i="27"/>
  <c r="Y290" i="27"/>
  <c r="Z290" i="27"/>
  <c r="P290" i="27"/>
  <c r="AB290" i="27"/>
  <c r="AE290" i="27"/>
  <c r="T290" i="27"/>
  <c r="H290" i="27"/>
  <c r="L290" i="27"/>
  <c r="Q290" i="27"/>
  <c r="AD93" i="1"/>
  <c r="AJ93" i="1"/>
  <c r="W93" i="1"/>
  <c r="X93" i="1" s="1"/>
  <c r="AJ92" i="1"/>
  <c r="AD92" i="1"/>
  <c r="W92" i="1"/>
  <c r="X92" i="1" s="1"/>
  <c r="AG93" i="1"/>
  <c r="E16" i="25"/>
  <c r="F16" i="25"/>
  <c r="E17" i="25"/>
  <c r="E18" i="25"/>
  <c r="E19" i="25"/>
  <c r="E20" i="25"/>
  <c r="E21" i="25"/>
  <c r="E22" i="25"/>
  <c r="E23" i="25"/>
  <c r="E24" i="25"/>
  <c r="E25" i="25"/>
  <c r="DY289" i="27"/>
  <c r="BG289" i="27"/>
  <c r="BF289" i="27"/>
  <c r="BE289" i="27"/>
  <c r="BD289" i="27"/>
  <c r="BC289" i="27"/>
  <c r="BB289" i="27"/>
  <c r="BA289" i="27"/>
  <c r="AZ289" i="27"/>
  <c r="AY289" i="27"/>
  <c r="AX289" i="27"/>
  <c r="AW289" i="27"/>
  <c r="AV289" i="27"/>
  <c r="AU289" i="27"/>
  <c r="AT289" i="27"/>
  <c r="AS289" i="27"/>
  <c r="AR289" i="27"/>
  <c r="AP289" i="27"/>
  <c r="AO289" i="27"/>
  <c r="AN289" i="27"/>
  <c r="AM289" i="27"/>
  <c r="AL289" i="27"/>
  <c r="AK289" i="27"/>
  <c r="AJ289" i="27"/>
  <c r="AI289" i="27"/>
  <c r="AH289" i="27"/>
  <c r="C289" i="27"/>
  <c r="E289" i="27" s="1"/>
  <c r="AW288" i="27"/>
  <c r="C29" i="25"/>
  <c r="N337" i="2"/>
  <c r="H337" i="2"/>
  <c r="E337" i="2"/>
  <c r="A90" i="1"/>
  <c r="A91" i="1"/>
  <c r="G90" i="1"/>
  <c r="AD90" i="1" s="1"/>
  <c r="G91" i="1"/>
  <c r="J90" i="1"/>
  <c r="J91" i="1"/>
  <c r="W91" i="1" s="1"/>
  <c r="X91" i="1" s="1"/>
  <c r="K90" i="1"/>
  <c r="K91" i="1"/>
  <c r="V90" i="1"/>
  <c r="AB90" i="1" s="1"/>
  <c r="V91" i="1"/>
  <c r="AB91" i="1" s="1"/>
  <c r="A89" i="1"/>
  <c r="G89" i="1"/>
  <c r="Q89" i="1" s="1"/>
  <c r="R89" i="1" s="1"/>
  <c r="U89" i="1" s="1"/>
  <c r="J89" i="1"/>
  <c r="AG89" i="1" s="1"/>
  <c r="K89" i="1"/>
  <c r="V89" i="1"/>
  <c r="AB89" i="1" s="1"/>
  <c r="A88" i="1"/>
  <c r="G88" i="1"/>
  <c r="Q88" i="1" s="1"/>
  <c r="R88" i="1" s="1"/>
  <c r="U88" i="1" s="1"/>
  <c r="J88" i="1"/>
  <c r="AG88" i="1" s="1"/>
  <c r="K88" i="1"/>
  <c r="V88" i="1"/>
  <c r="AB88" i="1" s="1"/>
  <c r="A87" i="1"/>
  <c r="A337" i="2" s="1"/>
  <c r="G87" i="1"/>
  <c r="AJ87" i="1" s="1"/>
  <c r="J87" i="1"/>
  <c r="AG87" i="1" s="1"/>
  <c r="K87" i="1"/>
  <c r="V87" i="1"/>
  <c r="AB87" i="1" s="1"/>
  <c r="F40" i="31"/>
  <c r="D40" i="31"/>
  <c r="E40" i="31" s="1"/>
  <c r="B40" i="31"/>
  <c r="C40" i="31" s="1"/>
  <c r="F39" i="31"/>
  <c r="D39" i="31"/>
  <c r="E39" i="31" s="1"/>
  <c r="B39" i="31"/>
  <c r="C39" i="31" s="1"/>
  <c r="D3" i="31"/>
  <c r="E3" i="31" s="1"/>
  <c r="A1" i="31"/>
  <c r="A2" i="31"/>
  <c r="B2" i="31"/>
  <c r="B1" i="31"/>
  <c r="F2" i="31"/>
  <c r="A3" i="31"/>
  <c r="B3" i="31"/>
  <c r="F3" i="31"/>
  <c r="A4" i="31"/>
  <c r="B4" i="31"/>
  <c r="C4" i="31" s="1"/>
  <c r="D4" i="31"/>
  <c r="F4" i="31"/>
  <c r="A5" i="31"/>
  <c r="B5" i="31"/>
  <c r="C5" i="31" s="1"/>
  <c r="D5" i="31"/>
  <c r="E5" i="31" s="1"/>
  <c r="F5" i="31"/>
  <c r="A6" i="31"/>
  <c r="B6" i="31"/>
  <c r="C6" i="31" s="1"/>
  <c r="D6" i="31"/>
  <c r="E6" i="31" s="1"/>
  <c r="F6" i="31"/>
  <c r="A7" i="31"/>
  <c r="B7" i="31"/>
  <c r="C7" i="31" s="1"/>
  <c r="D7" i="31"/>
  <c r="F7" i="31"/>
  <c r="A8" i="31"/>
  <c r="B8" i="31"/>
  <c r="C8" i="31" s="1"/>
  <c r="D8" i="31"/>
  <c r="E8" i="31" s="1"/>
  <c r="F8" i="31"/>
  <c r="A9" i="31"/>
  <c r="B9" i="31"/>
  <c r="C9" i="31" s="1"/>
  <c r="D9" i="31"/>
  <c r="E9" i="31" s="1"/>
  <c r="F9" i="31"/>
  <c r="A10" i="31"/>
  <c r="B10" i="31"/>
  <c r="C10" i="31" s="1"/>
  <c r="D10" i="31"/>
  <c r="E10" i="31" s="1"/>
  <c r="F10" i="31"/>
  <c r="A11" i="31"/>
  <c r="B11" i="31"/>
  <c r="C11" i="31" s="1"/>
  <c r="D11" i="31"/>
  <c r="E11" i="31" s="1"/>
  <c r="F11" i="31"/>
  <c r="A12" i="31"/>
  <c r="B12" i="31"/>
  <c r="C12" i="31" s="1"/>
  <c r="D12" i="31"/>
  <c r="E12" i="31" s="1"/>
  <c r="F12" i="31"/>
  <c r="A13" i="31"/>
  <c r="B13" i="31"/>
  <c r="C13" i="31" s="1"/>
  <c r="D13" i="31"/>
  <c r="E13" i="31" s="1"/>
  <c r="F13" i="31"/>
  <c r="A14" i="31"/>
  <c r="B14" i="31"/>
  <c r="C14" i="31" s="1"/>
  <c r="D14" i="31"/>
  <c r="E14" i="31" s="1"/>
  <c r="F14" i="31"/>
  <c r="A15" i="31"/>
  <c r="B15" i="31"/>
  <c r="C15" i="31" s="1"/>
  <c r="D15" i="31"/>
  <c r="E15" i="31" s="1"/>
  <c r="F15" i="31"/>
  <c r="A16" i="31"/>
  <c r="B16" i="31"/>
  <c r="C16" i="31" s="1"/>
  <c r="D16" i="31"/>
  <c r="E16" i="31" s="1"/>
  <c r="F16" i="31"/>
  <c r="A17" i="31"/>
  <c r="B17" i="31"/>
  <c r="C17" i="31" s="1"/>
  <c r="D17" i="31"/>
  <c r="E17" i="31" s="1"/>
  <c r="F17" i="31"/>
  <c r="A18" i="31"/>
  <c r="B18" i="31"/>
  <c r="C18" i="31" s="1"/>
  <c r="D18" i="31"/>
  <c r="E18" i="31" s="1"/>
  <c r="F18" i="31"/>
  <c r="A19" i="31"/>
  <c r="B19" i="31"/>
  <c r="C19" i="31" s="1"/>
  <c r="D19" i="31"/>
  <c r="E19" i="31" s="1"/>
  <c r="F19" i="31"/>
  <c r="A20" i="31"/>
  <c r="B20" i="31"/>
  <c r="C20" i="31" s="1"/>
  <c r="D20" i="31"/>
  <c r="E20" i="31" s="1"/>
  <c r="F20" i="31"/>
  <c r="A21" i="31"/>
  <c r="B21" i="31"/>
  <c r="C21" i="31" s="1"/>
  <c r="D21" i="31"/>
  <c r="E21" i="31" s="1"/>
  <c r="F21" i="31"/>
  <c r="A22" i="31"/>
  <c r="B22" i="31"/>
  <c r="C22" i="31" s="1"/>
  <c r="D22" i="31"/>
  <c r="E22" i="31" s="1"/>
  <c r="F22" i="31"/>
  <c r="A23" i="31"/>
  <c r="B23" i="31"/>
  <c r="C23" i="31" s="1"/>
  <c r="D23" i="31"/>
  <c r="E23" i="31" s="1"/>
  <c r="F23" i="31"/>
  <c r="A24" i="31"/>
  <c r="B24" i="31"/>
  <c r="C24" i="31" s="1"/>
  <c r="D24" i="31"/>
  <c r="E24" i="31" s="1"/>
  <c r="F24" i="31"/>
  <c r="A25" i="31"/>
  <c r="B25" i="31"/>
  <c r="C25" i="31" s="1"/>
  <c r="D25" i="31"/>
  <c r="E25" i="31" s="1"/>
  <c r="F25" i="31"/>
  <c r="A26" i="31"/>
  <c r="B26" i="31"/>
  <c r="C26" i="31" s="1"/>
  <c r="D26" i="31"/>
  <c r="E26" i="31" s="1"/>
  <c r="F26" i="31"/>
  <c r="A27" i="31"/>
  <c r="B27" i="31"/>
  <c r="C27" i="31" s="1"/>
  <c r="D27" i="31"/>
  <c r="E27" i="31" s="1"/>
  <c r="F27" i="31"/>
  <c r="A28" i="31"/>
  <c r="B28" i="31"/>
  <c r="C28" i="31" s="1"/>
  <c r="D28" i="31"/>
  <c r="E28" i="31" s="1"/>
  <c r="F28" i="31"/>
  <c r="A29" i="31"/>
  <c r="B29" i="31"/>
  <c r="C29" i="31" s="1"/>
  <c r="D29" i="31"/>
  <c r="E29" i="31" s="1"/>
  <c r="F29" i="31"/>
  <c r="A30" i="31"/>
  <c r="B30" i="31"/>
  <c r="C30" i="31" s="1"/>
  <c r="D30" i="31"/>
  <c r="E30" i="31" s="1"/>
  <c r="F30" i="31"/>
  <c r="A31" i="31"/>
  <c r="B31" i="31"/>
  <c r="C31" i="31" s="1"/>
  <c r="D31" i="31"/>
  <c r="E31" i="31" s="1"/>
  <c r="F31" i="31"/>
  <c r="A32" i="31"/>
  <c r="B32" i="31"/>
  <c r="C32" i="31" s="1"/>
  <c r="D32" i="31"/>
  <c r="E32" i="31" s="1"/>
  <c r="F32" i="31"/>
  <c r="A33" i="31"/>
  <c r="B33" i="31"/>
  <c r="C33" i="31" s="1"/>
  <c r="D33" i="31"/>
  <c r="E33" i="31" s="1"/>
  <c r="F33" i="31"/>
  <c r="A34" i="31"/>
  <c r="B34" i="31"/>
  <c r="C34" i="31" s="1"/>
  <c r="D34" i="31"/>
  <c r="E34" i="31" s="1"/>
  <c r="F34" i="31"/>
  <c r="A35" i="31"/>
  <c r="B35" i="31"/>
  <c r="C35" i="31" s="1"/>
  <c r="D35" i="31"/>
  <c r="E35" i="31" s="1"/>
  <c r="F35" i="31"/>
  <c r="A36" i="31"/>
  <c r="B36" i="31"/>
  <c r="C36" i="31" s="1"/>
  <c r="D36" i="31"/>
  <c r="E36" i="31" s="1"/>
  <c r="F36" i="31"/>
  <c r="A37" i="31"/>
  <c r="B37" i="31"/>
  <c r="C37" i="31" s="1"/>
  <c r="D37" i="31"/>
  <c r="E37" i="31" s="1"/>
  <c r="F37" i="31"/>
  <c r="A38" i="31"/>
  <c r="B38" i="31"/>
  <c r="C38" i="31" s="1"/>
  <c r="D38" i="31"/>
  <c r="E38" i="31" s="1"/>
  <c r="F38" i="31"/>
  <c r="C18" i="25"/>
  <c r="C17" i="25"/>
  <c r="F17" i="25" s="1"/>
  <c r="N335" i="2"/>
  <c r="DY288" i="27"/>
  <c r="C23" i="25"/>
  <c r="F23" i="25" s="1"/>
  <c r="DU308" i="27" l="1" a="1"/>
  <c r="DU308" i="27" s="1"/>
  <c r="DW308" i="27" s="1"/>
  <c r="DU307" i="27" a="1"/>
  <c r="DU307" i="27" s="1"/>
  <c r="DW307" i="27" s="1"/>
  <c r="DX307" i="27" s="1"/>
  <c r="DZ307" i="27" s="1"/>
  <c r="DP308" i="27" a="1"/>
  <c r="DP308" i="27" s="1"/>
  <c r="DR308" i="27" s="1"/>
  <c r="DQ308" i="27"/>
  <c r="DP307" i="27" a="1"/>
  <c r="DP307" i="27" s="1"/>
  <c r="DR307" i="27" s="1"/>
  <c r="DQ307" i="27"/>
  <c r="DP305" i="27" a="1"/>
  <c r="DP305" i="27" s="1"/>
  <c r="DR305" i="27" s="1"/>
  <c r="DV305" i="27"/>
  <c r="DX305" i="27" s="1"/>
  <c r="DZ305" i="27" s="1"/>
  <c r="DU306" i="27" a="1"/>
  <c r="DU306" i="27" s="1"/>
  <c r="DW306" i="27" s="1"/>
  <c r="DQ306" i="27"/>
  <c r="DP306" i="27" a="1"/>
  <c r="DP306" i="27" s="1"/>
  <c r="DR306" i="27" s="1"/>
  <c r="DP304" i="27" a="1"/>
  <c r="DP304" i="27" s="1"/>
  <c r="DR304" i="27" s="1"/>
  <c r="DQ304" i="27"/>
  <c r="DV304" i="27"/>
  <c r="DU304" i="27" a="1"/>
  <c r="DU304" i="27" s="1"/>
  <c r="DW304" i="27" s="1"/>
  <c r="DP302" i="27" a="1"/>
  <c r="DP302" i="27" s="1"/>
  <c r="DR302" i="27" s="1"/>
  <c r="DQ302" i="27"/>
  <c r="DV302" i="27"/>
  <c r="DU302" i="27" a="1"/>
  <c r="DU302" i="27" s="1"/>
  <c r="DW302" i="27" s="1"/>
  <c r="DV303" i="27"/>
  <c r="DU303" i="27" a="1"/>
  <c r="DU303" i="27" s="1"/>
  <c r="DP303" i="27" a="1"/>
  <c r="DP303" i="27" s="1"/>
  <c r="DR303" i="27" s="1"/>
  <c r="DQ303" i="27"/>
  <c r="AF92" i="1"/>
  <c r="DV301" i="27"/>
  <c r="DU301" i="27" a="1"/>
  <c r="DU301" i="27" s="1"/>
  <c r="DW301" i="27" s="1"/>
  <c r="DQ301" i="27"/>
  <c r="DP301" i="27" a="1"/>
  <c r="DP301" i="27" s="1"/>
  <c r="DR301" i="27" s="1"/>
  <c r="DP300" i="27" a="1"/>
  <c r="DP300" i="27" s="1"/>
  <c r="DP298" i="27" a="1"/>
  <c r="DP298" i="27" s="1"/>
  <c r="DU297" i="27" a="1"/>
  <c r="DU297" i="27" s="1"/>
  <c r="DW297" i="27" s="1"/>
  <c r="DV297" i="27"/>
  <c r="DV299" i="27"/>
  <c r="DU299" i="27" a="1"/>
  <c r="DU299" i="27" s="1"/>
  <c r="DW299" i="27" s="1"/>
  <c r="DP299" i="27" a="1"/>
  <c r="DP299" i="27" s="1"/>
  <c r="DR299" i="27" s="1"/>
  <c r="DQ299" i="27"/>
  <c r="DQ297" i="27"/>
  <c r="DP297" i="27" a="1"/>
  <c r="DP297" i="27" s="1"/>
  <c r="DR297" i="27" s="1"/>
  <c r="DU298" i="27" a="1"/>
  <c r="DU298" i="27" s="1"/>
  <c r="DW298" i="27" s="1"/>
  <c r="DV298" i="27"/>
  <c r="DV300" i="27"/>
  <c r="DU300" i="27" a="1"/>
  <c r="DU300" i="27" s="1"/>
  <c r="DW300" i="27" s="1"/>
  <c r="I340" i="2"/>
  <c r="AC340" i="2" s="1"/>
  <c r="AF96" i="1"/>
  <c r="DQ294" i="27"/>
  <c r="DS294" i="27" s="1"/>
  <c r="J341" i="2"/>
  <c r="K341" i="2" s="1"/>
  <c r="P341" i="2" s="1"/>
  <c r="DV293" i="27"/>
  <c r="DX293" i="27" s="1"/>
  <c r="DZ293" i="27" s="1"/>
  <c r="DP295" i="27" a="1"/>
  <c r="DP295" i="27" s="1"/>
  <c r="DR295" i="27" s="1"/>
  <c r="DS295" i="27" s="1"/>
  <c r="DP296" i="27" a="1"/>
  <c r="DP296" i="27" s="1"/>
  <c r="DR296" i="27" s="1"/>
  <c r="DQ296" i="27"/>
  <c r="DV295" i="27"/>
  <c r="DU295" i="27" a="1"/>
  <c r="DU295" i="27" s="1"/>
  <c r="DW295" i="27" s="1"/>
  <c r="DU296" i="27" a="1"/>
  <c r="DU296" i="27" s="1"/>
  <c r="DW296" i="27" s="1"/>
  <c r="DV296" i="27"/>
  <c r="DQ293" i="27"/>
  <c r="DP293" i="27" a="1"/>
  <c r="DP293" i="27" s="1"/>
  <c r="DR293" i="27" s="1"/>
  <c r="DU294" i="27" a="1"/>
  <c r="DU294" i="27" s="1"/>
  <c r="DW294" i="27" s="1"/>
  <c r="DV294" i="27"/>
  <c r="F18" i="25"/>
  <c r="C19" i="25"/>
  <c r="X289" i="27"/>
  <c r="D289" i="27"/>
  <c r="AF95" i="1"/>
  <c r="J339" i="2"/>
  <c r="J340" i="2"/>
  <c r="L340" i="2"/>
  <c r="BJ292" i="27"/>
  <c r="BI292" i="27"/>
  <c r="CF292" i="27" s="1"/>
  <c r="L338" i="2"/>
  <c r="R95" i="1"/>
  <c r="U95" i="1" s="1"/>
  <c r="I339" i="2" s="1"/>
  <c r="AC339" i="2" s="1"/>
  <c r="N87" i="1"/>
  <c r="O87" i="1" s="1"/>
  <c r="P87" i="1" s="1"/>
  <c r="AE87" i="1" s="1"/>
  <c r="J338" i="2"/>
  <c r="AF94" i="1"/>
  <c r="BJ291" i="27"/>
  <c r="BI291" i="27"/>
  <c r="CB291" i="27" s="1"/>
  <c r="L289" i="27"/>
  <c r="BJ290" i="27"/>
  <c r="BI290" i="27"/>
  <c r="CB290" i="27" s="1"/>
  <c r="M289" i="27"/>
  <c r="P289" i="27"/>
  <c r="Z289" i="27"/>
  <c r="W90" i="1"/>
  <c r="X90" i="1" s="1"/>
  <c r="AB289" i="27"/>
  <c r="F337" i="2"/>
  <c r="Y289" i="27"/>
  <c r="N289" i="27"/>
  <c r="AA289" i="27"/>
  <c r="Q289" i="27"/>
  <c r="AC289" i="27"/>
  <c r="I2" i="31" a="1"/>
  <c r="I2" i="31" s="1"/>
  <c r="R289" i="27"/>
  <c r="AD289" i="27"/>
  <c r="F289" i="27"/>
  <c r="S289" i="27"/>
  <c r="AE289" i="27"/>
  <c r="G289" i="27"/>
  <c r="T289" i="27"/>
  <c r="AF289" i="27"/>
  <c r="N88" i="1"/>
  <c r="O88" i="1" s="1"/>
  <c r="P88" i="1" s="1"/>
  <c r="AE88" i="1" s="1"/>
  <c r="AF88" i="1" s="1"/>
  <c r="H289" i="27"/>
  <c r="U289" i="27"/>
  <c r="I289" i="27"/>
  <c r="V289" i="27"/>
  <c r="J289" i="27"/>
  <c r="W289" i="27"/>
  <c r="AD91" i="1"/>
  <c r="K289" i="27"/>
  <c r="L4" i="32"/>
  <c r="C3" i="31"/>
  <c r="L2" i="31" s="1" a="1"/>
  <c r="L2" i="31" s="1"/>
  <c r="E4" i="31"/>
  <c r="G337" i="2"/>
  <c r="AJ91" i="1"/>
  <c r="W89" i="1"/>
  <c r="X89" i="1" s="1"/>
  <c r="AJ88" i="1"/>
  <c r="AD88" i="1"/>
  <c r="W88" i="1"/>
  <c r="X88" i="1" s="1"/>
  <c r="W87" i="1"/>
  <c r="X87" i="1" s="1"/>
  <c r="AJ90" i="1"/>
  <c r="AG90" i="1"/>
  <c r="AJ89" i="1"/>
  <c r="AD89" i="1"/>
  <c r="N89" i="1"/>
  <c r="O89" i="1" s="1"/>
  <c r="P89" i="1" s="1"/>
  <c r="AE89" i="1" s="1"/>
  <c r="AF89" i="1" s="1"/>
  <c r="AG91" i="1"/>
  <c r="AD87" i="1"/>
  <c r="T91" i="1"/>
  <c r="Q91" i="1"/>
  <c r="R91" i="1" s="1"/>
  <c r="Q90" i="1"/>
  <c r="R90" i="1" s="1"/>
  <c r="U90" i="1" s="1"/>
  <c r="N91" i="1"/>
  <c r="O91" i="1" s="1"/>
  <c r="P91" i="1" s="1"/>
  <c r="AE91" i="1" s="1"/>
  <c r="T90" i="1"/>
  <c r="N90" i="1"/>
  <c r="O90" i="1" s="1"/>
  <c r="P90" i="1" s="1"/>
  <c r="AE90" i="1" s="1"/>
  <c r="T89" i="1"/>
  <c r="T88" i="1"/>
  <c r="Q87" i="1"/>
  <c r="T87" i="1"/>
  <c r="I3" i="31" a="1"/>
  <c r="I3" i="31" s="1"/>
  <c r="C26" i="25"/>
  <c r="E7" i="31"/>
  <c r="C28" i="25"/>
  <c r="M4" i="32"/>
  <c r="C27" i="25"/>
  <c r="DX308" i="27" l="1"/>
  <c r="DZ308" i="27" s="1"/>
  <c r="DS308" i="27"/>
  <c r="DS307" i="27"/>
  <c r="EA307" i="27" s="1"/>
  <c r="DX306" i="27"/>
  <c r="DZ306" i="27" s="1"/>
  <c r="DS305" i="27"/>
  <c r="EA305" i="27" s="1"/>
  <c r="DS306" i="27"/>
  <c r="DS304" i="27"/>
  <c r="DX304" i="27"/>
  <c r="DZ304" i="27" s="1"/>
  <c r="DS303" i="27"/>
  <c r="DX303" i="27"/>
  <c r="DZ303" i="27" s="1"/>
  <c r="DX302" i="27"/>
  <c r="DZ302" i="27" s="1"/>
  <c r="DS302" i="27"/>
  <c r="DS301" i="27"/>
  <c r="DX301" i="27"/>
  <c r="DZ301" i="27" s="1"/>
  <c r="DR300" i="27"/>
  <c r="DS300" i="27" s="1"/>
  <c r="DX297" i="27"/>
  <c r="DZ297" i="27" s="1"/>
  <c r="DX298" i="27"/>
  <c r="DZ298" i="27" s="1"/>
  <c r="DR298" i="27"/>
  <c r="DS298" i="27" s="1"/>
  <c r="DS299" i="27"/>
  <c r="CH291" i="27"/>
  <c r="CJ292" i="27"/>
  <c r="CA291" i="27"/>
  <c r="CK290" i="27"/>
  <c r="CG291" i="27"/>
  <c r="DS297" i="27"/>
  <c r="CD291" i="27"/>
  <c r="CE291" i="27"/>
  <c r="CK291" i="27"/>
  <c r="DX299" i="27"/>
  <c r="DZ299" i="27" s="1"/>
  <c r="CF290" i="27"/>
  <c r="CI291" i="27"/>
  <c r="CE290" i="27"/>
  <c r="CC291" i="27"/>
  <c r="DX300" i="27"/>
  <c r="DZ300" i="27" s="1"/>
  <c r="CH292" i="27"/>
  <c r="CD292" i="27"/>
  <c r="CG292" i="27"/>
  <c r="CA292" i="27"/>
  <c r="CA290" i="27"/>
  <c r="CB292" i="27"/>
  <c r="CE292" i="27"/>
  <c r="CC290" i="27"/>
  <c r="CH290" i="27"/>
  <c r="CK292" i="27"/>
  <c r="CG290" i="27"/>
  <c r="CI292" i="27"/>
  <c r="CC292" i="27"/>
  <c r="CF291" i="27"/>
  <c r="CJ290" i="27"/>
  <c r="CD290" i="27"/>
  <c r="CJ291" i="27"/>
  <c r="CI290" i="27"/>
  <c r="K340" i="2"/>
  <c r="P340" i="2" s="1"/>
  <c r="U341" i="2"/>
  <c r="V341" i="2" s="1"/>
  <c r="X341" i="2"/>
  <c r="M341" i="2"/>
  <c r="Q341" i="2" s="1"/>
  <c r="DX294" i="27"/>
  <c r="DZ294" i="27" s="1"/>
  <c r="EA294" i="27" s="1"/>
  <c r="DX296" i="27"/>
  <c r="DZ296" i="27" s="1"/>
  <c r="DS296" i="27"/>
  <c r="DS293" i="27"/>
  <c r="EA293" i="27" s="1"/>
  <c r="DX295" i="27"/>
  <c r="DZ295" i="27" s="1"/>
  <c r="EA295" i="27" s="1"/>
  <c r="AF87" i="1"/>
  <c r="BO290" i="27"/>
  <c r="BX291" i="27"/>
  <c r="BO292" i="27"/>
  <c r="M340" i="2"/>
  <c r="Q340" i="2" s="1"/>
  <c r="BW292" i="27"/>
  <c r="BL292" i="27"/>
  <c r="BQ292" i="27"/>
  <c r="BX292" i="27"/>
  <c r="BP292" i="27"/>
  <c r="BY292" i="27"/>
  <c r="BR292" i="27"/>
  <c r="BS292" i="27"/>
  <c r="BM292" i="27"/>
  <c r="BU292" i="27"/>
  <c r="BV292" i="27"/>
  <c r="BN292" i="27"/>
  <c r="BT292" i="27"/>
  <c r="U340" i="2"/>
  <c r="V340" i="2" s="1"/>
  <c r="BZ292" i="27"/>
  <c r="BK292" i="27"/>
  <c r="X340" i="2"/>
  <c r="BM291" i="27"/>
  <c r="BQ291" i="27"/>
  <c r="U338" i="2"/>
  <c r="V338" i="2" s="1"/>
  <c r="BV291" i="27"/>
  <c r="M338" i="2"/>
  <c r="O338" i="2" s="1"/>
  <c r="BP291" i="27"/>
  <c r="X338" i="2"/>
  <c r="BW291" i="27"/>
  <c r="BZ291" i="27"/>
  <c r="BT291" i="27"/>
  <c r="BT290" i="27"/>
  <c r="BO291" i="27"/>
  <c r="K338" i="2"/>
  <c r="P338" i="2" s="1"/>
  <c r="BR291" i="27"/>
  <c r="U339" i="2"/>
  <c r="V339" i="2" s="1"/>
  <c r="X339" i="2"/>
  <c r="BS291" i="27"/>
  <c r="M339" i="2"/>
  <c r="BU291" i="27"/>
  <c r="K339" i="2"/>
  <c r="P339" i="2" s="1"/>
  <c r="BN291" i="27"/>
  <c r="BK291" i="27"/>
  <c r="BY291" i="27"/>
  <c r="BL291" i="27"/>
  <c r="BZ290" i="27"/>
  <c r="BN290" i="27"/>
  <c r="BL290" i="27"/>
  <c r="BX290" i="27"/>
  <c r="BS290" i="27"/>
  <c r="BK290" i="27"/>
  <c r="BP290" i="27"/>
  <c r="BU290" i="27"/>
  <c r="BY290" i="27"/>
  <c r="BM290" i="27"/>
  <c r="BV290" i="27"/>
  <c r="L3" i="31" a="1"/>
  <c r="L3" i="31" s="1"/>
  <c r="O3" i="31" s="1"/>
  <c r="C30" i="25" s="1"/>
  <c r="BR290" i="27"/>
  <c r="BW290" i="27"/>
  <c r="BQ290" i="27"/>
  <c r="J337" i="2"/>
  <c r="BI289" i="27"/>
  <c r="CA289" i="27" s="1"/>
  <c r="L337" i="2"/>
  <c r="AF90" i="1"/>
  <c r="BJ289" i="27"/>
  <c r="U91" i="1"/>
  <c r="AF91" i="1"/>
  <c r="R87" i="1"/>
  <c r="U87" i="1" s="1"/>
  <c r="O2" i="31"/>
  <c r="C4" i="25"/>
  <c r="EA308" i="27" l="1"/>
  <c r="EA306" i="27"/>
  <c r="EA304" i="27"/>
  <c r="EA302" i="27"/>
  <c r="EA303" i="27"/>
  <c r="EA301" i="27"/>
  <c r="EA297" i="27"/>
  <c r="EA300" i="27"/>
  <c r="EA299" i="27"/>
  <c r="EA298" i="27"/>
  <c r="CC289" i="27"/>
  <c r="CJ289" i="27"/>
  <c r="CH289" i="27"/>
  <c r="CI289" i="27"/>
  <c r="CB289" i="27"/>
  <c r="CF289" i="27"/>
  <c r="CG289" i="27"/>
  <c r="CE289" i="27"/>
  <c r="CK289" i="27"/>
  <c r="CD289" i="27"/>
  <c r="EA296" i="27"/>
  <c r="O341" i="2"/>
  <c r="I337" i="2"/>
  <c r="M337" i="2" s="1"/>
  <c r="Q337" i="2" s="1"/>
  <c r="O340" i="2"/>
  <c r="BZ289" i="27"/>
  <c r="CM292" i="27"/>
  <c r="CL292" i="27"/>
  <c r="Q338" i="2"/>
  <c r="CM291" i="27"/>
  <c r="BT289" i="27"/>
  <c r="CL291" i="27"/>
  <c r="CL290" i="27"/>
  <c r="Q339" i="2"/>
  <c r="O339" i="2"/>
  <c r="CM290" i="27"/>
  <c r="BV289" i="27"/>
  <c r="BQ289" i="27"/>
  <c r="BY289" i="27"/>
  <c r="BR289" i="27"/>
  <c r="BX289" i="27"/>
  <c r="BU289" i="27"/>
  <c r="BM289" i="27"/>
  <c r="BS289" i="27"/>
  <c r="BO289" i="27"/>
  <c r="BL289" i="27"/>
  <c r="BN289" i="27"/>
  <c r="BW289" i="27"/>
  <c r="BP289" i="27"/>
  <c r="BK289" i="27"/>
  <c r="EH77" i="27"/>
  <c r="D335" i="2"/>
  <c r="C287" i="27"/>
  <c r="E287" i="27" s="1"/>
  <c r="C335" i="2"/>
  <c r="BI261" i="27"/>
  <c r="BI260" i="27"/>
  <c r="BI259" i="27"/>
  <c r="BI258" i="27"/>
  <c r="BI257" i="27"/>
  <c r="BI256" i="27"/>
  <c r="BI255" i="27"/>
  <c r="BI254" i="27"/>
  <c r="BI253" i="27"/>
  <c r="BI252" i="27"/>
  <c r="BI251" i="27"/>
  <c r="BI250" i="27"/>
  <c r="BI249" i="27"/>
  <c r="BI248" i="27"/>
  <c r="BI247" i="27"/>
  <c r="BI246" i="27"/>
  <c r="BI245" i="27"/>
  <c r="BI244" i="27"/>
  <c r="BI243" i="27"/>
  <c r="BI242" i="27"/>
  <c r="BI241" i="27"/>
  <c r="BI240" i="27"/>
  <c r="BI239" i="27"/>
  <c r="BI238" i="27"/>
  <c r="BI237" i="27"/>
  <c r="BI236" i="27"/>
  <c r="BI235" i="27"/>
  <c r="BI234" i="27"/>
  <c r="BI233" i="27"/>
  <c r="BI232" i="27"/>
  <c r="BI231" i="27"/>
  <c r="BI230" i="27"/>
  <c r="BI229" i="27"/>
  <c r="BI228" i="27"/>
  <c r="BI227" i="27"/>
  <c r="BI226" i="27"/>
  <c r="BI225" i="27"/>
  <c r="BI224" i="27"/>
  <c r="BI223" i="27"/>
  <c r="BI222" i="27"/>
  <c r="BI221" i="27"/>
  <c r="BI220" i="27"/>
  <c r="BI219" i="27"/>
  <c r="BI218" i="27"/>
  <c r="BI217" i="27"/>
  <c r="BI216" i="27"/>
  <c r="BI215" i="27"/>
  <c r="BI214" i="27"/>
  <c r="BI213" i="27"/>
  <c r="BI212" i="27"/>
  <c r="BI211" i="27"/>
  <c r="BI210" i="27"/>
  <c r="BI209" i="27"/>
  <c r="BI208" i="27"/>
  <c r="BI207" i="27"/>
  <c r="BI206" i="27"/>
  <c r="BI205" i="27"/>
  <c r="BI204" i="27"/>
  <c r="BI203" i="27"/>
  <c r="BI202" i="27"/>
  <c r="BI201" i="27"/>
  <c r="BI200" i="27"/>
  <c r="BI199" i="27"/>
  <c r="BI198" i="27"/>
  <c r="BI197" i="27"/>
  <c r="BI196" i="27"/>
  <c r="BI195" i="27"/>
  <c r="BI194" i="27"/>
  <c r="BI193" i="27"/>
  <c r="BI192" i="27"/>
  <c r="BI191" i="27"/>
  <c r="BI190" i="27"/>
  <c r="BI189" i="27"/>
  <c r="BI188" i="27"/>
  <c r="BI187" i="27"/>
  <c r="BI186" i="27"/>
  <c r="BI185" i="27"/>
  <c r="BI184" i="27"/>
  <c r="BI183" i="27"/>
  <c r="BI182" i="27"/>
  <c r="BI181" i="27"/>
  <c r="BI180" i="27"/>
  <c r="BI179" i="27"/>
  <c r="BI178" i="27"/>
  <c r="BI177" i="27"/>
  <c r="BI176" i="27"/>
  <c r="BI175" i="27"/>
  <c r="BI174" i="27"/>
  <c r="BI173" i="27"/>
  <c r="BI172" i="27"/>
  <c r="BI171" i="27"/>
  <c r="BI170" i="27"/>
  <c r="BI169" i="27"/>
  <c r="BI168" i="27"/>
  <c r="BI167" i="27"/>
  <c r="BI166" i="27"/>
  <c r="BI165" i="27"/>
  <c r="BI164" i="27"/>
  <c r="BI163" i="27"/>
  <c r="BI162" i="27"/>
  <c r="BI161" i="27"/>
  <c r="BI160" i="27"/>
  <c r="BI159" i="27"/>
  <c r="BI158" i="27"/>
  <c r="BI157" i="27"/>
  <c r="BI156" i="27"/>
  <c r="BI155" i="27"/>
  <c r="BI154" i="27"/>
  <c r="BI153" i="27"/>
  <c r="BI152" i="27"/>
  <c r="BI151" i="27"/>
  <c r="BI150" i="27"/>
  <c r="BI149" i="27"/>
  <c r="BI148" i="27"/>
  <c r="BI147" i="27"/>
  <c r="BI146" i="27"/>
  <c r="BI145" i="27"/>
  <c r="BI144" i="27"/>
  <c r="BI143" i="27"/>
  <c r="BI142" i="27"/>
  <c r="BI141" i="27"/>
  <c r="BI140" i="27"/>
  <c r="BI139" i="27"/>
  <c r="BI138" i="27"/>
  <c r="BI137" i="27"/>
  <c r="BI136" i="27"/>
  <c r="BI135" i="27"/>
  <c r="BI134" i="27"/>
  <c r="BI133" i="27"/>
  <c r="BI132" i="27"/>
  <c r="BI131" i="27"/>
  <c r="BI130" i="27"/>
  <c r="BI129" i="27"/>
  <c r="BI128" i="27"/>
  <c r="BI127" i="27"/>
  <c r="BI126" i="27"/>
  <c r="BI125" i="27"/>
  <c r="BI124" i="27"/>
  <c r="BI123" i="27"/>
  <c r="BI122" i="27"/>
  <c r="BI121" i="27"/>
  <c r="BI120" i="27"/>
  <c r="BI119" i="27"/>
  <c r="BI118" i="27"/>
  <c r="BI117" i="27"/>
  <c r="BI116" i="27"/>
  <c r="BI115" i="27"/>
  <c r="BI114" i="27"/>
  <c r="BI113" i="27"/>
  <c r="BI112" i="27"/>
  <c r="BI111" i="27"/>
  <c r="BI110" i="27"/>
  <c r="BI109" i="27"/>
  <c r="BI108" i="27"/>
  <c r="BI107" i="27"/>
  <c r="BI106" i="27"/>
  <c r="BI105" i="27"/>
  <c r="BI104" i="27"/>
  <c r="BI103" i="27"/>
  <c r="BI102" i="27"/>
  <c r="BI101" i="27"/>
  <c r="BI100" i="27"/>
  <c r="BI99" i="27"/>
  <c r="BI98" i="27"/>
  <c r="BI97" i="27"/>
  <c r="BI96" i="27"/>
  <c r="BI95" i="27"/>
  <c r="BI94" i="27"/>
  <c r="BI93" i="27"/>
  <c r="BI92" i="27"/>
  <c r="BI91" i="27"/>
  <c r="BI90" i="27"/>
  <c r="BI89" i="27"/>
  <c r="BI88" i="27"/>
  <c r="BI87" i="27"/>
  <c r="BI86" i="27"/>
  <c r="BI85" i="27"/>
  <c r="BI84" i="27"/>
  <c r="BI83" i="27"/>
  <c r="BI82" i="27"/>
  <c r="BI81" i="27"/>
  <c r="BI80" i="27"/>
  <c r="BI79" i="27"/>
  <c r="BI78" i="27"/>
  <c r="BI77" i="27"/>
  <c r="BI76" i="27"/>
  <c r="BI75" i="27"/>
  <c r="BI74" i="27"/>
  <c r="BI73" i="27"/>
  <c r="BI72" i="27"/>
  <c r="BI71" i="27"/>
  <c r="BI70" i="27"/>
  <c r="BI69" i="27"/>
  <c r="BI68" i="27"/>
  <c r="BI67" i="27"/>
  <c r="BI66" i="27"/>
  <c r="BI65" i="27"/>
  <c r="BI64" i="27"/>
  <c r="BI63" i="27"/>
  <c r="BI62" i="27"/>
  <c r="BI61" i="27"/>
  <c r="BI60" i="27"/>
  <c r="BI59" i="27"/>
  <c r="BI58" i="27"/>
  <c r="BI57" i="27"/>
  <c r="BI56" i="27"/>
  <c r="BI55" i="27"/>
  <c r="BI54" i="27"/>
  <c r="BI53" i="27"/>
  <c r="BI52" i="27"/>
  <c r="BI51" i="27"/>
  <c r="BI50" i="27"/>
  <c r="BI49" i="27"/>
  <c r="BI48" i="27"/>
  <c r="BI47" i="27"/>
  <c r="BI46" i="27"/>
  <c r="BI45" i="27"/>
  <c r="BI44" i="27"/>
  <c r="BI43" i="27"/>
  <c r="BI42" i="27"/>
  <c r="BI41" i="27"/>
  <c r="BI40" i="27"/>
  <c r="BI39" i="27"/>
  <c r="BI38" i="27"/>
  <c r="BI37" i="27"/>
  <c r="BI36" i="27"/>
  <c r="BI35" i="27"/>
  <c r="BI34" i="27"/>
  <c r="BI33" i="27"/>
  <c r="BI32" i="27"/>
  <c r="BI31" i="27"/>
  <c r="BI30" i="27"/>
  <c r="BI29" i="27"/>
  <c r="BI28" i="27"/>
  <c r="BI27" i="27"/>
  <c r="BI26" i="27"/>
  <c r="BI25" i="27"/>
  <c r="BI24" i="27"/>
  <c r="BI23" i="27"/>
  <c r="BI22" i="27"/>
  <c r="BI21" i="27"/>
  <c r="BI20" i="27"/>
  <c r="BI19" i="27"/>
  <c r="DY287" i="27"/>
  <c r="BA288" i="27"/>
  <c r="BA287" i="27"/>
  <c r="BA286" i="27"/>
  <c r="AF277" i="27"/>
  <c r="AE277" i="27"/>
  <c r="AF276" i="27"/>
  <c r="AE276" i="27"/>
  <c r="AF275" i="27"/>
  <c r="AE275" i="27"/>
  <c r="AF274" i="27"/>
  <c r="AE274" i="27"/>
  <c r="AF273" i="27"/>
  <c r="AE273" i="27"/>
  <c r="AF272" i="27"/>
  <c r="AE272" i="27"/>
  <c r="AF271" i="27"/>
  <c r="AE271" i="27"/>
  <c r="AF270" i="27"/>
  <c r="R287" i="27"/>
  <c r="AH288" i="27"/>
  <c r="AI288" i="27"/>
  <c r="AJ288" i="27"/>
  <c r="AK288" i="27"/>
  <c r="AL288" i="27"/>
  <c r="AM288" i="27"/>
  <c r="AN288" i="27"/>
  <c r="AO288" i="27"/>
  <c r="AP288" i="27"/>
  <c r="AR288" i="27"/>
  <c r="AS288" i="27"/>
  <c r="AT288" i="27"/>
  <c r="AU288" i="27"/>
  <c r="AV288" i="27"/>
  <c r="AX288" i="27"/>
  <c r="AY288" i="27"/>
  <c r="AZ288" i="27"/>
  <c r="BB288" i="27"/>
  <c r="BC288" i="27"/>
  <c r="BD288" i="27"/>
  <c r="BE288" i="27"/>
  <c r="BF288" i="27"/>
  <c r="BG288" i="27"/>
  <c r="AH287" i="27"/>
  <c r="AI287" i="27"/>
  <c r="AJ287" i="27"/>
  <c r="AK287" i="27"/>
  <c r="AL287" i="27"/>
  <c r="AM287" i="27"/>
  <c r="AN287" i="27"/>
  <c r="AO287" i="27"/>
  <c r="AP287" i="27"/>
  <c r="AR287" i="27"/>
  <c r="AS287" i="27"/>
  <c r="AT287" i="27"/>
  <c r="AU287" i="27"/>
  <c r="AV287" i="27"/>
  <c r="AX287" i="27"/>
  <c r="AY287" i="27"/>
  <c r="AZ287" i="27"/>
  <c r="BB287" i="27"/>
  <c r="BC287" i="27"/>
  <c r="BD287" i="27"/>
  <c r="BE287" i="27"/>
  <c r="BF287" i="27"/>
  <c r="BG287" i="27"/>
  <c r="A81" i="1"/>
  <c r="G81" i="1"/>
  <c r="J81" i="1"/>
  <c r="K81" i="1"/>
  <c r="V81" i="1"/>
  <c r="AB81" i="1" s="1"/>
  <c r="A82" i="1"/>
  <c r="G82" i="1"/>
  <c r="J82" i="1"/>
  <c r="K82" i="1"/>
  <c r="V82" i="1"/>
  <c r="AB82" i="1" s="1"/>
  <c r="A83" i="1"/>
  <c r="G83" i="1"/>
  <c r="J83" i="1"/>
  <c r="K83" i="1"/>
  <c r="V83" i="1"/>
  <c r="AB83" i="1" s="1"/>
  <c r="A80" i="1"/>
  <c r="A335" i="2" s="1"/>
  <c r="G80" i="1"/>
  <c r="J80" i="1"/>
  <c r="K80" i="1"/>
  <c r="V80" i="1"/>
  <c r="AB80" i="1" s="1"/>
  <c r="K337" i="2" l="1"/>
  <c r="P337" i="2" s="1"/>
  <c r="Z287" i="27"/>
  <c r="D287" i="27"/>
  <c r="DT290" i="27"/>
  <c r="DU290" i="27" s="1" a="1"/>
  <c r="DU290" i="27" s="1"/>
  <c r="DO290" i="27"/>
  <c r="DQ290" i="27" s="1"/>
  <c r="DO291" i="27"/>
  <c r="DO292" i="27"/>
  <c r="DQ292" i="27" s="1"/>
  <c r="DT292" i="27"/>
  <c r="DV292" i="27" s="1"/>
  <c r="DT291" i="27"/>
  <c r="DV291" i="27" s="1"/>
  <c r="CD25" i="27"/>
  <c r="CK25" i="27"/>
  <c r="CD37" i="27"/>
  <c r="CK37" i="27"/>
  <c r="CD49" i="27"/>
  <c r="CK49" i="27"/>
  <c r="CD61" i="27"/>
  <c r="CK61" i="27"/>
  <c r="CD73" i="27"/>
  <c r="CK73" i="27"/>
  <c r="CD85" i="27"/>
  <c r="CK85" i="27"/>
  <c r="CD97" i="27"/>
  <c r="CK97" i="27"/>
  <c r="CD109" i="27"/>
  <c r="CK109" i="27"/>
  <c r="CD121" i="27"/>
  <c r="CK121" i="27"/>
  <c r="CD133" i="27"/>
  <c r="CK133" i="27"/>
  <c r="CD145" i="27"/>
  <c r="CK145" i="27"/>
  <c r="CD157" i="27"/>
  <c r="CK157" i="27"/>
  <c r="CD169" i="27"/>
  <c r="CK169" i="27"/>
  <c r="CD181" i="27"/>
  <c r="CK181" i="27"/>
  <c r="CD193" i="27"/>
  <c r="CK193" i="27"/>
  <c r="CD205" i="27"/>
  <c r="CK205" i="27"/>
  <c r="CD217" i="27"/>
  <c r="CK217" i="27"/>
  <c r="CD229" i="27"/>
  <c r="CK229" i="27"/>
  <c r="CD241" i="27"/>
  <c r="CK241" i="27"/>
  <c r="CD253" i="27"/>
  <c r="CK253" i="27"/>
  <c r="CD26" i="27"/>
  <c r="CK26" i="27"/>
  <c r="CD38" i="27"/>
  <c r="CK38" i="27"/>
  <c r="CD50" i="27"/>
  <c r="CK50" i="27"/>
  <c r="CD62" i="27"/>
  <c r="CK62" i="27"/>
  <c r="CD74" i="27"/>
  <c r="CK74" i="27"/>
  <c r="CD86" i="27"/>
  <c r="CK86" i="27"/>
  <c r="CD98" i="27"/>
  <c r="CK98" i="27"/>
  <c r="CD110" i="27"/>
  <c r="CK110" i="27"/>
  <c r="CD122" i="27"/>
  <c r="CK122" i="27"/>
  <c r="CD134" i="27"/>
  <c r="CK134" i="27"/>
  <c r="CD146" i="27"/>
  <c r="CK146" i="27"/>
  <c r="CD158" i="27"/>
  <c r="CK158" i="27"/>
  <c r="CD170" i="27"/>
  <c r="CK170" i="27"/>
  <c r="CD182" i="27"/>
  <c r="CK182" i="27"/>
  <c r="CD194" i="27"/>
  <c r="CK194" i="27"/>
  <c r="CD206" i="27"/>
  <c r="CK206" i="27"/>
  <c r="CD218" i="27"/>
  <c r="CK218" i="27"/>
  <c r="CD230" i="27"/>
  <c r="CK230" i="27"/>
  <c r="CD242" i="27"/>
  <c r="CK242" i="27"/>
  <c r="CD254" i="27"/>
  <c r="CK254" i="27"/>
  <c r="CK27" i="27"/>
  <c r="CD27" i="27"/>
  <c r="CK39" i="27"/>
  <c r="CD39" i="27"/>
  <c r="CK51" i="27"/>
  <c r="CD51" i="27"/>
  <c r="CK63" i="27"/>
  <c r="CD63" i="27"/>
  <c r="CK75" i="27"/>
  <c r="CD75" i="27"/>
  <c r="CK87" i="27"/>
  <c r="CD87" i="27"/>
  <c r="CK99" i="27"/>
  <c r="CD99" i="27"/>
  <c r="CK111" i="27"/>
  <c r="CD111" i="27"/>
  <c r="CK123" i="27"/>
  <c r="CD123" i="27"/>
  <c r="CK135" i="27"/>
  <c r="CD135" i="27"/>
  <c r="CK147" i="27"/>
  <c r="CD147" i="27"/>
  <c r="CK159" i="27"/>
  <c r="CD159" i="27"/>
  <c r="CK171" i="27"/>
  <c r="CD171" i="27"/>
  <c r="CK183" i="27"/>
  <c r="CD183" i="27"/>
  <c r="CK195" i="27"/>
  <c r="CD195" i="27"/>
  <c r="CK207" i="27"/>
  <c r="CD207" i="27"/>
  <c r="CK219" i="27"/>
  <c r="CD219" i="27"/>
  <c r="CK231" i="27"/>
  <c r="CD231" i="27"/>
  <c r="CK243" i="27"/>
  <c r="CD243" i="27"/>
  <c r="CK255" i="27"/>
  <c r="CD255" i="27"/>
  <c r="CK28" i="27"/>
  <c r="CD28" i="27"/>
  <c r="CK40" i="27"/>
  <c r="CD40" i="27"/>
  <c r="CK52" i="27"/>
  <c r="CD52" i="27"/>
  <c r="CK64" i="27"/>
  <c r="CD64" i="27"/>
  <c r="CK76" i="27"/>
  <c r="CD76" i="27"/>
  <c r="CK88" i="27"/>
  <c r="CD88" i="27"/>
  <c r="CK100" i="27"/>
  <c r="CD100" i="27"/>
  <c r="CK112" i="27"/>
  <c r="CD112" i="27"/>
  <c r="CK124" i="27"/>
  <c r="CD124" i="27"/>
  <c r="CK136" i="27"/>
  <c r="CD136" i="27"/>
  <c r="CK148" i="27"/>
  <c r="CD148" i="27"/>
  <c r="CK160" i="27"/>
  <c r="CD160" i="27"/>
  <c r="CK172" i="27"/>
  <c r="CD172" i="27"/>
  <c r="CK184" i="27"/>
  <c r="CD184" i="27"/>
  <c r="CK196" i="27"/>
  <c r="CD196" i="27"/>
  <c r="CK208" i="27"/>
  <c r="CD208" i="27"/>
  <c r="CK220" i="27"/>
  <c r="CD220" i="27"/>
  <c r="CK232" i="27"/>
  <c r="CD232" i="27"/>
  <c r="CK244" i="27"/>
  <c r="CD244" i="27"/>
  <c r="CK256" i="27"/>
  <c r="CD256" i="27"/>
  <c r="CK29" i="27"/>
  <c r="CD29" i="27"/>
  <c r="CK41" i="27"/>
  <c r="CD41" i="27"/>
  <c r="CK53" i="27"/>
  <c r="CD53" i="27"/>
  <c r="CK65" i="27"/>
  <c r="CD65" i="27"/>
  <c r="CK77" i="27"/>
  <c r="CD77" i="27"/>
  <c r="CK89" i="27"/>
  <c r="CD89" i="27"/>
  <c r="CK101" i="27"/>
  <c r="CD101" i="27"/>
  <c r="CK113" i="27"/>
  <c r="CD113" i="27"/>
  <c r="CK125" i="27"/>
  <c r="CD125" i="27"/>
  <c r="CK137" i="27"/>
  <c r="CD137" i="27"/>
  <c r="CK149" i="27"/>
  <c r="CD149" i="27"/>
  <c r="CK161" i="27"/>
  <c r="CD161" i="27"/>
  <c r="CK173" i="27"/>
  <c r="CD173" i="27"/>
  <c r="CK185" i="27"/>
  <c r="CD185" i="27"/>
  <c r="CK197" i="27"/>
  <c r="CD197" i="27"/>
  <c r="CK209" i="27"/>
  <c r="CD209" i="27"/>
  <c r="CK221" i="27"/>
  <c r="CD221" i="27"/>
  <c r="CK233" i="27"/>
  <c r="CD233" i="27"/>
  <c r="CK245" i="27"/>
  <c r="CD245" i="27"/>
  <c r="CK257" i="27"/>
  <c r="CD257" i="27"/>
  <c r="CK30" i="27"/>
  <c r="CD30" i="27"/>
  <c r="CK42" i="27"/>
  <c r="CD42" i="27"/>
  <c r="CK54" i="27"/>
  <c r="CD54" i="27"/>
  <c r="CK66" i="27"/>
  <c r="CD66" i="27"/>
  <c r="CK78" i="27"/>
  <c r="CD78" i="27"/>
  <c r="CK90" i="27"/>
  <c r="CD90" i="27"/>
  <c r="CK102" i="27"/>
  <c r="CD102" i="27"/>
  <c r="CK114" i="27"/>
  <c r="CD114" i="27"/>
  <c r="CK126" i="27"/>
  <c r="CD126" i="27"/>
  <c r="CK138" i="27"/>
  <c r="CD138" i="27"/>
  <c r="CK150" i="27"/>
  <c r="CD150" i="27"/>
  <c r="CK162" i="27"/>
  <c r="CD162" i="27"/>
  <c r="CK174" i="27"/>
  <c r="CD174" i="27"/>
  <c r="CK186" i="27"/>
  <c r="CD186" i="27"/>
  <c r="CK198" i="27"/>
  <c r="CD198" i="27"/>
  <c r="CK210" i="27"/>
  <c r="CD210" i="27"/>
  <c r="CK222" i="27"/>
  <c r="CD222" i="27"/>
  <c r="CK234" i="27"/>
  <c r="CD234" i="27"/>
  <c r="CK246" i="27"/>
  <c r="CD246" i="27"/>
  <c r="CK258" i="27"/>
  <c r="CD258" i="27"/>
  <c r="CK19" i="27"/>
  <c r="CD19" i="27"/>
  <c r="CK31" i="27"/>
  <c r="CD31" i="27"/>
  <c r="CK43" i="27"/>
  <c r="CD43" i="27"/>
  <c r="CK55" i="27"/>
  <c r="CD55" i="27"/>
  <c r="CK67" i="27"/>
  <c r="CD67" i="27"/>
  <c r="CK79" i="27"/>
  <c r="CD79" i="27"/>
  <c r="CK91" i="27"/>
  <c r="CD91" i="27"/>
  <c r="CK103" i="27"/>
  <c r="CD103" i="27"/>
  <c r="CK115" i="27"/>
  <c r="CD115" i="27"/>
  <c r="CK127" i="27"/>
  <c r="CD127" i="27"/>
  <c r="CK139" i="27"/>
  <c r="CD139" i="27"/>
  <c r="CK151" i="27"/>
  <c r="CD151" i="27"/>
  <c r="CK163" i="27"/>
  <c r="CD163" i="27"/>
  <c r="CK175" i="27"/>
  <c r="CD175" i="27"/>
  <c r="CK187" i="27"/>
  <c r="CD187" i="27"/>
  <c r="CK199" i="27"/>
  <c r="CD199" i="27"/>
  <c r="CK211" i="27"/>
  <c r="CD211" i="27"/>
  <c r="CK223" i="27"/>
  <c r="CD223" i="27"/>
  <c r="CK235" i="27"/>
  <c r="CD235" i="27"/>
  <c r="CK247" i="27"/>
  <c r="CD247" i="27"/>
  <c r="CK259" i="27"/>
  <c r="CD259" i="27"/>
  <c r="CK20" i="27"/>
  <c r="CD20" i="27"/>
  <c r="CK32" i="27"/>
  <c r="CD32" i="27"/>
  <c r="CK44" i="27"/>
  <c r="CD44" i="27"/>
  <c r="CK56" i="27"/>
  <c r="CD56" i="27"/>
  <c r="CK68" i="27"/>
  <c r="CD68" i="27"/>
  <c r="CK80" i="27"/>
  <c r="CD80" i="27"/>
  <c r="CK92" i="27"/>
  <c r="CD92" i="27"/>
  <c r="CK104" i="27"/>
  <c r="CD104" i="27"/>
  <c r="CK116" i="27"/>
  <c r="CD116" i="27"/>
  <c r="CK128" i="27"/>
  <c r="CD128" i="27"/>
  <c r="CK140" i="27"/>
  <c r="CD140" i="27"/>
  <c r="CK152" i="27"/>
  <c r="CD152" i="27"/>
  <c r="CK164" i="27"/>
  <c r="CD164" i="27"/>
  <c r="CK176" i="27"/>
  <c r="CD176" i="27"/>
  <c r="CK188" i="27"/>
  <c r="CD188" i="27"/>
  <c r="CK200" i="27"/>
  <c r="CD200" i="27"/>
  <c r="CK212" i="27"/>
  <c r="CD212" i="27"/>
  <c r="CK224" i="27"/>
  <c r="CD224" i="27"/>
  <c r="CK236" i="27"/>
  <c r="CD236" i="27"/>
  <c r="CK248" i="27"/>
  <c r="CD248" i="27"/>
  <c r="CK260" i="27"/>
  <c r="CD260" i="27"/>
  <c r="CK21" i="27"/>
  <c r="CD21" i="27"/>
  <c r="CK33" i="27"/>
  <c r="CD33" i="27"/>
  <c r="CK45" i="27"/>
  <c r="CD45" i="27"/>
  <c r="CK57" i="27"/>
  <c r="CD57" i="27"/>
  <c r="CK69" i="27"/>
  <c r="CD69" i="27"/>
  <c r="CK81" i="27"/>
  <c r="CD81" i="27"/>
  <c r="CK93" i="27"/>
  <c r="CD93" i="27"/>
  <c r="CK105" i="27"/>
  <c r="CD105" i="27"/>
  <c r="CK117" i="27"/>
  <c r="CD117" i="27"/>
  <c r="CK129" i="27"/>
  <c r="CD129" i="27"/>
  <c r="CK141" i="27"/>
  <c r="CD141" i="27"/>
  <c r="CK153" i="27"/>
  <c r="CD153" i="27"/>
  <c r="CK165" i="27"/>
  <c r="CD165" i="27"/>
  <c r="CK177" i="27"/>
  <c r="CD177" i="27"/>
  <c r="CK189" i="27"/>
  <c r="CD189" i="27"/>
  <c r="CK201" i="27"/>
  <c r="CD201" i="27"/>
  <c r="CK213" i="27"/>
  <c r="CD213" i="27"/>
  <c r="CK225" i="27"/>
  <c r="CD225" i="27"/>
  <c r="CK237" i="27"/>
  <c r="CD237" i="27"/>
  <c r="CK249" i="27"/>
  <c r="CD249" i="27"/>
  <c r="CK261" i="27"/>
  <c r="CD261" i="27"/>
  <c r="CK22" i="27"/>
  <c r="CD22" i="27"/>
  <c r="CK34" i="27"/>
  <c r="CD34" i="27"/>
  <c r="CK46" i="27"/>
  <c r="CD46" i="27"/>
  <c r="CK58" i="27"/>
  <c r="CD58" i="27"/>
  <c r="CK70" i="27"/>
  <c r="CD70" i="27"/>
  <c r="CK82" i="27"/>
  <c r="CD82" i="27"/>
  <c r="CK94" i="27"/>
  <c r="CD94" i="27"/>
  <c r="CK106" i="27"/>
  <c r="CD106" i="27"/>
  <c r="CK118" i="27"/>
  <c r="CD118" i="27"/>
  <c r="CK130" i="27"/>
  <c r="CD130" i="27"/>
  <c r="CK142" i="27"/>
  <c r="CD142" i="27"/>
  <c r="CK154" i="27"/>
  <c r="CD154" i="27"/>
  <c r="CK166" i="27"/>
  <c r="CD166" i="27"/>
  <c r="CK178" i="27"/>
  <c r="CD178" i="27"/>
  <c r="CK190" i="27"/>
  <c r="CD190" i="27"/>
  <c r="CK202" i="27"/>
  <c r="CD202" i="27"/>
  <c r="CK214" i="27"/>
  <c r="CD214" i="27"/>
  <c r="CK226" i="27"/>
  <c r="CD226" i="27"/>
  <c r="CK238" i="27"/>
  <c r="CD238" i="27"/>
  <c r="CK250" i="27"/>
  <c r="CD250" i="27"/>
  <c r="CK23" i="27"/>
  <c r="CD23" i="27"/>
  <c r="CK35" i="27"/>
  <c r="CD35" i="27"/>
  <c r="CK47" i="27"/>
  <c r="CD47" i="27"/>
  <c r="CK59" i="27"/>
  <c r="CD59" i="27"/>
  <c r="CK71" i="27"/>
  <c r="CD71" i="27"/>
  <c r="CK83" i="27"/>
  <c r="CD83" i="27"/>
  <c r="CK95" i="27"/>
  <c r="CD95" i="27"/>
  <c r="CK107" i="27"/>
  <c r="CD107" i="27"/>
  <c r="CK119" i="27"/>
  <c r="CD119" i="27"/>
  <c r="CK131" i="27"/>
  <c r="CD131" i="27"/>
  <c r="CK143" i="27"/>
  <c r="CD143" i="27"/>
  <c r="CK155" i="27"/>
  <c r="CD155" i="27"/>
  <c r="CK167" i="27"/>
  <c r="CD167" i="27"/>
  <c r="CK179" i="27"/>
  <c r="CD179" i="27"/>
  <c r="CK191" i="27"/>
  <c r="CD191" i="27"/>
  <c r="CK203" i="27"/>
  <c r="CD203" i="27"/>
  <c r="CK215" i="27"/>
  <c r="CD215" i="27"/>
  <c r="CK227" i="27"/>
  <c r="CD227" i="27"/>
  <c r="CK239" i="27"/>
  <c r="CD239" i="27"/>
  <c r="CK251" i="27"/>
  <c r="CD251" i="27"/>
  <c r="CD24" i="27"/>
  <c r="CK24" i="27"/>
  <c r="CD36" i="27"/>
  <c r="CK36" i="27"/>
  <c r="CK48" i="27"/>
  <c r="CD48" i="27"/>
  <c r="CD60" i="27"/>
  <c r="CK60" i="27"/>
  <c r="CK72" i="27"/>
  <c r="CD72" i="27"/>
  <c r="CD84" i="27"/>
  <c r="CK84" i="27"/>
  <c r="CD96" i="27"/>
  <c r="CK96" i="27"/>
  <c r="CK108" i="27"/>
  <c r="CD108" i="27"/>
  <c r="CD120" i="27"/>
  <c r="CK120" i="27"/>
  <c r="CK132" i="27"/>
  <c r="CD132" i="27"/>
  <c r="CD144" i="27"/>
  <c r="CK144" i="27"/>
  <c r="CD156" i="27"/>
  <c r="CK156" i="27"/>
  <c r="CK168" i="27"/>
  <c r="CD168" i="27"/>
  <c r="CD180" i="27"/>
  <c r="CK180" i="27"/>
  <c r="CD192" i="27"/>
  <c r="CK192" i="27"/>
  <c r="CK204" i="27"/>
  <c r="CD204" i="27"/>
  <c r="CD216" i="27"/>
  <c r="CK216" i="27"/>
  <c r="CK228" i="27"/>
  <c r="CD228" i="27"/>
  <c r="CD240" i="27"/>
  <c r="CK240" i="27"/>
  <c r="CD252" i="27"/>
  <c r="CK252" i="27"/>
  <c r="CM289" i="27"/>
  <c r="O337" i="2"/>
  <c r="Q83" i="1"/>
  <c r="AJ83" i="1" s="1"/>
  <c r="CL289" i="27"/>
  <c r="U287" i="27"/>
  <c r="Q80" i="1"/>
  <c r="AJ80" i="1" s="1"/>
  <c r="T81" i="1"/>
  <c r="AG81" i="1"/>
  <c r="T82" i="1"/>
  <c r="AG82" i="1"/>
  <c r="Q81" i="1"/>
  <c r="R81" i="1" s="1"/>
  <c r="U81" i="1" s="1"/>
  <c r="T83" i="1"/>
  <c r="AG83" i="1"/>
  <c r="Q82" i="1"/>
  <c r="AD82" i="1" s="1"/>
  <c r="T80" i="1"/>
  <c r="AG80" i="1"/>
  <c r="F335" i="2"/>
  <c r="W81" i="1"/>
  <c r="X81" i="1" s="1"/>
  <c r="F19" i="25"/>
  <c r="V287" i="27"/>
  <c r="T287" i="27"/>
  <c r="W287" i="27"/>
  <c r="Y287" i="27"/>
  <c r="G287" i="27"/>
  <c r="F287" i="27"/>
  <c r="H287" i="27"/>
  <c r="I287" i="27"/>
  <c r="K287" i="27"/>
  <c r="S287" i="27"/>
  <c r="AE287" i="27"/>
  <c r="AF287" i="27"/>
  <c r="J287" i="27"/>
  <c r="X287" i="27"/>
  <c r="L287" i="27"/>
  <c r="AA287" i="27"/>
  <c r="M287" i="27"/>
  <c r="AB287" i="27"/>
  <c r="N287" i="27"/>
  <c r="AC287" i="27"/>
  <c r="P287" i="27"/>
  <c r="AD287" i="27"/>
  <c r="Q287" i="27"/>
  <c r="N83" i="1"/>
  <c r="O83" i="1" s="1"/>
  <c r="P83" i="1" s="1"/>
  <c r="AE83" i="1" s="1"/>
  <c r="N82" i="1"/>
  <c r="O82" i="1" s="1"/>
  <c r="P82" i="1" s="1"/>
  <c r="AE82" i="1" s="1"/>
  <c r="N81" i="1"/>
  <c r="O81" i="1" s="1"/>
  <c r="P81" i="1" s="1"/>
  <c r="AE81" i="1" s="1"/>
  <c r="W83" i="1"/>
  <c r="X83" i="1" s="1"/>
  <c r="N80" i="1"/>
  <c r="O80" i="1" s="1"/>
  <c r="P80" i="1" s="1"/>
  <c r="AE80" i="1" s="1"/>
  <c r="W82" i="1"/>
  <c r="X82" i="1" s="1"/>
  <c r="W80" i="1"/>
  <c r="X80" i="1" s="1"/>
  <c r="DV290" i="27" l="1"/>
  <c r="R83" i="1"/>
  <c r="U83" i="1" s="1"/>
  <c r="AJ82" i="1"/>
  <c r="R82" i="1"/>
  <c r="U82" i="1" s="1"/>
  <c r="AD80" i="1"/>
  <c r="AF83" i="1"/>
  <c r="AF82" i="1"/>
  <c r="DQ291" i="27"/>
  <c r="DP291" i="27" a="1"/>
  <c r="DP291" i="27" s="1"/>
  <c r="DT289" i="27"/>
  <c r="DU289" i="27" s="1" a="1"/>
  <c r="DU289" i="27" s="1"/>
  <c r="DU291" i="27" a="1"/>
  <c r="DU291" i="27" s="1"/>
  <c r="DW290" i="27"/>
  <c r="DU292" i="27" a="1"/>
  <c r="DU292" i="27" s="1"/>
  <c r="DP290" i="27" a="1"/>
  <c r="DP290" i="27" s="1"/>
  <c r="DO289" i="27"/>
  <c r="DP292" i="27" a="1"/>
  <c r="DP292" i="27" s="1"/>
  <c r="R80" i="1"/>
  <c r="U80" i="1" s="1"/>
  <c r="AF80" i="1"/>
  <c r="AD83" i="1"/>
  <c r="BI287" i="27"/>
  <c r="BJ287" i="27"/>
  <c r="AJ81" i="1"/>
  <c r="AD81" i="1"/>
  <c r="AF81" i="1"/>
  <c r="DR291" i="27" l="1"/>
  <c r="DX290" i="27"/>
  <c r="DZ290" i="27" s="1"/>
  <c r="DP289" i="27" a="1"/>
  <c r="DP289" i="27" s="1"/>
  <c r="DR289" i="27" s="1"/>
  <c r="DW289" i="27"/>
  <c r="DW291" i="27"/>
  <c r="DQ289" i="27"/>
  <c r="CE287" i="27"/>
  <c r="DV289" i="27"/>
  <c r="DW292" i="27"/>
  <c r="DX292" i="27" s="1"/>
  <c r="BK287" i="27"/>
  <c r="DR292" i="27"/>
  <c r="DR290" i="27"/>
  <c r="CH287" i="27"/>
  <c r="CI287" i="27"/>
  <c r="CJ287" i="27"/>
  <c r="CK287" i="27"/>
  <c r="CG287" i="27"/>
  <c r="CD287" i="27"/>
  <c r="CF287" i="27"/>
  <c r="BT287" i="27"/>
  <c r="CA287" i="27"/>
  <c r="BN287" i="27"/>
  <c r="BV287" i="27"/>
  <c r="BQ287" i="27"/>
  <c r="CC287" i="27"/>
  <c r="CB287" i="27"/>
  <c r="BU287" i="27"/>
  <c r="BW287" i="27"/>
  <c r="BO287" i="27"/>
  <c r="BM287" i="27"/>
  <c r="BL287" i="27"/>
  <c r="BR287" i="27"/>
  <c r="BS287" i="27"/>
  <c r="BY287" i="27"/>
  <c r="BP287" i="27"/>
  <c r="BX287" i="27"/>
  <c r="A86" i="1"/>
  <c r="G86" i="1"/>
  <c r="AD86" i="1" s="1"/>
  <c r="J86" i="1"/>
  <c r="K86" i="1"/>
  <c r="V86" i="1"/>
  <c r="AB86" i="1" s="1"/>
  <c r="A85" i="1"/>
  <c r="G85" i="1"/>
  <c r="AD85" i="1" s="1"/>
  <c r="J85" i="1"/>
  <c r="K85" i="1"/>
  <c r="V85" i="1"/>
  <c r="AB85" i="1" s="1"/>
  <c r="A84" i="1"/>
  <c r="A336" i="2" s="1"/>
  <c r="G84" i="1"/>
  <c r="J84" i="1"/>
  <c r="K84" i="1"/>
  <c r="V84" i="1"/>
  <c r="AB84" i="1" s="1"/>
  <c r="H334" i="2"/>
  <c r="T10" i="29"/>
  <c r="AC10" i="29" s="1"/>
  <c r="N334" i="2"/>
  <c r="J370" i="2"/>
  <c r="DS291" i="27" l="1"/>
  <c r="DS289" i="27"/>
  <c r="DS290" i="27"/>
  <c r="DX289" i="27"/>
  <c r="DX291" i="27"/>
  <c r="DZ292" i="27"/>
  <c r="DS292" i="27"/>
  <c r="CL287" i="27"/>
  <c r="T85" i="1"/>
  <c r="AG85" i="1"/>
  <c r="T86" i="1"/>
  <c r="AG86" i="1"/>
  <c r="T84" i="1"/>
  <c r="AG84" i="1"/>
  <c r="CM287" i="27"/>
  <c r="R84" i="1"/>
  <c r="U84" i="1" s="1"/>
  <c r="F336" i="2"/>
  <c r="N86" i="1"/>
  <c r="O86" i="1" s="1"/>
  <c r="P86" i="1" s="1"/>
  <c r="AE86" i="1" s="1"/>
  <c r="N84" i="1"/>
  <c r="O84" i="1" s="1"/>
  <c r="P84" i="1" s="1"/>
  <c r="AE84" i="1" s="1"/>
  <c r="AF84" i="1" s="1"/>
  <c r="W85" i="1"/>
  <c r="X85" i="1" s="1"/>
  <c r="AJ85" i="1"/>
  <c r="N85" i="1"/>
  <c r="O85" i="1" s="1"/>
  <c r="P85" i="1" s="1"/>
  <c r="AE85" i="1" s="1"/>
  <c r="AF85" i="1" s="1"/>
  <c r="W86" i="1"/>
  <c r="X86" i="1" s="1"/>
  <c r="AJ86" i="1"/>
  <c r="Q86" i="1"/>
  <c r="R85" i="1"/>
  <c r="U85" i="1" s="1"/>
  <c r="AD84" i="1"/>
  <c r="AJ84" i="1"/>
  <c r="W84" i="1"/>
  <c r="X84" i="1" s="1"/>
  <c r="R30" i="29"/>
  <c r="S31" i="29"/>
  <c r="S30" i="29"/>
  <c r="T30" i="29"/>
  <c r="M26" i="29"/>
  <c r="M38" i="29"/>
  <c r="E38" i="29"/>
  <c r="A334" i="2"/>
  <c r="DY286" i="27"/>
  <c r="AH286" i="27"/>
  <c r="AI286" i="27"/>
  <c r="AJ286" i="27"/>
  <c r="AK286" i="27"/>
  <c r="AL286" i="27"/>
  <c r="AM286" i="27"/>
  <c r="AN286" i="27"/>
  <c r="AO286" i="27"/>
  <c r="AP286" i="27"/>
  <c r="AR286" i="27"/>
  <c r="AS286" i="27"/>
  <c r="AT286" i="27"/>
  <c r="AU286" i="27"/>
  <c r="AV286" i="27"/>
  <c r="AX286" i="27"/>
  <c r="AY286" i="27"/>
  <c r="AZ286" i="27"/>
  <c r="BB286" i="27"/>
  <c r="BC286" i="27"/>
  <c r="BD286" i="27"/>
  <c r="BE286" i="27"/>
  <c r="BF286" i="27"/>
  <c r="BG286" i="27"/>
  <c r="V70" i="1"/>
  <c r="AB70" i="1" s="1"/>
  <c r="V71" i="1"/>
  <c r="AB71" i="1" s="1"/>
  <c r="V72" i="1"/>
  <c r="AB72" i="1" s="1"/>
  <c r="V73" i="1"/>
  <c r="AB73" i="1" s="1"/>
  <c r="V74" i="1"/>
  <c r="AB74" i="1" s="1"/>
  <c r="V75" i="1"/>
  <c r="AB75" i="1" s="1"/>
  <c r="V76" i="1"/>
  <c r="AB76" i="1" s="1"/>
  <c r="V77" i="1"/>
  <c r="AB77" i="1" s="1"/>
  <c r="V78" i="1"/>
  <c r="AB78" i="1" s="1"/>
  <c r="V79" i="1"/>
  <c r="AB79" i="1" s="1"/>
  <c r="G79" i="1"/>
  <c r="AD79" i="1" s="1"/>
  <c r="J79" i="1"/>
  <c r="K79" i="1"/>
  <c r="A78" i="1"/>
  <c r="A77" i="1"/>
  <c r="A76" i="1"/>
  <c r="A75" i="1"/>
  <c r="A74" i="1"/>
  <c r="A73" i="1"/>
  <c r="A72" i="1"/>
  <c r="A71" i="1"/>
  <c r="G76" i="1"/>
  <c r="Q76" i="1" s="1"/>
  <c r="G77" i="1"/>
  <c r="G78" i="1"/>
  <c r="AJ78" i="1" s="1"/>
  <c r="J76" i="1"/>
  <c r="J77" i="1"/>
  <c r="J78" i="1"/>
  <c r="K76" i="1"/>
  <c r="K77" i="1"/>
  <c r="K78" i="1"/>
  <c r="G73" i="1"/>
  <c r="AD73" i="1" s="1"/>
  <c r="G74" i="1"/>
  <c r="Q74" i="1" s="1"/>
  <c r="G75" i="1"/>
  <c r="AD75" i="1" s="1"/>
  <c r="J73" i="1"/>
  <c r="J74" i="1"/>
  <c r="J75" i="1"/>
  <c r="K73" i="1"/>
  <c r="K74" i="1"/>
  <c r="K75" i="1"/>
  <c r="G72" i="1"/>
  <c r="AD72" i="1" s="1"/>
  <c r="J72" i="1"/>
  <c r="K72" i="1"/>
  <c r="G71" i="1"/>
  <c r="Q71" i="1" s="1"/>
  <c r="J71" i="1"/>
  <c r="K71" i="1"/>
  <c r="A70" i="1"/>
  <c r="G70" i="1"/>
  <c r="J70" i="1"/>
  <c r="AG70" i="1" s="1"/>
  <c r="K70" i="1"/>
  <c r="G58" i="1"/>
  <c r="Q58" i="1" s="1"/>
  <c r="J58" i="1"/>
  <c r="K58" i="1"/>
  <c r="V58" i="1"/>
  <c r="AB58" i="1" s="1"/>
  <c r="G59" i="1"/>
  <c r="Q59" i="1" s="1"/>
  <c r="R59" i="1" s="1"/>
  <c r="U59" i="1" s="1"/>
  <c r="J59" i="1"/>
  <c r="K59" i="1"/>
  <c r="V59" i="1"/>
  <c r="AB59" i="1" s="1"/>
  <c r="G60" i="1"/>
  <c r="Q60" i="1" s="1"/>
  <c r="J60" i="1"/>
  <c r="K60" i="1"/>
  <c r="V60" i="1"/>
  <c r="AB60" i="1" s="1"/>
  <c r="A61" i="1"/>
  <c r="A62" i="1"/>
  <c r="A63" i="1"/>
  <c r="G61" i="1"/>
  <c r="Q61" i="1" s="1"/>
  <c r="R61" i="1" s="1"/>
  <c r="U61" i="1" s="1"/>
  <c r="G62" i="1"/>
  <c r="AD62" i="1" s="1"/>
  <c r="G63" i="1"/>
  <c r="Q63" i="1" s="1"/>
  <c r="J61" i="1"/>
  <c r="AG61" i="1" s="1"/>
  <c r="J62" i="1"/>
  <c r="AG62" i="1" s="1"/>
  <c r="J63" i="1"/>
  <c r="K61" i="1"/>
  <c r="K62" i="1"/>
  <c r="K63" i="1"/>
  <c r="V61" i="1"/>
  <c r="AB61" i="1" s="1"/>
  <c r="V62" i="1"/>
  <c r="AB62" i="1" s="1"/>
  <c r="V63" i="1"/>
  <c r="AB63" i="1" s="1"/>
  <c r="A64" i="1"/>
  <c r="G64" i="1"/>
  <c r="AD64" i="1" s="1"/>
  <c r="J64" i="1"/>
  <c r="K64" i="1"/>
  <c r="V64" i="1"/>
  <c r="AB64" i="1" s="1"/>
  <c r="A65" i="1"/>
  <c r="G65" i="1"/>
  <c r="Q65" i="1" s="1"/>
  <c r="R65" i="1" s="1"/>
  <c r="U65" i="1" s="1"/>
  <c r="J65" i="1"/>
  <c r="K65" i="1"/>
  <c r="V65" i="1"/>
  <c r="AB65" i="1" s="1"/>
  <c r="A66" i="1"/>
  <c r="G66" i="1"/>
  <c r="AJ66" i="1" s="1"/>
  <c r="J66" i="1"/>
  <c r="K66" i="1"/>
  <c r="V66" i="1"/>
  <c r="AB66" i="1" s="1"/>
  <c r="EA290" i="27" l="1"/>
  <c r="DT287" i="27"/>
  <c r="DZ291" i="27"/>
  <c r="DO287" i="27"/>
  <c r="DP287" i="27" s="1" a="1"/>
  <c r="DP287" i="27" s="1"/>
  <c r="DZ289" i="27"/>
  <c r="EA292" i="27"/>
  <c r="DU287" i="27" a="1"/>
  <c r="DU287" i="27" s="1"/>
  <c r="T76" i="1"/>
  <c r="AG76" i="1"/>
  <c r="T65" i="1"/>
  <c r="AG65" i="1"/>
  <c r="T75" i="1"/>
  <c r="AG75" i="1"/>
  <c r="W79" i="1"/>
  <c r="X79" i="1" s="1"/>
  <c r="AG79" i="1"/>
  <c r="T60" i="1"/>
  <c r="AG60" i="1"/>
  <c r="T74" i="1"/>
  <c r="AG74" i="1"/>
  <c r="T77" i="1"/>
  <c r="AG77" i="1"/>
  <c r="T63" i="1"/>
  <c r="AG63" i="1"/>
  <c r="T73" i="1"/>
  <c r="AG73" i="1"/>
  <c r="T58" i="1"/>
  <c r="AG58" i="1"/>
  <c r="T71" i="1"/>
  <c r="AG71" i="1"/>
  <c r="T78" i="1"/>
  <c r="AG78" i="1"/>
  <c r="T64" i="1"/>
  <c r="AG64" i="1"/>
  <c r="T59" i="1"/>
  <c r="AG59" i="1"/>
  <c r="T66" i="1"/>
  <c r="AG66" i="1"/>
  <c r="W72" i="1"/>
  <c r="X72" i="1" s="1"/>
  <c r="AG72" i="1"/>
  <c r="AD70" i="1"/>
  <c r="F334" i="2"/>
  <c r="AF86" i="1"/>
  <c r="N77" i="1"/>
  <c r="O77" i="1" s="1"/>
  <c r="P77" i="1" s="1"/>
  <c r="AE77" i="1" s="1"/>
  <c r="N78" i="1"/>
  <c r="O78" i="1" s="1"/>
  <c r="P78" i="1" s="1"/>
  <c r="AE78" i="1" s="1"/>
  <c r="R86" i="1"/>
  <c r="U86" i="1" s="1"/>
  <c r="C20" i="25" s="1"/>
  <c r="C21" i="25" s="1"/>
  <c r="T70" i="1"/>
  <c r="W70" i="1"/>
  <c r="X70" i="1" s="1"/>
  <c r="N74" i="1"/>
  <c r="O74" i="1" s="1"/>
  <c r="P74" i="1" s="1"/>
  <c r="AE74" i="1" s="1"/>
  <c r="AF74" i="1" s="1"/>
  <c r="Q79" i="1"/>
  <c r="R79" i="1" s="1"/>
  <c r="U79" i="1" s="1"/>
  <c r="Q78" i="1"/>
  <c r="R78" i="1" s="1"/>
  <c r="U78" i="1" s="1"/>
  <c r="Q73" i="1"/>
  <c r="R73" i="1" s="1"/>
  <c r="U73" i="1" s="1"/>
  <c r="Q75" i="1"/>
  <c r="R75" i="1" s="1"/>
  <c r="U75" i="1" s="1"/>
  <c r="Q72" i="1"/>
  <c r="R72" i="1" s="1"/>
  <c r="U72" i="1" s="1"/>
  <c r="R74" i="1"/>
  <c r="U74" i="1" s="1"/>
  <c r="Q77" i="1"/>
  <c r="R77" i="1" s="1"/>
  <c r="U77" i="1" s="1"/>
  <c r="Q70" i="1"/>
  <c r="R70" i="1" s="1"/>
  <c r="U70" i="1" s="1"/>
  <c r="N70" i="1"/>
  <c r="O70" i="1" s="1"/>
  <c r="P70" i="1" s="1"/>
  <c r="AE70" i="1" s="1"/>
  <c r="AJ72" i="1"/>
  <c r="N64" i="1"/>
  <c r="O64" i="1" s="1"/>
  <c r="P64" i="1" s="1"/>
  <c r="AE64" i="1" s="1"/>
  <c r="N59" i="1"/>
  <c r="O59" i="1" s="1"/>
  <c r="P59" i="1" s="1"/>
  <c r="AE59" i="1" s="1"/>
  <c r="AF59" i="1" s="1"/>
  <c r="W74" i="1"/>
  <c r="X74" i="1" s="1"/>
  <c r="AD71" i="1"/>
  <c r="R71" i="1"/>
  <c r="U71" i="1" s="1"/>
  <c r="AJ71" i="1"/>
  <c r="W76" i="1"/>
  <c r="X76" i="1" s="1"/>
  <c r="T72" i="1"/>
  <c r="W75" i="1"/>
  <c r="X75" i="1" s="1"/>
  <c r="AJ76" i="1"/>
  <c r="AD58" i="1"/>
  <c r="W71" i="1"/>
  <c r="X71" i="1" s="1"/>
  <c r="N72" i="1"/>
  <c r="O72" i="1" s="1"/>
  <c r="P72" i="1" s="1"/>
  <c r="AE72" i="1" s="1"/>
  <c r="N75" i="1"/>
  <c r="O75" i="1" s="1"/>
  <c r="P75" i="1" s="1"/>
  <c r="AE75" i="1" s="1"/>
  <c r="AD76" i="1"/>
  <c r="N76" i="1"/>
  <c r="O76" i="1" s="1"/>
  <c r="P76" i="1" s="1"/>
  <c r="AE76" i="1" s="1"/>
  <c r="AD77" i="1"/>
  <c r="AJ60" i="1"/>
  <c r="W58" i="1"/>
  <c r="X58" i="1" s="1"/>
  <c r="AJ77" i="1"/>
  <c r="R76" i="1"/>
  <c r="U76" i="1" s="1"/>
  <c r="AJ58" i="1"/>
  <c r="N62" i="1"/>
  <c r="O62" i="1" s="1"/>
  <c r="P62" i="1" s="1"/>
  <c r="AE62" i="1" s="1"/>
  <c r="W60" i="1"/>
  <c r="X60" i="1" s="1"/>
  <c r="AJ73" i="1"/>
  <c r="N73" i="1"/>
  <c r="O73" i="1" s="1"/>
  <c r="P73" i="1" s="1"/>
  <c r="AE73" i="1" s="1"/>
  <c r="W78" i="1"/>
  <c r="X78" i="1" s="1"/>
  <c r="W77" i="1"/>
  <c r="X77" i="1" s="1"/>
  <c r="AD74" i="1"/>
  <c r="N60" i="1"/>
  <c r="O60" i="1" s="1"/>
  <c r="P60" i="1" s="1"/>
  <c r="AE60" i="1" s="1"/>
  <c r="AF60" i="1" s="1"/>
  <c r="N58" i="1"/>
  <c r="O58" i="1" s="1"/>
  <c r="P58" i="1" s="1"/>
  <c r="AE58" i="1" s="1"/>
  <c r="AF58" i="1" s="1"/>
  <c r="N79" i="1"/>
  <c r="O79" i="1" s="1"/>
  <c r="P79" i="1" s="1"/>
  <c r="AE79" i="1" s="1"/>
  <c r="AJ79" i="1"/>
  <c r="T79" i="1"/>
  <c r="AD78" i="1"/>
  <c r="AJ75" i="1"/>
  <c r="AJ74" i="1"/>
  <c r="W73" i="1"/>
  <c r="X73" i="1" s="1"/>
  <c r="N71" i="1"/>
  <c r="O71" i="1" s="1"/>
  <c r="P71" i="1" s="1"/>
  <c r="AE71" i="1" s="1"/>
  <c r="AF71" i="1" s="1"/>
  <c r="AJ70" i="1"/>
  <c r="R58" i="1"/>
  <c r="U58" i="1" s="1"/>
  <c r="AD60" i="1"/>
  <c r="R60" i="1"/>
  <c r="U60" i="1" s="1"/>
  <c r="AJ59" i="1"/>
  <c r="AD59" i="1"/>
  <c r="W59" i="1"/>
  <c r="X59" i="1" s="1"/>
  <c r="N66" i="1"/>
  <c r="O66" i="1" s="1"/>
  <c r="P66" i="1" s="1"/>
  <c r="AE66" i="1" s="1"/>
  <c r="N61" i="1"/>
  <c r="O61" i="1" s="1"/>
  <c r="P61" i="1" s="1"/>
  <c r="AE61" i="1" s="1"/>
  <c r="AF61" i="1" s="1"/>
  <c r="W62" i="1"/>
  <c r="X62" i="1" s="1"/>
  <c r="W61" i="1"/>
  <c r="X61" i="1" s="1"/>
  <c r="N65" i="1"/>
  <c r="O65" i="1" s="1"/>
  <c r="P65" i="1" s="1"/>
  <c r="AE65" i="1" s="1"/>
  <c r="AF65" i="1" s="1"/>
  <c r="N63" i="1"/>
  <c r="O63" i="1" s="1"/>
  <c r="P63" i="1" s="1"/>
  <c r="AE63" i="1" s="1"/>
  <c r="AF63" i="1" s="1"/>
  <c r="W66" i="1"/>
  <c r="X66" i="1" s="1"/>
  <c r="Q66" i="1"/>
  <c r="AD66" i="1"/>
  <c r="AJ65" i="1"/>
  <c r="AD65" i="1"/>
  <c r="W65" i="1"/>
  <c r="X65" i="1" s="1"/>
  <c r="W64" i="1"/>
  <c r="X64" i="1" s="1"/>
  <c r="Q64" i="1"/>
  <c r="AJ64" i="1"/>
  <c r="AJ63" i="1"/>
  <c r="W63" i="1"/>
  <c r="X63" i="1" s="1"/>
  <c r="AD63" i="1"/>
  <c r="R63" i="1"/>
  <c r="U63" i="1" s="1"/>
  <c r="T62" i="1"/>
  <c r="AJ62" i="1"/>
  <c r="Q62" i="1"/>
  <c r="T61" i="1"/>
  <c r="AJ61" i="1"/>
  <c r="AD61" i="1"/>
  <c r="DQ287" i="27" l="1"/>
  <c r="DW287" i="27"/>
  <c r="EA289" i="27"/>
  <c r="EA291" i="27"/>
  <c r="DR287" i="27"/>
  <c r="DV287" i="27"/>
  <c r="F21" i="25"/>
  <c r="F20" i="25"/>
  <c r="AF77" i="1"/>
  <c r="AF72" i="1"/>
  <c r="AF78" i="1"/>
  <c r="AF70" i="1"/>
  <c r="AF64" i="1"/>
  <c r="AF62" i="1"/>
  <c r="AF76" i="1"/>
  <c r="AF79" i="1"/>
  <c r="AF75" i="1"/>
  <c r="AF73" i="1"/>
  <c r="AF66" i="1"/>
  <c r="R64" i="1"/>
  <c r="U64" i="1" s="1"/>
  <c r="R66" i="1"/>
  <c r="U66" i="1" s="1"/>
  <c r="R62" i="1"/>
  <c r="U62" i="1" s="1"/>
  <c r="DX287" i="27" l="1"/>
  <c r="DZ287" i="27" s="1"/>
  <c r="DS287" i="27"/>
  <c r="DY285" i="27"/>
  <c r="AH285" i="27"/>
  <c r="AI285" i="27"/>
  <c r="AJ285" i="27"/>
  <c r="AK285" i="27"/>
  <c r="AL285" i="27"/>
  <c r="AM285" i="27"/>
  <c r="AN285" i="27"/>
  <c r="AO285" i="27"/>
  <c r="AP285" i="27"/>
  <c r="AR285" i="27"/>
  <c r="AS285" i="27"/>
  <c r="AT285" i="27"/>
  <c r="AU285" i="27"/>
  <c r="AV285" i="27"/>
  <c r="AX285" i="27"/>
  <c r="AY285" i="27"/>
  <c r="AZ285" i="27"/>
  <c r="BB285" i="27"/>
  <c r="BC285" i="27"/>
  <c r="BD285" i="27"/>
  <c r="BE285" i="27"/>
  <c r="BF285" i="27"/>
  <c r="BG285" i="27"/>
  <c r="C285" i="27"/>
  <c r="A69" i="1"/>
  <c r="G69" i="1"/>
  <c r="AJ69" i="1" s="1"/>
  <c r="J69" i="1"/>
  <c r="AG69" i="1" s="1"/>
  <c r="K69" i="1"/>
  <c r="V69" i="1"/>
  <c r="AB69" i="1" s="1"/>
  <c r="A68" i="1"/>
  <c r="G68" i="1"/>
  <c r="Q68" i="1" s="1"/>
  <c r="J68" i="1"/>
  <c r="K68" i="1"/>
  <c r="V68" i="1"/>
  <c r="AB68" i="1" s="1"/>
  <c r="A67" i="1"/>
  <c r="G67" i="1"/>
  <c r="AJ67" i="1" s="1"/>
  <c r="J67" i="1"/>
  <c r="K67" i="1"/>
  <c r="V67" i="1"/>
  <c r="AB67" i="1" s="1"/>
  <c r="V48" i="1"/>
  <c r="V49" i="1"/>
  <c r="V50" i="1"/>
  <c r="V51" i="1"/>
  <c r="V52" i="1"/>
  <c r="V53" i="1"/>
  <c r="V54" i="1"/>
  <c r="V55" i="1"/>
  <c r="V56" i="1"/>
  <c r="V57" i="1"/>
  <c r="N330" i="2"/>
  <c r="D285" i="27" l="1"/>
  <c r="E285" i="27"/>
  <c r="EA287" i="27"/>
  <c r="Y285" i="27"/>
  <c r="U285" i="27"/>
  <c r="T68" i="1"/>
  <c r="AG68" i="1"/>
  <c r="T67" i="1"/>
  <c r="AG67" i="1"/>
  <c r="L285" i="27"/>
  <c r="AF285" i="27"/>
  <c r="AE285" i="27"/>
  <c r="V285" i="27"/>
  <c r="T285" i="27"/>
  <c r="J285" i="27"/>
  <c r="K285" i="27"/>
  <c r="S285" i="27"/>
  <c r="I285" i="27"/>
  <c r="H285" i="27"/>
  <c r="G285" i="27"/>
  <c r="F285" i="27"/>
  <c r="Z285" i="27"/>
  <c r="X285" i="27"/>
  <c r="W285" i="27"/>
  <c r="R285" i="27"/>
  <c r="Q285" i="27"/>
  <c r="P285" i="27"/>
  <c r="N285" i="27"/>
  <c r="AD285" i="27"/>
  <c r="AB285" i="27"/>
  <c r="M285" i="27"/>
  <c r="AC285" i="27"/>
  <c r="AA285" i="27"/>
  <c r="N68" i="1"/>
  <c r="O68" i="1" s="1"/>
  <c r="P68" i="1" s="1"/>
  <c r="AE68" i="1" s="1"/>
  <c r="AF68" i="1" s="1"/>
  <c r="R68" i="1"/>
  <c r="U68" i="1" s="1"/>
  <c r="T69" i="1"/>
  <c r="W69" i="1"/>
  <c r="X69" i="1" s="1"/>
  <c r="AJ68" i="1"/>
  <c r="W67" i="1"/>
  <c r="X67" i="1" s="1"/>
  <c r="AD68" i="1"/>
  <c r="N69" i="1"/>
  <c r="O69" i="1" s="1"/>
  <c r="P69" i="1" s="1"/>
  <c r="AE69" i="1" s="1"/>
  <c r="W68" i="1"/>
  <c r="X68" i="1" s="1"/>
  <c r="AD67" i="1"/>
  <c r="N67" i="1"/>
  <c r="O67" i="1" s="1"/>
  <c r="P67" i="1" s="1"/>
  <c r="AE67" i="1" s="1"/>
  <c r="AD69" i="1"/>
  <c r="Q69" i="1"/>
  <c r="Q67" i="1"/>
  <c r="AB315" i="2"/>
  <c r="DY284" i="27"/>
  <c r="AH284" i="27"/>
  <c r="AI284" i="27"/>
  <c r="AJ284" i="27"/>
  <c r="AK284" i="27"/>
  <c r="AL284" i="27"/>
  <c r="AM284" i="27"/>
  <c r="AN284" i="27"/>
  <c r="AO284" i="27"/>
  <c r="AP284" i="27"/>
  <c r="AR284" i="27"/>
  <c r="AS284" i="27"/>
  <c r="AT284" i="27"/>
  <c r="AU284" i="27"/>
  <c r="AV284" i="27"/>
  <c r="AX284" i="27"/>
  <c r="AY284" i="27"/>
  <c r="AZ284" i="27"/>
  <c r="BB284" i="27"/>
  <c r="BC284" i="27"/>
  <c r="BD284" i="27"/>
  <c r="BE284" i="27"/>
  <c r="BF284" i="27"/>
  <c r="BG284" i="27"/>
  <c r="A56" i="1"/>
  <c r="A57" i="1"/>
  <c r="G57" i="1"/>
  <c r="Q57" i="1" s="1"/>
  <c r="R57" i="1" s="1"/>
  <c r="U57" i="1" s="1"/>
  <c r="J57" i="1"/>
  <c r="K57" i="1"/>
  <c r="AB57" i="1"/>
  <c r="G56" i="1"/>
  <c r="Q56" i="1" s="1"/>
  <c r="R56" i="1" s="1"/>
  <c r="U56" i="1" s="1"/>
  <c r="J56" i="1"/>
  <c r="K56" i="1"/>
  <c r="AB56" i="1"/>
  <c r="A55" i="1"/>
  <c r="G55" i="1"/>
  <c r="Q55" i="1" s="1"/>
  <c r="R55" i="1" s="1"/>
  <c r="U55" i="1" s="1"/>
  <c r="J55" i="1"/>
  <c r="K55" i="1"/>
  <c r="AB55" i="1"/>
  <c r="A54" i="1"/>
  <c r="G54" i="1"/>
  <c r="AJ54" i="1" s="1"/>
  <c r="J54" i="1"/>
  <c r="K54" i="1"/>
  <c r="AB54" i="1"/>
  <c r="A53" i="1"/>
  <c r="G53" i="1"/>
  <c r="Q53" i="1" s="1"/>
  <c r="R53" i="1" s="1"/>
  <c r="U53" i="1" s="1"/>
  <c r="J53" i="1"/>
  <c r="K53" i="1"/>
  <c r="AB53" i="1"/>
  <c r="AS73" i="27"/>
  <c r="AS74" i="27"/>
  <c r="AS75" i="27"/>
  <c r="AS76" i="27"/>
  <c r="AS77" i="27"/>
  <c r="AS78" i="27"/>
  <c r="AS79" i="27"/>
  <c r="AS80" i="27"/>
  <c r="AS81" i="27"/>
  <c r="AS82" i="27"/>
  <c r="AS83" i="27"/>
  <c r="AS84" i="27"/>
  <c r="AS85" i="27"/>
  <c r="AS86" i="27"/>
  <c r="AS87" i="27"/>
  <c r="AS88" i="27"/>
  <c r="AS89" i="27"/>
  <c r="AS90" i="27"/>
  <c r="AS91" i="27"/>
  <c r="AS92" i="27"/>
  <c r="AS93" i="27"/>
  <c r="AS94" i="27"/>
  <c r="AS95" i="27"/>
  <c r="AS96" i="27"/>
  <c r="AS97" i="27"/>
  <c r="AS98" i="27"/>
  <c r="AS99" i="27"/>
  <c r="AS100" i="27"/>
  <c r="AS101" i="27"/>
  <c r="AS102" i="27"/>
  <c r="AS103" i="27"/>
  <c r="AS104" i="27"/>
  <c r="AS105" i="27"/>
  <c r="AS106" i="27"/>
  <c r="AS107" i="27"/>
  <c r="AS108" i="27"/>
  <c r="AS109" i="27"/>
  <c r="AS110" i="27"/>
  <c r="AS111" i="27"/>
  <c r="AS112" i="27"/>
  <c r="AS113" i="27"/>
  <c r="AS114" i="27"/>
  <c r="AS115" i="27"/>
  <c r="AS116" i="27"/>
  <c r="AS117" i="27"/>
  <c r="AS118" i="27"/>
  <c r="AS119" i="27"/>
  <c r="AS120" i="27"/>
  <c r="AS121" i="27"/>
  <c r="AS122" i="27"/>
  <c r="AS123" i="27"/>
  <c r="AS124" i="27"/>
  <c r="AS125" i="27"/>
  <c r="AS126" i="27"/>
  <c r="AS127" i="27"/>
  <c r="AS128" i="27"/>
  <c r="AS129" i="27"/>
  <c r="AS130" i="27"/>
  <c r="AS131" i="27"/>
  <c r="AS132" i="27"/>
  <c r="AS133" i="27"/>
  <c r="AS134" i="27"/>
  <c r="AS135" i="27"/>
  <c r="AS136" i="27"/>
  <c r="AS137" i="27"/>
  <c r="AS138" i="27"/>
  <c r="AS139" i="27"/>
  <c r="AS140" i="27"/>
  <c r="AS141" i="27"/>
  <c r="AS142" i="27"/>
  <c r="AS143" i="27"/>
  <c r="AS144" i="27"/>
  <c r="AS145" i="27"/>
  <c r="AS146" i="27"/>
  <c r="AS147" i="27"/>
  <c r="AS148" i="27"/>
  <c r="AS149" i="27"/>
  <c r="AS150" i="27"/>
  <c r="AS151" i="27"/>
  <c r="AS152" i="27"/>
  <c r="AS153" i="27"/>
  <c r="AS154" i="27"/>
  <c r="AS155" i="27"/>
  <c r="AS156" i="27"/>
  <c r="AS157" i="27"/>
  <c r="AS158" i="27"/>
  <c r="AS159" i="27"/>
  <c r="AS160" i="27"/>
  <c r="AS161" i="27"/>
  <c r="AS162" i="27"/>
  <c r="AS163" i="27"/>
  <c r="AS164" i="27"/>
  <c r="AS165" i="27"/>
  <c r="AS166" i="27"/>
  <c r="AS167" i="27"/>
  <c r="AS168" i="27"/>
  <c r="AS169" i="27"/>
  <c r="AS170" i="27"/>
  <c r="AS171" i="27"/>
  <c r="AS172" i="27"/>
  <c r="AS173" i="27"/>
  <c r="AS174" i="27"/>
  <c r="AS175" i="27"/>
  <c r="AS176" i="27"/>
  <c r="AS177" i="27"/>
  <c r="AS178" i="27"/>
  <c r="AS179" i="27"/>
  <c r="AS180" i="27"/>
  <c r="AS181" i="27"/>
  <c r="AS182" i="27"/>
  <c r="AS183" i="27"/>
  <c r="AS184" i="27"/>
  <c r="AS185" i="27"/>
  <c r="AS186" i="27"/>
  <c r="AS187" i="27"/>
  <c r="AS188" i="27"/>
  <c r="AS189" i="27"/>
  <c r="AS190" i="27"/>
  <c r="AS191" i="27"/>
  <c r="AS192" i="27"/>
  <c r="AS193" i="27"/>
  <c r="AS194" i="27"/>
  <c r="AS195" i="27"/>
  <c r="AS196" i="27"/>
  <c r="AS197" i="27"/>
  <c r="AS198" i="27"/>
  <c r="AS199" i="27"/>
  <c r="AS200" i="27"/>
  <c r="AS201" i="27"/>
  <c r="AS202" i="27"/>
  <c r="AS203" i="27"/>
  <c r="AS204" i="27"/>
  <c r="AS205" i="27"/>
  <c r="AS206" i="27"/>
  <c r="AS207" i="27"/>
  <c r="AS208" i="27"/>
  <c r="AS209" i="27"/>
  <c r="AS210" i="27"/>
  <c r="AS211" i="27"/>
  <c r="AS212" i="27"/>
  <c r="AS213" i="27"/>
  <c r="AS214" i="27"/>
  <c r="AS215" i="27"/>
  <c r="AS216" i="27"/>
  <c r="AS217" i="27"/>
  <c r="AS218" i="27"/>
  <c r="AS219" i="27"/>
  <c r="AS220" i="27"/>
  <c r="AS221" i="27"/>
  <c r="AS222" i="27"/>
  <c r="AS223" i="27"/>
  <c r="AS224" i="27"/>
  <c r="AS225" i="27"/>
  <c r="AS226" i="27"/>
  <c r="AS227" i="27"/>
  <c r="AS228" i="27"/>
  <c r="AS229" i="27"/>
  <c r="AS230" i="27"/>
  <c r="AS231" i="27"/>
  <c r="AS232" i="27"/>
  <c r="AS233" i="27"/>
  <c r="AS234" i="27"/>
  <c r="AS235" i="27"/>
  <c r="AS236" i="27"/>
  <c r="AS237" i="27"/>
  <c r="AS238" i="27"/>
  <c r="AS239" i="27"/>
  <c r="AS240" i="27"/>
  <c r="AS241" i="27"/>
  <c r="AS242" i="27"/>
  <c r="AS243" i="27"/>
  <c r="AS244" i="27"/>
  <c r="AS245" i="27"/>
  <c r="AS246" i="27"/>
  <c r="AS247" i="27"/>
  <c r="AS248" i="27"/>
  <c r="AS249" i="27"/>
  <c r="AS250" i="27"/>
  <c r="AS251" i="27"/>
  <c r="AS252" i="27"/>
  <c r="AS253" i="27"/>
  <c r="AS254" i="27"/>
  <c r="AS255" i="27"/>
  <c r="AS256" i="27"/>
  <c r="AS257" i="27"/>
  <c r="AS258" i="27"/>
  <c r="AS259" i="27"/>
  <c r="AS260" i="27"/>
  <c r="AS261" i="27"/>
  <c r="AS262" i="27"/>
  <c r="AS263" i="27"/>
  <c r="AS264" i="27"/>
  <c r="AS265" i="27"/>
  <c r="AS266" i="27"/>
  <c r="AS267" i="27"/>
  <c r="AS268" i="27"/>
  <c r="AS269" i="27"/>
  <c r="AS270" i="27"/>
  <c r="AS271" i="27"/>
  <c r="AS272" i="27"/>
  <c r="AS273" i="27"/>
  <c r="AS274" i="27"/>
  <c r="AS275" i="27"/>
  <c r="AS276" i="27"/>
  <c r="AS277" i="27"/>
  <c r="AS278" i="27"/>
  <c r="AS279" i="27"/>
  <c r="AS280" i="27"/>
  <c r="AS281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S283" i="27"/>
  <c r="AK283" i="27"/>
  <c r="DY283" i="27"/>
  <c r="AH283" i="27"/>
  <c r="AI283" i="27"/>
  <c r="AJ283" i="27"/>
  <c r="AL283" i="27"/>
  <c r="AM283" i="27"/>
  <c r="AN283" i="27"/>
  <c r="AO283" i="27"/>
  <c r="AP283" i="27"/>
  <c r="AR283" i="27"/>
  <c r="AT283" i="27"/>
  <c r="AU283" i="27"/>
  <c r="AV283" i="27"/>
  <c r="AX283" i="27"/>
  <c r="AY283" i="27"/>
  <c r="AZ283" i="27"/>
  <c r="BB283" i="27"/>
  <c r="BC283" i="27"/>
  <c r="BD283" i="27"/>
  <c r="BE283" i="27"/>
  <c r="BF283" i="27"/>
  <c r="BG283" i="27"/>
  <c r="W55" i="1" l="1"/>
  <c r="X55" i="1" s="1"/>
  <c r="AG55" i="1"/>
  <c r="T53" i="1"/>
  <c r="AG53" i="1"/>
  <c r="T56" i="1"/>
  <c r="AG56" i="1"/>
  <c r="T54" i="1"/>
  <c r="AG54" i="1"/>
  <c r="T57" i="1"/>
  <c r="AG57" i="1"/>
  <c r="BI285" i="27"/>
  <c r="BJ285" i="27"/>
  <c r="N56" i="1"/>
  <c r="O56" i="1" s="1"/>
  <c r="P56" i="1" s="1"/>
  <c r="AE56" i="1" s="1"/>
  <c r="AF56" i="1" s="1"/>
  <c r="R67" i="1"/>
  <c r="U67" i="1" s="1"/>
  <c r="R69" i="1"/>
  <c r="U69" i="1" s="1"/>
  <c r="N57" i="1"/>
  <c r="O57" i="1" s="1"/>
  <c r="P57" i="1" s="1"/>
  <c r="AE57" i="1" s="1"/>
  <c r="AF57" i="1" s="1"/>
  <c r="N53" i="1"/>
  <c r="O53" i="1" s="1"/>
  <c r="P53" i="1" s="1"/>
  <c r="AE53" i="1" s="1"/>
  <c r="AF53" i="1" s="1"/>
  <c r="AJ57" i="1"/>
  <c r="AF69" i="1"/>
  <c r="N54" i="1"/>
  <c r="O54" i="1" s="1"/>
  <c r="P54" i="1" s="1"/>
  <c r="AE54" i="1" s="1"/>
  <c r="Q54" i="1"/>
  <c r="R54" i="1" s="1"/>
  <c r="U54" i="1" s="1"/>
  <c r="AF67" i="1"/>
  <c r="AJ53" i="1"/>
  <c r="AJ55" i="1"/>
  <c r="AD57" i="1"/>
  <c r="AD55" i="1"/>
  <c r="AD56" i="1"/>
  <c r="W57" i="1"/>
  <c r="X57" i="1" s="1"/>
  <c r="AJ56" i="1"/>
  <c r="W56" i="1"/>
  <c r="X56" i="1" s="1"/>
  <c r="AD54" i="1"/>
  <c r="T55" i="1"/>
  <c r="W54" i="1"/>
  <c r="X54" i="1" s="1"/>
  <c r="N55" i="1"/>
  <c r="O55" i="1" s="1"/>
  <c r="P55" i="1" s="1"/>
  <c r="AE55" i="1" s="1"/>
  <c r="AF55" i="1" s="1"/>
  <c r="AD53" i="1"/>
  <c r="W53" i="1"/>
  <c r="X53" i="1" s="1"/>
  <c r="CJ285" i="27" l="1"/>
  <c r="BQ285" i="27"/>
  <c r="CD285" i="27"/>
  <c r="CK285" i="27"/>
  <c r="BT285" i="27"/>
  <c r="CI285" i="27"/>
  <c r="CH285" i="27"/>
  <c r="CE285" i="27"/>
  <c r="CB285" i="27"/>
  <c r="CG285" i="27"/>
  <c r="CC285" i="27"/>
  <c r="AF54" i="1"/>
  <c r="CA285" i="27"/>
  <c r="CF285" i="27"/>
  <c r="BX285" i="27"/>
  <c r="BU285" i="27"/>
  <c r="BR285" i="27"/>
  <c r="BV285" i="27"/>
  <c r="BK285" i="27"/>
  <c r="BY285" i="27"/>
  <c r="BN285" i="27"/>
  <c r="BM285" i="27"/>
  <c r="BS285" i="27"/>
  <c r="BP285" i="27"/>
  <c r="BL285" i="27"/>
  <c r="BO285" i="27"/>
  <c r="BW285" i="27"/>
  <c r="AS282" i="27"/>
  <c r="DY282" i="27"/>
  <c r="AK282" i="27"/>
  <c r="AJ282" i="27"/>
  <c r="AH282" i="27"/>
  <c r="AI282" i="27"/>
  <c r="AL282" i="27"/>
  <c r="AM282" i="27"/>
  <c r="AN282" i="27"/>
  <c r="AO282" i="27"/>
  <c r="AP282" i="27"/>
  <c r="AR282" i="27"/>
  <c r="AT282" i="27"/>
  <c r="AU282" i="27"/>
  <c r="AV282" i="27"/>
  <c r="AX282" i="27"/>
  <c r="AY282" i="27"/>
  <c r="AZ282" i="27"/>
  <c r="BB282" i="27"/>
  <c r="BC282" i="27"/>
  <c r="BD282" i="27"/>
  <c r="BE282" i="27"/>
  <c r="BF282" i="27"/>
  <c r="BG282" i="27"/>
  <c r="Y22" i="29"/>
  <c r="Y14" i="29"/>
  <c r="N22" i="29"/>
  <c r="O22" i="29"/>
  <c r="R22" i="29"/>
  <c r="S22" i="29"/>
  <c r="T22" i="29"/>
  <c r="AC22" i="29" s="1"/>
  <c r="N14" i="29"/>
  <c r="O14" i="29"/>
  <c r="R14" i="29"/>
  <c r="S14" i="29"/>
  <c r="T14" i="29"/>
  <c r="AC14" i="29" s="1"/>
  <c r="P22" i="29" l="1"/>
  <c r="CM285" i="27"/>
  <c r="CL285" i="27"/>
  <c r="P14" i="29"/>
  <c r="DO285" i="27" l="1"/>
  <c r="DQ285" i="27" s="1"/>
  <c r="DT285" i="27"/>
  <c r="DU285" i="27" s="1" a="1"/>
  <c r="DU285" i="27" s="1"/>
  <c r="A52" i="1"/>
  <c r="G52" i="1"/>
  <c r="AD52" i="1" s="1"/>
  <c r="J52" i="1"/>
  <c r="K52" i="1"/>
  <c r="AB52" i="1"/>
  <c r="A51" i="1"/>
  <c r="G51" i="1"/>
  <c r="Q51" i="1" s="1"/>
  <c r="R51" i="1" s="1"/>
  <c r="U51" i="1" s="1"/>
  <c r="J51" i="1"/>
  <c r="K51" i="1"/>
  <c r="AB51" i="1"/>
  <c r="A50" i="1"/>
  <c r="G50" i="1"/>
  <c r="AD50" i="1" s="1"/>
  <c r="J50" i="1"/>
  <c r="AG50" i="1" s="1"/>
  <c r="K50" i="1"/>
  <c r="AB50" i="1"/>
  <c r="A328" i="2"/>
  <c r="E328" i="2"/>
  <c r="G328" i="2"/>
  <c r="H328" i="2"/>
  <c r="N328" i="2"/>
  <c r="W328" i="2"/>
  <c r="AB328" i="2"/>
  <c r="AM328" i="2"/>
  <c r="AN328" i="2"/>
  <c r="AO328" i="2"/>
  <c r="A329" i="2"/>
  <c r="E329" i="2"/>
  <c r="G329" i="2"/>
  <c r="H329" i="2"/>
  <c r="I329" i="2"/>
  <c r="J329" i="2"/>
  <c r="L329" i="2"/>
  <c r="N329" i="2"/>
  <c r="AB329" i="2"/>
  <c r="AD329" i="2"/>
  <c r="AE329" i="2"/>
  <c r="AM329" i="2"/>
  <c r="AN329" i="2"/>
  <c r="AO329" i="2"/>
  <c r="A330" i="2"/>
  <c r="E330" i="2"/>
  <c r="G330" i="2"/>
  <c r="H330" i="2"/>
  <c r="I330" i="2"/>
  <c r="J330" i="2"/>
  <c r="C7" i="25" s="1" a="1"/>
  <c r="C7" i="25" s="1"/>
  <c r="L330" i="2"/>
  <c r="AB330" i="2"/>
  <c r="AD330" i="2"/>
  <c r="AE330" i="2"/>
  <c r="AM330" i="2"/>
  <c r="AN330" i="2"/>
  <c r="AO330" i="2"/>
  <c r="A331" i="2"/>
  <c r="E331" i="2"/>
  <c r="G331" i="2"/>
  <c r="H331" i="2"/>
  <c r="C5" i="25" s="1" a="1"/>
  <c r="C5" i="25" s="1"/>
  <c r="I331" i="2"/>
  <c r="J331" i="2"/>
  <c r="L331" i="2"/>
  <c r="N331" i="2"/>
  <c r="C9" i="25" s="1" a="1"/>
  <c r="C9" i="25" s="1"/>
  <c r="AB331" i="2"/>
  <c r="AD331" i="2"/>
  <c r="AE331" i="2"/>
  <c r="AM331" i="2"/>
  <c r="AN331" i="2"/>
  <c r="AO331" i="2"/>
  <c r="A332" i="2"/>
  <c r="E332" i="2"/>
  <c r="G332" i="2"/>
  <c r="H332" i="2"/>
  <c r="I332" i="2"/>
  <c r="J332" i="2"/>
  <c r="L332" i="2"/>
  <c r="N332" i="2"/>
  <c r="V332" i="2"/>
  <c r="AB332" i="2"/>
  <c r="AD332" i="2"/>
  <c r="AE332" i="2"/>
  <c r="AM332" i="2"/>
  <c r="AN332" i="2"/>
  <c r="AO332" i="2"/>
  <c r="A333" i="2"/>
  <c r="E333" i="2"/>
  <c r="G333" i="2"/>
  <c r="H333" i="2"/>
  <c r="I333" i="2"/>
  <c r="J333" i="2"/>
  <c r="L333" i="2"/>
  <c r="N333" i="2"/>
  <c r="AB333" i="2"/>
  <c r="AD333" i="2"/>
  <c r="AE333" i="2"/>
  <c r="AM333" i="2"/>
  <c r="AN333" i="2"/>
  <c r="AO333" i="2"/>
  <c r="E334" i="2"/>
  <c r="G334" i="2"/>
  <c r="I334" i="2"/>
  <c r="J334" i="2"/>
  <c r="L334" i="2"/>
  <c r="AB334" i="2"/>
  <c r="AD334" i="2"/>
  <c r="AE334" i="2"/>
  <c r="AM334" i="2"/>
  <c r="AN334" i="2"/>
  <c r="AO334" i="2"/>
  <c r="E335" i="2"/>
  <c r="G335" i="2"/>
  <c r="H335" i="2"/>
  <c r="I335" i="2"/>
  <c r="J335" i="2"/>
  <c r="L335" i="2"/>
  <c r="V335" i="2"/>
  <c r="AB335" i="2"/>
  <c r="AD335" i="2"/>
  <c r="AE335" i="2"/>
  <c r="AM335" i="2"/>
  <c r="AN335" i="2"/>
  <c r="AO335" i="2"/>
  <c r="E336" i="2"/>
  <c r="G336" i="2"/>
  <c r="H336" i="2"/>
  <c r="I336" i="2"/>
  <c r="J336" i="2"/>
  <c r="L336" i="2"/>
  <c r="N336" i="2"/>
  <c r="AB336" i="2"/>
  <c r="AD336" i="2"/>
  <c r="AE336" i="2"/>
  <c r="AM336" i="2"/>
  <c r="AN336" i="2"/>
  <c r="AO336" i="2"/>
  <c r="DY281" i="27"/>
  <c r="AH281" i="27"/>
  <c r="AI281" i="27"/>
  <c r="AJ281" i="27"/>
  <c r="AL281" i="27"/>
  <c r="AM281" i="27"/>
  <c r="AN281" i="27"/>
  <c r="AO281" i="27"/>
  <c r="AP281" i="27"/>
  <c r="AR281" i="27"/>
  <c r="AT281" i="27"/>
  <c r="AU281" i="27"/>
  <c r="AV281" i="27"/>
  <c r="AX281" i="27"/>
  <c r="AY281" i="27"/>
  <c r="AZ281" i="27"/>
  <c r="BB281" i="27"/>
  <c r="BC281" i="27"/>
  <c r="BD281" i="27"/>
  <c r="BE281" i="27"/>
  <c r="BF281" i="27"/>
  <c r="BG281" i="27"/>
  <c r="A49" i="1"/>
  <c r="G49" i="1"/>
  <c r="Q49" i="1" s="1"/>
  <c r="R49" i="1" s="1"/>
  <c r="U49" i="1" s="1"/>
  <c r="J49" i="1"/>
  <c r="K49" i="1"/>
  <c r="AB49" i="1"/>
  <c r="A48" i="1"/>
  <c r="G48" i="1"/>
  <c r="Q48" i="1" s="1"/>
  <c r="J48" i="1"/>
  <c r="AG48" i="1" s="1"/>
  <c r="K48" i="1"/>
  <c r="AB48" i="1"/>
  <c r="A47" i="1"/>
  <c r="G47" i="1"/>
  <c r="Q47" i="1" s="1"/>
  <c r="J47" i="1"/>
  <c r="K47" i="1"/>
  <c r="V47" i="1"/>
  <c r="AB47" i="1" s="1"/>
  <c r="DW285" i="27" l="1"/>
  <c r="DV285" i="27"/>
  <c r="DP285" i="27" a="1"/>
  <c r="DP285" i="27" s="1"/>
  <c r="T51" i="1"/>
  <c r="AG51" i="1"/>
  <c r="W52" i="1"/>
  <c r="X52" i="1" s="1"/>
  <c r="AG52" i="1"/>
  <c r="T49" i="1"/>
  <c r="AG49" i="1"/>
  <c r="T47" i="1"/>
  <c r="AG47" i="1"/>
  <c r="U335" i="2"/>
  <c r="W335" i="2" s="1"/>
  <c r="U336" i="2"/>
  <c r="K336" i="2"/>
  <c r="P336" i="2" s="1"/>
  <c r="M336" i="2"/>
  <c r="O336" i="2" s="1"/>
  <c r="M335" i="2"/>
  <c r="O335" i="2" s="1"/>
  <c r="K335" i="2"/>
  <c r="P335" i="2" s="1"/>
  <c r="X336" i="2"/>
  <c r="X335" i="2"/>
  <c r="U334" i="2"/>
  <c r="M334" i="2"/>
  <c r="X334" i="2"/>
  <c r="K334" i="2"/>
  <c r="P334" i="2" s="1"/>
  <c r="K332" i="2"/>
  <c r="P332" i="2" s="1"/>
  <c r="U332" i="2"/>
  <c r="W332" i="2" s="1"/>
  <c r="M333" i="2"/>
  <c r="Q333" i="2" s="1"/>
  <c r="K333" i="2"/>
  <c r="P333" i="2" s="1"/>
  <c r="U333" i="2"/>
  <c r="M332" i="2"/>
  <c r="Q332" i="2" s="1"/>
  <c r="X333" i="2"/>
  <c r="X332" i="2"/>
  <c r="W48" i="1"/>
  <c r="X48" i="1" s="1"/>
  <c r="K331" i="2"/>
  <c r="P331" i="2" s="1"/>
  <c r="X331" i="2"/>
  <c r="M331" i="2"/>
  <c r="Q331" i="2" s="1"/>
  <c r="U331" i="2"/>
  <c r="AE328" i="2"/>
  <c r="C6" i="25" a="1"/>
  <c r="C6" i="25" s="1"/>
  <c r="M330" i="2"/>
  <c r="Q330" i="2" s="1"/>
  <c r="C8" i="25" a="1"/>
  <c r="C8" i="25" s="1"/>
  <c r="X330" i="2"/>
  <c r="K330" i="2"/>
  <c r="P330" i="2" s="1"/>
  <c r="U330" i="2"/>
  <c r="K329" i="2"/>
  <c r="P329" i="2" s="1"/>
  <c r="M329" i="2"/>
  <c r="Q329" i="2" s="1"/>
  <c r="X329" i="2"/>
  <c r="U329" i="2"/>
  <c r="W50" i="1"/>
  <c r="X50" i="1" s="1"/>
  <c r="AD328" i="2"/>
  <c r="Q52" i="1"/>
  <c r="R52" i="1" s="1"/>
  <c r="U52" i="1" s="1"/>
  <c r="T50" i="1"/>
  <c r="N52" i="1"/>
  <c r="O52" i="1" s="1"/>
  <c r="P52" i="1" s="1"/>
  <c r="AE52" i="1" s="1"/>
  <c r="W51" i="1"/>
  <c r="X51" i="1" s="1"/>
  <c r="T48" i="1"/>
  <c r="N48" i="1"/>
  <c r="O48" i="1" s="1"/>
  <c r="P48" i="1" s="1"/>
  <c r="AE48" i="1" s="1"/>
  <c r="AF48" i="1" s="1"/>
  <c r="N51" i="1"/>
  <c r="O51" i="1" s="1"/>
  <c r="P51" i="1" s="1"/>
  <c r="AE51" i="1" s="1"/>
  <c r="AF51" i="1" s="1"/>
  <c r="AJ51" i="1"/>
  <c r="AD51" i="1"/>
  <c r="L328" i="2" s="1"/>
  <c r="N50" i="1"/>
  <c r="O50" i="1" s="1"/>
  <c r="P50" i="1" s="1"/>
  <c r="AE50" i="1" s="1"/>
  <c r="W49" i="1"/>
  <c r="X49" i="1" s="1"/>
  <c r="N49" i="1"/>
  <c r="O49" i="1" s="1"/>
  <c r="P49" i="1" s="1"/>
  <c r="AE49" i="1" s="1"/>
  <c r="AF49" i="1" s="1"/>
  <c r="N47" i="1"/>
  <c r="O47" i="1" s="1"/>
  <c r="P47" i="1" s="1"/>
  <c r="AE47" i="1" s="1"/>
  <c r="AF47" i="1" s="1"/>
  <c r="T52" i="1"/>
  <c r="AD48" i="1"/>
  <c r="Q50" i="1"/>
  <c r="R50" i="1" s="1"/>
  <c r="U50" i="1" s="1"/>
  <c r="AJ52" i="1"/>
  <c r="R48" i="1"/>
  <c r="U48" i="1" s="1"/>
  <c r="AJ48" i="1"/>
  <c r="AD49" i="1"/>
  <c r="AJ50" i="1"/>
  <c r="AC331" i="2"/>
  <c r="AC336" i="2"/>
  <c r="AC334" i="2"/>
  <c r="AC330" i="2"/>
  <c r="AC332" i="2"/>
  <c r="AC329" i="2"/>
  <c r="AC335" i="2"/>
  <c r="AC333" i="2"/>
  <c r="AJ49" i="1"/>
  <c r="AJ47" i="1"/>
  <c r="AD47" i="1"/>
  <c r="W47" i="1"/>
  <c r="X47" i="1" s="1"/>
  <c r="R47" i="1"/>
  <c r="U47" i="1" s="1"/>
  <c r="DR285" i="27" l="1"/>
  <c r="DX285" i="27"/>
  <c r="Q335" i="2"/>
  <c r="Q336" i="2"/>
  <c r="W336" i="2"/>
  <c r="V336" i="2"/>
  <c r="O334" i="2"/>
  <c r="Q334" i="2"/>
  <c r="W334" i="2"/>
  <c r="V334" i="2"/>
  <c r="O332" i="2"/>
  <c r="O333" i="2"/>
  <c r="W333" i="2"/>
  <c r="V333" i="2"/>
  <c r="W331" i="2"/>
  <c r="V331" i="2"/>
  <c r="O331" i="2"/>
  <c r="O329" i="2"/>
  <c r="J328" i="2"/>
  <c r="O330" i="2"/>
  <c r="I328" i="2"/>
  <c r="W330" i="2"/>
  <c r="V330" i="2"/>
  <c r="AF52" i="1"/>
  <c r="W329" i="2"/>
  <c r="V329" i="2"/>
  <c r="AF50" i="1"/>
  <c r="DS285" i="27" l="1"/>
  <c r="DZ285" i="27"/>
  <c r="K328" i="2"/>
  <c r="P328" i="2" s="1"/>
  <c r="M328" i="2"/>
  <c r="AC328" i="2"/>
  <c r="U328" i="2"/>
  <c r="V328" i="2" s="1"/>
  <c r="X328" i="2"/>
  <c r="DY280" i="27"/>
  <c r="AH280" i="27"/>
  <c r="AI280" i="27"/>
  <c r="AJ280" i="27"/>
  <c r="AL280" i="27"/>
  <c r="AM280" i="27"/>
  <c r="AN280" i="27"/>
  <c r="AO280" i="27"/>
  <c r="AP280" i="27"/>
  <c r="AR280" i="27"/>
  <c r="AT280" i="27"/>
  <c r="AU280" i="27"/>
  <c r="AV280" i="27"/>
  <c r="AX280" i="27"/>
  <c r="AY280" i="27"/>
  <c r="AZ280" i="27"/>
  <c r="BB280" i="27"/>
  <c r="BC280" i="27"/>
  <c r="BD280" i="27"/>
  <c r="BE280" i="27"/>
  <c r="BF280" i="27"/>
  <c r="BG280" i="27"/>
  <c r="A44" i="1"/>
  <c r="A45" i="1"/>
  <c r="A46" i="1"/>
  <c r="G44" i="1"/>
  <c r="Q44" i="1" s="1"/>
  <c r="R44" i="1" s="1"/>
  <c r="U44" i="1" s="1"/>
  <c r="G45" i="1"/>
  <c r="Q45" i="1" s="1"/>
  <c r="G46" i="1"/>
  <c r="AJ46" i="1" s="1"/>
  <c r="J44" i="1"/>
  <c r="J45" i="1"/>
  <c r="J46" i="1"/>
  <c r="K44" i="1"/>
  <c r="K45" i="1"/>
  <c r="K46" i="1"/>
  <c r="V44" i="1"/>
  <c r="AB44" i="1" s="1"/>
  <c r="V45" i="1"/>
  <c r="AB45" i="1" s="1"/>
  <c r="V46" i="1"/>
  <c r="AB46" i="1" s="1"/>
  <c r="EA285" i="27" l="1"/>
  <c r="T45" i="1"/>
  <c r="AG45" i="1"/>
  <c r="T44" i="1"/>
  <c r="AG44" i="1"/>
  <c r="T46" i="1"/>
  <c r="AG46" i="1"/>
  <c r="Q328" i="2"/>
  <c r="O328" i="2"/>
  <c r="N44" i="1"/>
  <c r="O44" i="1" s="1"/>
  <c r="P44" i="1" s="1"/>
  <c r="AE44" i="1" s="1"/>
  <c r="AF44" i="1" s="1"/>
  <c r="N46" i="1"/>
  <c r="O46" i="1" s="1"/>
  <c r="P46" i="1" s="1"/>
  <c r="AE46" i="1" s="1"/>
  <c r="N45" i="1"/>
  <c r="O45" i="1" s="1"/>
  <c r="P45" i="1" s="1"/>
  <c r="AE45" i="1" s="1"/>
  <c r="AF45" i="1" s="1"/>
  <c r="AJ44" i="1"/>
  <c r="AJ45" i="1"/>
  <c r="AD45" i="1"/>
  <c r="AD46" i="1"/>
  <c r="W46" i="1"/>
  <c r="X46" i="1" s="1"/>
  <c r="AD44" i="1"/>
  <c r="W45" i="1"/>
  <c r="X45" i="1" s="1"/>
  <c r="W44" i="1"/>
  <c r="X44" i="1" s="1"/>
  <c r="R45" i="1"/>
  <c r="U45" i="1" s="1"/>
  <c r="Q46" i="1"/>
  <c r="R46" i="1" s="1"/>
  <c r="U46" i="1" s="1"/>
  <c r="AF46" i="1" l="1"/>
  <c r="DY279" i="27" l="1"/>
  <c r="C279" i="27"/>
  <c r="C280" i="27"/>
  <c r="C281" i="27"/>
  <c r="C282" i="27"/>
  <c r="C283" i="27"/>
  <c r="E283" i="27" s="1"/>
  <c r="C284" i="27"/>
  <c r="E284" i="27" s="1"/>
  <c r="C286" i="27"/>
  <c r="C288" i="27"/>
  <c r="AH279" i="27"/>
  <c r="AI279" i="27"/>
  <c r="AJ279" i="27"/>
  <c r="AL279" i="27"/>
  <c r="AM279" i="27"/>
  <c r="AN279" i="27"/>
  <c r="AO279" i="27"/>
  <c r="AP279" i="27"/>
  <c r="AR279" i="27"/>
  <c r="AT279" i="27"/>
  <c r="AU279" i="27"/>
  <c r="AV279" i="27"/>
  <c r="AX279" i="27"/>
  <c r="AY279" i="27"/>
  <c r="AZ279" i="27"/>
  <c r="BB279" i="27"/>
  <c r="BC279" i="27"/>
  <c r="BD279" i="27"/>
  <c r="BE279" i="27"/>
  <c r="BF279" i="27"/>
  <c r="BG279" i="27"/>
  <c r="D288" i="27" l="1"/>
  <c r="E288" i="27"/>
  <c r="D286" i="27"/>
  <c r="E286" i="27"/>
  <c r="D282" i="27"/>
  <c r="E282" i="27"/>
  <c r="D279" i="27"/>
  <c r="E279" i="27"/>
  <c r="D281" i="27"/>
  <c r="E281" i="27"/>
  <c r="D280" i="27"/>
  <c r="E280" i="27"/>
  <c r="U284" i="27"/>
  <c r="D284" i="27"/>
  <c r="U283" i="27"/>
  <c r="D283" i="27"/>
  <c r="U288" i="27"/>
  <c r="M288" i="27"/>
  <c r="I288" i="27"/>
  <c r="Y286" i="27"/>
  <c r="U286" i="27"/>
  <c r="Y288" i="27"/>
  <c r="AF288" i="27"/>
  <c r="AE288" i="27"/>
  <c r="AF286" i="27"/>
  <c r="AE286" i="27"/>
  <c r="AF284" i="27"/>
  <c r="AE284" i="27"/>
  <c r="AE283" i="27"/>
  <c r="AF283" i="27"/>
  <c r="AF282" i="27"/>
  <c r="AE282" i="27"/>
  <c r="AF281" i="27"/>
  <c r="AE281" i="27"/>
  <c r="AF280" i="27"/>
  <c r="AE280" i="27"/>
  <c r="M279" i="27"/>
  <c r="AF279" i="27"/>
  <c r="AE279" i="27"/>
  <c r="Q288" i="27"/>
  <c r="AD288" i="27"/>
  <c r="P288" i="27"/>
  <c r="AC288" i="27"/>
  <c r="N288" i="27"/>
  <c r="K288" i="27"/>
  <c r="AB288" i="27"/>
  <c r="AA288" i="27"/>
  <c r="L288" i="27"/>
  <c r="Z288" i="27"/>
  <c r="H288" i="27"/>
  <c r="T288" i="27"/>
  <c r="X288" i="27"/>
  <c r="J288" i="27"/>
  <c r="W288" i="27"/>
  <c r="V288" i="27"/>
  <c r="G288" i="27"/>
  <c r="R288" i="27"/>
  <c r="S288" i="27"/>
  <c r="F288" i="27"/>
  <c r="X286" i="27"/>
  <c r="J286" i="27"/>
  <c r="W286" i="27"/>
  <c r="I286" i="27"/>
  <c r="V286" i="27"/>
  <c r="H286" i="27"/>
  <c r="L286" i="27"/>
  <c r="T286" i="27"/>
  <c r="G286" i="27"/>
  <c r="S286" i="27"/>
  <c r="F286" i="27"/>
  <c r="P286" i="27"/>
  <c r="R286" i="27"/>
  <c r="AB286" i="27"/>
  <c r="Q286" i="27"/>
  <c r="M286" i="27"/>
  <c r="AD286" i="27"/>
  <c r="AC286" i="27"/>
  <c r="N286" i="27"/>
  <c r="AA286" i="27"/>
  <c r="Z286" i="27"/>
  <c r="K286" i="27"/>
  <c r="L284" i="27"/>
  <c r="AA284" i="27"/>
  <c r="M284" i="27"/>
  <c r="AB284" i="27"/>
  <c r="N284" i="27"/>
  <c r="AC284" i="27"/>
  <c r="P284" i="27"/>
  <c r="AD284" i="27"/>
  <c r="Q284" i="27"/>
  <c r="R284" i="27"/>
  <c r="F284" i="27"/>
  <c r="S284" i="27"/>
  <c r="G284" i="27"/>
  <c r="T284" i="27"/>
  <c r="H284" i="27"/>
  <c r="V284" i="27"/>
  <c r="I284" i="27"/>
  <c r="W284" i="27"/>
  <c r="J284" i="27"/>
  <c r="X284" i="27"/>
  <c r="K284" i="27"/>
  <c r="Z284" i="27"/>
  <c r="H283" i="27"/>
  <c r="V283" i="27"/>
  <c r="J283" i="27"/>
  <c r="L283" i="27"/>
  <c r="I283" i="27"/>
  <c r="W283" i="27"/>
  <c r="X283" i="27"/>
  <c r="K283" i="27"/>
  <c r="Z283" i="27"/>
  <c r="M283" i="27"/>
  <c r="AB283" i="27"/>
  <c r="AA283" i="27"/>
  <c r="P283" i="27"/>
  <c r="AD283" i="27"/>
  <c r="Q283" i="27"/>
  <c r="F283" i="27"/>
  <c r="G283" i="27"/>
  <c r="N283" i="27"/>
  <c r="R283" i="27"/>
  <c r="S283" i="27"/>
  <c r="T283" i="27"/>
  <c r="AC283" i="27"/>
  <c r="I282" i="27"/>
  <c r="Q282" i="27"/>
  <c r="T279" i="27"/>
  <c r="S279" i="27"/>
  <c r="Z279" i="27"/>
  <c r="R279" i="27"/>
  <c r="X279" i="27"/>
  <c r="L279" i="27"/>
  <c r="V279" i="27"/>
  <c r="J279" i="27"/>
  <c r="W279" i="27"/>
  <c r="K279" i="27"/>
  <c r="G279" i="27"/>
  <c r="H281" i="27"/>
  <c r="AC281" i="27"/>
  <c r="R281" i="27"/>
  <c r="V281" i="27"/>
  <c r="J281" i="27"/>
  <c r="AD281" i="27"/>
  <c r="Z281" i="27"/>
  <c r="G281" i="27"/>
  <c r="K281" i="27"/>
  <c r="X281" i="27"/>
  <c r="L281" i="27"/>
  <c r="W281" i="27"/>
  <c r="M281" i="27"/>
  <c r="T281" i="27"/>
  <c r="N281" i="27"/>
  <c r="P281" i="27"/>
  <c r="AB281" i="27"/>
  <c r="S281" i="27"/>
  <c r="F281" i="27"/>
  <c r="AA281" i="27"/>
  <c r="S280" i="27"/>
  <c r="X280" i="27"/>
  <c r="AB280" i="27"/>
  <c r="AC280" i="27"/>
  <c r="K280" i="27"/>
  <c r="M280" i="27"/>
  <c r="T280" i="27"/>
  <c r="W280" i="27"/>
  <c r="G280" i="27"/>
  <c r="N280" i="27"/>
  <c r="V280" i="27"/>
  <c r="F280" i="27"/>
  <c r="H280" i="27"/>
  <c r="Z280" i="27"/>
  <c r="J280" i="27"/>
  <c r="P280" i="27"/>
  <c r="AA280" i="27"/>
  <c r="L280" i="27"/>
  <c r="R280" i="27"/>
  <c r="AD280" i="27"/>
  <c r="F279" i="27"/>
  <c r="AB279" i="27"/>
  <c r="Z282" i="27"/>
  <c r="F282" i="27"/>
  <c r="AA282" i="27"/>
  <c r="G282" i="27"/>
  <c r="AB282" i="27"/>
  <c r="H282" i="27"/>
  <c r="AC282" i="27"/>
  <c r="J282" i="27"/>
  <c r="AD282" i="27"/>
  <c r="K282" i="27"/>
  <c r="X282" i="27"/>
  <c r="L282" i="27"/>
  <c r="W282" i="27"/>
  <c r="M282" i="27"/>
  <c r="N282" i="27"/>
  <c r="P282" i="27"/>
  <c r="R282" i="27"/>
  <c r="S282" i="27"/>
  <c r="T282" i="27"/>
  <c r="V282" i="27"/>
  <c r="H279" i="27"/>
  <c r="AD279" i="27"/>
  <c r="AC279" i="27"/>
  <c r="AA279" i="27"/>
  <c r="P279" i="27"/>
  <c r="N279" i="27"/>
  <c r="BI283" i="27" l="1"/>
  <c r="BI284" i="27"/>
  <c r="BI279" i="27"/>
  <c r="BI286" i="27"/>
  <c r="BI282" i="27"/>
  <c r="BI280" i="27"/>
  <c r="BI281" i="27"/>
  <c r="BI288" i="27"/>
  <c r="CF288" i="27" s="1"/>
  <c r="BJ288" i="27"/>
  <c r="BJ286" i="27"/>
  <c r="BJ284" i="27"/>
  <c r="BJ283" i="27"/>
  <c r="BJ282" i="27"/>
  <c r="BJ281" i="27"/>
  <c r="BJ280" i="27"/>
  <c r="BJ279" i="27"/>
  <c r="A42" i="1"/>
  <c r="A43" i="1"/>
  <c r="G42" i="1"/>
  <c r="G43" i="1"/>
  <c r="J42" i="1"/>
  <c r="J43" i="1"/>
  <c r="K42" i="1"/>
  <c r="K43" i="1"/>
  <c r="O42" i="1"/>
  <c r="V42" i="1"/>
  <c r="AB42" i="1" s="1"/>
  <c r="V43" i="1"/>
  <c r="C278" i="27"/>
  <c r="DY278" i="27"/>
  <c r="AH278" i="27"/>
  <c r="AI278" i="27"/>
  <c r="AJ278" i="27"/>
  <c r="AL278" i="27"/>
  <c r="AM278" i="27"/>
  <c r="AN278" i="27"/>
  <c r="AO278" i="27"/>
  <c r="AP278" i="27"/>
  <c r="AR278" i="27"/>
  <c r="AT278" i="27"/>
  <c r="AU278" i="27"/>
  <c r="AV278" i="27"/>
  <c r="AX278" i="27"/>
  <c r="AY278" i="27"/>
  <c r="AZ278" i="27"/>
  <c r="BB278" i="27"/>
  <c r="BC278" i="27"/>
  <c r="BD278" i="27"/>
  <c r="BE278" i="27"/>
  <c r="BF278" i="27"/>
  <c r="BG278" i="27"/>
  <c r="CJ288" i="27" l="1"/>
  <c r="CE288" i="27"/>
  <c r="CC288" i="27"/>
  <c r="CI288" i="27"/>
  <c r="CB288" i="27"/>
  <c r="CH288" i="27"/>
  <c r="CA288" i="27"/>
  <c r="CD288" i="27"/>
  <c r="CG288" i="27"/>
  <c r="CK288" i="27"/>
  <c r="D278" i="27"/>
  <c r="E278" i="27"/>
  <c r="BT279" i="27"/>
  <c r="BX280" i="27"/>
  <c r="BT282" i="27"/>
  <c r="CE286" i="27"/>
  <c r="BT288" i="27"/>
  <c r="BS281" i="27"/>
  <c r="BX283" i="27"/>
  <c r="CK283" i="27"/>
  <c r="BS286" i="27"/>
  <c r="CK281" i="27"/>
  <c r="BQ284" i="27"/>
  <c r="CJ282" i="27"/>
  <c r="CD282" i="27"/>
  <c r="CE279" i="27"/>
  <c r="CD279" i="27"/>
  <c r="CE284" i="27"/>
  <c r="CD284" i="27"/>
  <c r="CK286" i="27"/>
  <c r="CG281" i="27"/>
  <c r="CD281" i="27"/>
  <c r="CF280" i="27"/>
  <c r="CD280" i="27"/>
  <c r="CI283" i="27"/>
  <c r="CD283" i="27"/>
  <c r="CD286" i="27"/>
  <c r="CK284" i="27"/>
  <c r="CK280" i="27"/>
  <c r="CK282" i="27"/>
  <c r="CK279" i="27"/>
  <c r="BT284" i="27"/>
  <c r="BT281" i="27"/>
  <c r="BT283" i="27"/>
  <c r="BT286" i="27"/>
  <c r="BT280" i="27"/>
  <c r="BY288" i="27"/>
  <c r="BR288" i="27"/>
  <c r="BZ288" i="27"/>
  <c r="T42" i="1"/>
  <c r="AG42" i="1"/>
  <c r="T43" i="1"/>
  <c r="AG43" i="1"/>
  <c r="BM288" i="27"/>
  <c r="BU288" i="27"/>
  <c r="BK288" i="27"/>
  <c r="BP288" i="27"/>
  <c r="BS288" i="27"/>
  <c r="BW288" i="27"/>
  <c r="BX288" i="27"/>
  <c r="BO288" i="27"/>
  <c r="BN288" i="27"/>
  <c r="BV288" i="27"/>
  <c r="BL288" i="27"/>
  <c r="BQ288" i="27"/>
  <c r="G278" i="27"/>
  <c r="AF278" i="27"/>
  <c r="AE278" i="27"/>
  <c r="CB286" i="27"/>
  <c r="CG286" i="27"/>
  <c r="CJ286" i="27"/>
  <c r="CA286" i="27"/>
  <c r="BO286" i="27"/>
  <c r="BR286" i="27"/>
  <c r="BM286" i="27"/>
  <c r="BQ286" i="27"/>
  <c r="CC286" i="27"/>
  <c r="CI286" i="27"/>
  <c r="BW286" i="27"/>
  <c r="CH286" i="27"/>
  <c r="BX286" i="27"/>
  <c r="CF286" i="27"/>
  <c r="BN286" i="27"/>
  <c r="BL286" i="27"/>
  <c r="BV286" i="27"/>
  <c r="BK286" i="27"/>
  <c r="BU286" i="27"/>
  <c r="BY286" i="27"/>
  <c r="BP286" i="27"/>
  <c r="BX284" i="27"/>
  <c r="BK284" i="27"/>
  <c r="BR284" i="27"/>
  <c r="BM284" i="27"/>
  <c r="BU284" i="27"/>
  <c r="BN284" i="27"/>
  <c r="CH284" i="27"/>
  <c r="CA284" i="27"/>
  <c r="BU283" i="27"/>
  <c r="BP284" i="27"/>
  <c r="CF284" i="27"/>
  <c r="CI284" i="27"/>
  <c r="CB284" i="27"/>
  <c r="BL284" i="27"/>
  <c r="CJ284" i="27"/>
  <c r="CG284" i="27"/>
  <c r="CC284" i="27"/>
  <c r="BY284" i="27"/>
  <c r="BV284" i="27"/>
  <c r="BS284" i="27"/>
  <c r="BO284" i="27"/>
  <c r="BW284" i="27"/>
  <c r="BV283" i="27"/>
  <c r="BO283" i="27"/>
  <c r="BQ283" i="27"/>
  <c r="BL283" i="27"/>
  <c r="CC283" i="27"/>
  <c r="BY283" i="27"/>
  <c r="BP283" i="27"/>
  <c r="BK283" i="27"/>
  <c r="BM283" i="27"/>
  <c r="BS283" i="27"/>
  <c r="CA283" i="27"/>
  <c r="CH283" i="27"/>
  <c r="CJ283" i="27"/>
  <c r="BR283" i="27"/>
  <c r="BN283" i="27"/>
  <c r="CE283" i="27"/>
  <c r="BW283" i="27"/>
  <c r="CF283" i="27"/>
  <c r="CB283" i="27"/>
  <c r="CG283" i="27"/>
  <c r="CH282" i="27"/>
  <c r="CC282" i="27"/>
  <c r="CB282" i="27"/>
  <c r="BS282" i="27"/>
  <c r="BV282" i="27"/>
  <c r="BX282" i="27"/>
  <c r="BW282" i="27"/>
  <c r="BQ282" i="27"/>
  <c r="BU282" i="27"/>
  <c r="CG282" i="27"/>
  <c r="CE282" i="27"/>
  <c r="CC279" i="27"/>
  <c r="BR282" i="27"/>
  <c r="BN282" i="27"/>
  <c r="CI279" i="27"/>
  <c r="CF282" i="27"/>
  <c r="CH279" i="27"/>
  <c r="CA282" i="27"/>
  <c r="CA281" i="27"/>
  <c r="BK282" i="27"/>
  <c r="BK280" i="27"/>
  <c r="CF279" i="27"/>
  <c r="BO282" i="27"/>
  <c r="BU280" i="27"/>
  <c r="CA279" i="27"/>
  <c r="BM282" i="27"/>
  <c r="CG279" i="27"/>
  <c r="CB279" i="27"/>
  <c r="CI282" i="27"/>
  <c r="BL282" i="27"/>
  <c r="CJ279" i="27"/>
  <c r="BP282" i="27"/>
  <c r="BY282" i="27"/>
  <c r="BM281" i="27"/>
  <c r="BW281" i="27"/>
  <c r="BK281" i="27"/>
  <c r="CJ281" i="27"/>
  <c r="BU281" i="27"/>
  <c r="BX281" i="27"/>
  <c r="BQ281" i="27"/>
  <c r="BO281" i="27"/>
  <c r="BP281" i="27"/>
  <c r="BY281" i="27"/>
  <c r="CH280" i="27"/>
  <c r="BM280" i="27"/>
  <c r="CC280" i="27"/>
  <c r="BQ280" i="27"/>
  <c r="BS280" i="27"/>
  <c r="CF281" i="27"/>
  <c r="CI280" i="27"/>
  <c r="CB280" i="27"/>
  <c r="CC281" i="27"/>
  <c r="AA278" i="27"/>
  <c r="CI281" i="27"/>
  <c r="CH281" i="27"/>
  <c r="CE280" i="27"/>
  <c r="CB281" i="27"/>
  <c r="CG280" i="27"/>
  <c r="BW280" i="27"/>
  <c r="BR280" i="27"/>
  <c r="BL281" i="27"/>
  <c r="CE281" i="27"/>
  <c r="BY280" i="27"/>
  <c r="BP280" i="27"/>
  <c r="BL280" i="27"/>
  <c r="CJ280" i="27"/>
  <c r="Z278" i="27"/>
  <c r="X278" i="27"/>
  <c r="W278" i="27"/>
  <c r="F278" i="27"/>
  <c r="CA280" i="27"/>
  <c r="BO280" i="27"/>
  <c r="BR281" i="27"/>
  <c r="Q42" i="1"/>
  <c r="AJ42" i="1" s="1"/>
  <c r="W43" i="1"/>
  <c r="X43" i="1" s="1"/>
  <c r="P42" i="1"/>
  <c r="AE42" i="1" s="1"/>
  <c r="N43" i="1"/>
  <c r="O43" i="1" s="1"/>
  <c r="P43" i="1" s="1"/>
  <c r="AE43" i="1" s="1"/>
  <c r="W42" i="1"/>
  <c r="X42" i="1" s="1"/>
  <c r="V278" i="27"/>
  <c r="S278" i="27"/>
  <c r="N278" i="27"/>
  <c r="R278" i="27"/>
  <c r="P278" i="27"/>
  <c r="M278" i="27"/>
  <c r="Q43" i="1"/>
  <c r="AB43" i="1"/>
  <c r="L278" i="27"/>
  <c r="BK279" i="27"/>
  <c r="BY279" i="27"/>
  <c r="BX279" i="27"/>
  <c r="BO279" i="27"/>
  <c r="BL279" i="27"/>
  <c r="BQ279" i="27"/>
  <c r="BW279" i="27"/>
  <c r="BM279" i="27"/>
  <c r="BR279" i="27"/>
  <c r="BP279" i="27"/>
  <c r="J278" i="27"/>
  <c r="AC278" i="27"/>
  <c r="H278" i="27"/>
  <c r="BS279" i="27"/>
  <c r="T278" i="27"/>
  <c r="K278" i="27"/>
  <c r="AD278" i="27"/>
  <c r="AB278" i="27"/>
  <c r="BU279" i="27"/>
  <c r="CM288" i="27" l="1"/>
  <c r="CL288" i="27"/>
  <c r="BI278" i="27"/>
  <c r="CM286" i="27"/>
  <c r="CL286" i="27"/>
  <c r="CM284" i="27"/>
  <c r="CL284" i="27"/>
  <c r="AD42" i="1"/>
  <c r="AF42" i="1"/>
  <c r="CL283" i="27"/>
  <c r="CM283" i="27"/>
  <c r="R42" i="1"/>
  <c r="U42" i="1" s="1"/>
  <c r="CL282" i="27"/>
  <c r="CM279" i="27"/>
  <c r="CM282" i="27"/>
  <c r="CL281" i="27"/>
  <c r="CM281" i="27"/>
  <c r="CL280" i="27"/>
  <c r="CM280" i="27"/>
  <c r="AF43" i="1"/>
  <c r="AD43" i="1"/>
  <c r="AJ43" i="1"/>
  <c r="R43" i="1"/>
  <c r="U43" i="1" s="1"/>
  <c r="BJ278" i="27"/>
  <c r="CL279" i="27"/>
  <c r="DO284" i="27" l="1"/>
  <c r="DT284" i="27"/>
  <c r="DT280" i="27"/>
  <c r="DU280" i="27" s="1" a="1"/>
  <c r="DU280" i="27" s="1"/>
  <c r="DT286" i="27"/>
  <c r="DT282" i="27"/>
  <c r="DT281" i="27"/>
  <c r="DO288" i="27"/>
  <c r="DQ288" i="27" s="1"/>
  <c r="DT279" i="27"/>
  <c r="DU279" i="27" s="1"/>
  <c r="DT288" i="27"/>
  <c r="DO279" i="27"/>
  <c r="DO282" i="27"/>
  <c r="BX278" i="27"/>
  <c r="DO283" i="27"/>
  <c r="DQ283" i="27" s="1"/>
  <c r="DO281" i="27"/>
  <c r="DQ281" i="27" s="1"/>
  <c r="DT283" i="27"/>
  <c r="CC278" i="27"/>
  <c r="CD278" i="27"/>
  <c r="CK278" i="27"/>
  <c r="BT278" i="27"/>
  <c r="DO280" i="27"/>
  <c r="DO286" i="27"/>
  <c r="DU284" i="27" a="1"/>
  <c r="DU284" i="27" s="1"/>
  <c r="DP284" i="27" a="1"/>
  <c r="DP284" i="27" s="1"/>
  <c r="BM278" i="27"/>
  <c r="BL278" i="27"/>
  <c r="BR278" i="27"/>
  <c r="BQ278" i="27"/>
  <c r="BP278" i="27"/>
  <c r="BS278" i="27"/>
  <c r="BY278" i="27"/>
  <c r="BO278" i="27"/>
  <c r="BK278" i="27"/>
  <c r="BW278" i="27"/>
  <c r="BU278" i="27"/>
  <c r="CB278" i="27"/>
  <c r="CJ278" i="27"/>
  <c r="CA278" i="27"/>
  <c r="CH278" i="27"/>
  <c r="CE278" i="27"/>
  <c r="CF278" i="27"/>
  <c r="CG278" i="27"/>
  <c r="CI278" i="27"/>
  <c r="A41" i="1"/>
  <c r="G41" i="1"/>
  <c r="J41" i="1"/>
  <c r="K41" i="1"/>
  <c r="V41" i="1"/>
  <c r="AB41" i="1" s="1"/>
  <c r="A40" i="1"/>
  <c r="G40" i="1"/>
  <c r="J40" i="1"/>
  <c r="K40" i="1"/>
  <c r="O40" i="1" s="1"/>
  <c r="P40" i="1" s="1"/>
  <c r="AE40" i="1" s="1"/>
  <c r="V40" i="1"/>
  <c r="AB40" i="1" s="1"/>
  <c r="A39" i="1"/>
  <c r="G39" i="1"/>
  <c r="J39" i="1"/>
  <c r="K39" i="1"/>
  <c r="V39" i="1"/>
  <c r="AB39" i="1" s="1"/>
  <c r="A38" i="1"/>
  <c r="G38" i="1"/>
  <c r="J38" i="1"/>
  <c r="K38" i="1"/>
  <c r="O38" i="1"/>
  <c r="V38" i="1"/>
  <c r="AB38" i="1" s="1"/>
  <c r="DY277" i="27"/>
  <c r="F277" i="27"/>
  <c r="G277" i="27"/>
  <c r="H277" i="27"/>
  <c r="J277" i="27"/>
  <c r="K277" i="27"/>
  <c r="L277" i="27"/>
  <c r="M277" i="27"/>
  <c r="N277" i="27"/>
  <c r="P277" i="27"/>
  <c r="R277" i="27"/>
  <c r="S277" i="27"/>
  <c r="T277" i="27"/>
  <c r="V277" i="27"/>
  <c r="W277" i="27"/>
  <c r="X277" i="27"/>
  <c r="Z277" i="27"/>
  <c r="AA277" i="27"/>
  <c r="AB277" i="27"/>
  <c r="AC277" i="27"/>
  <c r="AD277" i="27"/>
  <c r="AH277" i="27"/>
  <c r="AI277" i="27"/>
  <c r="AJ277" i="27"/>
  <c r="AL277" i="27"/>
  <c r="AM277" i="27"/>
  <c r="AN277" i="27"/>
  <c r="AO277" i="27"/>
  <c r="AP277" i="27"/>
  <c r="AR277" i="27"/>
  <c r="AT277" i="27"/>
  <c r="AU277" i="27"/>
  <c r="AV277" i="27"/>
  <c r="AX277" i="27"/>
  <c r="AY277" i="27"/>
  <c r="AZ277" i="27"/>
  <c r="BB277" i="27"/>
  <c r="BC277" i="27"/>
  <c r="BD277" i="27"/>
  <c r="BE277" i="27"/>
  <c r="BF277" i="27"/>
  <c r="BG277" i="27"/>
  <c r="A37" i="1"/>
  <c r="G37" i="1"/>
  <c r="AD37" i="1" s="1"/>
  <c r="J37" i="1"/>
  <c r="K37" i="1"/>
  <c r="V37" i="1"/>
  <c r="AB37" i="1" s="1"/>
  <c r="A36" i="1"/>
  <c r="G36" i="1"/>
  <c r="Q36" i="1" s="1"/>
  <c r="R36" i="1" s="1"/>
  <c r="U36" i="1" s="1"/>
  <c r="J36" i="1"/>
  <c r="K36" i="1"/>
  <c r="V36" i="1"/>
  <c r="AB36" i="1" s="1"/>
  <c r="A35" i="1"/>
  <c r="G35" i="1"/>
  <c r="Q35" i="1" s="1"/>
  <c r="R35" i="1" s="1"/>
  <c r="U35" i="1" s="1"/>
  <c r="J35" i="1"/>
  <c r="K35" i="1"/>
  <c r="V35" i="1"/>
  <c r="AB35" i="1" s="1"/>
  <c r="DY276" i="27"/>
  <c r="F276" i="27"/>
  <c r="G276" i="27"/>
  <c r="H276" i="27"/>
  <c r="J276" i="27"/>
  <c r="K276" i="27"/>
  <c r="L276" i="27"/>
  <c r="M276" i="27"/>
  <c r="N276" i="27"/>
  <c r="P276" i="27"/>
  <c r="R276" i="27"/>
  <c r="S276" i="27"/>
  <c r="T276" i="27"/>
  <c r="V276" i="27"/>
  <c r="W276" i="27"/>
  <c r="X276" i="27"/>
  <c r="Z276" i="27"/>
  <c r="AA276" i="27"/>
  <c r="AB276" i="27"/>
  <c r="AC276" i="27"/>
  <c r="AD276" i="27"/>
  <c r="AH276" i="27"/>
  <c r="AI276" i="27"/>
  <c r="AJ276" i="27"/>
  <c r="AL276" i="27"/>
  <c r="AM276" i="27"/>
  <c r="AN276" i="27"/>
  <c r="AO276" i="27"/>
  <c r="AP276" i="27"/>
  <c r="AR276" i="27"/>
  <c r="AT276" i="27"/>
  <c r="AU276" i="27"/>
  <c r="AV276" i="27"/>
  <c r="AX276" i="27"/>
  <c r="AY276" i="27"/>
  <c r="AZ276" i="27"/>
  <c r="BB276" i="27"/>
  <c r="BC276" i="27"/>
  <c r="BD276" i="27"/>
  <c r="BE276" i="27"/>
  <c r="BF276" i="27"/>
  <c r="BG276" i="27"/>
  <c r="DV280" i="27" l="1"/>
  <c r="DP288" i="27" a="1"/>
  <c r="DP288" i="27" s="1"/>
  <c r="DR288" i="27" s="1"/>
  <c r="DQ279" i="27"/>
  <c r="DU283" i="27" a="1"/>
  <c r="DU283" i="27" s="1"/>
  <c r="DW283" i="27" s="1"/>
  <c r="DV283" i="27"/>
  <c r="DW279" i="27"/>
  <c r="DV281" i="27"/>
  <c r="DW280" i="27"/>
  <c r="DR284" i="27"/>
  <c r="DV286" i="27"/>
  <c r="DW284" i="27"/>
  <c r="DU281" i="27" a="1"/>
  <c r="DU281" i="27" s="1"/>
  <c r="DQ286" i="27"/>
  <c r="DP282" i="27" a="1"/>
  <c r="DP282" i="27" s="1"/>
  <c r="DQ280" i="27"/>
  <c r="DQ282" i="27"/>
  <c r="DU286" i="27" a="1"/>
  <c r="DU286" i="27" s="1"/>
  <c r="DP281" i="27" a="1"/>
  <c r="DP281" i="27" s="1"/>
  <c r="DV279" i="27"/>
  <c r="DV284" i="27"/>
  <c r="DP279" i="27" a="1"/>
  <c r="DP279" i="27" s="1"/>
  <c r="DU282" i="27" a="1"/>
  <c r="DU282" i="27" s="1"/>
  <c r="DU288" i="27" a="1"/>
  <c r="DU288" i="27" s="1"/>
  <c r="DV282" i="27"/>
  <c r="DV288" i="27"/>
  <c r="DP283" i="27" a="1"/>
  <c r="DP283" i="27" s="1"/>
  <c r="DQ284" i="27"/>
  <c r="T35" i="1"/>
  <c r="AG35" i="1"/>
  <c r="T38" i="1"/>
  <c r="AG38" i="1"/>
  <c r="T41" i="1"/>
  <c r="AG41" i="1"/>
  <c r="T36" i="1"/>
  <c r="AG36" i="1"/>
  <c r="T39" i="1"/>
  <c r="AG39" i="1"/>
  <c r="T37" i="1"/>
  <c r="AG37" i="1"/>
  <c r="T40" i="1"/>
  <c r="AG40" i="1"/>
  <c r="BI277" i="27"/>
  <c r="BI276" i="27"/>
  <c r="DP280" i="27" a="1"/>
  <c r="DP280" i="27" s="1"/>
  <c r="DP286" i="27" a="1"/>
  <c r="DP286" i="27" s="1"/>
  <c r="W36" i="1"/>
  <c r="X36" i="1" s="1"/>
  <c r="CL278" i="27"/>
  <c r="N41" i="1"/>
  <c r="O41" i="1" s="1"/>
  <c r="P41" i="1" s="1"/>
  <c r="AE41" i="1" s="1"/>
  <c r="W38" i="1"/>
  <c r="X38" i="1" s="1"/>
  <c r="N39" i="1"/>
  <c r="O39" i="1" s="1"/>
  <c r="P39" i="1" s="1"/>
  <c r="AE39" i="1" s="1"/>
  <c r="W41" i="1"/>
  <c r="X41" i="1" s="1"/>
  <c r="N37" i="1"/>
  <c r="O37" i="1" s="1"/>
  <c r="P37" i="1" s="1"/>
  <c r="AE37" i="1" s="1"/>
  <c r="Q38" i="1"/>
  <c r="AD38" i="1" s="1"/>
  <c r="P38" i="1"/>
  <c r="AE38" i="1" s="1"/>
  <c r="CM278" i="27"/>
  <c r="W40" i="1"/>
  <c r="X40" i="1" s="1"/>
  <c r="Q41" i="1"/>
  <c r="R41" i="1" s="1"/>
  <c r="U41" i="1" s="1"/>
  <c r="Q40" i="1"/>
  <c r="AJ40" i="1" s="1"/>
  <c r="W39" i="1"/>
  <c r="X39" i="1" s="1"/>
  <c r="Q39" i="1"/>
  <c r="AD39" i="1" s="1"/>
  <c r="W37" i="1"/>
  <c r="X37" i="1" s="1"/>
  <c r="BJ277" i="27"/>
  <c r="BJ276" i="27"/>
  <c r="AJ36" i="1"/>
  <c r="AD36" i="1"/>
  <c r="Q37" i="1"/>
  <c r="R37" i="1" s="1"/>
  <c r="U37" i="1" s="1"/>
  <c r="AJ35" i="1"/>
  <c r="AD35" i="1"/>
  <c r="N36" i="1"/>
  <c r="O36" i="1" s="1"/>
  <c r="P36" i="1" s="1"/>
  <c r="AE36" i="1" s="1"/>
  <c r="AF36" i="1" s="1"/>
  <c r="W35" i="1"/>
  <c r="X35" i="1" s="1"/>
  <c r="AJ37" i="1"/>
  <c r="N35" i="1"/>
  <c r="O35" i="1" s="1"/>
  <c r="P35" i="1" s="1"/>
  <c r="AE35" i="1" s="1"/>
  <c r="AF35" i="1" s="1"/>
  <c r="DS284" i="27" l="1"/>
  <c r="DX280" i="27"/>
  <c r="DZ280" i="27" s="1"/>
  <c r="CJ276" i="27"/>
  <c r="DR286" i="27"/>
  <c r="DW281" i="27"/>
  <c r="DX281" i="27" s="1"/>
  <c r="DR283" i="27"/>
  <c r="DR280" i="27"/>
  <c r="DW282" i="27"/>
  <c r="BR277" i="27"/>
  <c r="DW288" i="27"/>
  <c r="DX288" i="27" s="1"/>
  <c r="DR279" i="27"/>
  <c r="DW286" i="27"/>
  <c r="DX286" i="27" s="1"/>
  <c r="DX284" i="27"/>
  <c r="DR282" i="27"/>
  <c r="DO278" i="27"/>
  <c r="DQ278" i="27" s="1"/>
  <c r="DX279" i="27"/>
  <c r="DT278" i="27"/>
  <c r="DU278" i="27" s="1"/>
  <c r="DX283" i="27"/>
  <c r="DS288" i="27"/>
  <c r="BU276" i="27"/>
  <c r="DR281" i="27"/>
  <c r="CD276" i="27"/>
  <c r="CK276" i="27"/>
  <c r="CE277" i="27"/>
  <c r="CD277" i="27"/>
  <c r="CK277" i="27"/>
  <c r="BT276" i="27"/>
  <c r="BT277" i="27"/>
  <c r="AF38" i="1"/>
  <c r="AJ41" i="1"/>
  <c r="R38" i="1"/>
  <c r="U38" i="1" s="1"/>
  <c r="AF39" i="1"/>
  <c r="AJ38" i="1"/>
  <c r="AJ39" i="1"/>
  <c r="R39" i="1"/>
  <c r="U39" i="1" s="1"/>
  <c r="AD41" i="1"/>
  <c r="AF41" i="1"/>
  <c r="AD40" i="1"/>
  <c r="R40" i="1"/>
  <c r="U40" i="1" s="1"/>
  <c r="AF40" i="1"/>
  <c r="BP277" i="27"/>
  <c r="BO277" i="27"/>
  <c r="BL277" i="27"/>
  <c r="BS277" i="27"/>
  <c r="BU277" i="27"/>
  <c r="BM277" i="27"/>
  <c r="BW277" i="27"/>
  <c r="BQ277" i="27"/>
  <c r="BK277" i="27"/>
  <c r="BY277" i="27"/>
  <c r="BX277" i="27"/>
  <c r="BW276" i="27"/>
  <c r="BQ276" i="27"/>
  <c r="BR276" i="27"/>
  <c r="BO276" i="27"/>
  <c r="CF277" i="27"/>
  <c r="CJ277" i="27"/>
  <c r="CH277" i="27"/>
  <c r="CC277" i="27"/>
  <c r="CA277" i="27"/>
  <c r="CB277" i="27"/>
  <c r="BL276" i="27"/>
  <c r="BX276" i="27"/>
  <c r="BY276" i="27"/>
  <c r="CG277" i="27"/>
  <c r="BP276" i="27"/>
  <c r="CI277" i="27"/>
  <c r="BS276" i="27"/>
  <c r="BM276" i="27"/>
  <c r="BK276" i="27"/>
  <c r="AF37" i="1"/>
  <c r="CB276" i="27"/>
  <c r="CH276" i="27"/>
  <c r="CF276" i="27"/>
  <c r="CG276" i="27"/>
  <c r="CI276" i="27"/>
  <c r="CC276" i="27"/>
  <c r="CE276" i="27"/>
  <c r="CA276" i="27"/>
  <c r="DS279" i="27" l="1"/>
  <c r="DS283" i="27"/>
  <c r="DS286" i="27"/>
  <c r="DS280" i="27"/>
  <c r="EA280" i="27" s="1"/>
  <c r="DX282" i="27"/>
  <c r="DZ282" i="27" s="1"/>
  <c r="DZ283" i="27"/>
  <c r="DZ284" i="27"/>
  <c r="DZ286" i="27"/>
  <c r="DZ288" i="27"/>
  <c r="DS281" i="27"/>
  <c r="DW278" i="27"/>
  <c r="DV278" i="27"/>
  <c r="DZ279" i="27"/>
  <c r="DZ281" i="27"/>
  <c r="DS282" i="27"/>
  <c r="DP278" i="27" a="1"/>
  <c r="DP278" i="27" s="1"/>
  <c r="CL277" i="27"/>
  <c r="CL276" i="27"/>
  <c r="CM276" i="27"/>
  <c r="CM277" i="27"/>
  <c r="EA279" i="27" l="1"/>
  <c r="DT276" i="27"/>
  <c r="DU276" i="27" s="1" a="1"/>
  <c r="DU276" i="27" s="1"/>
  <c r="DO276" i="27"/>
  <c r="DQ276" i="27" s="1"/>
  <c r="DT277" i="27"/>
  <c r="EA288" i="27"/>
  <c r="EA282" i="27"/>
  <c r="EA281" i="27"/>
  <c r="EA283" i="27"/>
  <c r="DR278" i="27"/>
  <c r="DS278" i="27" s="1"/>
  <c r="EA284" i="27"/>
  <c r="DO277" i="27"/>
  <c r="DQ277" i="27" s="1"/>
  <c r="DX278" i="27"/>
  <c r="EA286" i="27"/>
  <c r="DZ278" i="27" l="1"/>
  <c r="DU277" i="27"/>
  <c r="DV277" i="27"/>
  <c r="DP276" i="27" a="1"/>
  <c r="DP276" i="27" s="1"/>
  <c r="DW276" i="27"/>
  <c r="DP277" i="27" a="1"/>
  <c r="DP277" i="27" s="1"/>
  <c r="DV276" i="27"/>
  <c r="A34" i="1"/>
  <c r="G34" i="1"/>
  <c r="AD34" i="1" s="1"/>
  <c r="J34" i="1"/>
  <c r="AG34" i="1" s="1"/>
  <c r="K34" i="1"/>
  <c r="V34" i="1"/>
  <c r="AB34" i="1" s="1"/>
  <c r="A33" i="1"/>
  <c r="G33" i="1"/>
  <c r="AD33" i="1" s="1"/>
  <c r="J33" i="1"/>
  <c r="AG33" i="1" s="1"/>
  <c r="K33" i="1"/>
  <c r="V33" i="1"/>
  <c r="AB33" i="1" s="1"/>
  <c r="A32" i="1"/>
  <c r="G32" i="1"/>
  <c r="AD32" i="1" s="1"/>
  <c r="J32" i="1"/>
  <c r="K32" i="1"/>
  <c r="V32" i="1"/>
  <c r="AB32" i="1" s="1"/>
  <c r="DY275" i="27"/>
  <c r="F275" i="27"/>
  <c r="G275" i="27"/>
  <c r="H275" i="27"/>
  <c r="J275" i="27"/>
  <c r="K275" i="27"/>
  <c r="L275" i="27"/>
  <c r="M275" i="27"/>
  <c r="N275" i="27"/>
  <c r="P275" i="27"/>
  <c r="R275" i="27"/>
  <c r="S275" i="27"/>
  <c r="T275" i="27"/>
  <c r="V275" i="27"/>
  <c r="W275" i="27"/>
  <c r="X275" i="27"/>
  <c r="Z275" i="27"/>
  <c r="AA275" i="27"/>
  <c r="AB275" i="27"/>
  <c r="AC275" i="27"/>
  <c r="AD275" i="27"/>
  <c r="AH275" i="27"/>
  <c r="AI275" i="27"/>
  <c r="AJ275" i="27"/>
  <c r="AL275" i="27"/>
  <c r="AM275" i="27"/>
  <c r="AN275" i="27"/>
  <c r="AO275" i="27"/>
  <c r="AP275" i="27"/>
  <c r="AR275" i="27"/>
  <c r="AT275" i="27"/>
  <c r="AU275" i="27"/>
  <c r="AV275" i="27"/>
  <c r="AX275" i="27"/>
  <c r="AY275" i="27"/>
  <c r="AZ275" i="27"/>
  <c r="BB275" i="27"/>
  <c r="BC275" i="27"/>
  <c r="BD275" i="27"/>
  <c r="BE275" i="27"/>
  <c r="BF275" i="27"/>
  <c r="BG275" i="27"/>
  <c r="DX276" i="27" l="1"/>
  <c r="DZ276" i="27" s="1"/>
  <c r="EA278" i="27"/>
  <c r="DR276" i="27"/>
  <c r="DW277" i="27"/>
  <c r="DR277" i="27"/>
  <c r="T32" i="1"/>
  <c r="AG32" i="1"/>
  <c r="BI275" i="27"/>
  <c r="W34" i="1"/>
  <c r="X34" i="1" s="1"/>
  <c r="W33" i="1"/>
  <c r="X33" i="1" s="1"/>
  <c r="N33" i="1"/>
  <c r="O33" i="1" s="1"/>
  <c r="P33" i="1" s="1"/>
  <c r="AE33" i="1" s="1"/>
  <c r="W32" i="1"/>
  <c r="X32" i="1" s="1"/>
  <c r="N34" i="1"/>
  <c r="O34" i="1" s="1"/>
  <c r="P34" i="1" s="1"/>
  <c r="AE34" i="1" s="1"/>
  <c r="N32" i="1"/>
  <c r="O32" i="1" s="1"/>
  <c r="P32" i="1" s="1"/>
  <c r="AE32" i="1" s="1"/>
  <c r="T34" i="1"/>
  <c r="Q32" i="1"/>
  <c r="R32" i="1" s="1"/>
  <c r="U32" i="1" s="1"/>
  <c r="Q34" i="1"/>
  <c r="R34" i="1" s="1"/>
  <c r="U34" i="1" s="1"/>
  <c r="AJ33" i="1"/>
  <c r="T33" i="1"/>
  <c r="Q33" i="1"/>
  <c r="R33" i="1" s="1"/>
  <c r="U33" i="1" s="1"/>
  <c r="BJ275" i="27"/>
  <c r="AJ34" i="1"/>
  <c r="AJ32" i="1"/>
  <c r="DS276" i="27" l="1"/>
  <c r="EA276" i="27" s="1"/>
  <c r="DS277" i="27"/>
  <c r="BP275" i="27"/>
  <c r="DX277" i="27"/>
  <c r="CA275" i="27"/>
  <c r="CD275" i="27"/>
  <c r="CK275" i="27"/>
  <c r="BT275" i="27"/>
  <c r="CF275" i="27"/>
  <c r="CE275" i="27"/>
  <c r="AF33" i="1"/>
  <c r="AF32" i="1"/>
  <c r="AF34" i="1"/>
  <c r="BO275" i="27"/>
  <c r="CG275" i="27"/>
  <c r="CJ275" i="27"/>
  <c r="CB275" i="27"/>
  <c r="BY275" i="27"/>
  <c r="CH275" i="27"/>
  <c r="CC275" i="27"/>
  <c r="BR275" i="27"/>
  <c r="BK275" i="27"/>
  <c r="BL275" i="27"/>
  <c r="BQ275" i="27"/>
  <c r="BX275" i="27"/>
  <c r="CI275" i="27"/>
  <c r="BS275" i="27"/>
  <c r="BW275" i="27"/>
  <c r="BU275" i="27"/>
  <c r="BM275" i="27"/>
  <c r="DZ277" i="27" l="1"/>
  <c r="CM275" i="27"/>
  <c r="CL275" i="27"/>
  <c r="DT275" i="27" l="1"/>
  <c r="DU275" i="27" s="1" a="1"/>
  <c r="DU275" i="27" s="1"/>
  <c r="DO275" i="27"/>
  <c r="DQ275" i="27" s="1"/>
  <c r="EA277" i="27"/>
  <c r="DW275" i="27" l="1"/>
  <c r="DP275" i="27" a="1"/>
  <c r="DP275" i="27" s="1"/>
  <c r="DV275" i="27"/>
  <c r="A31" i="1"/>
  <c r="G31" i="1"/>
  <c r="AD31" i="1" s="1"/>
  <c r="J31" i="1"/>
  <c r="K31" i="1"/>
  <c r="V31" i="1"/>
  <c r="AB31" i="1" s="1"/>
  <c r="DY274" i="27"/>
  <c r="F274" i="27"/>
  <c r="G274" i="27"/>
  <c r="H274" i="27"/>
  <c r="J274" i="27"/>
  <c r="K274" i="27"/>
  <c r="L274" i="27"/>
  <c r="M274" i="27"/>
  <c r="N274" i="27"/>
  <c r="P274" i="27"/>
  <c r="R274" i="27"/>
  <c r="S274" i="27"/>
  <c r="T274" i="27"/>
  <c r="V274" i="27"/>
  <c r="W274" i="27"/>
  <c r="X274" i="27"/>
  <c r="Z274" i="27"/>
  <c r="AA274" i="27"/>
  <c r="AB274" i="27"/>
  <c r="AC274" i="27"/>
  <c r="AD274" i="27"/>
  <c r="AH274" i="27"/>
  <c r="AI274" i="27"/>
  <c r="AJ274" i="27"/>
  <c r="AL274" i="27"/>
  <c r="AM274" i="27"/>
  <c r="AN274" i="27"/>
  <c r="AO274" i="27"/>
  <c r="AP274" i="27"/>
  <c r="AR274" i="27"/>
  <c r="AT274" i="27"/>
  <c r="AU274" i="27"/>
  <c r="AV274" i="27"/>
  <c r="AX274" i="27"/>
  <c r="AY274" i="27"/>
  <c r="AZ274" i="27"/>
  <c r="BB274" i="27"/>
  <c r="BC274" i="27"/>
  <c r="BD274" i="27"/>
  <c r="BE274" i="27"/>
  <c r="BF274" i="27"/>
  <c r="BG274" i="27"/>
  <c r="DX275" i="27" l="1"/>
  <c r="DZ275" i="27" s="1"/>
  <c r="DR275" i="27"/>
  <c r="T31" i="1"/>
  <c r="AG31" i="1"/>
  <c r="BI274" i="27"/>
  <c r="W31" i="1"/>
  <c r="X31" i="1" s="1"/>
  <c r="N31" i="1"/>
  <c r="O31" i="1" s="1"/>
  <c r="P31" i="1" s="1"/>
  <c r="AE31" i="1" s="1"/>
  <c r="AJ31" i="1"/>
  <c r="Q31" i="1"/>
  <c r="R31" i="1" s="1"/>
  <c r="U31" i="1" s="1"/>
  <c r="BJ274" i="27"/>
  <c r="DS275" i="27" l="1"/>
  <c r="EA275" i="27" s="1"/>
  <c r="BX274" i="27"/>
  <c r="CF274" i="27"/>
  <c r="CD274" i="27"/>
  <c r="CK274" i="27"/>
  <c r="BT274" i="27"/>
  <c r="AF31" i="1"/>
  <c r="BL274" i="27"/>
  <c r="BU274" i="27"/>
  <c r="BW274" i="27"/>
  <c r="BK274" i="27"/>
  <c r="BY274" i="27"/>
  <c r="BM274" i="27"/>
  <c r="BO274" i="27"/>
  <c r="BP274" i="27"/>
  <c r="BQ274" i="27"/>
  <c r="BR274" i="27"/>
  <c r="BS274" i="27"/>
  <c r="CE274" i="27"/>
  <c r="CA274" i="27"/>
  <c r="CB274" i="27"/>
  <c r="CG274" i="27"/>
  <c r="CH274" i="27"/>
  <c r="CI274" i="27"/>
  <c r="CJ274" i="27"/>
  <c r="CC274" i="27"/>
  <c r="CL274" i="27" l="1"/>
  <c r="CM274" i="27"/>
  <c r="DT274" i="27" l="1"/>
  <c r="DV274" i="27" s="1"/>
  <c r="DO274" i="27"/>
  <c r="DQ274" i="27" s="1"/>
  <c r="DU274" i="27" l="1" a="1"/>
  <c r="DU274" i="27" s="1"/>
  <c r="DW274" i="27" s="1"/>
  <c r="DX274" i="27" s="1"/>
  <c r="DP274" i="27" a="1"/>
  <c r="DP274" i="27" s="1"/>
  <c r="DZ274" i="27" l="1"/>
  <c r="DR274" i="27"/>
  <c r="DS274" i="27" s="1"/>
  <c r="A30" i="1"/>
  <c r="G30" i="1"/>
  <c r="AD30" i="1" s="1"/>
  <c r="J30" i="1"/>
  <c r="K30" i="1"/>
  <c r="V30" i="1"/>
  <c r="AB30" i="1" s="1"/>
  <c r="A29" i="1"/>
  <c r="G29" i="1"/>
  <c r="Q29" i="1" s="1"/>
  <c r="R29" i="1" s="1"/>
  <c r="U29" i="1" s="1"/>
  <c r="J29" i="1"/>
  <c r="AG29" i="1" s="1"/>
  <c r="K29" i="1"/>
  <c r="V29" i="1"/>
  <c r="AB29" i="1" s="1"/>
  <c r="DY273" i="27"/>
  <c r="F273" i="27"/>
  <c r="G273" i="27"/>
  <c r="H273" i="27"/>
  <c r="J273" i="27"/>
  <c r="K273" i="27"/>
  <c r="L273" i="27"/>
  <c r="M273" i="27"/>
  <c r="N273" i="27"/>
  <c r="P273" i="27"/>
  <c r="R273" i="27"/>
  <c r="S273" i="27"/>
  <c r="T273" i="27"/>
  <c r="V273" i="27"/>
  <c r="W273" i="27"/>
  <c r="X273" i="27"/>
  <c r="Z273" i="27"/>
  <c r="AA273" i="27"/>
  <c r="AB273" i="27"/>
  <c r="AC273" i="27"/>
  <c r="AD273" i="27"/>
  <c r="AH273" i="27"/>
  <c r="AI273" i="27"/>
  <c r="AJ273" i="27"/>
  <c r="AL273" i="27"/>
  <c r="AM273" i="27"/>
  <c r="AN273" i="27"/>
  <c r="AO273" i="27"/>
  <c r="AP273" i="27"/>
  <c r="AR273" i="27"/>
  <c r="AT273" i="27"/>
  <c r="AU273" i="27"/>
  <c r="AV273" i="27"/>
  <c r="AX273" i="27"/>
  <c r="AY273" i="27"/>
  <c r="AZ273" i="27"/>
  <c r="BB273" i="27"/>
  <c r="BC273" i="27"/>
  <c r="BD273" i="27"/>
  <c r="BE273" i="27"/>
  <c r="BF273" i="27"/>
  <c r="BG273" i="27"/>
  <c r="EA274" i="27" l="1"/>
  <c r="T30" i="1"/>
  <c r="AG30" i="1"/>
  <c r="BI273" i="27"/>
  <c r="W30" i="1"/>
  <c r="X30" i="1" s="1"/>
  <c r="N30" i="1"/>
  <c r="O30" i="1" s="1"/>
  <c r="P30" i="1" s="1"/>
  <c r="AE30" i="1" s="1"/>
  <c r="AJ30" i="1"/>
  <c r="N29" i="1"/>
  <c r="O29" i="1" s="1"/>
  <c r="P29" i="1" s="1"/>
  <c r="AE29" i="1" s="1"/>
  <c r="AF29" i="1" s="1"/>
  <c r="AD29" i="1"/>
  <c r="W29" i="1"/>
  <c r="X29" i="1" s="1"/>
  <c r="Q30" i="1"/>
  <c r="R30" i="1" s="1"/>
  <c r="U30" i="1" s="1"/>
  <c r="AJ29" i="1"/>
  <c r="T29" i="1"/>
  <c r="BJ273" i="27"/>
  <c r="BM273" i="27" l="1"/>
  <c r="CF273" i="27"/>
  <c r="CD273" i="27"/>
  <c r="CK273" i="27"/>
  <c r="BT273" i="27"/>
  <c r="AF30" i="1"/>
  <c r="BL273" i="27"/>
  <c r="BO273" i="27"/>
  <c r="BS273" i="27"/>
  <c r="BQ273" i="27"/>
  <c r="BW273" i="27"/>
  <c r="BR273" i="27"/>
  <c r="BX273" i="27"/>
  <c r="BK273" i="27"/>
  <c r="BY273" i="27"/>
  <c r="BU273" i="27"/>
  <c r="BP273" i="27"/>
  <c r="CB273" i="27"/>
  <c r="CJ273" i="27"/>
  <c r="CE273" i="27"/>
  <c r="CA273" i="27"/>
  <c r="CG273" i="27"/>
  <c r="CC273" i="27"/>
  <c r="CI273" i="27"/>
  <c r="CH273" i="27"/>
  <c r="CL273" i="27" l="1"/>
  <c r="CM273" i="27"/>
  <c r="A28" i="1"/>
  <c r="G28" i="1"/>
  <c r="Q28" i="1" s="1"/>
  <c r="R28" i="1" s="1"/>
  <c r="U28" i="1" s="1"/>
  <c r="J28" i="1"/>
  <c r="K28" i="1"/>
  <c r="V28" i="1"/>
  <c r="AB28" i="1" s="1"/>
  <c r="A27" i="1"/>
  <c r="G27" i="1"/>
  <c r="Q27" i="1" s="1"/>
  <c r="R27" i="1" s="1"/>
  <c r="U27" i="1" s="1"/>
  <c r="J27" i="1"/>
  <c r="K27" i="1"/>
  <c r="V27" i="1"/>
  <c r="AB27" i="1" s="1"/>
  <c r="DY272" i="27"/>
  <c r="F272" i="27"/>
  <c r="G272" i="27"/>
  <c r="H272" i="27"/>
  <c r="J272" i="27"/>
  <c r="K272" i="27"/>
  <c r="L272" i="27"/>
  <c r="M272" i="27"/>
  <c r="N272" i="27"/>
  <c r="P272" i="27"/>
  <c r="R272" i="27"/>
  <c r="S272" i="27"/>
  <c r="T272" i="27"/>
  <c r="V272" i="27"/>
  <c r="W272" i="27"/>
  <c r="X272" i="27"/>
  <c r="Z272" i="27"/>
  <c r="AA272" i="27"/>
  <c r="AB272" i="27"/>
  <c r="AC272" i="27"/>
  <c r="AD272" i="27"/>
  <c r="AH272" i="27"/>
  <c r="AI272" i="27"/>
  <c r="AJ272" i="27"/>
  <c r="AL272" i="27"/>
  <c r="AM272" i="27"/>
  <c r="AN272" i="27"/>
  <c r="AO272" i="27"/>
  <c r="AP272" i="27"/>
  <c r="AR272" i="27"/>
  <c r="AT272" i="27"/>
  <c r="AU272" i="27"/>
  <c r="AV272" i="27"/>
  <c r="AX272" i="27"/>
  <c r="AY272" i="27"/>
  <c r="AZ272" i="27"/>
  <c r="BB272" i="27"/>
  <c r="BC272" i="27"/>
  <c r="BD272" i="27"/>
  <c r="BE272" i="27"/>
  <c r="BF272" i="27"/>
  <c r="BG272" i="27"/>
  <c r="DT273" i="27" l="1"/>
  <c r="DO273" i="27"/>
  <c r="DQ273" i="27" s="1"/>
  <c r="T27" i="1"/>
  <c r="AG27" i="1"/>
  <c r="T28" i="1"/>
  <c r="AG28" i="1"/>
  <c r="BI272" i="27"/>
  <c r="W28" i="1"/>
  <c r="X28" i="1" s="1"/>
  <c r="N28" i="1"/>
  <c r="O28" i="1" s="1"/>
  <c r="P28" i="1" s="1"/>
  <c r="AE28" i="1" s="1"/>
  <c r="AF28" i="1" s="1"/>
  <c r="AJ28" i="1"/>
  <c r="AD28" i="1"/>
  <c r="N27" i="1"/>
  <c r="O27" i="1" s="1"/>
  <c r="P27" i="1" s="1"/>
  <c r="AE27" i="1" s="1"/>
  <c r="AF27" i="1" s="1"/>
  <c r="AJ27" i="1"/>
  <c r="AD27" i="1"/>
  <c r="W27" i="1"/>
  <c r="X27" i="1" s="1"/>
  <c r="BJ272" i="27"/>
  <c r="BS272" i="27" l="1"/>
  <c r="DV273" i="27"/>
  <c r="DU273" i="27" a="1"/>
  <c r="DU273" i="27" s="1"/>
  <c r="DP273" i="27" a="1"/>
  <c r="DP273" i="27" s="1"/>
  <c r="CA272" i="27"/>
  <c r="CD272" i="27"/>
  <c r="CK272" i="27"/>
  <c r="BT272" i="27"/>
  <c r="BL272" i="27"/>
  <c r="CE272" i="27"/>
  <c r="BO272" i="27"/>
  <c r="BU272" i="27"/>
  <c r="BX272" i="27"/>
  <c r="BY272" i="27"/>
  <c r="CB272" i="27"/>
  <c r="BW272" i="27"/>
  <c r="BQ272" i="27"/>
  <c r="BP272" i="27"/>
  <c r="BK272" i="27"/>
  <c r="CF272" i="27"/>
  <c r="CC272" i="27"/>
  <c r="CH272" i="27"/>
  <c r="CI272" i="27"/>
  <c r="CJ272" i="27"/>
  <c r="BM272" i="27"/>
  <c r="BR272" i="27"/>
  <c r="CG272" i="27"/>
  <c r="A26" i="1"/>
  <c r="G26" i="1"/>
  <c r="Q26" i="1" s="1"/>
  <c r="R26" i="1" s="1"/>
  <c r="U26" i="1" s="1"/>
  <c r="J26" i="1"/>
  <c r="K26" i="1"/>
  <c r="V26" i="1"/>
  <c r="AB26" i="1" s="1"/>
  <c r="A25" i="1"/>
  <c r="G25" i="1"/>
  <c r="AJ25" i="1" s="1"/>
  <c r="J25" i="1"/>
  <c r="K25" i="1"/>
  <c r="V25" i="1"/>
  <c r="AB25" i="1" s="1"/>
  <c r="A24" i="1"/>
  <c r="G24" i="1"/>
  <c r="AJ24" i="1" s="1"/>
  <c r="J24" i="1"/>
  <c r="K24" i="1"/>
  <c r="V24" i="1"/>
  <c r="AB24" i="1" s="1"/>
  <c r="DY271" i="27"/>
  <c r="F271" i="27"/>
  <c r="G271" i="27"/>
  <c r="H271" i="27"/>
  <c r="J271" i="27"/>
  <c r="K271" i="27"/>
  <c r="L271" i="27"/>
  <c r="M271" i="27"/>
  <c r="N271" i="27"/>
  <c r="P271" i="27"/>
  <c r="R271" i="27"/>
  <c r="S271" i="27"/>
  <c r="T271" i="27"/>
  <c r="V271" i="27"/>
  <c r="W271" i="27"/>
  <c r="X271" i="27"/>
  <c r="Z271" i="27"/>
  <c r="AA271" i="27"/>
  <c r="AB271" i="27"/>
  <c r="AC271" i="27"/>
  <c r="AD271" i="27"/>
  <c r="A23" i="1"/>
  <c r="G23" i="1"/>
  <c r="AJ23" i="1" s="1"/>
  <c r="J23" i="1"/>
  <c r="K23" i="1"/>
  <c r="V23" i="1"/>
  <c r="AB23" i="1" s="1"/>
  <c r="A22" i="1"/>
  <c r="G22" i="1"/>
  <c r="Q22" i="1" s="1"/>
  <c r="R22" i="1" s="1"/>
  <c r="U22" i="1" s="1"/>
  <c r="J22" i="1"/>
  <c r="K22" i="1"/>
  <c r="V22" i="1"/>
  <c r="AB22" i="1" s="1"/>
  <c r="AH271" i="27"/>
  <c r="AI271" i="27"/>
  <c r="AJ271" i="27"/>
  <c r="AL271" i="27"/>
  <c r="AM271" i="27"/>
  <c r="AN271" i="27"/>
  <c r="AO271" i="27"/>
  <c r="AP271" i="27"/>
  <c r="AR271" i="27"/>
  <c r="AT271" i="27"/>
  <c r="AU271" i="27"/>
  <c r="AV271" i="27"/>
  <c r="AX271" i="27"/>
  <c r="AY271" i="27"/>
  <c r="AZ271" i="27"/>
  <c r="BB271" i="27"/>
  <c r="BC271" i="27"/>
  <c r="BD271" i="27"/>
  <c r="BE271" i="27"/>
  <c r="BF271" i="27"/>
  <c r="BG271" i="27"/>
  <c r="DR273" i="27" l="1"/>
  <c r="DW273" i="27"/>
  <c r="T26" i="1"/>
  <c r="AG26" i="1"/>
  <c r="T23" i="1"/>
  <c r="AG23" i="1"/>
  <c r="T24" i="1"/>
  <c r="AG24" i="1"/>
  <c r="T25" i="1"/>
  <c r="AG25" i="1"/>
  <c r="T22" i="1"/>
  <c r="AG22" i="1"/>
  <c r="BI271" i="27"/>
  <c r="N24" i="1"/>
  <c r="O24" i="1" s="1"/>
  <c r="P24" i="1" s="1"/>
  <c r="AE24" i="1" s="1"/>
  <c r="AJ22" i="1"/>
  <c r="AD22" i="1"/>
  <c r="AD24" i="1"/>
  <c r="AJ26" i="1"/>
  <c r="N22" i="1"/>
  <c r="O22" i="1" s="1"/>
  <c r="P22" i="1" s="1"/>
  <c r="AE22" i="1" s="1"/>
  <c r="AF22" i="1" s="1"/>
  <c r="Q24" i="1"/>
  <c r="R24" i="1" s="1"/>
  <c r="U24" i="1" s="1"/>
  <c r="W23" i="1"/>
  <c r="X23" i="1" s="1"/>
  <c r="N23" i="1"/>
  <c r="O23" i="1" s="1"/>
  <c r="P23" i="1" s="1"/>
  <c r="AE23" i="1" s="1"/>
  <c r="W24" i="1"/>
  <c r="X24" i="1" s="1"/>
  <c r="AD26" i="1"/>
  <c r="W26" i="1"/>
  <c r="X26" i="1" s="1"/>
  <c r="Q23" i="1"/>
  <c r="R23" i="1" s="1"/>
  <c r="U23" i="1" s="1"/>
  <c r="N26" i="1"/>
  <c r="O26" i="1" s="1"/>
  <c r="P26" i="1" s="1"/>
  <c r="AE26" i="1" s="1"/>
  <c r="AF26" i="1" s="1"/>
  <c r="AD25" i="1"/>
  <c r="W25" i="1"/>
  <c r="X25" i="1" s="1"/>
  <c r="N25" i="1"/>
  <c r="O25" i="1" s="1"/>
  <c r="P25" i="1" s="1"/>
  <c r="AE25" i="1" s="1"/>
  <c r="AD23" i="1"/>
  <c r="CL272" i="27"/>
  <c r="CM272" i="27"/>
  <c r="Q25" i="1"/>
  <c r="BJ271" i="27"/>
  <c r="W22" i="1"/>
  <c r="X22" i="1" s="1"/>
  <c r="DT272" i="27" l="1"/>
  <c r="DX273" i="27"/>
  <c r="DS273" i="27"/>
  <c r="DO272" i="27"/>
  <c r="BQ271" i="27"/>
  <c r="CF271" i="27"/>
  <c r="CD271" i="27"/>
  <c r="CK271" i="27"/>
  <c r="BT271" i="27"/>
  <c r="AF24" i="1"/>
  <c r="AF23" i="1"/>
  <c r="DU272" i="27" a="1"/>
  <c r="DU272" i="27" s="1"/>
  <c r="DV272" i="27"/>
  <c r="AF25" i="1"/>
  <c r="BL271" i="27"/>
  <c r="R25" i="1"/>
  <c r="U25" i="1" s="1"/>
  <c r="BM271" i="27"/>
  <c r="BR271" i="27"/>
  <c r="BO271" i="27"/>
  <c r="BX271" i="27"/>
  <c r="BK271" i="27"/>
  <c r="BP271" i="27"/>
  <c r="BW271" i="27"/>
  <c r="BS271" i="27"/>
  <c r="BY271" i="27"/>
  <c r="BU271" i="27"/>
  <c r="CI271" i="27"/>
  <c r="CB271" i="27"/>
  <c r="CA271" i="27"/>
  <c r="CG271" i="27"/>
  <c r="CC271" i="27"/>
  <c r="CE271" i="27"/>
  <c r="CH271" i="27"/>
  <c r="CJ271" i="27"/>
  <c r="DP272" i="27" l="1" a="1"/>
  <c r="DP272" i="27" s="1"/>
  <c r="DQ272" i="27"/>
  <c r="DZ273" i="27"/>
  <c r="DW272" i="27"/>
  <c r="DX272" i="27" s="1"/>
  <c r="CL271" i="27"/>
  <c r="CM271" i="27"/>
  <c r="DY270" i="27"/>
  <c r="F270" i="27"/>
  <c r="G270" i="27"/>
  <c r="H270" i="27"/>
  <c r="J270" i="27"/>
  <c r="K270" i="27"/>
  <c r="L270" i="27"/>
  <c r="M270" i="27"/>
  <c r="N270" i="27"/>
  <c r="P270" i="27"/>
  <c r="R270" i="27"/>
  <c r="S270" i="27"/>
  <c r="T270" i="27"/>
  <c r="V270" i="27"/>
  <c r="W270" i="27"/>
  <c r="X270" i="27"/>
  <c r="Z270" i="27"/>
  <c r="AA270" i="27"/>
  <c r="AB270" i="27"/>
  <c r="AC270" i="27"/>
  <c r="AD270" i="27"/>
  <c r="AE270" i="27"/>
  <c r="AH270" i="27"/>
  <c r="AI270" i="27"/>
  <c r="AJ270" i="27"/>
  <c r="AL270" i="27"/>
  <c r="AM270" i="27"/>
  <c r="AN270" i="27"/>
  <c r="AO270" i="27"/>
  <c r="AP270" i="27"/>
  <c r="AR270" i="27"/>
  <c r="AT270" i="27"/>
  <c r="AU270" i="27"/>
  <c r="AV270" i="27"/>
  <c r="AX270" i="27"/>
  <c r="AY270" i="27"/>
  <c r="AZ270" i="27"/>
  <c r="BB270" i="27"/>
  <c r="BC270" i="27"/>
  <c r="BD270" i="27"/>
  <c r="BE270" i="27"/>
  <c r="BF270" i="27"/>
  <c r="BG270" i="27"/>
  <c r="DT271" i="27" l="1"/>
  <c r="DO271" i="27"/>
  <c r="DZ272" i="27"/>
  <c r="EA273" i="27"/>
  <c r="DR272" i="27"/>
  <c r="BI270" i="27"/>
  <c r="BJ270" i="27"/>
  <c r="DS272" i="27" l="1"/>
  <c r="DU271" i="27" a="1"/>
  <c r="DU271" i="27" s="1"/>
  <c r="BY270" i="27"/>
  <c r="DP271" i="27" a="1"/>
  <c r="DP271" i="27" s="1"/>
  <c r="DV271" i="27"/>
  <c r="DQ271" i="27"/>
  <c r="CF270" i="27"/>
  <c r="CD270" i="27"/>
  <c r="CK270" i="27"/>
  <c r="BT270" i="27"/>
  <c r="BK270" i="27"/>
  <c r="BX270" i="27"/>
  <c r="BL270" i="27"/>
  <c r="BM270" i="27"/>
  <c r="BR270" i="27"/>
  <c r="BO270" i="27"/>
  <c r="BP270" i="27"/>
  <c r="BQ270" i="27"/>
  <c r="BS270" i="27"/>
  <c r="BU270" i="27"/>
  <c r="BW270" i="27"/>
  <c r="CA270" i="27"/>
  <c r="CB270" i="27"/>
  <c r="CC270" i="27"/>
  <c r="CG270" i="27"/>
  <c r="CH270" i="27"/>
  <c r="CI270" i="27"/>
  <c r="CE270" i="27"/>
  <c r="CJ270" i="27"/>
  <c r="DR271" i="27" l="1"/>
  <c r="DW271" i="27"/>
  <c r="EA272" i="27"/>
  <c r="CL270" i="27"/>
  <c r="CM270" i="27"/>
  <c r="A318" i="2"/>
  <c r="E318" i="2"/>
  <c r="G318" i="2"/>
  <c r="H318" i="2"/>
  <c r="I318" i="2"/>
  <c r="J318" i="2"/>
  <c r="L318" i="2"/>
  <c r="N318" i="2"/>
  <c r="W318" i="2"/>
  <c r="AB318" i="2"/>
  <c r="AD318" i="2"/>
  <c r="AE318" i="2"/>
  <c r="AM318" i="2"/>
  <c r="AN318" i="2"/>
  <c r="AO318" i="2"/>
  <c r="A319" i="2"/>
  <c r="E319" i="2"/>
  <c r="G319" i="2"/>
  <c r="H319" i="2"/>
  <c r="I319" i="2"/>
  <c r="J319" i="2"/>
  <c r="L319" i="2"/>
  <c r="N319" i="2"/>
  <c r="AB319" i="2"/>
  <c r="AD319" i="2"/>
  <c r="AE319" i="2"/>
  <c r="AM319" i="2"/>
  <c r="AN319" i="2"/>
  <c r="AO319" i="2"/>
  <c r="A320" i="2"/>
  <c r="E320" i="2"/>
  <c r="G320" i="2"/>
  <c r="H320" i="2"/>
  <c r="I320" i="2"/>
  <c r="J320" i="2"/>
  <c r="L320" i="2"/>
  <c r="N320" i="2"/>
  <c r="AB320" i="2"/>
  <c r="AD320" i="2"/>
  <c r="AE320" i="2"/>
  <c r="AM320" i="2"/>
  <c r="AN320" i="2"/>
  <c r="AO320" i="2"/>
  <c r="A321" i="2"/>
  <c r="E321" i="2"/>
  <c r="G321" i="2"/>
  <c r="H321" i="2"/>
  <c r="I321" i="2"/>
  <c r="J321" i="2"/>
  <c r="L321" i="2"/>
  <c r="N321" i="2"/>
  <c r="W321" i="2"/>
  <c r="AB321" i="2"/>
  <c r="AD321" i="2"/>
  <c r="AE321" i="2"/>
  <c r="AM321" i="2"/>
  <c r="AN321" i="2"/>
  <c r="AO321" i="2"/>
  <c r="A322" i="2"/>
  <c r="E322" i="2"/>
  <c r="G322" i="2"/>
  <c r="H322" i="2"/>
  <c r="I322" i="2"/>
  <c r="J322" i="2"/>
  <c r="L322" i="2"/>
  <c r="N322" i="2"/>
  <c r="AB322" i="2"/>
  <c r="AD322" i="2"/>
  <c r="AE322" i="2"/>
  <c r="AM322" i="2"/>
  <c r="AN322" i="2"/>
  <c r="AO322" i="2"/>
  <c r="A323" i="2"/>
  <c r="E323" i="2"/>
  <c r="G323" i="2"/>
  <c r="H323" i="2"/>
  <c r="I323" i="2"/>
  <c r="J323" i="2"/>
  <c r="L323" i="2"/>
  <c r="N323" i="2"/>
  <c r="AB323" i="2"/>
  <c r="AD323" i="2"/>
  <c r="AE323" i="2"/>
  <c r="AM323" i="2"/>
  <c r="AN323" i="2"/>
  <c r="AO323" i="2"/>
  <c r="A324" i="2"/>
  <c r="E324" i="2"/>
  <c r="G324" i="2"/>
  <c r="H324" i="2"/>
  <c r="I324" i="2"/>
  <c r="J324" i="2"/>
  <c r="L324" i="2"/>
  <c r="N324" i="2"/>
  <c r="AB324" i="2"/>
  <c r="AD324" i="2"/>
  <c r="AE324" i="2"/>
  <c r="AM324" i="2"/>
  <c r="AN324" i="2"/>
  <c r="AO324" i="2"/>
  <c r="A325" i="2"/>
  <c r="E325" i="2"/>
  <c r="H325" i="2"/>
  <c r="I325" i="2"/>
  <c r="J325" i="2"/>
  <c r="L325" i="2"/>
  <c r="N325" i="2"/>
  <c r="AB325" i="2"/>
  <c r="AD325" i="2"/>
  <c r="AE325" i="2"/>
  <c r="AM325" i="2"/>
  <c r="AN325" i="2"/>
  <c r="AO325" i="2"/>
  <c r="A326" i="2"/>
  <c r="E326" i="2"/>
  <c r="G326" i="2"/>
  <c r="H326" i="2"/>
  <c r="I326" i="2"/>
  <c r="J326" i="2"/>
  <c r="L326" i="2"/>
  <c r="N326" i="2"/>
  <c r="AB326" i="2"/>
  <c r="AD326" i="2"/>
  <c r="AE326" i="2"/>
  <c r="AM326" i="2"/>
  <c r="AN326" i="2"/>
  <c r="AO326" i="2"/>
  <c r="A327" i="2"/>
  <c r="E327" i="2"/>
  <c r="G327" i="2"/>
  <c r="H327" i="2"/>
  <c r="I327" i="2"/>
  <c r="J327" i="2"/>
  <c r="L327" i="2"/>
  <c r="N327" i="2"/>
  <c r="AB327" i="2"/>
  <c r="AD327" i="2"/>
  <c r="AE327" i="2"/>
  <c r="AM327" i="2"/>
  <c r="AN327" i="2"/>
  <c r="AO327" i="2"/>
  <c r="A21" i="1"/>
  <c r="G21" i="1"/>
  <c r="Q21" i="1" s="1"/>
  <c r="R21" i="1" s="1"/>
  <c r="U21" i="1" s="1"/>
  <c r="J21" i="1"/>
  <c r="AG21" i="1" s="1"/>
  <c r="K21" i="1"/>
  <c r="V21" i="1"/>
  <c r="AB21" i="1" s="1"/>
  <c r="A20" i="1"/>
  <c r="G20" i="1"/>
  <c r="AD20" i="1" s="1"/>
  <c r="J20" i="1"/>
  <c r="AG20" i="1" s="1"/>
  <c r="K20" i="1"/>
  <c r="V20" i="1"/>
  <c r="AB20" i="1" s="1"/>
  <c r="A19" i="1"/>
  <c r="G19" i="1"/>
  <c r="AD19" i="1" s="1"/>
  <c r="J19" i="1"/>
  <c r="AG19" i="1" s="1"/>
  <c r="K19" i="1"/>
  <c r="V19" i="1"/>
  <c r="AB19" i="1" s="1"/>
  <c r="A18" i="1"/>
  <c r="G18" i="1"/>
  <c r="Q18" i="1" s="1"/>
  <c r="R18" i="1" s="1"/>
  <c r="U18" i="1" s="1"/>
  <c r="J18" i="1"/>
  <c r="K18" i="1"/>
  <c r="V18" i="1"/>
  <c r="AB18" i="1" s="1"/>
  <c r="DY269" i="27"/>
  <c r="F269" i="27"/>
  <c r="G269" i="27"/>
  <c r="H269" i="27"/>
  <c r="J269" i="27"/>
  <c r="K269" i="27"/>
  <c r="L269" i="27"/>
  <c r="M269" i="27"/>
  <c r="N269" i="27"/>
  <c r="P269" i="27"/>
  <c r="R269" i="27"/>
  <c r="S269" i="27"/>
  <c r="T269" i="27"/>
  <c r="V269" i="27"/>
  <c r="W269" i="27"/>
  <c r="X269" i="27"/>
  <c r="Z269" i="27"/>
  <c r="AA269" i="27"/>
  <c r="AB269" i="27"/>
  <c r="AC269" i="27"/>
  <c r="AD269" i="27"/>
  <c r="AE269" i="27"/>
  <c r="AH269" i="27"/>
  <c r="AI269" i="27"/>
  <c r="AJ269" i="27"/>
  <c r="AL269" i="27"/>
  <c r="AM269" i="27"/>
  <c r="AN269" i="27"/>
  <c r="AO269" i="27"/>
  <c r="AP269" i="27"/>
  <c r="AR269" i="27"/>
  <c r="AT269" i="27"/>
  <c r="AU269" i="27"/>
  <c r="AV269" i="27"/>
  <c r="AX269" i="27"/>
  <c r="AY269" i="27"/>
  <c r="AZ269" i="27"/>
  <c r="BB269" i="27"/>
  <c r="BC269" i="27"/>
  <c r="BD269" i="27"/>
  <c r="BE269" i="27"/>
  <c r="BF269" i="27"/>
  <c r="BG269" i="27"/>
  <c r="DY268" i="27"/>
  <c r="F268" i="27"/>
  <c r="G268" i="27"/>
  <c r="H268" i="27"/>
  <c r="J268" i="27"/>
  <c r="K268" i="27"/>
  <c r="L268" i="27"/>
  <c r="M268" i="27"/>
  <c r="N268" i="27"/>
  <c r="P268" i="27"/>
  <c r="R268" i="27"/>
  <c r="S268" i="27"/>
  <c r="T268" i="27"/>
  <c r="V268" i="27"/>
  <c r="W268" i="27"/>
  <c r="X268" i="27"/>
  <c r="Z268" i="27"/>
  <c r="AA268" i="27"/>
  <c r="AB268" i="27"/>
  <c r="AC268" i="27"/>
  <c r="AD268" i="27"/>
  <c r="AE268" i="27"/>
  <c r="AH268" i="27"/>
  <c r="AI268" i="27"/>
  <c r="AJ268" i="27"/>
  <c r="AL268" i="27"/>
  <c r="AM268" i="27"/>
  <c r="AN268" i="27"/>
  <c r="AO268" i="27"/>
  <c r="AP268" i="27"/>
  <c r="AR268" i="27"/>
  <c r="AT268" i="27"/>
  <c r="AU268" i="27"/>
  <c r="AV268" i="27"/>
  <c r="AX268" i="27"/>
  <c r="AY268" i="27"/>
  <c r="AZ268" i="27"/>
  <c r="BB268" i="27"/>
  <c r="BC268" i="27"/>
  <c r="BD268" i="27"/>
  <c r="BE268" i="27"/>
  <c r="BF268" i="27"/>
  <c r="BG268" i="27"/>
  <c r="DS271" i="27" l="1"/>
  <c r="DT270" i="27"/>
  <c r="DO270" i="27"/>
  <c r="DX271" i="27"/>
  <c r="N18" i="1"/>
  <c r="O18" i="1" s="1"/>
  <c r="P18" i="1" s="1"/>
  <c r="AE18" i="1" s="1"/>
  <c r="AF18" i="1" s="1"/>
  <c r="T18" i="1"/>
  <c r="AG18" i="1"/>
  <c r="BI269" i="27"/>
  <c r="BI268" i="27"/>
  <c r="W20" i="1"/>
  <c r="X20" i="1" s="1"/>
  <c r="N20" i="1"/>
  <c r="O20" i="1" s="1"/>
  <c r="P20" i="1" s="1"/>
  <c r="AE20" i="1" s="1"/>
  <c r="N21" i="1"/>
  <c r="O21" i="1" s="1"/>
  <c r="P21" i="1" s="1"/>
  <c r="AE21" i="1" s="1"/>
  <c r="AF21" i="1" s="1"/>
  <c r="K327" i="2"/>
  <c r="P327" i="2" s="1"/>
  <c r="M327" i="2"/>
  <c r="Q327" i="2" s="1"/>
  <c r="U327" i="2"/>
  <c r="X327" i="2"/>
  <c r="K326" i="2"/>
  <c r="P326" i="2" s="1"/>
  <c r="M326" i="2"/>
  <c r="Q326" i="2" s="1"/>
  <c r="U326" i="2"/>
  <c r="X326" i="2"/>
  <c r="M325" i="2"/>
  <c r="Q325" i="2" s="1"/>
  <c r="K325" i="2"/>
  <c r="P325" i="2" s="1"/>
  <c r="W21" i="1"/>
  <c r="X21" i="1" s="1"/>
  <c r="W19" i="1"/>
  <c r="X19" i="1" s="1"/>
  <c r="X325" i="2"/>
  <c r="AJ21" i="1"/>
  <c r="AD21" i="1"/>
  <c r="W18" i="1"/>
  <c r="X18" i="1" s="1"/>
  <c r="T21" i="1"/>
  <c r="U325" i="2"/>
  <c r="K324" i="2"/>
  <c r="P324" i="2" s="1"/>
  <c r="M324" i="2"/>
  <c r="Q324" i="2" s="1"/>
  <c r="U324" i="2"/>
  <c r="X324" i="2"/>
  <c r="K323" i="2"/>
  <c r="P323" i="2" s="1"/>
  <c r="T20" i="1"/>
  <c r="X323" i="2"/>
  <c r="AJ19" i="1"/>
  <c r="T19" i="1"/>
  <c r="Q19" i="1"/>
  <c r="R19" i="1" s="1"/>
  <c r="U19" i="1" s="1"/>
  <c r="N19" i="1"/>
  <c r="O19" i="1" s="1"/>
  <c r="P19" i="1" s="1"/>
  <c r="AE19" i="1" s="1"/>
  <c r="AJ18" i="1"/>
  <c r="AD18" i="1"/>
  <c r="AJ20" i="1"/>
  <c r="M323" i="2"/>
  <c r="Q323" i="2" s="1"/>
  <c r="U323" i="2"/>
  <c r="M322" i="2"/>
  <c r="Q322" i="2" s="1"/>
  <c r="K322" i="2"/>
  <c r="P322" i="2" s="1"/>
  <c r="U322" i="2"/>
  <c r="X322" i="2"/>
  <c r="U321" i="2"/>
  <c r="V321" i="2" s="1"/>
  <c r="M321" i="2"/>
  <c r="Q321" i="2" s="1"/>
  <c r="K321" i="2"/>
  <c r="P321" i="2" s="1"/>
  <c r="X321" i="2"/>
  <c r="M320" i="2"/>
  <c r="Q320" i="2" s="1"/>
  <c r="K320" i="2"/>
  <c r="P320" i="2" s="1"/>
  <c r="X320" i="2"/>
  <c r="U320" i="2"/>
  <c r="X319" i="2"/>
  <c r="M319" i="2"/>
  <c r="Q319" i="2" s="1"/>
  <c r="K319" i="2"/>
  <c r="P319" i="2" s="1"/>
  <c r="U319" i="2"/>
  <c r="K318" i="2"/>
  <c r="P318" i="2" s="1"/>
  <c r="M318" i="2"/>
  <c r="Q318" i="2" s="1"/>
  <c r="U318" i="2"/>
  <c r="V318" i="2" s="1"/>
  <c r="DQ270" i="27"/>
  <c r="X318" i="2"/>
  <c r="AC326" i="2"/>
  <c r="AC324" i="2"/>
  <c r="AC322" i="2"/>
  <c r="AC318" i="2"/>
  <c r="AC327" i="2"/>
  <c r="AC325" i="2"/>
  <c r="AC323" i="2"/>
  <c r="AC321" i="2"/>
  <c r="AC319" i="2"/>
  <c r="AC320" i="2"/>
  <c r="Q20" i="1"/>
  <c r="R20" i="1" s="1"/>
  <c r="U20" i="1" s="1"/>
  <c r="BJ269" i="27"/>
  <c r="BJ268" i="27"/>
  <c r="BL269" i="27" l="1"/>
  <c r="DU270" i="27" a="1"/>
  <c r="DU270" i="27" s="1"/>
  <c r="DZ271" i="27"/>
  <c r="DV270" i="27"/>
  <c r="BU268" i="27"/>
  <c r="DP270" i="27" a="1"/>
  <c r="DP270" i="27" s="1"/>
  <c r="CJ269" i="27"/>
  <c r="CK269" i="27"/>
  <c r="CD269" i="27"/>
  <c r="CB268" i="27"/>
  <c r="CK268" i="27"/>
  <c r="CD268" i="27"/>
  <c r="BT268" i="27"/>
  <c r="BT269" i="27"/>
  <c r="O325" i="2"/>
  <c r="O327" i="2"/>
  <c r="AF19" i="1"/>
  <c r="W327" i="2"/>
  <c r="V327" i="2"/>
  <c r="W326" i="2"/>
  <c r="V326" i="2"/>
  <c r="O326" i="2"/>
  <c r="O324" i="2"/>
  <c r="W325" i="2"/>
  <c r="V325" i="2"/>
  <c r="W324" i="2"/>
  <c r="V324" i="2"/>
  <c r="O323" i="2"/>
  <c r="W323" i="2"/>
  <c r="V323" i="2"/>
  <c r="O322" i="2"/>
  <c r="O320" i="2"/>
  <c r="W322" i="2"/>
  <c r="V322" i="2"/>
  <c r="O321" i="2"/>
  <c r="W320" i="2"/>
  <c r="V320" i="2"/>
  <c r="W319" i="2"/>
  <c r="V319" i="2"/>
  <c r="O319" i="2"/>
  <c r="O318" i="2"/>
  <c r="BP269" i="27"/>
  <c r="BR269" i="27"/>
  <c r="BQ269" i="27"/>
  <c r="CH269" i="27"/>
  <c r="BM269" i="27"/>
  <c r="BO269" i="27"/>
  <c r="BY269" i="27"/>
  <c r="CF269" i="27"/>
  <c r="BX269" i="27"/>
  <c r="CG269" i="27"/>
  <c r="BU269" i="27"/>
  <c r="BK269" i="27"/>
  <c r="BS269" i="27"/>
  <c r="CI269" i="27"/>
  <c r="CE269" i="27"/>
  <c r="AF20" i="1"/>
  <c r="BW269" i="27"/>
  <c r="CC269" i="27"/>
  <c r="CB269" i="27"/>
  <c r="CA269" i="27"/>
  <c r="BS268" i="27"/>
  <c r="BK268" i="27"/>
  <c r="BM268" i="27"/>
  <c r="BP268" i="27"/>
  <c r="BY268" i="27"/>
  <c r="BL268" i="27"/>
  <c r="BO268" i="27"/>
  <c r="BQ268" i="27"/>
  <c r="BR268" i="27"/>
  <c r="BW268" i="27"/>
  <c r="BX268" i="27"/>
  <c r="CH268" i="27"/>
  <c r="CC268" i="27"/>
  <c r="CE268" i="27"/>
  <c r="CF268" i="27"/>
  <c r="CG268" i="27"/>
  <c r="CA268" i="27"/>
  <c r="CJ268" i="27"/>
  <c r="CI268" i="27"/>
  <c r="EA271" i="27" l="1"/>
  <c r="DR270" i="27"/>
  <c r="DW270" i="27"/>
  <c r="CL269" i="27"/>
  <c r="CM269" i="27"/>
  <c r="CL268" i="27"/>
  <c r="CM268" i="27"/>
  <c r="DT268" i="27" l="1"/>
  <c r="DV268" i="27" s="1"/>
  <c r="DO268" i="27"/>
  <c r="DQ268" i="27" s="1"/>
  <c r="DX270" i="27"/>
  <c r="DO269" i="27"/>
  <c r="DQ269" i="27" s="1"/>
  <c r="DT269" i="27"/>
  <c r="DS270" i="27"/>
  <c r="DU269" i="27" l="1" a="1"/>
  <c r="DU269" i="27" s="1"/>
  <c r="DP269" i="27" a="1"/>
  <c r="DP269" i="27" s="1"/>
  <c r="DZ270" i="27"/>
  <c r="DP268" i="27" a="1"/>
  <c r="DP268" i="27" s="1"/>
  <c r="DV269" i="27"/>
  <c r="DU268" i="27" a="1"/>
  <c r="DU268" i="27" s="1"/>
  <c r="A17" i="1"/>
  <c r="G17" i="1"/>
  <c r="AD17" i="1" s="1"/>
  <c r="J17" i="1"/>
  <c r="K17" i="1"/>
  <c r="V17" i="1"/>
  <c r="AB17" i="1" s="1"/>
  <c r="A16" i="1"/>
  <c r="G16" i="1"/>
  <c r="J16" i="1"/>
  <c r="K16" i="1"/>
  <c r="V16" i="1"/>
  <c r="AB16" i="1" s="1"/>
  <c r="DR269" i="27" l="1"/>
  <c r="EA270" i="27"/>
  <c r="DW268" i="27"/>
  <c r="DR268" i="27"/>
  <c r="DW269" i="27"/>
  <c r="T16" i="1"/>
  <c r="AG16" i="1"/>
  <c r="T17" i="1"/>
  <c r="AG17" i="1"/>
  <c r="W17" i="1"/>
  <c r="X17" i="1" s="1"/>
  <c r="N16" i="1"/>
  <c r="O16" i="1" s="1"/>
  <c r="P16" i="1" s="1"/>
  <c r="AE16" i="1" s="1"/>
  <c r="N17" i="1"/>
  <c r="O17" i="1" s="1"/>
  <c r="P17" i="1" s="1"/>
  <c r="AE17" i="1" s="1"/>
  <c r="W16" i="1"/>
  <c r="X16" i="1" s="1"/>
  <c r="Q16" i="1"/>
  <c r="R16" i="1" s="1"/>
  <c r="U16" i="1" s="1"/>
  <c r="AJ16" i="1"/>
  <c r="AD16" i="1"/>
  <c r="AJ17" i="1"/>
  <c r="Q17" i="1"/>
  <c r="R17" i="1" s="1"/>
  <c r="U17" i="1" s="1"/>
  <c r="DX269" i="27" l="1"/>
  <c r="DX268" i="27"/>
  <c r="DS268" i="27"/>
  <c r="DS269" i="27"/>
  <c r="AF16" i="1"/>
  <c r="AF17" i="1"/>
  <c r="DZ268" i="27" l="1"/>
  <c r="DZ269" i="27"/>
  <c r="A15" i="1"/>
  <c r="G15" i="1"/>
  <c r="Q15" i="1" s="1"/>
  <c r="R15" i="1" s="1"/>
  <c r="U15" i="1" s="1"/>
  <c r="J15" i="1"/>
  <c r="AG15" i="1" s="1"/>
  <c r="K15" i="1"/>
  <c r="V15" i="1"/>
  <c r="AB15" i="1" s="1"/>
  <c r="A14" i="1"/>
  <c r="G14" i="1"/>
  <c r="AJ14" i="1" s="1"/>
  <c r="J14" i="1"/>
  <c r="K14" i="1"/>
  <c r="V14" i="1"/>
  <c r="AB14" i="1" s="1"/>
  <c r="DY267" i="27"/>
  <c r="F267" i="27"/>
  <c r="G267" i="27"/>
  <c r="H267" i="27"/>
  <c r="J267" i="27"/>
  <c r="K267" i="27"/>
  <c r="L267" i="27"/>
  <c r="M267" i="27"/>
  <c r="N267" i="27"/>
  <c r="P267" i="27"/>
  <c r="R267" i="27"/>
  <c r="S267" i="27"/>
  <c r="T267" i="27"/>
  <c r="V267" i="27"/>
  <c r="W267" i="27"/>
  <c r="X267" i="27"/>
  <c r="Z267" i="27"/>
  <c r="AA267" i="27"/>
  <c r="AB267" i="27"/>
  <c r="AC267" i="27"/>
  <c r="AD267" i="27"/>
  <c r="AE267" i="27"/>
  <c r="AH267" i="27"/>
  <c r="AI267" i="27"/>
  <c r="AJ267" i="27"/>
  <c r="AL267" i="27"/>
  <c r="AM267" i="27"/>
  <c r="AN267" i="27"/>
  <c r="AO267" i="27"/>
  <c r="AP267" i="27"/>
  <c r="AR267" i="27"/>
  <c r="AT267" i="27"/>
  <c r="AU267" i="27"/>
  <c r="AV267" i="27"/>
  <c r="AX267" i="27"/>
  <c r="AY267" i="27"/>
  <c r="AZ267" i="27"/>
  <c r="BB267" i="27"/>
  <c r="BC267" i="27"/>
  <c r="BD267" i="27"/>
  <c r="BE267" i="27"/>
  <c r="BF267" i="27"/>
  <c r="BG267" i="27"/>
  <c r="EA268" i="27" l="1"/>
  <c r="EA269" i="27"/>
  <c r="T14" i="1"/>
  <c r="AG14" i="1"/>
  <c r="BI267" i="27"/>
  <c r="W15" i="1"/>
  <c r="X15" i="1" s="1"/>
  <c r="W14" i="1"/>
  <c r="X14" i="1" s="1"/>
  <c r="AD15" i="1"/>
  <c r="N15" i="1"/>
  <c r="O15" i="1" s="1"/>
  <c r="P15" i="1" s="1"/>
  <c r="AE15" i="1" s="1"/>
  <c r="AF15" i="1" s="1"/>
  <c r="N14" i="1"/>
  <c r="O14" i="1" s="1"/>
  <c r="P14" i="1" s="1"/>
  <c r="AE14" i="1" s="1"/>
  <c r="AJ15" i="1"/>
  <c r="T15" i="1"/>
  <c r="BJ267" i="27"/>
  <c r="AD14" i="1"/>
  <c r="Q14" i="1"/>
  <c r="BP267" i="27" l="1"/>
  <c r="CG267" i="27"/>
  <c r="CK267" i="27"/>
  <c r="CD267" i="27"/>
  <c r="BT267" i="27"/>
  <c r="AF14" i="1"/>
  <c r="BQ267" i="27"/>
  <c r="BW267" i="27"/>
  <c r="BU267" i="27"/>
  <c r="CF267" i="27"/>
  <c r="BX267" i="27"/>
  <c r="BY267" i="27"/>
  <c r="CA267" i="27"/>
  <c r="CE267" i="27"/>
  <c r="CB267" i="27"/>
  <c r="BL267" i="27"/>
  <c r="CC267" i="27"/>
  <c r="BM267" i="27"/>
  <c r="BR267" i="27"/>
  <c r="BS267" i="27"/>
  <c r="BK267" i="27"/>
  <c r="CH267" i="27"/>
  <c r="CJ267" i="27"/>
  <c r="BO267" i="27"/>
  <c r="CI267" i="27"/>
  <c r="R14" i="1"/>
  <c r="U14" i="1" s="1"/>
  <c r="CL267" i="27" l="1"/>
  <c r="CM267" i="27"/>
  <c r="DT267" i="27" l="1"/>
  <c r="DU267" i="27" s="1" a="1"/>
  <c r="DU267" i="27" s="1"/>
  <c r="DO267" i="27"/>
  <c r="DQ267" i="27" s="1"/>
  <c r="DW267" i="27" l="1"/>
  <c r="DP267" i="27" a="1"/>
  <c r="DP267" i="27" s="1"/>
  <c r="DV267" i="27"/>
  <c r="DY266" i="27"/>
  <c r="F266" i="27"/>
  <c r="G266" i="27"/>
  <c r="H266" i="27"/>
  <c r="J266" i="27"/>
  <c r="K266" i="27"/>
  <c r="L266" i="27"/>
  <c r="M266" i="27"/>
  <c r="N266" i="27"/>
  <c r="P266" i="27"/>
  <c r="R266" i="27"/>
  <c r="S266" i="27"/>
  <c r="T266" i="27"/>
  <c r="V266" i="27"/>
  <c r="W266" i="27"/>
  <c r="X266" i="27"/>
  <c r="Z266" i="27"/>
  <c r="AA266" i="27"/>
  <c r="AB266" i="27"/>
  <c r="AC266" i="27"/>
  <c r="AD266" i="27"/>
  <c r="AE266" i="27"/>
  <c r="AH266" i="27"/>
  <c r="AI266" i="27"/>
  <c r="AJ266" i="27"/>
  <c r="AL266" i="27"/>
  <c r="AM266" i="27"/>
  <c r="AN266" i="27"/>
  <c r="AO266" i="27"/>
  <c r="AP266" i="27"/>
  <c r="AR266" i="27"/>
  <c r="AT266" i="27"/>
  <c r="AU266" i="27"/>
  <c r="AV266" i="27"/>
  <c r="AX266" i="27"/>
  <c r="AY266" i="27"/>
  <c r="AZ266" i="27"/>
  <c r="BB266" i="27"/>
  <c r="BC266" i="27"/>
  <c r="BD266" i="27"/>
  <c r="BE266" i="27"/>
  <c r="BF266" i="27"/>
  <c r="BG266" i="27"/>
  <c r="A13" i="1"/>
  <c r="G13" i="1"/>
  <c r="AD13" i="1" s="1"/>
  <c r="J13" i="1"/>
  <c r="K13" i="1"/>
  <c r="V13" i="1"/>
  <c r="AB13" i="1" s="1"/>
  <c r="A12" i="1"/>
  <c r="G12" i="1"/>
  <c r="AD12" i="1" s="1"/>
  <c r="J12" i="1"/>
  <c r="K12" i="1"/>
  <c r="V12" i="1"/>
  <c r="AB12" i="1" s="1"/>
  <c r="DY265" i="27"/>
  <c r="BE264" i="27"/>
  <c r="BE265" i="27"/>
  <c r="F265" i="27"/>
  <c r="G265" i="27"/>
  <c r="H265" i="27"/>
  <c r="J265" i="27"/>
  <c r="K265" i="27"/>
  <c r="L265" i="27"/>
  <c r="M265" i="27"/>
  <c r="N265" i="27"/>
  <c r="P265" i="27"/>
  <c r="R265" i="27"/>
  <c r="S265" i="27"/>
  <c r="T265" i="27"/>
  <c r="V265" i="27"/>
  <c r="W265" i="27"/>
  <c r="X265" i="27"/>
  <c r="Z265" i="27"/>
  <c r="AA265" i="27"/>
  <c r="AB265" i="27"/>
  <c r="AC265" i="27"/>
  <c r="AD265" i="27"/>
  <c r="AE265" i="27"/>
  <c r="DR267" i="27" l="1"/>
  <c r="DX267" i="27"/>
  <c r="T12" i="1"/>
  <c r="AG12" i="1"/>
  <c r="T13" i="1"/>
  <c r="AG13" i="1"/>
  <c r="BI266" i="27"/>
  <c r="BI265" i="27"/>
  <c r="N12" i="1"/>
  <c r="O12" i="1" s="1"/>
  <c r="P12" i="1" s="1"/>
  <c r="AE12" i="1" s="1"/>
  <c r="Q12" i="1"/>
  <c r="R12" i="1" s="1"/>
  <c r="U12" i="1" s="1"/>
  <c r="N13" i="1"/>
  <c r="O13" i="1" s="1"/>
  <c r="P13" i="1" s="1"/>
  <c r="AE13" i="1" s="1"/>
  <c r="BJ266" i="27"/>
  <c r="W13" i="1"/>
  <c r="X13" i="1" s="1"/>
  <c r="AJ12" i="1"/>
  <c r="Q13" i="1"/>
  <c r="R13" i="1" s="1"/>
  <c r="U13" i="1" s="1"/>
  <c r="W12" i="1"/>
  <c r="X12" i="1" s="1"/>
  <c r="AJ13" i="1"/>
  <c r="BJ265" i="27"/>
  <c r="DS267" i="27" l="1"/>
  <c r="BY266" i="27"/>
  <c r="DZ267" i="27"/>
  <c r="BY265" i="27"/>
  <c r="CC265" i="27"/>
  <c r="CD265" i="27"/>
  <c r="CK265" i="27"/>
  <c r="CJ266" i="27"/>
  <c r="CD266" i="27"/>
  <c r="CK266" i="27"/>
  <c r="BT265" i="27"/>
  <c r="BT266" i="27"/>
  <c r="AF12" i="1"/>
  <c r="CF265" i="27"/>
  <c r="CB265" i="27"/>
  <c r="BQ266" i="27"/>
  <c r="BK266" i="27"/>
  <c r="BM266" i="27"/>
  <c r="BO266" i="27"/>
  <c r="BR266" i="27"/>
  <c r="BS266" i="27"/>
  <c r="BW266" i="27"/>
  <c r="BL266" i="27"/>
  <c r="BP266" i="27"/>
  <c r="BU266" i="27"/>
  <c r="BX266" i="27"/>
  <c r="CE266" i="27"/>
  <c r="CA266" i="27"/>
  <c r="CH266" i="27"/>
  <c r="CB266" i="27"/>
  <c r="CC266" i="27"/>
  <c r="CF266" i="27"/>
  <c r="CG266" i="27"/>
  <c r="CI266" i="27"/>
  <c r="BK265" i="27"/>
  <c r="BO265" i="27"/>
  <c r="CG265" i="27"/>
  <c r="CI265" i="27"/>
  <c r="CJ265" i="27"/>
  <c r="CH265" i="27"/>
  <c r="CA265" i="27"/>
  <c r="AF13" i="1"/>
  <c r="BP265" i="27"/>
  <c r="BR265" i="27"/>
  <c r="BQ265" i="27"/>
  <c r="BS265" i="27"/>
  <c r="BL265" i="27"/>
  <c r="BM265" i="27"/>
  <c r="BU265" i="27"/>
  <c r="BX265" i="27"/>
  <c r="CE265" i="27"/>
  <c r="BW265" i="27"/>
  <c r="A11" i="1"/>
  <c r="G11" i="1"/>
  <c r="AJ11" i="1" s="1"/>
  <c r="J11" i="1"/>
  <c r="K11" i="1"/>
  <c r="V11" i="1"/>
  <c r="AB11" i="1" s="1"/>
  <c r="A10" i="1"/>
  <c r="G10" i="1"/>
  <c r="Q10" i="1" s="1"/>
  <c r="J10" i="1"/>
  <c r="K10" i="1"/>
  <c r="V10" i="1"/>
  <c r="AB10" i="1" s="1"/>
  <c r="EA267" i="27" l="1"/>
  <c r="T10" i="1"/>
  <c r="AG10" i="1"/>
  <c r="T11" i="1"/>
  <c r="AG11" i="1"/>
  <c r="N11" i="1"/>
  <c r="O11" i="1" s="1"/>
  <c r="P11" i="1" s="1"/>
  <c r="AE11" i="1" s="1"/>
  <c r="N10" i="1"/>
  <c r="O10" i="1" s="1"/>
  <c r="P10" i="1" s="1"/>
  <c r="AE10" i="1" s="1"/>
  <c r="AF10" i="1" s="1"/>
  <c r="CL266" i="27"/>
  <c r="CM266" i="27"/>
  <c r="CL265" i="27"/>
  <c r="CM265" i="27"/>
  <c r="W10" i="1"/>
  <c r="X10" i="1" s="1"/>
  <c r="AJ10" i="1"/>
  <c r="AD10" i="1"/>
  <c r="AD11" i="1"/>
  <c r="Q11" i="1"/>
  <c r="W11" i="1"/>
  <c r="X11" i="1" s="1"/>
  <c r="R10" i="1"/>
  <c r="U10" i="1" s="1"/>
  <c r="A9" i="1"/>
  <c r="G9" i="1"/>
  <c r="AJ9" i="1" s="1"/>
  <c r="J9" i="1"/>
  <c r="K9" i="1"/>
  <c r="V9" i="1"/>
  <c r="AB9" i="1" s="1"/>
  <c r="A8" i="1"/>
  <c r="G8" i="1"/>
  <c r="AJ8" i="1" s="1"/>
  <c r="J8" i="1"/>
  <c r="K8" i="1"/>
  <c r="V8" i="1"/>
  <c r="AB8" i="1" s="1"/>
  <c r="A7" i="1"/>
  <c r="G7" i="1"/>
  <c r="Q7" i="1" s="1"/>
  <c r="R7" i="1" s="1"/>
  <c r="U7" i="1" s="1"/>
  <c r="J7" i="1"/>
  <c r="K7" i="1"/>
  <c r="V7" i="1"/>
  <c r="AB7" i="1" s="1"/>
  <c r="DT266" i="27" l="1"/>
  <c r="DU266" i="27" s="1" a="1"/>
  <c r="DU266" i="27" s="1"/>
  <c r="DO266" i="27"/>
  <c r="T9" i="1"/>
  <c r="AG9" i="1"/>
  <c r="T7" i="1"/>
  <c r="AG7" i="1"/>
  <c r="T8" i="1"/>
  <c r="AG8" i="1"/>
  <c r="W7" i="1"/>
  <c r="X7" i="1" s="1"/>
  <c r="N8" i="1"/>
  <c r="O8" i="1" s="1"/>
  <c r="P8" i="1" s="1"/>
  <c r="AE8" i="1" s="1"/>
  <c r="N9" i="1"/>
  <c r="O9" i="1" s="1"/>
  <c r="P9" i="1" s="1"/>
  <c r="AE9" i="1" s="1"/>
  <c r="AD8" i="1"/>
  <c r="W8" i="1"/>
  <c r="X8" i="1" s="1"/>
  <c r="AD7" i="1"/>
  <c r="AD9" i="1"/>
  <c r="AJ7" i="1"/>
  <c r="W9" i="1"/>
  <c r="X9" i="1" s="1"/>
  <c r="N7" i="1"/>
  <c r="O7" i="1" s="1"/>
  <c r="P7" i="1" s="1"/>
  <c r="AE7" i="1" s="1"/>
  <c r="AF7" i="1" s="1"/>
  <c r="AF11" i="1"/>
  <c r="R11" i="1"/>
  <c r="U11" i="1" s="1"/>
  <c r="Q9" i="1"/>
  <c r="Q8" i="1"/>
  <c r="R8" i="1" s="1"/>
  <c r="U8" i="1" s="1"/>
  <c r="DV266" i="27" l="1"/>
  <c r="DW266" i="27"/>
  <c r="DQ266" i="27"/>
  <c r="DP266" i="27" a="1"/>
  <c r="DP266" i="27" s="1"/>
  <c r="AF8" i="1"/>
  <c r="AF9" i="1"/>
  <c r="R9" i="1"/>
  <c r="U9" i="1" s="1"/>
  <c r="DX266" i="27" l="1"/>
  <c r="DZ266" i="27" s="1"/>
  <c r="DR266" i="27"/>
  <c r="DY264" i="27"/>
  <c r="BG264" i="27"/>
  <c r="BG265" i="27"/>
  <c r="AH265" i="27"/>
  <c r="AI265" i="27"/>
  <c r="AJ265" i="27"/>
  <c r="AL265" i="27"/>
  <c r="AM265" i="27"/>
  <c r="AN265" i="27"/>
  <c r="AO265" i="27"/>
  <c r="AP265" i="27"/>
  <c r="AR265" i="27"/>
  <c r="AT265" i="27"/>
  <c r="AU265" i="27"/>
  <c r="AV265" i="27"/>
  <c r="AX265" i="27"/>
  <c r="AY265" i="27"/>
  <c r="AZ265" i="27"/>
  <c r="BB265" i="27"/>
  <c r="BC265" i="27"/>
  <c r="BD265" i="27"/>
  <c r="BF265" i="27"/>
  <c r="F264" i="27"/>
  <c r="G264" i="27"/>
  <c r="H264" i="27"/>
  <c r="J264" i="27"/>
  <c r="K264" i="27"/>
  <c r="L264" i="27"/>
  <c r="M264" i="27"/>
  <c r="N264" i="27"/>
  <c r="P264" i="27"/>
  <c r="R264" i="27"/>
  <c r="S264" i="27"/>
  <c r="T264" i="27"/>
  <c r="V264" i="27"/>
  <c r="W264" i="27"/>
  <c r="X264" i="27"/>
  <c r="Z264" i="27"/>
  <c r="AA264" i="27"/>
  <c r="AB264" i="27"/>
  <c r="AC264" i="27"/>
  <c r="AD264" i="27"/>
  <c r="AE264" i="27"/>
  <c r="AH264" i="27"/>
  <c r="AI264" i="27"/>
  <c r="AJ264" i="27"/>
  <c r="AL264" i="27"/>
  <c r="AM264" i="27"/>
  <c r="AN264" i="27"/>
  <c r="AO264" i="27"/>
  <c r="AP264" i="27"/>
  <c r="AR264" i="27"/>
  <c r="AT264" i="27"/>
  <c r="AU264" i="27"/>
  <c r="AV264" i="27"/>
  <c r="AX264" i="27"/>
  <c r="AY264" i="27"/>
  <c r="AZ264" i="27"/>
  <c r="BB264" i="27"/>
  <c r="BC264" i="27"/>
  <c r="BD264" i="27"/>
  <c r="BF264" i="27"/>
  <c r="DS266" i="27" l="1"/>
  <c r="BI264" i="27"/>
  <c r="DT265" i="27"/>
  <c r="DO265" i="27"/>
  <c r="BJ264" i="27"/>
  <c r="J263" i="27"/>
  <c r="S263" i="27"/>
  <c r="EA266" i="27" l="1"/>
  <c r="DU265" i="27" a="1"/>
  <c r="DU265" i="27" s="1"/>
  <c r="BX264" i="27"/>
  <c r="CJ264" i="27"/>
  <c r="CD264" i="27"/>
  <c r="CK264" i="27"/>
  <c r="BT264" i="27"/>
  <c r="DV265" i="27"/>
  <c r="BL264" i="27"/>
  <c r="BM264" i="27"/>
  <c r="CG264" i="27"/>
  <c r="BY264" i="27"/>
  <c r="CA264" i="27"/>
  <c r="CF264" i="27"/>
  <c r="CB264" i="27"/>
  <c r="BU264" i="27"/>
  <c r="DP265" i="27" a="1"/>
  <c r="DP265" i="27" s="1"/>
  <c r="DQ265" i="27"/>
  <c r="BO264" i="27"/>
  <c r="CC264" i="27"/>
  <c r="BK264" i="27"/>
  <c r="BQ264" i="27"/>
  <c r="CI264" i="27"/>
  <c r="BP264" i="27"/>
  <c r="CH264" i="27"/>
  <c r="BR264" i="27"/>
  <c r="BS264" i="27"/>
  <c r="CE264" i="27"/>
  <c r="BW264" i="27"/>
  <c r="DY263" i="27"/>
  <c r="AH263" i="27"/>
  <c r="AI263" i="27"/>
  <c r="AJ263" i="27"/>
  <c r="AL263" i="27"/>
  <c r="AM263" i="27"/>
  <c r="AN263" i="27"/>
  <c r="AO263" i="27"/>
  <c r="AP263" i="27"/>
  <c r="AR263" i="27"/>
  <c r="AT263" i="27"/>
  <c r="AU263" i="27"/>
  <c r="AV263" i="27"/>
  <c r="AX263" i="27"/>
  <c r="AY263" i="27"/>
  <c r="AZ263" i="27"/>
  <c r="BB263" i="27"/>
  <c r="BC263" i="27"/>
  <c r="BD263" i="27"/>
  <c r="BE263" i="27"/>
  <c r="BF263" i="27"/>
  <c r="BG263" i="27"/>
  <c r="F263" i="27"/>
  <c r="G263" i="27"/>
  <c r="H263" i="27"/>
  <c r="K263" i="27"/>
  <c r="L263" i="27"/>
  <c r="M263" i="27"/>
  <c r="N263" i="27"/>
  <c r="P263" i="27"/>
  <c r="R263" i="27"/>
  <c r="T263" i="27"/>
  <c r="V263" i="27"/>
  <c r="W263" i="27"/>
  <c r="X263" i="27"/>
  <c r="Z263" i="27"/>
  <c r="AA263" i="27"/>
  <c r="AB263" i="27"/>
  <c r="AC263" i="27"/>
  <c r="AD263" i="27"/>
  <c r="AE263" i="27"/>
  <c r="C3" i="29"/>
  <c r="Y41" i="29"/>
  <c r="Y40" i="29"/>
  <c r="T36" i="29"/>
  <c r="AC34" i="29" s="1"/>
  <c r="S36" i="29"/>
  <c r="R36" i="29"/>
  <c r="O36" i="29"/>
  <c r="N36" i="29"/>
  <c r="Y35" i="29"/>
  <c r="T35" i="29"/>
  <c r="AC33" i="29" s="1"/>
  <c r="S35" i="29"/>
  <c r="R35" i="29"/>
  <c r="O35" i="29"/>
  <c r="N35" i="29"/>
  <c r="T34" i="29"/>
  <c r="AC32" i="29" s="1"/>
  <c r="S34" i="29"/>
  <c r="R34" i="29"/>
  <c r="O34" i="29"/>
  <c r="N34" i="29"/>
  <c r="T33" i="29"/>
  <c r="AC31" i="29" s="1"/>
  <c r="S33" i="29"/>
  <c r="R33" i="29"/>
  <c r="O33" i="29"/>
  <c r="N33" i="29"/>
  <c r="T32" i="29"/>
  <c r="AC29" i="29" s="1"/>
  <c r="S32" i="29"/>
  <c r="R32" i="29"/>
  <c r="O32" i="29"/>
  <c r="N32" i="29"/>
  <c r="T31" i="29"/>
  <c r="AC28" i="29" s="1"/>
  <c r="R31" i="29"/>
  <c r="O31" i="29"/>
  <c r="N31" i="29"/>
  <c r="Y29" i="29"/>
  <c r="T29" i="29"/>
  <c r="AC27" i="29" s="1"/>
  <c r="S29" i="29"/>
  <c r="R29" i="29"/>
  <c r="O29" i="29"/>
  <c r="N29" i="29"/>
  <c r="T28" i="29"/>
  <c r="AC26" i="29" s="1"/>
  <c r="S28" i="29"/>
  <c r="R28" i="29"/>
  <c r="O28" i="29"/>
  <c r="N28" i="29"/>
  <c r="T27" i="29"/>
  <c r="S27" i="29"/>
  <c r="R27" i="29"/>
  <c r="O27" i="29"/>
  <c r="N27" i="29"/>
  <c r="O25" i="29"/>
  <c r="N25" i="29"/>
  <c r="Y24" i="29"/>
  <c r="T24" i="29"/>
  <c r="AC24" i="29" s="1"/>
  <c r="S24" i="29"/>
  <c r="R24" i="29"/>
  <c r="O24" i="29"/>
  <c r="N24" i="29"/>
  <c r="Y23" i="29"/>
  <c r="T23" i="29"/>
  <c r="AC23" i="29" s="1"/>
  <c r="S23" i="29"/>
  <c r="R23" i="29"/>
  <c r="O23" i="29"/>
  <c r="N23" i="29"/>
  <c r="Y21" i="29"/>
  <c r="T21" i="29"/>
  <c r="AC21" i="29" s="1"/>
  <c r="S21" i="29"/>
  <c r="R21" i="29"/>
  <c r="O21" i="29"/>
  <c r="N21" i="29"/>
  <c r="Y20" i="29"/>
  <c r="T20" i="29"/>
  <c r="AC20" i="29" s="1"/>
  <c r="S20" i="29"/>
  <c r="R20" i="29"/>
  <c r="O20" i="29"/>
  <c r="N20" i="29"/>
  <c r="Y19" i="29"/>
  <c r="T19" i="29"/>
  <c r="AC19" i="29" s="1"/>
  <c r="S19" i="29"/>
  <c r="R19" i="29"/>
  <c r="O19" i="29"/>
  <c r="N19" i="29"/>
  <c r="Y18" i="29"/>
  <c r="T18" i="29"/>
  <c r="AC18" i="29" s="1"/>
  <c r="S18" i="29"/>
  <c r="R18" i="29"/>
  <c r="O18" i="29"/>
  <c r="N18" i="29"/>
  <c r="Y17" i="29"/>
  <c r="T17" i="29"/>
  <c r="AC17" i="29" s="1"/>
  <c r="S17" i="29"/>
  <c r="R17" i="29"/>
  <c r="O17" i="29"/>
  <c r="N17" i="29"/>
  <c r="Y16" i="29"/>
  <c r="T16" i="29"/>
  <c r="AC16" i="29" s="1"/>
  <c r="S16" i="29"/>
  <c r="R16" i="29"/>
  <c r="O16" i="29"/>
  <c r="N16" i="29"/>
  <c r="Y15" i="29"/>
  <c r="T15" i="29"/>
  <c r="AC15" i="29" s="1"/>
  <c r="S15" i="29"/>
  <c r="R15" i="29"/>
  <c r="O15" i="29"/>
  <c r="N15" i="29"/>
  <c r="Y13" i="29"/>
  <c r="T13" i="29"/>
  <c r="AC13" i="29" s="1"/>
  <c r="S13" i="29"/>
  <c r="R13" i="29"/>
  <c r="O13" i="29"/>
  <c r="N13" i="29"/>
  <c r="Y12" i="29"/>
  <c r="T12" i="29"/>
  <c r="AC12" i="29" s="1"/>
  <c r="S12" i="29"/>
  <c r="R12" i="29"/>
  <c r="O12" i="29"/>
  <c r="N12" i="29"/>
  <c r="Y11" i="29"/>
  <c r="T11" i="29"/>
  <c r="AC11" i="29" s="1"/>
  <c r="S11" i="29"/>
  <c r="R11" i="29"/>
  <c r="O11" i="29"/>
  <c r="N11" i="29"/>
  <c r="Y10" i="29"/>
  <c r="S10" i="29"/>
  <c r="R10" i="29"/>
  <c r="O10" i="29"/>
  <c r="N10" i="29"/>
  <c r="T9" i="29"/>
  <c r="S9" i="29"/>
  <c r="R9" i="29"/>
  <c r="O9" i="29"/>
  <c r="N9" i="29"/>
  <c r="DR265" i="27" l="1"/>
  <c r="DS265" i="27" s="1"/>
  <c r="DW265" i="27"/>
  <c r="DX265" i="27" s="1"/>
  <c r="P10" i="29"/>
  <c r="BI263" i="27"/>
  <c r="CA263" i="27" s="1"/>
  <c r="P36" i="29"/>
  <c r="Z14" i="29"/>
  <c r="Z22" i="29"/>
  <c r="P25" i="29"/>
  <c r="P33" i="29"/>
  <c r="P29" i="29"/>
  <c r="P15" i="29"/>
  <c r="P18" i="29"/>
  <c r="P28" i="29"/>
  <c r="CM264" i="27"/>
  <c r="P23" i="29"/>
  <c r="P31" i="29"/>
  <c r="CL264" i="27"/>
  <c r="BJ263" i="27"/>
  <c r="P9" i="29"/>
  <c r="P34" i="29"/>
  <c r="P35" i="29"/>
  <c r="P13" i="29"/>
  <c r="P17" i="29"/>
  <c r="P11" i="29"/>
  <c r="P19" i="29"/>
  <c r="P21" i="29"/>
  <c r="P32" i="29"/>
  <c r="P12" i="29"/>
  <c r="P20" i="29"/>
  <c r="P27" i="29"/>
  <c r="P16" i="29"/>
  <c r="P24" i="29"/>
  <c r="E39" i="29"/>
  <c r="Z17" i="29"/>
  <c r="Z11" i="29"/>
  <c r="Z20" i="29"/>
  <c r="Z16" i="29"/>
  <c r="Z21" i="29"/>
  <c r="Z19" i="29"/>
  <c r="Z13" i="29"/>
  <c r="Z35" i="29"/>
  <c r="Z23" i="29"/>
  <c r="Z12" i="29"/>
  <c r="Z41" i="29"/>
  <c r="Z25" i="29"/>
  <c r="Z28" i="29"/>
  <c r="Z10" i="29"/>
  <c r="Z38" i="29"/>
  <c r="Z29" i="29"/>
  <c r="Z31" i="29"/>
  <c r="Z26" i="29"/>
  <c r="Z39" i="29"/>
  <c r="Z24" i="29"/>
  <c r="Z33" i="29"/>
  <c r="Z32" i="29"/>
  <c r="Z18" i="29"/>
  <c r="Z15" i="29"/>
  <c r="Z40" i="29"/>
  <c r="Z27" i="29"/>
  <c r="BU263" i="27" l="1"/>
  <c r="DO264" i="27"/>
  <c r="DZ265" i="27"/>
  <c r="DT264" i="27"/>
  <c r="CK263" i="27"/>
  <c r="CD263" i="27"/>
  <c r="BT263" i="27"/>
  <c r="V20" i="29"/>
  <c r="V14" i="29"/>
  <c r="V22" i="29"/>
  <c r="BX263" i="27"/>
  <c r="BK263" i="27"/>
  <c r="CJ263" i="27"/>
  <c r="CE263" i="27"/>
  <c r="CI263" i="27"/>
  <c r="BM263" i="27"/>
  <c r="BO263" i="27"/>
  <c r="CG263" i="27"/>
  <c r="BL263" i="27"/>
  <c r="BP263" i="27"/>
  <c r="BW263" i="27"/>
  <c r="BR263" i="27"/>
  <c r="CC263" i="27"/>
  <c r="BS263" i="27"/>
  <c r="CB263" i="27"/>
  <c r="BY263" i="27"/>
  <c r="CF263" i="27"/>
  <c r="CH263" i="27"/>
  <c r="BQ263" i="27"/>
  <c r="V11" i="29"/>
  <c r="V35" i="29"/>
  <c r="V12" i="29"/>
  <c r="V32" i="29"/>
  <c r="V18" i="29"/>
  <c r="V24" i="29"/>
  <c r="V15" i="29"/>
  <c r="V27" i="29"/>
  <c r="V21" i="29"/>
  <c r="V28" i="29"/>
  <c r="V19" i="29"/>
  <c r="V10" i="29"/>
  <c r="V33" i="29"/>
  <c r="V13" i="29"/>
  <c r="V23" i="29"/>
  <c r="V29" i="29"/>
  <c r="V16" i="29"/>
  <c r="V36" i="29"/>
  <c r="V17" i="29"/>
  <c r="V31" i="29"/>
  <c r="V25" i="29"/>
  <c r="V34" i="29"/>
  <c r="A6" i="1"/>
  <c r="G6" i="1"/>
  <c r="AJ6" i="1" s="1"/>
  <c r="J6" i="1"/>
  <c r="AG6" i="1" s="1"/>
  <c r="K6" i="1"/>
  <c r="V6" i="1"/>
  <c r="AB6" i="1" s="1"/>
  <c r="A5" i="1"/>
  <c r="G5" i="1"/>
  <c r="Q5" i="1" s="1"/>
  <c r="J5" i="1"/>
  <c r="K5" i="1"/>
  <c r="V5" i="1"/>
  <c r="AB5" i="1" s="1"/>
  <c r="A4" i="1"/>
  <c r="G4" i="1"/>
  <c r="Q4" i="1" s="1"/>
  <c r="R4" i="1" s="1"/>
  <c r="U4" i="1" s="1"/>
  <c r="J4" i="1"/>
  <c r="K4" i="1"/>
  <c r="V4" i="1"/>
  <c r="AB4" i="1" s="1"/>
  <c r="DY262" i="27"/>
  <c r="BG262" i="27"/>
  <c r="BE262" i="27"/>
  <c r="AE262" i="27"/>
  <c r="AC262" i="27"/>
  <c r="AH262" i="27"/>
  <c r="AI262" i="27"/>
  <c r="AJ262" i="27"/>
  <c r="AL262" i="27"/>
  <c r="AM262" i="27"/>
  <c r="AN262" i="27"/>
  <c r="AO262" i="27"/>
  <c r="AP262" i="27"/>
  <c r="AR262" i="27"/>
  <c r="AT262" i="27"/>
  <c r="AU262" i="27"/>
  <c r="AV262" i="27"/>
  <c r="AX262" i="27"/>
  <c r="AY262" i="27"/>
  <c r="AZ262" i="27"/>
  <c r="BB262" i="27"/>
  <c r="BC262" i="27"/>
  <c r="BD262" i="27"/>
  <c r="BF262" i="27"/>
  <c r="AD262" i="27"/>
  <c r="AB262" i="27"/>
  <c r="AA262" i="27"/>
  <c r="Z262" i="27"/>
  <c r="X262" i="27"/>
  <c r="W262" i="27"/>
  <c r="V262" i="27"/>
  <c r="T262" i="27"/>
  <c r="R262" i="27"/>
  <c r="P262" i="27"/>
  <c r="N262" i="27"/>
  <c r="M262" i="27"/>
  <c r="L262" i="27"/>
  <c r="K262" i="27"/>
  <c r="J262" i="27"/>
  <c r="H262" i="27"/>
  <c r="G262" i="27"/>
  <c r="F262" i="27"/>
  <c r="S262" i="27"/>
  <c r="DY261" i="27"/>
  <c r="BJ261" i="27"/>
  <c r="BT261" i="27" s="1"/>
  <c r="BF261" i="27"/>
  <c r="BD261" i="27"/>
  <c r="BC261" i="27"/>
  <c r="BB261" i="27"/>
  <c r="AZ261" i="27"/>
  <c r="AY261" i="27"/>
  <c r="AX261" i="27"/>
  <c r="AV261" i="27"/>
  <c r="AU261" i="27"/>
  <c r="AT261" i="27"/>
  <c r="AR261" i="27"/>
  <c r="AP261" i="27"/>
  <c r="AO261" i="27"/>
  <c r="AN261" i="27"/>
  <c r="AM261" i="27"/>
  <c r="AL261" i="27"/>
  <c r="AJ261" i="27"/>
  <c r="AI261" i="27"/>
  <c r="AH261" i="27"/>
  <c r="DY260" i="27"/>
  <c r="BJ260" i="27"/>
  <c r="BF260" i="27"/>
  <c r="BD260" i="27"/>
  <c r="BC260" i="27"/>
  <c r="BB260" i="27"/>
  <c r="AZ260" i="27"/>
  <c r="AY260" i="27"/>
  <c r="AX260" i="27"/>
  <c r="AV260" i="27"/>
  <c r="AU260" i="27"/>
  <c r="AT260" i="27"/>
  <c r="AR260" i="27"/>
  <c r="AP260" i="27"/>
  <c r="AO260" i="27"/>
  <c r="AN260" i="27"/>
  <c r="AM260" i="27"/>
  <c r="AL260" i="27"/>
  <c r="AJ260" i="27"/>
  <c r="AI260" i="27"/>
  <c r="AH260" i="27"/>
  <c r="DY259" i="27"/>
  <c r="BJ259" i="27"/>
  <c r="CI259" i="27"/>
  <c r="BF259" i="27"/>
  <c r="BD259" i="27"/>
  <c r="BC259" i="27"/>
  <c r="BB259" i="27"/>
  <c r="AZ259" i="27"/>
  <c r="AY259" i="27"/>
  <c r="AX259" i="27"/>
  <c r="AV259" i="27"/>
  <c r="AU259" i="27"/>
  <c r="AT259" i="27"/>
  <c r="AR259" i="27"/>
  <c r="AP259" i="27"/>
  <c r="AO259" i="27"/>
  <c r="AN259" i="27"/>
  <c r="AM259" i="27"/>
  <c r="AL259" i="27"/>
  <c r="AJ259" i="27"/>
  <c r="AI259" i="27"/>
  <c r="AH259" i="27"/>
  <c r="DY258" i="27"/>
  <c r="BJ258" i="27"/>
  <c r="CG258" i="27"/>
  <c r="BF258" i="27"/>
  <c r="BD258" i="27"/>
  <c r="BC258" i="27"/>
  <c r="BB258" i="27"/>
  <c r="AZ258" i="27"/>
  <c r="AY258" i="27"/>
  <c r="AX258" i="27"/>
  <c r="AV258" i="27"/>
  <c r="AU258" i="27"/>
  <c r="AT258" i="27"/>
  <c r="AR258" i="27"/>
  <c r="AP258" i="27"/>
  <c r="AO258" i="27"/>
  <c r="AN258" i="27"/>
  <c r="AM258" i="27"/>
  <c r="AL258" i="27"/>
  <c r="AJ258" i="27"/>
  <c r="AI258" i="27"/>
  <c r="AH258" i="27"/>
  <c r="DY257" i="27"/>
  <c r="BJ257" i="27"/>
  <c r="BT257" i="27" s="1"/>
  <c r="BF257" i="27"/>
  <c r="BD257" i="27"/>
  <c r="BC257" i="27"/>
  <c r="BB257" i="27"/>
  <c r="AZ257" i="27"/>
  <c r="AY257" i="27"/>
  <c r="AX257" i="27"/>
  <c r="AV257" i="27"/>
  <c r="AU257" i="27"/>
  <c r="AT257" i="27"/>
  <c r="AR257" i="27"/>
  <c r="AP257" i="27"/>
  <c r="AO257" i="27"/>
  <c r="AN257" i="27"/>
  <c r="AM257" i="27"/>
  <c r="AL257" i="27"/>
  <c r="AJ257" i="27"/>
  <c r="AI257" i="27"/>
  <c r="AH257" i="27"/>
  <c r="DY256" i="27"/>
  <c r="BJ256" i="27"/>
  <c r="BT256" i="27" s="1"/>
  <c r="CI256" i="27"/>
  <c r="BF256" i="27"/>
  <c r="BD256" i="27"/>
  <c r="BC256" i="27"/>
  <c r="BB256" i="27"/>
  <c r="AZ256" i="27"/>
  <c r="AY256" i="27"/>
  <c r="AX256" i="27"/>
  <c r="AV256" i="27"/>
  <c r="AU256" i="27"/>
  <c r="AT256" i="27"/>
  <c r="AR256" i="27"/>
  <c r="AP256" i="27"/>
  <c r="AO256" i="27"/>
  <c r="AN256" i="27"/>
  <c r="AM256" i="27"/>
  <c r="AL256" i="27"/>
  <c r="AJ256" i="27"/>
  <c r="AI256" i="27"/>
  <c r="AH256" i="27"/>
  <c r="DY255" i="27"/>
  <c r="BJ255" i="27"/>
  <c r="CE255" i="27"/>
  <c r="BF255" i="27"/>
  <c r="BD255" i="27"/>
  <c r="BC255" i="27"/>
  <c r="BB255" i="27"/>
  <c r="AZ255" i="27"/>
  <c r="AY255" i="27"/>
  <c r="AX255" i="27"/>
  <c r="AV255" i="27"/>
  <c r="AU255" i="27"/>
  <c r="AT255" i="27"/>
  <c r="AR255" i="27"/>
  <c r="AP255" i="27"/>
  <c r="AO255" i="27"/>
  <c r="AN255" i="27"/>
  <c r="AM255" i="27"/>
  <c r="AL255" i="27"/>
  <c r="AJ255" i="27"/>
  <c r="AI255" i="27"/>
  <c r="AH255" i="27"/>
  <c r="DY254" i="27"/>
  <c r="BJ254" i="27"/>
  <c r="CI254" i="27"/>
  <c r="BF254" i="27"/>
  <c r="BD254" i="27"/>
  <c r="BC254" i="27"/>
  <c r="BB254" i="27"/>
  <c r="AZ254" i="27"/>
  <c r="AY254" i="27"/>
  <c r="AX254" i="27"/>
  <c r="AV254" i="27"/>
  <c r="AU254" i="27"/>
  <c r="AT254" i="27"/>
  <c r="AR254" i="27"/>
  <c r="AP254" i="27"/>
  <c r="AO254" i="27"/>
  <c r="AN254" i="27"/>
  <c r="AM254" i="27"/>
  <c r="AL254" i="27"/>
  <c r="AJ254" i="27"/>
  <c r="AI254" i="27"/>
  <c r="AH254" i="27"/>
  <c r="DY253" i="27"/>
  <c r="BJ253" i="27"/>
  <c r="CF253" i="27"/>
  <c r="BF253" i="27"/>
  <c r="BD253" i="27"/>
  <c r="BC253" i="27"/>
  <c r="BB253" i="27"/>
  <c r="AZ253" i="27"/>
  <c r="AY253" i="27"/>
  <c r="AX253" i="27"/>
  <c r="AV253" i="27"/>
  <c r="AU253" i="27"/>
  <c r="AT253" i="27"/>
  <c r="AR253" i="27"/>
  <c r="AP253" i="27"/>
  <c r="AO253" i="27"/>
  <c r="AN253" i="27"/>
  <c r="AM253" i="27"/>
  <c r="AL253" i="27"/>
  <c r="AJ253" i="27"/>
  <c r="AI253" i="27"/>
  <c r="AH253" i="27"/>
  <c r="DY252" i="27"/>
  <c r="BJ252" i="27"/>
  <c r="BF252" i="27"/>
  <c r="BD252" i="27"/>
  <c r="BC252" i="27"/>
  <c r="BB252" i="27"/>
  <c r="AZ252" i="27"/>
  <c r="AY252" i="27"/>
  <c r="AX252" i="27"/>
  <c r="AV252" i="27"/>
  <c r="AU252" i="27"/>
  <c r="AT252" i="27"/>
  <c r="AR252" i="27"/>
  <c r="AP252" i="27"/>
  <c r="AO252" i="27"/>
  <c r="AN252" i="27"/>
  <c r="AM252" i="27"/>
  <c r="AL252" i="27"/>
  <c r="AJ252" i="27"/>
  <c r="AI252" i="27"/>
  <c r="AH252" i="27"/>
  <c r="DY251" i="27"/>
  <c r="BJ251" i="27"/>
  <c r="BT251" i="27" s="1"/>
  <c r="CI251" i="27"/>
  <c r="BF251" i="27"/>
  <c r="BD251" i="27"/>
  <c r="BC251" i="27"/>
  <c r="BB251" i="27"/>
  <c r="AZ251" i="27"/>
  <c r="AY251" i="27"/>
  <c r="AX251" i="27"/>
  <c r="AV251" i="27"/>
  <c r="AU251" i="27"/>
  <c r="AT251" i="27"/>
  <c r="AR251" i="27"/>
  <c r="AP251" i="27"/>
  <c r="AO251" i="27"/>
  <c r="AN251" i="27"/>
  <c r="AM251" i="27"/>
  <c r="AL251" i="27"/>
  <c r="AJ251" i="27"/>
  <c r="AI251" i="27"/>
  <c r="AH251" i="27"/>
  <c r="DY250" i="27"/>
  <c r="BJ250" i="27"/>
  <c r="BF250" i="27"/>
  <c r="BD250" i="27"/>
  <c r="BC250" i="27"/>
  <c r="BB250" i="27"/>
  <c r="AZ250" i="27"/>
  <c r="AY250" i="27"/>
  <c r="AX250" i="27"/>
  <c r="AV250" i="27"/>
  <c r="AU250" i="27"/>
  <c r="AT250" i="27"/>
  <c r="AR250" i="27"/>
  <c r="AP250" i="27"/>
  <c r="AO250" i="27"/>
  <c r="AN250" i="27"/>
  <c r="AM250" i="27"/>
  <c r="AL250" i="27"/>
  <c r="AJ250" i="27"/>
  <c r="AI250" i="27"/>
  <c r="AH250" i="27"/>
  <c r="DY249" i="27"/>
  <c r="BJ249" i="27"/>
  <c r="BT249" i="27" s="1"/>
  <c r="CE249" i="27"/>
  <c r="BF249" i="27"/>
  <c r="BD249" i="27"/>
  <c r="BC249" i="27"/>
  <c r="BB249" i="27"/>
  <c r="AZ249" i="27"/>
  <c r="AY249" i="27"/>
  <c r="AX249" i="27"/>
  <c r="AV249" i="27"/>
  <c r="AU249" i="27"/>
  <c r="AT249" i="27"/>
  <c r="AR249" i="27"/>
  <c r="AP249" i="27"/>
  <c r="AO249" i="27"/>
  <c r="AN249" i="27"/>
  <c r="AM249" i="27"/>
  <c r="AL249" i="27"/>
  <c r="AJ249" i="27"/>
  <c r="AI249" i="27"/>
  <c r="AH249" i="27"/>
  <c r="DY248" i="27"/>
  <c r="BJ248" i="27"/>
  <c r="CB248" i="27"/>
  <c r="BF248" i="27"/>
  <c r="BD248" i="27"/>
  <c r="BC248" i="27"/>
  <c r="BB248" i="27"/>
  <c r="AZ248" i="27"/>
  <c r="AY248" i="27"/>
  <c r="AX248" i="27"/>
  <c r="AV248" i="27"/>
  <c r="AU248" i="27"/>
  <c r="AT248" i="27"/>
  <c r="AR248" i="27"/>
  <c r="AP248" i="27"/>
  <c r="AO248" i="27"/>
  <c r="AN248" i="27"/>
  <c r="AM248" i="27"/>
  <c r="AL248" i="27"/>
  <c r="AJ248" i="27"/>
  <c r="AI248" i="27"/>
  <c r="AH248" i="27"/>
  <c r="DY247" i="27"/>
  <c r="BJ247" i="27"/>
  <c r="CE247" i="27"/>
  <c r="BF247" i="27"/>
  <c r="BD247" i="27"/>
  <c r="BC247" i="27"/>
  <c r="BB247" i="27"/>
  <c r="AZ247" i="27"/>
  <c r="AY247" i="27"/>
  <c r="AX247" i="27"/>
  <c r="AV247" i="27"/>
  <c r="AU247" i="27"/>
  <c r="AT247" i="27"/>
  <c r="AR247" i="27"/>
  <c r="AP247" i="27"/>
  <c r="AO247" i="27"/>
  <c r="AN247" i="27"/>
  <c r="AM247" i="27"/>
  <c r="AL247" i="27"/>
  <c r="AJ247" i="27"/>
  <c r="AI247" i="27"/>
  <c r="AH247" i="27"/>
  <c r="DY246" i="27"/>
  <c r="BJ246" i="27"/>
  <c r="CC246" i="27"/>
  <c r="BF246" i="27"/>
  <c r="BD246" i="27"/>
  <c r="BC246" i="27"/>
  <c r="BB246" i="27"/>
  <c r="AZ246" i="27"/>
  <c r="AY246" i="27"/>
  <c r="AX246" i="27"/>
  <c r="AV246" i="27"/>
  <c r="AU246" i="27"/>
  <c r="AT246" i="27"/>
  <c r="AR246" i="27"/>
  <c r="AP246" i="27"/>
  <c r="AO246" i="27"/>
  <c r="AN246" i="27"/>
  <c r="AM246" i="27"/>
  <c r="AL246" i="27"/>
  <c r="AJ246" i="27"/>
  <c r="AI246" i="27"/>
  <c r="AH246" i="27"/>
  <c r="DY245" i="27"/>
  <c r="BJ245" i="27"/>
  <c r="CF245" i="27"/>
  <c r="BF245" i="27"/>
  <c r="BD245" i="27"/>
  <c r="BC245" i="27"/>
  <c r="BB245" i="27"/>
  <c r="AZ245" i="27"/>
  <c r="AY245" i="27"/>
  <c r="AX245" i="27"/>
  <c r="AV245" i="27"/>
  <c r="AU245" i="27"/>
  <c r="AT245" i="27"/>
  <c r="AR245" i="27"/>
  <c r="AP245" i="27"/>
  <c r="AO245" i="27"/>
  <c r="AN245" i="27"/>
  <c r="AM245" i="27"/>
  <c r="AL245" i="27"/>
  <c r="AJ245" i="27"/>
  <c r="AI245" i="27"/>
  <c r="AH245" i="27"/>
  <c r="DY244" i="27"/>
  <c r="BJ244" i="27"/>
  <c r="CG244" i="27"/>
  <c r="BF244" i="27"/>
  <c r="BD244" i="27"/>
  <c r="BC244" i="27"/>
  <c r="BB244" i="27"/>
  <c r="AZ244" i="27"/>
  <c r="AY244" i="27"/>
  <c r="AX244" i="27"/>
  <c r="AV244" i="27"/>
  <c r="AU244" i="27"/>
  <c r="AT244" i="27"/>
  <c r="AR244" i="27"/>
  <c r="AP244" i="27"/>
  <c r="AO244" i="27"/>
  <c r="AN244" i="27"/>
  <c r="AM244" i="27"/>
  <c r="AL244" i="27"/>
  <c r="AJ244" i="27"/>
  <c r="AI244" i="27"/>
  <c r="AH244" i="27"/>
  <c r="DY243" i="27"/>
  <c r="BJ243" i="27"/>
  <c r="CI243" i="27"/>
  <c r="BF243" i="27"/>
  <c r="BD243" i="27"/>
  <c r="BC243" i="27"/>
  <c r="BB243" i="27"/>
  <c r="AZ243" i="27"/>
  <c r="AY243" i="27"/>
  <c r="AX243" i="27"/>
  <c r="AV243" i="27"/>
  <c r="AU243" i="27"/>
  <c r="AT243" i="27"/>
  <c r="AR243" i="27"/>
  <c r="AP243" i="27"/>
  <c r="AO243" i="27"/>
  <c r="AN243" i="27"/>
  <c r="AM243" i="27"/>
  <c r="AL243" i="27"/>
  <c r="AJ243" i="27"/>
  <c r="AI243" i="27"/>
  <c r="AH243" i="27"/>
  <c r="DY242" i="27"/>
  <c r="BJ242" i="27"/>
  <c r="CG242" i="27"/>
  <c r="BF242" i="27"/>
  <c r="BD242" i="27"/>
  <c r="BC242" i="27"/>
  <c r="BB242" i="27"/>
  <c r="AZ242" i="27"/>
  <c r="AY242" i="27"/>
  <c r="AX242" i="27"/>
  <c r="AV242" i="27"/>
  <c r="AU242" i="27"/>
  <c r="AT242" i="27"/>
  <c r="AR242" i="27"/>
  <c r="AP242" i="27"/>
  <c r="AO242" i="27"/>
  <c r="AN242" i="27"/>
  <c r="AM242" i="27"/>
  <c r="AL242" i="27"/>
  <c r="AJ242" i="27"/>
  <c r="AI242" i="27"/>
  <c r="AH242" i="27"/>
  <c r="DY241" i="27"/>
  <c r="BJ241" i="27"/>
  <c r="BT241" i="27" s="1"/>
  <c r="CE241" i="27"/>
  <c r="BF241" i="27"/>
  <c r="BD241" i="27"/>
  <c r="BC241" i="27"/>
  <c r="BB241" i="27"/>
  <c r="AZ241" i="27"/>
  <c r="AY241" i="27"/>
  <c r="AX241" i="27"/>
  <c r="AV241" i="27"/>
  <c r="AU241" i="27"/>
  <c r="AT241" i="27"/>
  <c r="AR241" i="27"/>
  <c r="AP241" i="27"/>
  <c r="AO241" i="27"/>
  <c r="AN241" i="27"/>
  <c r="AM241" i="27"/>
  <c r="AL241" i="27"/>
  <c r="AJ241" i="27"/>
  <c r="AI241" i="27"/>
  <c r="AH241" i="27"/>
  <c r="DY240" i="27"/>
  <c r="BJ240" i="27"/>
  <c r="BT240" i="27" s="1"/>
  <c r="CI240" i="27"/>
  <c r="BF240" i="27"/>
  <c r="BD240" i="27"/>
  <c r="BC240" i="27"/>
  <c r="BB240" i="27"/>
  <c r="AZ240" i="27"/>
  <c r="AY240" i="27"/>
  <c r="AX240" i="27"/>
  <c r="AV240" i="27"/>
  <c r="AU240" i="27"/>
  <c r="AT240" i="27"/>
  <c r="AR240" i="27"/>
  <c r="AP240" i="27"/>
  <c r="AO240" i="27"/>
  <c r="AN240" i="27"/>
  <c r="AM240" i="27"/>
  <c r="AL240" i="27"/>
  <c r="AJ240" i="27"/>
  <c r="AI240" i="27"/>
  <c r="AH240" i="27"/>
  <c r="DY239" i="27"/>
  <c r="BJ239" i="27"/>
  <c r="CE239" i="27"/>
  <c r="BF239" i="27"/>
  <c r="BD239" i="27"/>
  <c r="BC239" i="27"/>
  <c r="BB239" i="27"/>
  <c r="AZ239" i="27"/>
  <c r="AY239" i="27"/>
  <c r="AX239" i="27"/>
  <c r="AV239" i="27"/>
  <c r="AU239" i="27"/>
  <c r="AT239" i="27"/>
  <c r="AR239" i="27"/>
  <c r="AP239" i="27"/>
  <c r="AO239" i="27"/>
  <c r="AN239" i="27"/>
  <c r="AM239" i="27"/>
  <c r="AL239" i="27"/>
  <c r="AJ239" i="27"/>
  <c r="AI239" i="27"/>
  <c r="AH239" i="27"/>
  <c r="DY238" i="27"/>
  <c r="BJ238" i="27"/>
  <c r="CC238" i="27"/>
  <c r="BF238" i="27"/>
  <c r="BD238" i="27"/>
  <c r="BC238" i="27"/>
  <c r="BB238" i="27"/>
  <c r="AZ238" i="27"/>
  <c r="AY238" i="27"/>
  <c r="AX238" i="27"/>
  <c r="AV238" i="27"/>
  <c r="AU238" i="27"/>
  <c r="AT238" i="27"/>
  <c r="AR238" i="27"/>
  <c r="AP238" i="27"/>
  <c r="AO238" i="27"/>
  <c r="AN238" i="27"/>
  <c r="AM238" i="27"/>
  <c r="AL238" i="27"/>
  <c r="AJ238" i="27"/>
  <c r="AI238" i="27"/>
  <c r="AH238" i="27"/>
  <c r="DY237" i="27"/>
  <c r="BJ237" i="27"/>
  <c r="CF237" i="27"/>
  <c r="BF237" i="27"/>
  <c r="BD237" i="27"/>
  <c r="BC237" i="27"/>
  <c r="BB237" i="27"/>
  <c r="AZ237" i="27"/>
  <c r="AY237" i="27"/>
  <c r="AX237" i="27"/>
  <c r="AV237" i="27"/>
  <c r="AU237" i="27"/>
  <c r="AT237" i="27"/>
  <c r="AR237" i="27"/>
  <c r="AP237" i="27"/>
  <c r="AO237" i="27"/>
  <c r="AN237" i="27"/>
  <c r="AM237" i="27"/>
  <c r="AL237" i="27"/>
  <c r="AJ237" i="27"/>
  <c r="AI237" i="27"/>
  <c r="AH237" i="27"/>
  <c r="DY236" i="27"/>
  <c r="BJ236" i="27"/>
  <c r="CE236" i="27"/>
  <c r="BF236" i="27"/>
  <c r="BD236" i="27"/>
  <c r="BC236" i="27"/>
  <c r="BB236" i="27"/>
  <c r="AZ236" i="27"/>
  <c r="AY236" i="27"/>
  <c r="AX236" i="27"/>
  <c r="AV236" i="27"/>
  <c r="AU236" i="27"/>
  <c r="AT236" i="27"/>
  <c r="AR236" i="27"/>
  <c r="AP236" i="27"/>
  <c r="AO236" i="27"/>
  <c r="AN236" i="27"/>
  <c r="AM236" i="27"/>
  <c r="AL236" i="27"/>
  <c r="AJ236" i="27"/>
  <c r="AI236" i="27"/>
  <c r="AH236" i="27"/>
  <c r="DY235" i="27"/>
  <c r="BJ235" i="27"/>
  <c r="CC235" i="27"/>
  <c r="BF235" i="27"/>
  <c r="BD235" i="27"/>
  <c r="BC235" i="27"/>
  <c r="BB235" i="27"/>
  <c r="AZ235" i="27"/>
  <c r="AY235" i="27"/>
  <c r="AX235" i="27"/>
  <c r="AV235" i="27"/>
  <c r="AU235" i="27"/>
  <c r="AT235" i="27"/>
  <c r="AR235" i="27"/>
  <c r="AP235" i="27"/>
  <c r="AO235" i="27"/>
  <c r="AN235" i="27"/>
  <c r="AM235" i="27"/>
  <c r="AL235" i="27"/>
  <c r="AJ235" i="27"/>
  <c r="AI235" i="27"/>
  <c r="AH235" i="27"/>
  <c r="DY234" i="27"/>
  <c r="BJ234" i="27"/>
  <c r="BT234" i="27" s="1"/>
  <c r="CG234" i="27"/>
  <c r="BF234" i="27"/>
  <c r="BD234" i="27"/>
  <c r="BC234" i="27"/>
  <c r="BB234" i="27"/>
  <c r="AZ234" i="27"/>
  <c r="AY234" i="27"/>
  <c r="AX234" i="27"/>
  <c r="AV234" i="27"/>
  <c r="AU234" i="27"/>
  <c r="AT234" i="27"/>
  <c r="AR234" i="27"/>
  <c r="AP234" i="27"/>
  <c r="AO234" i="27"/>
  <c r="AN234" i="27"/>
  <c r="AM234" i="27"/>
  <c r="AL234" i="27"/>
  <c r="AJ234" i="27"/>
  <c r="AI234" i="27"/>
  <c r="AH234" i="27"/>
  <c r="DY233" i="27"/>
  <c r="BJ233" i="27"/>
  <c r="BT233" i="27" s="1"/>
  <c r="CF233" i="27"/>
  <c r="BF233" i="27"/>
  <c r="BD233" i="27"/>
  <c r="BC233" i="27"/>
  <c r="BB233" i="27"/>
  <c r="AZ233" i="27"/>
  <c r="AY233" i="27"/>
  <c r="AX233" i="27"/>
  <c r="AV233" i="27"/>
  <c r="AU233" i="27"/>
  <c r="AT233" i="27"/>
  <c r="AR233" i="27"/>
  <c r="AP233" i="27"/>
  <c r="AO233" i="27"/>
  <c r="AN233" i="27"/>
  <c r="AM233" i="27"/>
  <c r="AL233" i="27"/>
  <c r="AJ233" i="27"/>
  <c r="AI233" i="27"/>
  <c r="AH233" i="27"/>
  <c r="DY232" i="27"/>
  <c r="BJ232" i="27"/>
  <c r="CI232" i="27"/>
  <c r="BF232" i="27"/>
  <c r="BD232" i="27"/>
  <c r="BC232" i="27"/>
  <c r="BB232" i="27"/>
  <c r="AZ232" i="27"/>
  <c r="AY232" i="27"/>
  <c r="AX232" i="27"/>
  <c r="AV232" i="27"/>
  <c r="AU232" i="27"/>
  <c r="AT232" i="27"/>
  <c r="AR232" i="27"/>
  <c r="AP232" i="27"/>
  <c r="AO232" i="27"/>
  <c r="AN232" i="27"/>
  <c r="AM232" i="27"/>
  <c r="AL232" i="27"/>
  <c r="AJ232" i="27"/>
  <c r="AI232" i="27"/>
  <c r="AH232" i="27"/>
  <c r="DY231" i="27"/>
  <c r="BJ231" i="27"/>
  <c r="CE231" i="27"/>
  <c r="BF231" i="27"/>
  <c r="BD231" i="27"/>
  <c r="BC231" i="27"/>
  <c r="BB231" i="27"/>
  <c r="AZ231" i="27"/>
  <c r="AY231" i="27"/>
  <c r="AX231" i="27"/>
  <c r="AV231" i="27"/>
  <c r="AU231" i="27"/>
  <c r="AT231" i="27"/>
  <c r="AR231" i="27"/>
  <c r="AP231" i="27"/>
  <c r="AO231" i="27"/>
  <c r="AN231" i="27"/>
  <c r="AM231" i="27"/>
  <c r="AL231" i="27"/>
  <c r="AJ231" i="27"/>
  <c r="AI231" i="27"/>
  <c r="AH231" i="27"/>
  <c r="DY230" i="27"/>
  <c r="BJ230" i="27"/>
  <c r="CC230" i="27"/>
  <c r="BF230" i="27"/>
  <c r="BD230" i="27"/>
  <c r="BC230" i="27"/>
  <c r="BB230" i="27"/>
  <c r="AZ230" i="27"/>
  <c r="AY230" i="27"/>
  <c r="AX230" i="27"/>
  <c r="AV230" i="27"/>
  <c r="AU230" i="27"/>
  <c r="AT230" i="27"/>
  <c r="AR230" i="27"/>
  <c r="AP230" i="27"/>
  <c r="AO230" i="27"/>
  <c r="AN230" i="27"/>
  <c r="AM230" i="27"/>
  <c r="AL230" i="27"/>
  <c r="AJ230" i="27"/>
  <c r="AI230" i="27"/>
  <c r="AH230" i="27"/>
  <c r="DY229" i="27"/>
  <c r="BJ229" i="27"/>
  <c r="CF229" i="27"/>
  <c r="BF229" i="27"/>
  <c r="BD229" i="27"/>
  <c r="BC229" i="27"/>
  <c r="BB229" i="27"/>
  <c r="AZ229" i="27"/>
  <c r="AY229" i="27"/>
  <c r="AX229" i="27"/>
  <c r="AV229" i="27"/>
  <c r="AU229" i="27"/>
  <c r="AT229" i="27"/>
  <c r="AR229" i="27"/>
  <c r="AP229" i="27"/>
  <c r="AO229" i="27"/>
  <c r="AN229" i="27"/>
  <c r="AM229" i="27"/>
  <c r="AL229" i="27"/>
  <c r="AJ229" i="27"/>
  <c r="AI229" i="27"/>
  <c r="AH229" i="27"/>
  <c r="DY228" i="27"/>
  <c r="BJ228" i="27"/>
  <c r="CG228" i="27"/>
  <c r="BF228" i="27"/>
  <c r="BD228" i="27"/>
  <c r="BC228" i="27"/>
  <c r="BB228" i="27"/>
  <c r="AZ228" i="27"/>
  <c r="AY228" i="27"/>
  <c r="AX228" i="27"/>
  <c r="AV228" i="27"/>
  <c r="AU228" i="27"/>
  <c r="AT228" i="27"/>
  <c r="AR228" i="27"/>
  <c r="AP228" i="27"/>
  <c r="AO228" i="27"/>
  <c r="AN228" i="27"/>
  <c r="AM228" i="27"/>
  <c r="AL228" i="27"/>
  <c r="AJ228" i="27"/>
  <c r="AI228" i="27"/>
  <c r="AH228" i="27"/>
  <c r="DY227" i="27"/>
  <c r="BJ227" i="27"/>
  <c r="BT227" i="27" s="1"/>
  <c r="BF227" i="27"/>
  <c r="BD227" i="27"/>
  <c r="BC227" i="27"/>
  <c r="BB227" i="27"/>
  <c r="AZ227" i="27"/>
  <c r="AY227" i="27"/>
  <c r="AX227" i="27"/>
  <c r="AV227" i="27"/>
  <c r="AU227" i="27"/>
  <c r="AT227" i="27"/>
  <c r="AR227" i="27"/>
  <c r="AP227" i="27"/>
  <c r="AO227" i="27"/>
  <c r="AN227" i="27"/>
  <c r="AM227" i="27"/>
  <c r="AL227" i="27"/>
  <c r="AJ227" i="27"/>
  <c r="AI227" i="27"/>
  <c r="AH227" i="27"/>
  <c r="DY226" i="27"/>
  <c r="BJ226" i="27"/>
  <c r="BT226" i="27" s="1"/>
  <c r="CG226" i="27"/>
  <c r="BF226" i="27"/>
  <c r="BD226" i="27"/>
  <c r="BC226" i="27"/>
  <c r="BB226" i="27"/>
  <c r="AZ226" i="27"/>
  <c r="AY226" i="27"/>
  <c r="AX226" i="27"/>
  <c r="AV226" i="27"/>
  <c r="AU226" i="27"/>
  <c r="AT226" i="27"/>
  <c r="AR226" i="27"/>
  <c r="AP226" i="27"/>
  <c r="AO226" i="27"/>
  <c r="AN226" i="27"/>
  <c r="AM226" i="27"/>
  <c r="AL226" i="27"/>
  <c r="AJ226" i="27"/>
  <c r="AI226" i="27"/>
  <c r="AH226" i="27"/>
  <c r="DY225" i="27"/>
  <c r="BJ225" i="27"/>
  <c r="BT225" i="27" s="1"/>
  <c r="BF225" i="27"/>
  <c r="BD225" i="27"/>
  <c r="BC225" i="27"/>
  <c r="BB225" i="27"/>
  <c r="AZ225" i="27"/>
  <c r="AY225" i="27"/>
  <c r="AX225" i="27"/>
  <c r="AV225" i="27"/>
  <c r="AU225" i="27"/>
  <c r="AT225" i="27"/>
  <c r="AR225" i="27"/>
  <c r="AP225" i="27"/>
  <c r="AO225" i="27"/>
  <c r="AN225" i="27"/>
  <c r="AM225" i="27"/>
  <c r="AL225" i="27"/>
  <c r="AJ225" i="27"/>
  <c r="AI225" i="27"/>
  <c r="AH225" i="27"/>
  <c r="DY224" i="27"/>
  <c r="BJ224" i="27"/>
  <c r="BF224" i="27"/>
  <c r="BD224" i="27"/>
  <c r="BC224" i="27"/>
  <c r="BB224" i="27"/>
  <c r="AZ224" i="27"/>
  <c r="AY224" i="27"/>
  <c r="AX224" i="27"/>
  <c r="AV224" i="27"/>
  <c r="AU224" i="27"/>
  <c r="AT224" i="27"/>
  <c r="AR224" i="27"/>
  <c r="AP224" i="27"/>
  <c r="AO224" i="27"/>
  <c r="AN224" i="27"/>
  <c r="AM224" i="27"/>
  <c r="AL224" i="27"/>
  <c r="AJ224" i="27"/>
  <c r="AI224" i="27"/>
  <c r="AH224" i="27"/>
  <c r="DY223" i="27"/>
  <c r="BJ223" i="27"/>
  <c r="BT223" i="27" s="1"/>
  <c r="CI223" i="27"/>
  <c r="BF223" i="27"/>
  <c r="BD223" i="27"/>
  <c r="BC223" i="27"/>
  <c r="BB223" i="27"/>
  <c r="AZ223" i="27"/>
  <c r="AY223" i="27"/>
  <c r="AX223" i="27"/>
  <c r="AV223" i="27"/>
  <c r="AU223" i="27"/>
  <c r="AT223" i="27"/>
  <c r="AR223" i="27"/>
  <c r="AP223" i="27"/>
  <c r="AO223" i="27"/>
  <c r="AN223" i="27"/>
  <c r="AM223" i="27"/>
  <c r="AL223" i="27"/>
  <c r="AJ223" i="27"/>
  <c r="AI223" i="27"/>
  <c r="AH223" i="27"/>
  <c r="DY222" i="27"/>
  <c r="BJ222" i="27"/>
  <c r="CG222" i="27"/>
  <c r="BF222" i="27"/>
  <c r="BD222" i="27"/>
  <c r="BC222" i="27"/>
  <c r="BB222" i="27"/>
  <c r="AZ222" i="27"/>
  <c r="AY222" i="27"/>
  <c r="AX222" i="27"/>
  <c r="AV222" i="27"/>
  <c r="AU222" i="27"/>
  <c r="AT222" i="27"/>
  <c r="AR222" i="27"/>
  <c r="AP222" i="27"/>
  <c r="AO222" i="27"/>
  <c r="AN222" i="27"/>
  <c r="AM222" i="27"/>
  <c r="AL222" i="27"/>
  <c r="AJ222" i="27"/>
  <c r="AI222" i="27"/>
  <c r="AH222" i="27"/>
  <c r="DY221" i="27"/>
  <c r="BJ221" i="27"/>
  <c r="CC221" i="27"/>
  <c r="BF221" i="27"/>
  <c r="BD221" i="27"/>
  <c r="BC221" i="27"/>
  <c r="BB221" i="27"/>
  <c r="AZ221" i="27"/>
  <c r="AY221" i="27"/>
  <c r="AX221" i="27"/>
  <c r="AV221" i="27"/>
  <c r="AU221" i="27"/>
  <c r="AT221" i="27"/>
  <c r="AR221" i="27"/>
  <c r="AP221" i="27"/>
  <c r="AO221" i="27"/>
  <c r="AN221" i="27"/>
  <c r="AM221" i="27"/>
  <c r="AL221" i="27"/>
  <c r="AJ221" i="27"/>
  <c r="AI221" i="27"/>
  <c r="AH221" i="27"/>
  <c r="DY220" i="27"/>
  <c r="BJ220" i="27"/>
  <c r="BT220" i="27" s="1"/>
  <c r="BF220" i="27"/>
  <c r="BD220" i="27"/>
  <c r="BC220" i="27"/>
  <c r="BB220" i="27"/>
  <c r="AZ220" i="27"/>
  <c r="AY220" i="27"/>
  <c r="AX220" i="27"/>
  <c r="AV220" i="27"/>
  <c r="AU220" i="27"/>
  <c r="AT220" i="27"/>
  <c r="AR220" i="27"/>
  <c r="AP220" i="27"/>
  <c r="AO220" i="27"/>
  <c r="AN220" i="27"/>
  <c r="AM220" i="27"/>
  <c r="AL220" i="27"/>
  <c r="AJ220" i="27"/>
  <c r="AI220" i="27"/>
  <c r="AH220" i="27"/>
  <c r="DY219" i="27"/>
  <c r="BJ219" i="27"/>
  <c r="CE219" i="27"/>
  <c r="BF219" i="27"/>
  <c r="BD219" i="27"/>
  <c r="BC219" i="27"/>
  <c r="BB219" i="27"/>
  <c r="AZ219" i="27"/>
  <c r="AY219" i="27"/>
  <c r="AX219" i="27"/>
  <c r="AV219" i="27"/>
  <c r="AU219" i="27"/>
  <c r="AT219" i="27"/>
  <c r="AR219" i="27"/>
  <c r="AP219" i="27"/>
  <c r="AO219" i="27"/>
  <c r="AN219" i="27"/>
  <c r="AM219" i="27"/>
  <c r="AL219" i="27"/>
  <c r="AJ219" i="27"/>
  <c r="AI219" i="27"/>
  <c r="AH219" i="27"/>
  <c r="DY218" i="27"/>
  <c r="BJ218" i="27"/>
  <c r="CI218" i="27"/>
  <c r="BF218" i="27"/>
  <c r="BD218" i="27"/>
  <c r="BC218" i="27"/>
  <c r="BB218" i="27"/>
  <c r="AZ218" i="27"/>
  <c r="AY218" i="27"/>
  <c r="AX218" i="27"/>
  <c r="AV218" i="27"/>
  <c r="AU218" i="27"/>
  <c r="AT218" i="27"/>
  <c r="AR218" i="27"/>
  <c r="AP218" i="27"/>
  <c r="AO218" i="27"/>
  <c r="AN218" i="27"/>
  <c r="AM218" i="27"/>
  <c r="AL218" i="27"/>
  <c r="AJ218" i="27"/>
  <c r="AI218" i="27"/>
  <c r="AH218" i="27"/>
  <c r="DY217" i="27"/>
  <c r="BJ217" i="27"/>
  <c r="CI217" i="27"/>
  <c r="BF217" i="27"/>
  <c r="BD217" i="27"/>
  <c r="BC217" i="27"/>
  <c r="BB217" i="27"/>
  <c r="AZ217" i="27"/>
  <c r="AY217" i="27"/>
  <c r="AX217" i="27"/>
  <c r="AV217" i="27"/>
  <c r="AU217" i="27"/>
  <c r="AT217" i="27"/>
  <c r="AR217" i="27"/>
  <c r="AP217" i="27"/>
  <c r="AO217" i="27"/>
  <c r="AN217" i="27"/>
  <c r="AM217" i="27"/>
  <c r="AL217" i="27"/>
  <c r="AJ217" i="27"/>
  <c r="AI217" i="27"/>
  <c r="AH217" i="27"/>
  <c r="DY216" i="27"/>
  <c r="BJ216" i="27"/>
  <c r="BF216" i="27"/>
  <c r="BD216" i="27"/>
  <c r="BC216" i="27"/>
  <c r="BB216" i="27"/>
  <c r="AZ216" i="27"/>
  <c r="AY216" i="27"/>
  <c r="AX216" i="27"/>
  <c r="AV216" i="27"/>
  <c r="AU216" i="27"/>
  <c r="AT216" i="27"/>
  <c r="AR216" i="27"/>
  <c r="AP216" i="27"/>
  <c r="AO216" i="27"/>
  <c r="AN216" i="27"/>
  <c r="AM216" i="27"/>
  <c r="AL216" i="27"/>
  <c r="AJ216" i="27"/>
  <c r="AI216" i="27"/>
  <c r="AH216" i="27"/>
  <c r="DY215" i="27"/>
  <c r="BJ215" i="27"/>
  <c r="BT215" i="27" s="1"/>
  <c r="BF215" i="27"/>
  <c r="BD215" i="27"/>
  <c r="BC215" i="27"/>
  <c r="BB215" i="27"/>
  <c r="AZ215" i="27"/>
  <c r="AY215" i="27"/>
  <c r="AX215" i="27"/>
  <c r="AV215" i="27"/>
  <c r="AU215" i="27"/>
  <c r="AT215" i="27"/>
  <c r="AR215" i="27"/>
  <c r="AP215" i="27"/>
  <c r="AO215" i="27"/>
  <c r="AN215" i="27"/>
  <c r="AM215" i="27"/>
  <c r="AL215" i="27"/>
  <c r="AJ215" i="27"/>
  <c r="AI215" i="27"/>
  <c r="AH215" i="27"/>
  <c r="DY214" i="27"/>
  <c r="BJ214" i="27"/>
  <c r="BF214" i="27"/>
  <c r="BD214" i="27"/>
  <c r="BC214" i="27"/>
  <c r="BB214" i="27"/>
  <c r="AZ214" i="27"/>
  <c r="AY214" i="27"/>
  <c r="AX214" i="27"/>
  <c r="AV214" i="27"/>
  <c r="AU214" i="27"/>
  <c r="AT214" i="27"/>
  <c r="AR214" i="27"/>
  <c r="AP214" i="27"/>
  <c r="AO214" i="27"/>
  <c r="AN214" i="27"/>
  <c r="AM214" i="27"/>
  <c r="AL214" i="27"/>
  <c r="AJ214" i="27"/>
  <c r="AI214" i="27"/>
  <c r="AH214" i="27"/>
  <c r="DY213" i="27"/>
  <c r="BJ213" i="27"/>
  <c r="BF213" i="27"/>
  <c r="BD213" i="27"/>
  <c r="BC213" i="27"/>
  <c r="BB213" i="27"/>
  <c r="AZ213" i="27"/>
  <c r="AY213" i="27"/>
  <c r="AX213" i="27"/>
  <c r="AV213" i="27"/>
  <c r="AU213" i="27"/>
  <c r="AT213" i="27"/>
  <c r="AR213" i="27"/>
  <c r="AP213" i="27"/>
  <c r="AO213" i="27"/>
  <c r="AN213" i="27"/>
  <c r="AM213" i="27"/>
  <c r="AL213" i="27"/>
  <c r="AJ213" i="27"/>
  <c r="AI213" i="27"/>
  <c r="AH213" i="27"/>
  <c r="DY212" i="27"/>
  <c r="BJ212" i="27"/>
  <c r="CC212" i="27"/>
  <c r="BF212" i="27"/>
  <c r="BD212" i="27"/>
  <c r="BC212" i="27"/>
  <c r="BB212" i="27"/>
  <c r="AZ212" i="27"/>
  <c r="AY212" i="27"/>
  <c r="AX212" i="27"/>
  <c r="AV212" i="27"/>
  <c r="AU212" i="27"/>
  <c r="AT212" i="27"/>
  <c r="AR212" i="27"/>
  <c r="AP212" i="27"/>
  <c r="AO212" i="27"/>
  <c r="AN212" i="27"/>
  <c r="AM212" i="27"/>
  <c r="AL212" i="27"/>
  <c r="AJ212" i="27"/>
  <c r="AI212" i="27"/>
  <c r="AH212" i="27"/>
  <c r="DY211" i="27"/>
  <c r="BJ211" i="27"/>
  <c r="CE211" i="27"/>
  <c r="BF211" i="27"/>
  <c r="BD211" i="27"/>
  <c r="BC211" i="27"/>
  <c r="BB211" i="27"/>
  <c r="AZ211" i="27"/>
  <c r="AY211" i="27"/>
  <c r="AX211" i="27"/>
  <c r="AV211" i="27"/>
  <c r="AU211" i="27"/>
  <c r="AT211" i="27"/>
  <c r="AR211" i="27"/>
  <c r="AP211" i="27"/>
  <c r="AO211" i="27"/>
  <c r="AN211" i="27"/>
  <c r="AM211" i="27"/>
  <c r="AL211" i="27"/>
  <c r="AJ211" i="27"/>
  <c r="AI211" i="27"/>
  <c r="AH211" i="27"/>
  <c r="DY210" i="27"/>
  <c r="BJ210" i="27"/>
  <c r="CI210" i="27"/>
  <c r="BF210" i="27"/>
  <c r="BD210" i="27"/>
  <c r="BC210" i="27"/>
  <c r="BB210" i="27"/>
  <c r="AZ210" i="27"/>
  <c r="AY210" i="27"/>
  <c r="AX210" i="27"/>
  <c r="AV210" i="27"/>
  <c r="AU210" i="27"/>
  <c r="AT210" i="27"/>
  <c r="AR210" i="27"/>
  <c r="AP210" i="27"/>
  <c r="AO210" i="27"/>
  <c r="AN210" i="27"/>
  <c r="AM210" i="27"/>
  <c r="AL210" i="27"/>
  <c r="AJ210" i="27"/>
  <c r="AI210" i="27"/>
  <c r="AH210" i="27"/>
  <c r="DY209" i="27"/>
  <c r="BJ209" i="27"/>
  <c r="BT209" i="27" s="1"/>
  <c r="CC209" i="27"/>
  <c r="BF209" i="27"/>
  <c r="BD209" i="27"/>
  <c r="BC209" i="27"/>
  <c r="BB209" i="27"/>
  <c r="AZ209" i="27"/>
  <c r="AY209" i="27"/>
  <c r="AX209" i="27"/>
  <c r="AV209" i="27"/>
  <c r="AU209" i="27"/>
  <c r="AT209" i="27"/>
  <c r="AR209" i="27"/>
  <c r="AP209" i="27"/>
  <c r="AO209" i="27"/>
  <c r="AN209" i="27"/>
  <c r="AM209" i="27"/>
  <c r="AL209" i="27"/>
  <c r="AJ209" i="27"/>
  <c r="AI209" i="27"/>
  <c r="AH209" i="27"/>
  <c r="DY208" i="27"/>
  <c r="BJ208" i="27"/>
  <c r="CI208" i="27"/>
  <c r="BF208" i="27"/>
  <c r="BD208" i="27"/>
  <c r="BC208" i="27"/>
  <c r="BB208" i="27"/>
  <c r="AZ208" i="27"/>
  <c r="AY208" i="27"/>
  <c r="AX208" i="27"/>
  <c r="AV208" i="27"/>
  <c r="AU208" i="27"/>
  <c r="AT208" i="27"/>
  <c r="AR208" i="27"/>
  <c r="AP208" i="27"/>
  <c r="AO208" i="27"/>
  <c r="AN208" i="27"/>
  <c r="AM208" i="27"/>
  <c r="AL208" i="27"/>
  <c r="AJ208" i="27"/>
  <c r="AI208" i="27"/>
  <c r="AH208" i="27"/>
  <c r="DY207" i="27"/>
  <c r="BJ207" i="27"/>
  <c r="CI207" i="27"/>
  <c r="BF207" i="27"/>
  <c r="BD207" i="27"/>
  <c r="BC207" i="27"/>
  <c r="BB207" i="27"/>
  <c r="AZ207" i="27"/>
  <c r="AY207" i="27"/>
  <c r="AX207" i="27"/>
  <c r="AV207" i="27"/>
  <c r="AU207" i="27"/>
  <c r="AT207" i="27"/>
  <c r="AR207" i="27"/>
  <c r="AP207" i="27"/>
  <c r="AO207" i="27"/>
  <c r="AN207" i="27"/>
  <c r="AM207" i="27"/>
  <c r="AL207" i="27"/>
  <c r="AJ207" i="27"/>
  <c r="AI207" i="27"/>
  <c r="AH207" i="27"/>
  <c r="DY206" i="27"/>
  <c r="BJ206" i="27"/>
  <c r="BF206" i="27"/>
  <c r="BD206" i="27"/>
  <c r="BC206" i="27"/>
  <c r="BB206" i="27"/>
  <c r="AZ206" i="27"/>
  <c r="AY206" i="27"/>
  <c r="AX206" i="27"/>
  <c r="AV206" i="27"/>
  <c r="AU206" i="27"/>
  <c r="AT206" i="27"/>
  <c r="AR206" i="27"/>
  <c r="AP206" i="27"/>
  <c r="AO206" i="27"/>
  <c r="AN206" i="27"/>
  <c r="AM206" i="27"/>
  <c r="AL206" i="27"/>
  <c r="AJ206" i="27"/>
  <c r="AI206" i="27"/>
  <c r="AH206" i="27"/>
  <c r="DY205" i="27"/>
  <c r="BJ205" i="27"/>
  <c r="CF205" i="27"/>
  <c r="BF205" i="27"/>
  <c r="BD205" i="27"/>
  <c r="BC205" i="27"/>
  <c r="BB205" i="27"/>
  <c r="AZ205" i="27"/>
  <c r="AY205" i="27"/>
  <c r="AX205" i="27"/>
  <c r="AV205" i="27"/>
  <c r="AU205" i="27"/>
  <c r="AT205" i="27"/>
  <c r="AR205" i="27"/>
  <c r="AP205" i="27"/>
  <c r="AO205" i="27"/>
  <c r="AN205" i="27"/>
  <c r="AM205" i="27"/>
  <c r="AL205" i="27"/>
  <c r="AJ205" i="27"/>
  <c r="AI205" i="27"/>
  <c r="AH205" i="27"/>
  <c r="DY204" i="27"/>
  <c r="BJ204" i="27"/>
  <c r="CI204" i="27"/>
  <c r="BF204" i="27"/>
  <c r="BD204" i="27"/>
  <c r="BC204" i="27"/>
  <c r="BB204" i="27"/>
  <c r="AZ204" i="27"/>
  <c r="AY204" i="27"/>
  <c r="AX204" i="27"/>
  <c r="AV204" i="27"/>
  <c r="AU204" i="27"/>
  <c r="AT204" i="27"/>
  <c r="AR204" i="27"/>
  <c r="AP204" i="27"/>
  <c r="AO204" i="27"/>
  <c r="AN204" i="27"/>
  <c r="AM204" i="27"/>
  <c r="AL204" i="27"/>
  <c r="AJ204" i="27"/>
  <c r="AI204" i="27"/>
  <c r="AH204" i="27"/>
  <c r="DY203" i="27"/>
  <c r="BJ203" i="27"/>
  <c r="CF203" i="27"/>
  <c r="BF203" i="27"/>
  <c r="BD203" i="27"/>
  <c r="BC203" i="27"/>
  <c r="BB203" i="27"/>
  <c r="AZ203" i="27"/>
  <c r="AY203" i="27"/>
  <c r="AX203" i="27"/>
  <c r="AV203" i="27"/>
  <c r="AU203" i="27"/>
  <c r="AT203" i="27"/>
  <c r="AR203" i="27"/>
  <c r="AP203" i="27"/>
  <c r="AO203" i="27"/>
  <c r="AN203" i="27"/>
  <c r="AM203" i="27"/>
  <c r="AL203" i="27"/>
  <c r="AJ203" i="27"/>
  <c r="AI203" i="27"/>
  <c r="AH203" i="27"/>
  <c r="DY202" i="27"/>
  <c r="BJ202" i="27"/>
  <c r="CF202" i="27"/>
  <c r="BF202" i="27"/>
  <c r="BD202" i="27"/>
  <c r="BC202" i="27"/>
  <c r="BB202" i="27"/>
  <c r="AZ202" i="27"/>
  <c r="AY202" i="27"/>
  <c r="AX202" i="27"/>
  <c r="AV202" i="27"/>
  <c r="AU202" i="27"/>
  <c r="AT202" i="27"/>
  <c r="AR202" i="27"/>
  <c r="AP202" i="27"/>
  <c r="AO202" i="27"/>
  <c r="AN202" i="27"/>
  <c r="AM202" i="27"/>
  <c r="AL202" i="27"/>
  <c r="AJ202" i="27"/>
  <c r="AI202" i="27"/>
  <c r="AH202" i="27"/>
  <c r="DY201" i="27"/>
  <c r="BJ201" i="27"/>
  <c r="BT201" i="27" s="1"/>
  <c r="BF201" i="27"/>
  <c r="BD201" i="27"/>
  <c r="BC201" i="27"/>
  <c r="BB201" i="27"/>
  <c r="AZ201" i="27"/>
  <c r="AY201" i="27"/>
  <c r="AX201" i="27"/>
  <c r="AV201" i="27"/>
  <c r="AU201" i="27"/>
  <c r="AT201" i="27"/>
  <c r="AR201" i="27"/>
  <c r="AP201" i="27"/>
  <c r="AO201" i="27"/>
  <c r="AN201" i="27"/>
  <c r="AM201" i="27"/>
  <c r="AL201" i="27"/>
  <c r="AJ201" i="27"/>
  <c r="AI201" i="27"/>
  <c r="AH201" i="27"/>
  <c r="DY200" i="27"/>
  <c r="BJ200" i="27"/>
  <c r="BT200" i="27" s="1"/>
  <c r="BF200" i="27"/>
  <c r="BD200" i="27"/>
  <c r="BC200" i="27"/>
  <c r="BB200" i="27"/>
  <c r="AZ200" i="27"/>
  <c r="AY200" i="27"/>
  <c r="AX200" i="27"/>
  <c r="AV200" i="27"/>
  <c r="AU200" i="27"/>
  <c r="AT200" i="27"/>
  <c r="AR200" i="27"/>
  <c r="AP200" i="27"/>
  <c r="AO200" i="27"/>
  <c r="AN200" i="27"/>
  <c r="AM200" i="27"/>
  <c r="AL200" i="27"/>
  <c r="AJ200" i="27"/>
  <c r="AI200" i="27"/>
  <c r="AH200" i="27"/>
  <c r="DY199" i="27"/>
  <c r="BJ199" i="27"/>
  <c r="CF199" i="27"/>
  <c r="BF199" i="27"/>
  <c r="BD199" i="27"/>
  <c r="BC199" i="27"/>
  <c r="BB199" i="27"/>
  <c r="AZ199" i="27"/>
  <c r="AY199" i="27"/>
  <c r="AX199" i="27"/>
  <c r="AV199" i="27"/>
  <c r="AU199" i="27"/>
  <c r="AT199" i="27"/>
  <c r="AR199" i="27"/>
  <c r="AP199" i="27"/>
  <c r="AO199" i="27"/>
  <c r="AN199" i="27"/>
  <c r="AM199" i="27"/>
  <c r="AL199" i="27"/>
  <c r="AJ199" i="27"/>
  <c r="AI199" i="27"/>
  <c r="AH199" i="27"/>
  <c r="DY198" i="27"/>
  <c r="BJ198" i="27"/>
  <c r="CE198" i="27"/>
  <c r="BF198" i="27"/>
  <c r="BD198" i="27"/>
  <c r="BC198" i="27"/>
  <c r="BB198" i="27"/>
  <c r="AZ198" i="27"/>
  <c r="AY198" i="27"/>
  <c r="AX198" i="27"/>
  <c r="AV198" i="27"/>
  <c r="AU198" i="27"/>
  <c r="AT198" i="27"/>
  <c r="AR198" i="27"/>
  <c r="AP198" i="27"/>
  <c r="AO198" i="27"/>
  <c r="AN198" i="27"/>
  <c r="AM198" i="27"/>
  <c r="AL198" i="27"/>
  <c r="AJ198" i="27"/>
  <c r="AI198" i="27"/>
  <c r="AH198" i="27"/>
  <c r="DY197" i="27"/>
  <c r="BJ197" i="27"/>
  <c r="BT197" i="27" s="1"/>
  <c r="BF197" i="27"/>
  <c r="BD197" i="27"/>
  <c r="BC197" i="27"/>
  <c r="BB197" i="27"/>
  <c r="AZ197" i="27"/>
  <c r="AY197" i="27"/>
  <c r="AX197" i="27"/>
  <c r="AV197" i="27"/>
  <c r="AU197" i="27"/>
  <c r="AT197" i="27"/>
  <c r="AR197" i="27"/>
  <c r="AP197" i="27"/>
  <c r="AO197" i="27"/>
  <c r="AN197" i="27"/>
  <c r="AM197" i="27"/>
  <c r="AL197" i="27"/>
  <c r="AJ197" i="27"/>
  <c r="AI197" i="27"/>
  <c r="AH197" i="27"/>
  <c r="DY196" i="27"/>
  <c r="BJ196" i="27"/>
  <c r="CG196" i="27"/>
  <c r="BF196" i="27"/>
  <c r="BD196" i="27"/>
  <c r="BC196" i="27"/>
  <c r="BB196" i="27"/>
  <c r="AZ196" i="27"/>
  <c r="AY196" i="27"/>
  <c r="AX196" i="27"/>
  <c r="AV196" i="27"/>
  <c r="AU196" i="27"/>
  <c r="AT196" i="27"/>
  <c r="AR196" i="27"/>
  <c r="AP196" i="27"/>
  <c r="AO196" i="27"/>
  <c r="AN196" i="27"/>
  <c r="AM196" i="27"/>
  <c r="AL196" i="27"/>
  <c r="AJ196" i="27"/>
  <c r="AI196" i="27"/>
  <c r="AH196" i="27"/>
  <c r="DY195" i="27"/>
  <c r="BJ195" i="27"/>
  <c r="BT195" i="27" s="1"/>
  <c r="CE195" i="27"/>
  <c r="BF195" i="27"/>
  <c r="BD195" i="27"/>
  <c r="BC195" i="27"/>
  <c r="BB195" i="27"/>
  <c r="AZ195" i="27"/>
  <c r="AY195" i="27"/>
  <c r="AX195" i="27"/>
  <c r="AV195" i="27"/>
  <c r="AU195" i="27"/>
  <c r="AT195" i="27"/>
  <c r="AR195" i="27"/>
  <c r="AP195" i="27"/>
  <c r="AO195" i="27"/>
  <c r="AN195" i="27"/>
  <c r="AM195" i="27"/>
  <c r="AL195" i="27"/>
  <c r="AJ195" i="27"/>
  <c r="AI195" i="27"/>
  <c r="AH195" i="27"/>
  <c r="DY194" i="27"/>
  <c r="BJ194" i="27"/>
  <c r="CI194" i="27"/>
  <c r="BF194" i="27"/>
  <c r="BD194" i="27"/>
  <c r="BC194" i="27"/>
  <c r="BB194" i="27"/>
  <c r="AZ194" i="27"/>
  <c r="AY194" i="27"/>
  <c r="AX194" i="27"/>
  <c r="AV194" i="27"/>
  <c r="AU194" i="27"/>
  <c r="AT194" i="27"/>
  <c r="AR194" i="27"/>
  <c r="AP194" i="27"/>
  <c r="AO194" i="27"/>
  <c r="AN194" i="27"/>
  <c r="AM194" i="27"/>
  <c r="AL194" i="27"/>
  <c r="AJ194" i="27"/>
  <c r="AI194" i="27"/>
  <c r="AH194" i="27"/>
  <c r="DY193" i="27"/>
  <c r="BJ193" i="27"/>
  <c r="BT193" i="27" s="1"/>
  <c r="CG193" i="27"/>
  <c r="BF193" i="27"/>
  <c r="BD193" i="27"/>
  <c r="BC193" i="27"/>
  <c r="BB193" i="27"/>
  <c r="AZ193" i="27"/>
  <c r="AY193" i="27"/>
  <c r="AX193" i="27"/>
  <c r="AV193" i="27"/>
  <c r="AU193" i="27"/>
  <c r="AT193" i="27"/>
  <c r="AR193" i="27"/>
  <c r="AP193" i="27"/>
  <c r="AO193" i="27"/>
  <c r="AN193" i="27"/>
  <c r="AM193" i="27"/>
  <c r="AL193" i="27"/>
  <c r="AJ193" i="27"/>
  <c r="AI193" i="27"/>
  <c r="AH193" i="27"/>
  <c r="DY192" i="27"/>
  <c r="BJ192" i="27"/>
  <c r="BT192" i="27" s="1"/>
  <c r="BF192" i="27"/>
  <c r="BD192" i="27"/>
  <c r="BC192" i="27"/>
  <c r="BB192" i="27"/>
  <c r="AZ192" i="27"/>
  <c r="AY192" i="27"/>
  <c r="AX192" i="27"/>
  <c r="AV192" i="27"/>
  <c r="AU192" i="27"/>
  <c r="AT192" i="27"/>
  <c r="AR192" i="27"/>
  <c r="AP192" i="27"/>
  <c r="AO192" i="27"/>
  <c r="AN192" i="27"/>
  <c r="AM192" i="27"/>
  <c r="AL192" i="27"/>
  <c r="AJ192" i="27"/>
  <c r="AI192" i="27"/>
  <c r="AH192" i="27"/>
  <c r="DY191" i="27"/>
  <c r="BJ191" i="27"/>
  <c r="BT191" i="27" s="1"/>
  <c r="CE191" i="27"/>
  <c r="BF191" i="27"/>
  <c r="BD191" i="27"/>
  <c r="BC191" i="27"/>
  <c r="BB191" i="27"/>
  <c r="AZ191" i="27"/>
  <c r="AY191" i="27"/>
  <c r="AX191" i="27"/>
  <c r="AV191" i="27"/>
  <c r="AU191" i="27"/>
  <c r="AT191" i="27"/>
  <c r="AR191" i="27"/>
  <c r="AP191" i="27"/>
  <c r="AO191" i="27"/>
  <c r="AN191" i="27"/>
  <c r="AM191" i="27"/>
  <c r="AL191" i="27"/>
  <c r="AJ191" i="27"/>
  <c r="AI191" i="27"/>
  <c r="AH191" i="27"/>
  <c r="DY190" i="27"/>
  <c r="BJ190" i="27"/>
  <c r="CC190" i="27"/>
  <c r="BF190" i="27"/>
  <c r="BD190" i="27"/>
  <c r="BC190" i="27"/>
  <c r="BB190" i="27"/>
  <c r="AZ190" i="27"/>
  <c r="AY190" i="27"/>
  <c r="AX190" i="27"/>
  <c r="AV190" i="27"/>
  <c r="AU190" i="27"/>
  <c r="AT190" i="27"/>
  <c r="AR190" i="27"/>
  <c r="AP190" i="27"/>
  <c r="AO190" i="27"/>
  <c r="AN190" i="27"/>
  <c r="AM190" i="27"/>
  <c r="AL190" i="27"/>
  <c r="AJ190" i="27"/>
  <c r="AI190" i="27"/>
  <c r="AH190" i="27"/>
  <c r="DY189" i="27"/>
  <c r="BJ189" i="27"/>
  <c r="CG189" i="27"/>
  <c r="BF189" i="27"/>
  <c r="BD189" i="27"/>
  <c r="BC189" i="27"/>
  <c r="BB189" i="27"/>
  <c r="AZ189" i="27"/>
  <c r="AY189" i="27"/>
  <c r="AX189" i="27"/>
  <c r="AV189" i="27"/>
  <c r="AU189" i="27"/>
  <c r="AT189" i="27"/>
  <c r="AR189" i="27"/>
  <c r="AP189" i="27"/>
  <c r="AO189" i="27"/>
  <c r="AN189" i="27"/>
  <c r="AM189" i="27"/>
  <c r="AL189" i="27"/>
  <c r="AJ189" i="27"/>
  <c r="AI189" i="27"/>
  <c r="AH189" i="27"/>
  <c r="DY188" i="27"/>
  <c r="BJ188" i="27"/>
  <c r="BT188" i="27" s="1"/>
  <c r="CI188" i="27"/>
  <c r="BF188" i="27"/>
  <c r="BD188" i="27"/>
  <c r="BC188" i="27"/>
  <c r="BB188" i="27"/>
  <c r="AZ188" i="27"/>
  <c r="AY188" i="27"/>
  <c r="AX188" i="27"/>
  <c r="AV188" i="27"/>
  <c r="AT188" i="27"/>
  <c r="AR188" i="27"/>
  <c r="AP188" i="27"/>
  <c r="AO188" i="27"/>
  <c r="AN188" i="27"/>
  <c r="AM188" i="27"/>
  <c r="AL188" i="27"/>
  <c r="AJ188" i="27"/>
  <c r="AI188" i="27"/>
  <c r="AH188" i="27"/>
  <c r="DY187" i="27"/>
  <c r="BJ187" i="27"/>
  <c r="CI187" i="27"/>
  <c r="BF187" i="27"/>
  <c r="BD187" i="27"/>
  <c r="BC187" i="27"/>
  <c r="BB187" i="27"/>
  <c r="AZ187" i="27"/>
  <c r="AY187" i="27"/>
  <c r="AX187" i="27"/>
  <c r="AV187" i="27"/>
  <c r="AT187" i="27"/>
  <c r="AR187" i="27"/>
  <c r="AP187" i="27"/>
  <c r="AO187" i="27"/>
  <c r="AN187" i="27"/>
  <c r="AM187" i="27"/>
  <c r="AL187" i="27"/>
  <c r="AJ187" i="27"/>
  <c r="AI187" i="27"/>
  <c r="AH187" i="27"/>
  <c r="DY186" i="27"/>
  <c r="BJ186" i="27"/>
  <c r="BT186" i="27" s="1"/>
  <c r="BF186" i="27"/>
  <c r="BD186" i="27"/>
  <c r="BC186" i="27"/>
  <c r="BB186" i="27"/>
  <c r="AZ186" i="27"/>
  <c r="AY186" i="27"/>
  <c r="AX186" i="27"/>
  <c r="AV186" i="27"/>
  <c r="AT186" i="27"/>
  <c r="AR186" i="27"/>
  <c r="AP186" i="27"/>
  <c r="AO186" i="27"/>
  <c r="AN186" i="27"/>
  <c r="AM186" i="27"/>
  <c r="AL186" i="27"/>
  <c r="AJ186" i="27"/>
  <c r="AI186" i="27"/>
  <c r="AH186" i="27"/>
  <c r="DY185" i="27"/>
  <c r="BJ185" i="27"/>
  <c r="BT185" i="27" s="1"/>
  <c r="BF185" i="27"/>
  <c r="BD185" i="27"/>
  <c r="BC185" i="27"/>
  <c r="BB185" i="27"/>
  <c r="AZ185" i="27"/>
  <c r="AY185" i="27"/>
  <c r="AX185" i="27"/>
  <c r="AV185" i="27"/>
  <c r="AT185" i="27"/>
  <c r="AR185" i="27"/>
  <c r="AP185" i="27"/>
  <c r="AO185" i="27"/>
  <c r="AN185" i="27"/>
  <c r="AM185" i="27"/>
  <c r="AL185" i="27"/>
  <c r="AJ185" i="27"/>
  <c r="AI185" i="27"/>
  <c r="AH185" i="27"/>
  <c r="DY184" i="27"/>
  <c r="BJ184" i="27"/>
  <c r="BT184" i="27" s="1"/>
  <c r="CI184" i="27"/>
  <c r="BF184" i="27"/>
  <c r="BD184" i="27"/>
  <c r="BC184" i="27"/>
  <c r="BB184" i="27"/>
  <c r="AZ184" i="27"/>
  <c r="AY184" i="27"/>
  <c r="AX184" i="27"/>
  <c r="AV184" i="27"/>
  <c r="AT184" i="27"/>
  <c r="AR184" i="27"/>
  <c r="AP184" i="27"/>
  <c r="AO184" i="27"/>
  <c r="AN184" i="27"/>
  <c r="AM184" i="27"/>
  <c r="AL184" i="27"/>
  <c r="AJ184" i="27"/>
  <c r="AI184" i="27"/>
  <c r="AH184" i="27"/>
  <c r="DY183" i="27"/>
  <c r="BJ183" i="27"/>
  <c r="CG183" i="27"/>
  <c r="BF183" i="27"/>
  <c r="BD183" i="27"/>
  <c r="BC183" i="27"/>
  <c r="BB183" i="27"/>
  <c r="AZ183" i="27"/>
  <c r="AY183" i="27"/>
  <c r="AX183" i="27"/>
  <c r="AV183" i="27"/>
  <c r="AT183" i="27"/>
  <c r="AR183" i="27"/>
  <c r="AP183" i="27"/>
  <c r="AO183" i="27"/>
  <c r="AN183" i="27"/>
  <c r="AM183" i="27"/>
  <c r="AL183" i="27"/>
  <c r="AJ183" i="27"/>
  <c r="AI183" i="27"/>
  <c r="AH183" i="27"/>
  <c r="DY182" i="27"/>
  <c r="BJ182" i="27"/>
  <c r="CI182" i="27"/>
  <c r="BF182" i="27"/>
  <c r="BD182" i="27"/>
  <c r="BC182" i="27"/>
  <c r="BB182" i="27"/>
  <c r="AZ182" i="27"/>
  <c r="AY182" i="27"/>
  <c r="AX182" i="27"/>
  <c r="AV182" i="27"/>
  <c r="AT182" i="27"/>
  <c r="AR182" i="27"/>
  <c r="AP182" i="27"/>
  <c r="AO182" i="27"/>
  <c r="AN182" i="27"/>
  <c r="AM182" i="27"/>
  <c r="AL182" i="27"/>
  <c r="AJ182" i="27"/>
  <c r="AI182" i="27"/>
  <c r="AH182" i="27"/>
  <c r="DY181" i="27"/>
  <c r="BJ181" i="27"/>
  <c r="BF181" i="27"/>
  <c r="BD181" i="27"/>
  <c r="BC181" i="27"/>
  <c r="BB181" i="27"/>
  <c r="AZ181" i="27"/>
  <c r="AY181" i="27"/>
  <c r="AX181" i="27"/>
  <c r="AV181" i="27"/>
  <c r="AT181" i="27"/>
  <c r="AR181" i="27"/>
  <c r="AP181" i="27"/>
  <c r="AO181" i="27"/>
  <c r="AN181" i="27"/>
  <c r="AM181" i="27"/>
  <c r="AL181" i="27"/>
  <c r="AJ181" i="27"/>
  <c r="AI181" i="27"/>
  <c r="AH181" i="27"/>
  <c r="DY180" i="27"/>
  <c r="BJ180" i="27"/>
  <c r="BF180" i="27"/>
  <c r="BD180" i="27"/>
  <c r="BC180" i="27"/>
  <c r="BB180" i="27"/>
  <c r="AZ180" i="27"/>
  <c r="AY180" i="27"/>
  <c r="AX180" i="27"/>
  <c r="AV180" i="27"/>
  <c r="AT180" i="27"/>
  <c r="AR180" i="27"/>
  <c r="AP180" i="27"/>
  <c r="AO180" i="27"/>
  <c r="AN180" i="27"/>
  <c r="AM180" i="27"/>
  <c r="AL180" i="27"/>
  <c r="AJ180" i="27"/>
  <c r="AI180" i="27"/>
  <c r="AH180" i="27"/>
  <c r="DY179" i="27"/>
  <c r="BJ179" i="27"/>
  <c r="BF179" i="27"/>
  <c r="BD179" i="27"/>
  <c r="BC179" i="27"/>
  <c r="BB179" i="27"/>
  <c r="AZ179" i="27"/>
  <c r="AY179" i="27"/>
  <c r="AX179" i="27"/>
  <c r="AV179" i="27"/>
  <c r="AT179" i="27"/>
  <c r="AR179" i="27"/>
  <c r="AP179" i="27"/>
  <c r="AO179" i="27"/>
  <c r="AN179" i="27"/>
  <c r="AM179" i="27"/>
  <c r="AL179" i="27"/>
  <c r="AJ179" i="27"/>
  <c r="AI179" i="27"/>
  <c r="AH179" i="27"/>
  <c r="DY178" i="27"/>
  <c r="BJ178" i="27"/>
  <c r="CG178" i="27"/>
  <c r="BF178" i="27"/>
  <c r="BD178" i="27"/>
  <c r="BC178" i="27"/>
  <c r="BB178" i="27"/>
  <c r="AZ178" i="27"/>
  <c r="AY178" i="27"/>
  <c r="AX178" i="27"/>
  <c r="AV178" i="27"/>
  <c r="AT178" i="27"/>
  <c r="AR178" i="27"/>
  <c r="AP178" i="27"/>
  <c r="AO178" i="27"/>
  <c r="AN178" i="27"/>
  <c r="AM178" i="27"/>
  <c r="AL178" i="27"/>
  <c r="AJ178" i="27"/>
  <c r="AI178" i="27"/>
  <c r="AH178" i="27"/>
  <c r="DY177" i="27"/>
  <c r="BJ177" i="27"/>
  <c r="CI177" i="27"/>
  <c r="BF177" i="27"/>
  <c r="BD177" i="27"/>
  <c r="BC177" i="27"/>
  <c r="BB177" i="27"/>
  <c r="AZ177" i="27"/>
  <c r="AY177" i="27"/>
  <c r="AX177" i="27"/>
  <c r="AV177" i="27"/>
  <c r="AT177" i="27"/>
  <c r="AR177" i="27"/>
  <c r="AP177" i="27"/>
  <c r="AO177" i="27"/>
  <c r="AN177" i="27"/>
  <c r="AM177" i="27"/>
  <c r="AL177" i="27"/>
  <c r="AJ177" i="27"/>
  <c r="AI177" i="27"/>
  <c r="AH177" i="27"/>
  <c r="DY176" i="27"/>
  <c r="BJ176" i="27"/>
  <c r="CF176" i="27"/>
  <c r="BF176" i="27"/>
  <c r="BD176" i="27"/>
  <c r="BC176" i="27"/>
  <c r="BB176" i="27"/>
  <c r="AZ176" i="27"/>
  <c r="AY176" i="27"/>
  <c r="AX176" i="27"/>
  <c r="AV176" i="27"/>
  <c r="AT176" i="27"/>
  <c r="AR176" i="27"/>
  <c r="AP176" i="27"/>
  <c r="AO176" i="27"/>
  <c r="AN176" i="27"/>
  <c r="AM176" i="27"/>
  <c r="AL176" i="27"/>
  <c r="AJ176" i="27"/>
  <c r="AI176" i="27"/>
  <c r="AH176" i="27"/>
  <c r="DY175" i="27"/>
  <c r="BJ175" i="27"/>
  <c r="CI175" i="27"/>
  <c r="BF175" i="27"/>
  <c r="BD175" i="27"/>
  <c r="BC175" i="27"/>
  <c r="BB175" i="27"/>
  <c r="AZ175" i="27"/>
  <c r="AY175" i="27"/>
  <c r="AX175" i="27"/>
  <c r="AV175" i="27"/>
  <c r="AT175" i="27"/>
  <c r="AR175" i="27"/>
  <c r="AP175" i="27"/>
  <c r="AO175" i="27"/>
  <c r="AN175" i="27"/>
  <c r="AM175" i="27"/>
  <c r="AL175" i="27"/>
  <c r="AJ175" i="27"/>
  <c r="AI175" i="27"/>
  <c r="AH175" i="27"/>
  <c r="DY174" i="27"/>
  <c r="BJ174" i="27"/>
  <c r="CF174" i="27"/>
  <c r="BF174" i="27"/>
  <c r="BD174" i="27"/>
  <c r="BC174" i="27"/>
  <c r="BB174" i="27"/>
  <c r="AZ174" i="27"/>
  <c r="AY174" i="27"/>
  <c r="AX174" i="27"/>
  <c r="AV174" i="27"/>
  <c r="AT174" i="27"/>
  <c r="AR174" i="27"/>
  <c r="AP174" i="27"/>
  <c r="AO174" i="27"/>
  <c r="AN174" i="27"/>
  <c r="AM174" i="27"/>
  <c r="AL174" i="27"/>
  <c r="AJ174" i="27"/>
  <c r="AI174" i="27"/>
  <c r="AH174" i="27"/>
  <c r="DY173" i="27"/>
  <c r="BJ173" i="27"/>
  <c r="CG173" i="27"/>
  <c r="BF173" i="27"/>
  <c r="BD173" i="27"/>
  <c r="BC173" i="27"/>
  <c r="BB173" i="27"/>
  <c r="AZ173" i="27"/>
  <c r="AY173" i="27"/>
  <c r="AX173" i="27"/>
  <c r="AV173" i="27"/>
  <c r="AT173" i="27"/>
  <c r="AR173" i="27"/>
  <c r="AP173" i="27"/>
  <c r="AO173" i="27"/>
  <c r="AN173" i="27"/>
  <c r="AM173" i="27"/>
  <c r="AL173" i="27"/>
  <c r="AJ173" i="27"/>
  <c r="AI173" i="27"/>
  <c r="AH173" i="27"/>
  <c r="DY172" i="27"/>
  <c r="BJ172" i="27"/>
  <c r="CI172" i="27"/>
  <c r="BF172" i="27"/>
  <c r="BD172" i="27"/>
  <c r="BC172" i="27"/>
  <c r="BB172" i="27"/>
  <c r="AZ172" i="27"/>
  <c r="AY172" i="27"/>
  <c r="AX172" i="27"/>
  <c r="AV172" i="27"/>
  <c r="AT172" i="27"/>
  <c r="AR172" i="27"/>
  <c r="AP172" i="27"/>
  <c r="AO172" i="27"/>
  <c r="AN172" i="27"/>
  <c r="AM172" i="27"/>
  <c r="AL172" i="27"/>
  <c r="AJ172" i="27"/>
  <c r="AI172" i="27"/>
  <c r="AH172" i="27"/>
  <c r="DY171" i="27"/>
  <c r="BJ171" i="27"/>
  <c r="CG171" i="27"/>
  <c r="BF171" i="27"/>
  <c r="BD171" i="27"/>
  <c r="BC171" i="27"/>
  <c r="BB171" i="27"/>
  <c r="AZ171" i="27"/>
  <c r="AY171" i="27"/>
  <c r="AX171" i="27"/>
  <c r="AV171" i="27"/>
  <c r="AT171" i="27"/>
  <c r="AR171" i="27"/>
  <c r="AP171" i="27"/>
  <c r="AO171" i="27"/>
  <c r="AN171" i="27"/>
  <c r="AM171" i="27"/>
  <c r="AL171" i="27"/>
  <c r="AJ171" i="27"/>
  <c r="AI171" i="27"/>
  <c r="AH171" i="27"/>
  <c r="DY170" i="27"/>
  <c r="BJ170" i="27"/>
  <c r="BF170" i="27"/>
  <c r="BD170" i="27"/>
  <c r="BC170" i="27"/>
  <c r="BB170" i="27"/>
  <c r="AZ170" i="27"/>
  <c r="AY170" i="27"/>
  <c r="AX170" i="27"/>
  <c r="AV170" i="27"/>
  <c r="AT170" i="27"/>
  <c r="AR170" i="27"/>
  <c r="AP170" i="27"/>
  <c r="AO170" i="27"/>
  <c r="AN170" i="27"/>
  <c r="AM170" i="27"/>
  <c r="AL170" i="27"/>
  <c r="AJ170" i="27"/>
  <c r="AI170" i="27"/>
  <c r="AH170" i="27"/>
  <c r="DY169" i="27"/>
  <c r="BJ169" i="27"/>
  <c r="CG169" i="27"/>
  <c r="BF169" i="27"/>
  <c r="BD169" i="27"/>
  <c r="BC169" i="27"/>
  <c r="BB169" i="27"/>
  <c r="AZ169" i="27"/>
  <c r="AY169" i="27"/>
  <c r="AX169" i="27"/>
  <c r="AV169" i="27"/>
  <c r="AT169" i="27"/>
  <c r="AR169" i="27"/>
  <c r="AP169" i="27"/>
  <c r="AO169" i="27"/>
  <c r="AN169" i="27"/>
  <c r="AM169" i="27"/>
  <c r="AL169" i="27"/>
  <c r="AJ169" i="27"/>
  <c r="AI169" i="27"/>
  <c r="AH169" i="27"/>
  <c r="DY168" i="27"/>
  <c r="BJ168" i="27"/>
  <c r="BT168" i="27" s="1"/>
  <c r="BF168" i="27"/>
  <c r="BD168" i="27"/>
  <c r="BC168" i="27"/>
  <c r="BB168" i="27"/>
  <c r="AZ168" i="27"/>
  <c r="AY168" i="27"/>
  <c r="AX168" i="27"/>
  <c r="AV168" i="27"/>
  <c r="AT168" i="27"/>
  <c r="AR168" i="27"/>
  <c r="AP168" i="27"/>
  <c r="AO168" i="27"/>
  <c r="AN168" i="27"/>
  <c r="AM168" i="27"/>
  <c r="AL168" i="27"/>
  <c r="AJ168" i="27"/>
  <c r="AI168" i="27"/>
  <c r="AH168" i="27"/>
  <c r="DY167" i="27"/>
  <c r="BJ167" i="27"/>
  <c r="CI167" i="27"/>
  <c r="BF167" i="27"/>
  <c r="BD167" i="27"/>
  <c r="BC167" i="27"/>
  <c r="BB167" i="27"/>
  <c r="AZ167" i="27"/>
  <c r="AY167" i="27"/>
  <c r="AX167" i="27"/>
  <c r="AV167" i="27"/>
  <c r="AT167" i="27"/>
  <c r="AR167" i="27"/>
  <c r="AP167" i="27"/>
  <c r="AO167" i="27"/>
  <c r="AN167" i="27"/>
  <c r="AM167" i="27"/>
  <c r="AL167" i="27"/>
  <c r="AJ167" i="27"/>
  <c r="AI167" i="27"/>
  <c r="AH167" i="27"/>
  <c r="DY166" i="27"/>
  <c r="BJ166" i="27"/>
  <c r="BT166" i="27" s="1"/>
  <c r="BF166" i="27"/>
  <c r="BD166" i="27"/>
  <c r="BC166" i="27"/>
  <c r="BB166" i="27"/>
  <c r="AZ166" i="27"/>
  <c r="AY166" i="27"/>
  <c r="AX166" i="27"/>
  <c r="AV166" i="27"/>
  <c r="AT166" i="27"/>
  <c r="AR166" i="27"/>
  <c r="AP166" i="27"/>
  <c r="AO166" i="27"/>
  <c r="AN166" i="27"/>
  <c r="AM166" i="27"/>
  <c r="AL166" i="27"/>
  <c r="AJ166" i="27"/>
  <c r="AI166" i="27"/>
  <c r="AH166" i="27"/>
  <c r="DY165" i="27"/>
  <c r="BJ165" i="27"/>
  <c r="CE165" i="27"/>
  <c r="BF165" i="27"/>
  <c r="BD165" i="27"/>
  <c r="BC165" i="27"/>
  <c r="BB165" i="27"/>
  <c r="AZ165" i="27"/>
  <c r="AY165" i="27"/>
  <c r="AX165" i="27"/>
  <c r="AV165" i="27"/>
  <c r="AT165" i="27"/>
  <c r="AR165" i="27"/>
  <c r="AP165" i="27"/>
  <c r="AO165" i="27"/>
  <c r="AN165" i="27"/>
  <c r="AM165" i="27"/>
  <c r="AL165" i="27"/>
  <c r="AJ165" i="27"/>
  <c r="AI165" i="27"/>
  <c r="AH165" i="27"/>
  <c r="DY164" i="27"/>
  <c r="BJ164" i="27"/>
  <c r="BT164" i="27" s="1"/>
  <c r="CB164" i="27"/>
  <c r="BF164" i="27"/>
  <c r="BD164" i="27"/>
  <c r="BC164" i="27"/>
  <c r="BB164" i="27"/>
  <c r="AZ164" i="27"/>
  <c r="AY164" i="27"/>
  <c r="AX164" i="27"/>
  <c r="AV164" i="27"/>
  <c r="AT164" i="27"/>
  <c r="AR164" i="27"/>
  <c r="AP164" i="27"/>
  <c r="AO164" i="27"/>
  <c r="AN164" i="27"/>
  <c r="AM164" i="27"/>
  <c r="AL164" i="27"/>
  <c r="AJ164" i="27"/>
  <c r="AI164" i="27"/>
  <c r="AH164" i="27"/>
  <c r="DY163" i="27"/>
  <c r="BJ163" i="27"/>
  <c r="BF163" i="27"/>
  <c r="BD163" i="27"/>
  <c r="BC163" i="27"/>
  <c r="BB163" i="27"/>
  <c r="AZ163" i="27"/>
  <c r="AY163" i="27"/>
  <c r="AX163" i="27"/>
  <c r="AV163" i="27"/>
  <c r="AT163" i="27"/>
  <c r="AR163" i="27"/>
  <c r="AP163" i="27"/>
  <c r="AO163" i="27"/>
  <c r="AN163" i="27"/>
  <c r="AM163" i="27"/>
  <c r="AL163" i="27"/>
  <c r="AJ163" i="27"/>
  <c r="AI163" i="27"/>
  <c r="AH163" i="27"/>
  <c r="DY162" i="27"/>
  <c r="BJ162" i="27"/>
  <c r="CE162" i="27"/>
  <c r="BF162" i="27"/>
  <c r="BD162" i="27"/>
  <c r="BC162" i="27"/>
  <c r="BB162" i="27"/>
  <c r="AZ162" i="27"/>
  <c r="AY162" i="27"/>
  <c r="AX162" i="27"/>
  <c r="AV162" i="27"/>
  <c r="AT162" i="27"/>
  <c r="AR162" i="27"/>
  <c r="AP162" i="27"/>
  <c r="AO162" i="27"/>
  <c r="AN162" i="27"/>
  <c r="AM162" i="27"/>
  <c r="AL162" i="27"/>
  <c r="AJ162" i="27"/>
  <c r="AI162" i="27"/>
  <c r="AH162" i="27"/>
  <c r="DY161" i="27"/>
  <c r="BJ161" i="27"/>
  <c r="CE161" i="27"/>
  <c r="BF161" i="27"/>
  <c r="BD161" i="27"/>
  <c r="BC161" i="27"/>
  <c r="BB161" i="27"/>
  <c r="AZ161" i="27"/>
  <c r="AY161" i="27"/>
  <c r="AX161" i="27"/>
  <c r="AV161" i="27"/>
  <c r="AT161" i="27"/>
  <c r="AR161" i="27"/>
  <c r="AP161" i="27"/>
  <c r="AO161" i="27"/>
  <c r="AN161" i="27"/>
  <c r="AM161" i="27"/>
  <c r="AL161" i="27"/>
  <c r="AJ161" i="27"/>
  <c r="AI161" i="27"/>
  <c r="AH161" i="27"/>
  <c r="DY160" i="27"/>
  <c r="BJ160" i="27"/>
  <c r="CB160" i="27"/>
  <c r="BF160" i="27"/>
  <c r="BD160" i="27"/>
  <c r="BC160" i="27"/>
  <c r="BB160" i="27"/>
  <c r="AZ160" i="27"/>
  <c r="AY160" i="27"/>
  <c r="AX160" i="27"/>
  <c r="AV160" i="27"/>
  <c r="AT160" i="27"/>
  <c r="AR160" i="27"/>
  <c r="AP160" i="27"/>
  <c r="AO160" i="27"/>
  <c r="AN160" i="27"/>
  <c r="AM160" i="27"/>
  <c r="AL160" i="27"/>
  <c r="AJ160" i="27"/>
  <c r="AI160" i="27"/>
  <c r="AH160" i="27"/>
  <c r="DY159" i="27"/>
  <c r="BJ159" i="27"/>
  <c r="CE159" i="27"/>
  <c r="BF159" i="27"/>
  <c r="BD159" i="27"/>
  <c r="BC159" i="27"/>
  <c r="BB159" i="27"/>
  <c r="AZ159" i="27"/>
  <c r="AY159" i="27"/>
  <c r="AX159" i="27"/>
  <c r="AV159" i="27"/>
  <c r="AT159" i="27"/>
  <c r="AR159" i="27"/>
  <c r="AP159" i="27"/>
  <c r="AO159" i="27"/>
  <c r="AN159" i="27"/>
  <c r="AM159" i="27"/>
  <c r="AL159" i="27"/>
  <c r="AJ159" i="27"/>
  <c r="AI159" i="27"/>
  <c r="AH159" i="27"/>
  <c r="DY158" i="27"/>
  <c r="BJ158" i="27"/>
  <c r="CF158" i="27"/>
  <c r="BF158" i="27"/>
  <c r="BD158" i="27"/>
  <c r="BC158" i="27"/>
  <c r="BB158" i="27"/>
  <c r="AZ158" i="27"/>
  <c r="AY158" i="27"/>
  <c r="AX158" i="27"/>
  <c r="AV158" i="27"/>
  <c r="AT158" i="27"/>
  <c r="AR158" i="27"/>
  <c r="AP158" i="27"/>
  <c r="AO158" i="27"/>
  <c r="AN158" i="27"/>
  <c r="AM158" i="27"/>
  <c r="AL158" i="27"/>
  <c r="AJ158" i="27"/>
  <c r="AI158" i="27"/>
  <c r="AH158" i="27"/>
  <c r="DY157" i="27"/>
  <c r="BJ157" i="27"/>
  <c r="CE157" i="27"/>
  <c r="BF157" i="27"/>
  <c r="BD157" i="27"/>
  <c r="BC157" i="27"/>
  <c r="BB157" i="27"/>
  <c r="AZ157" i="27"/>
  <c r="AY157" i="27"/>
  <c r="AX157" i="27"/>
  <c r="AV157" i="27"/>
  <c r="AT157" i="27"/>
  <c r="AR157" i="27"/>
  <c r="AP157" i="27"/>
  <c r="AO157" i="27"/>
  <c r="AN157" i="27"/>
  <c r="AM157" i="27"/>
  <c r="AL157" i="27"/>
  <c r="AJ157" i="27"/>
  <c r="AI157" i="27"/>
  <c r="AH157" i="27"/>
  <c r="DY156" i="27"/>
  <c r="BJ156" i="27"/>
  <c r="CG156" i="27"/>
  <c r="BF156" i="27"/>
  <c r="BD156" i="27"/>
  <c r="BC156" i="27"/>
  <c r="BB156" i="27"/>
  <c r="AZ156" i="27"/>
  <c r="AY156" i="27"/>
  <c r="AX156" i="27"/>
  <c r="AV156" i="27"/>
  <c r="AT156" i="27"/>
  <c r="AR156" i="27"/>
  <c r="AP156" i="27"/>
  <c r="AO156" i="27"/>
  <c r="AN156" i="27"/>
  <c r="AM156" i="27"/>
  <c r="AL156" i="27"/>
  <c r="AJ156" i="27"/>
  <c r="AI156" i="27"/>
  <c r="AH156" i="27"/>
  <c r="DY155" i="27"/>
  <c r="BJ155" i="27"/>
  <c r="BF155" i="27"/>
  <c r="BD155" i="27"/>
  <c r="BC155" i="27"/>
  <c r="BB155" i="27"/>
  <c r="AZ155" i="27"/>
  <c r="AY155" i="27"/>
  <c r="AX155" i="27"/>
  <c r="AV155" i="27"/>
  <c r="AT155" i="27"/>
  <c r="AR155" i="27"/>
  <c r="AP155" i="27"/>
  <c r="AO155" i="27"/>
  <c r="AN155" i="27"/>
  <c r="AM155" i="27"/>
  <c r="AL155" i="27"/>
  <c r="AJ155" i="27"/>
  <c r="AI155" i="27"/>
  <c r="AH155" i="27"/>
  <c r="DY154" i="27"/>
  <c r="BJ154" i="27"/>
  <c r="BT154" i="27" s="1"/>
  <c r="CE154" i="27"/>
  <c r="BF154" i="27"/>
  <c r="BD154" i="27"/>
  <c r="BC154" i="27"/>
  <c r="BB154" i="27"/>
  <c r="AZ154" i="27"/>
  <c r="AY154" i="27"/>
  <c r="AX154" i="27"/>
  <c r="AV154" i="27"/>
  <c r="AT154" i="27"/>
  <c r="AR154" i="27"/>
  <c r="AP154" i="27"/>
  <c r="AO154" i="27"/>
  <c r="AN154" i="27"/>
  <c r="AM154" i="27"/>
  <c r="AL154" i="27"/>
  <c r="AJ154" i="27"/>
  <c r="AI154" i="27"/>
  <c r="AH154" i="27"/>
  <c r="DY153" i="27"/>
  <c r="BJ153" i="27"/>
  <c r="CE153" i="27"/>
  <c r="BF153" i="27"/>
  <c r="BD153" i="27"/>
  <c r="BC153" i="27"/>
  <c r="BB153" i="27"/>
  <c r="AZ153" i="27"/>
  <c r="AY153" i="27"/>
  <c r="AX153" i="27"/>
  <c r="AV153" i="27"/>
  <c r="AT153" i="27"/>
  <c r="AR153" i="27"/>
  <c r="AP153" i="27"/>
  <c r="AO153" i="27"/>
  <c r="AN153" i="27"/>
  <c r="AM153" i="27"/>
  <c r="AL153" i="27"/>
  <c r="AJ153" i="27"/>
  <c r="AI153" i="27"/>
  <c r="AH153" i="27"/>
  <c r="DY152" i="27"/>
  <c r="BJ152" i="27"/>
  <c r="CE152" i="27"/>
  <c r="BF152" i="27"/>
  <c r="BD152" i="27"/>
  <c r="BC152" i="27"/>
  <c r="BB152" i="27"/>
  <c r="AZ152" i="27"/>
  <c r="AY152" i="27"/>
  <c r="AX152" i="27"/>
  <c r="AV152" i="27"/>
  <c r="AT152" i="27"/>
  <c r="AR152" i="27"/>
  <c r="AP152" i="27"/>
  <c r="AO152" i="27"/>
  <c r="AN152" i="27"/>
  <c r="AM152" i="27"/>
  <c r="AL152" i="27"/>
  <c r="AJ152" i="27"/>
  <c r="AI152" i="27"/>
  <c r="AH152" i="27"/>
  <c r="DY151" i="27"/>
  <c r="BJ151" i="27"/>
  <c r="BF151" i="27"/>
  <c r="BD151" i="27"/>
  <c r="BC151" i="27"/>
  <c r="BB151" i="27"/>
  <c r="AZ151" i="27"/>
  <c r="AY151" i="27"/>
  <c r="AX151" i="27"/>
  <c r="AV151" i="27"/>
  <c r="AT151" i="27"/>
  <c r="AR151" i="27"/>
  <c r="AP151" i="27"/>
  <c r="AO151" i="27"/>
  <c r="AN151" i="27"/>
  <c r="AM151" i="27"/>
  <c r="AL151" i="27"/>
  <c r="AJ151" i="27"/>
  <c r="AI151" i="27"/>
  <c r="AH151" i="27"/>
  <c r="DY150" i="27"/>
  <c r="BJ150" i="27"/>
  <c r="CI150" i="27"/>
  <c r="BF150" i="27"/>
  <c r="BD150" i="27"/>
  <c r="BC150" i="27"/>
  <c r="BB150" i="27"/>
  <c r="AZ150" i="27"/>
  <c r="AY150" i="27"/>
  <c r="AX150" i="27"/>
  <c r="AV150" i="27"/>
  <c r="AT150" i="27"/>
  <c r="AR150" i="27"/>
  <c r="AP150" i="27"/>
  <c r="AO150" i="27"/>
  <c r="AN150" i="27"/>
  <c r="AM150" i="27"/>
  <c r="AL150" i="27"/>
  <c r="AJ150" i="27"/>
  <c r="AI150" i="27"/>
  <c r="AH150" i="27"/>
  <c r="DY149" i="27"/>
  <c r="BJ149" i="27"/>
  <c r="CI149" i="27"/>
  <c r="BF149" i="27"/>
  <c r="BD149" i="27"/>
  <c r="BC149" i="27"/>
  <c r="BB149" i="27"/>
  <c r="AZ149" i="27"/>
  <c r="AY149" i="27"/>
  <c r="AX149" i="27"/>
  <c r="AV149" i="27"/>
  <c r="AT149" i="27"/>
  <c r="AR149" i="27"/>
  <c r="AP149" i="27"/>
  <c r="AO149" i="27"/>
  <c r="AN149" i="27"/>
  <c r="AM149" i="27"/>
  <c r="AL149" i="27"/>
  <c r="AJ149" i="27"/>
  <c r="AI149" i="27"/>
  <c r="AH149" i="27"/>
  <c r="DY148" i="27"/>
  <c r="BJ148" i="27"/>
  <c r="CI148" i="27"/>
  <c r="BF148" i="27"/>
  <c r="BD148" i="27"/>
  <c r="BC148" i="27"/>
  <c r="BB148" i="27"/>
  <c r="AZ148" i="27"/>
  <c r="AY148" i="27"/>
  <c r="AX148" i="27"/>
  <c r="AV148" i="27"/>
  <c r="AT148" i="27"/>
  <c r="AR148" i="27"/>
  <c r="AP148" i="27"/>
  <c r="AO148" i="27"/>
  <c r="AN148" i="27"/>
  <c r="AM148" i="27"/>
  <c r="AL148" i="27"/>
  <c r="AJ148" i="27"/>
  <c r="AI148" i="27"/>
  <c r="AH148" i="27"/>
  <c r="DY147" i="27"/>
  <c r="BJ147" i="27"/>
  <c r="CI147" i="27"/>
  <c r="BF147" i="27"/>
  <c r="BD147" i="27"/>
  <c r="BC147" i="27"/>
  <c r="BB147" i="27"/>
  <c r="AZ147" i="27"/>
  <c r="AY147" i="27"/>
  <c r="AX147" i="27"/>
  <c r="AV147" i="27"/>
  <c r="AT147" i="27"/>
  <c r="AR147" i="27"/>
  <c r="AP147" i="27"/>
  <c r="AO147" i="27"/>
  <c r="AN147" i="27"/>
  <c r="AM147" i="27"/>
  <c r="AL147" i="27"/>
  <c r="AJ147" i="27"/>
  <c r="AI147" i="27"/>
  <c r="AH147" i="27"/>
  <c r="DY146" i="27"/>
  <c r="BJ146" i="27"/>
  <c r="BT146" i="27" s="1"/>
  <c r="BF146" i="27"/>
  <c r="BD146" i="27"/>
  <c r="BC146" i="27"/>
  <c r="BB146" i="27"/>
  <c r="AZ146" i="27"/>
  <c r="AY146" i="27"/>
  <c r="AX146" i="27"/>
  <c r="AV146" i="27"/>
  <c r="AT146" i="27"/>
  <c r="AR146" i="27"/>
  <c r="AP146" i="27"/>
  <c r="AO146" i="27"/>
  <c r="AN146" i="27"/>
  <c r="AM146" i="27"/>
  <c r="AL146" i="27"/>
  <c r="AJ146" i="27"/>
  <c r="AI146" i="27"/>
  <c r="AH146" i="27"/>
  <c r="DY145" i="27"/>
  <c r="BJ145" i="27"/>
  <c r="BF145" i="27"/>
  <c r="BD145" i="27"/>
  <c r="BC145" i="27"/>
  <c r="BB145" i="27"/>
  <c r="AZ145" i="27"/>
  <c r="AY145" i="27"/>
  <c r="AX145" i="27"/>
  <c r="AV145" i="27"/>
  <c r="AT145" i="27"/>
  <c r="AR145" i="27"/>
  <c r="AP145" i="27"/>
  <c r="AO145" i="27"/>
  <c r="AN145" i="27"/>
  <c r="AM145" i="27"/>
  <c r="AL145" i="27"/>
  <c r="AJ145" i="27"/>
  <c r="AI145" i="27"/>
  <c r="AH145" i="27"/>
  <c r="DY144" i="27"/>
  <c r="BJ144" i="27"/>
  <c r="BT144" i="27" s="1"/>
  <c r="BF144" i="27"/>
  <c r="BD144" i="27"/>
  <c r="BC144" i="27"/>
  <c r="BB144" i="27"/>
  <c r="AZ144" i="27"/>
  <c r="AY144" i="27"/>
  <c r="AX144" i="27"/>
  <c r="AV144" i="27"/>
  <c r="AT144" i="27"/>
  <c r="AR144" i="27"/>
  <c r="AP144" i="27"/>
  <c r="AO144" i="27"/>
  <c r="AN144" i="27"/>
  <c r="AM144" i="27"/>
  <c r="AL144" i="27"/>
  <c r="AJ144" i="27"/>
  <c r="AI144" i="27"/>
  <c r="AH144" i="27"/>
  <c r="DY143" i="27"/>
  <c r="BJ143" i="27"/>
  <c r="BT143" i="27" s="1"/>
  <c r="CI143" i="27"/>
  <c r="BF143" i="27"/>
  <c r="BD143" i="27"/>
  <c r="BC143" i="27"/>
  <c r="BB143" i="27"/>
  <c r="AZ143" i="27"/>
  <c r="AY143" i="27"/>
  <c r="AX143" i="27"/>
  <c r="AV143" i="27"/>
  <c r="AT143" i="27"/>
  <c r="AR143" i="27"/>
  <c r="AP143" i="27"/>
  <c r="AO143" i="27"/>
  <c r="AN143" i="27"/>
  <c r="AM143" i="27"/>
  <c r="AL143" i="27"/>
  <c r="AJ143" i="27"/>
  <c r="AI143" i="27"/>
  <c r="AH143" i="27"/>
  <c r="DY142" i="27"/>
  <c r="BJ142" i="27"/>
  <c r="CF142" i="27"/>
  <c r="BF142" i="27"/>
  <c r="BD142" i="27"/>
  <c r="BC142" i="27"/>
  <c r="BB142" i="27"/>
  <c r="AZ142" i="27"/>
  <c r="AY142" i="27"/>
  <c r="AX142" i="27"/>
  <c r="AV142" i="27"/>
  <c r="AT142" i="27"/>
  <c r="AR142" i="27"/>
  <c r="AP142" i="27"/>
  <c r="AO142" i="27"/>
  <c r="AN142" i="27"/>
  <c r="AM142" i="27"/>
  <c r="AL142" i="27"/>
  <c r="AJ142" i="27"/>
  <c r="AI142" i="27"/>
  <c r="AH142" i="27"/>
  <c r="DY141" i="27"/>
  <c r="BJ141" i="27"/>
  <c r="BF141" i="27"/>
  <c r="BD141" i="27"/>
  <c r="BC141" i="27"/>
  <c r="BB141" i="27"/>
  <c r="AZ141" i="27"/>
  <c r="AY141" i="27"/>
  <c r="AX141" i="27"/>
  <c r="AV141" i="27"/>
  <c r="AT141" i="27"/>
  <c r="AR141" i="27"/>
  <c r="AP141" i="27"/>
  <c r="AO141" i="27"/>
  <c r="AN141" i="27"/>
  <c r="AM141" i="27"/>
  <c r="AL141" i="27"/>
  <c r="AJ141" i="27"/>
  <c r="AI141" i="27"/>
  <c r="AH141" i="27"/>
  <c r="DY140" i="27"/>
  <c r="BJ140" i="27"/>
  <c r="CF140" i="27"/>
  <c r="BF140" i="27"/>
  <c r="BD140" i="27"/>
  <c r="BC140" i="27"/>
  <c r="BB140" i="27"/>
  <c r="AZ140" i="27"/>
  <c r="AY140" i="27"/>
  <c r="AX140" i="27"/>
  <c r="AV140" i="27"/>
  <c r="AT140" i="27"/>
  <c r="AR140" i="27"/>
  <c r="AP140" i="27"/>
  <c r="AO140" i="27"/>
  <c r="AN140" i="27"/>
  <c r="AM140" i="27"/>
  <c r="AL140" i="27"/>
  <c r="AJ140" i="27"/>
  <c r="AI140" i="27"/>
  <c r="AH140" i="27"/>
  <c r="DY139" i="27"/>
  <c r="BJ139" i="27"/>
  <c r="CA139" i="27"/>
  <c r="BF139" i="27"/>
  <c r="BD139" i="27"/>
  <c r="BC139" i="27"/>
  <c r="BB139" i="27"/>
  <c r="AZ139" i="27"/>
  <c r="AY139" i="27"/>
  <c r="AX139" i="27"/>
  <c r="AV139" i="27"/>
  <c r="AT139" i="27"/>
  <c r="AR139" i="27"/>
  <c r="AP139" i="27"/>
  <c r="AO139" i="27"/>
  <c r="AN139" i="27"/>
  <c r="AM139" i="27"/>
  <c r="AL139" i="27"/>
  <c r="AJ139" i="27"/>
  <c r="AI139" i="27"/>
  <c r="AH139" i="27"/>
  <c r="DY138" i="27"/>
  <c r="BJ138" i="27"/>
  <c r="CI138" i="27"/>
  <c r="BF138" i="27"/>
  <c r="BD138" i="27"/>
  <c r="BC138" i="27"/>
  <c r="BB138" i="27"/>
  <c r="AZ138" i="27"/>
  <c r="AY138" i="27"/>
  <c r="AX138" i="27"/>
  <c r="AV138" i="27"/>
  <c r="AT138" i="27"/>
  <c r="AR138" i="27"/>
  <c r="AP138" i="27"/>
  <c r="AO138" i="27"/>
  <c r="AN138" i="27"/>
  <c r="AM138" i="27"/>
  <c r="AL138" i="27"/>
  <c r="AJ138" i="27"/>
  <c r="AI138" i="27"/>
  <c r="AH138" i="27"/>
  <c r="DY137" i="27"/>
  <c r="BJ137" i="27"/>
  <c r="BF137" i="27"/>
  <c r="BD137" i="27"/>
  <c r="BC137" i="27"/>
  <c r="BB137" i="27"/>
  <c r="AZ137" i="27"/>
  <c r="AY137" i="27"/>
  <c r="AX137" i="27"/>
  <c r="AV137" i="27"/>
  <c r="AT137" i="27"/>
  <c r="AR137" i="27"/>
  <c r="AP137" i="27"/>
  <c r="AO137" i="27"/>
  <c r="AN137" i="27"/>
  <c r="AM137" i="27"/>
  <c r="AL137" i="27"/>
  <c r="AJ137" i="27"/>
  <c r="AI137" i="27"/>
  <c r="AH137" i="27"/>
  <c r="DY136" i="27"/>
  <c r="BJ136" i="27"/>
  <c r="CI136" i="27"/>
  <c r="BF136" i="27"/>
  <c r="BD136" i="27"/>
  <c r="BC136" i="27"/>
  <c r="BB136" i="27"/>
  <c r="AZ136" i="27"/>
  <c r="AY136" i="27"/>
  <c r="AX136" i="27"/>
  <c r="AV136" i="27"/>
  <c r="AT136" i="27"/>
  <c r="AR136" i="27"/>
  <c r="AP136" i="27"/>
  <c r="AO136" i="27"/>
  <c r="AN136" i="27"/>
  <c r="AM136" i="27"/>
  <c r="AL136" i="27"/>
  <c r="AJ136" i="27"/>
  <c r="AI136" i="27"/>
  <c r="AH136" i="27"/>
  <c r="DY135" i="27"/>
  <c r="BJ135" i="27"/>
  <c r="BF135" i="27"/>
  <c r="BD135" i="27"/>
  <c r="BC135" i="27"/>
  <c r="BB135" i="27"/>
  <c r="AZ135" i="27"/>
  <c r="AY135" i="27"/>
  <c r="AX135" i="27"/>
  <c r="AV135" i="27"/>
  <c r="AT135" i="27"/>
  <c r="AR135" i="27"/>
  <c r="AP135" i="27"/>
  <c r="AO135" i="27"/>
  <c r="AN135" i="27"/>
  <c r="AM135" i="27"/>
  <c r="AL135" i="27"/>
  <c r="AJ135" i="27"/>
  <c r="AI135" i="27"/>
  <c r="AH135" i="27"/>
  <c r="DY134" i="27"/>
  <c r="BJ134" i="27"/>
  <c r="CI134" i="27"/>
  <c r="BF134" i="27"/>
  <c r="BD134" i="27"/>
  <c r="BC134" i="27"/>
  <c r="BB134" i="27"/>
  <c r="AZ134" i="27"/>
  <c r="AY134" i="27"/>
  <c r="AX134" i="27"/>
  <c r="AV134" i="27"/>
  <c r="AT134" i="27"/>
  <c r="AR134" i="27"/>
  <c r="AP134" i="27"/>
  <c r="AO134" i="27"/>
  <c r="AN134" i="27"/>
  <c r="AM134" i="27"/>
  <c r="AL134" i="27"/>
  <c r="AJ134" i="27"/>
  <c r="AI134" i="27"/>
  <c r="AH134" i="27"/>
  <c r="DY133" i="27"/>
  <c r="BJ133" i="27"/>
  <c r="BF133" i="27"/>
  <c r="BD133" i="27"/>
  <c r="BC133" i="27"/>
  <c r="BB133" i="27"/>
  <c r="AZ133" i="27"/>
  <c r="AY133" i="27"/>
  <c r="AX133" i="27"/>
  <c r="AV133" i="27"/>
  <c r="AT133" i="27"/>
  <c r="AR133" i="27"/>
  <c r="AP133" i="27"/>
  <c r="AO133" i="27"/>
  <c r="AN133" i="27"/>
  <c r="AM133" i="27"/>
  <c r="AL133" i="27"/>
  <c r="AJ133" i="27"/>
  <c r="AI133" i="27"/>
  <c r="AH133" i="27"/>
  <c r="DY132" i="27"/>
  <c r="BJ132" i="27"/>
  <c r="CF132" i="27"/>
  <c r="BF132" i="27"/>
  <c r="BD132" i="27"/>
  <c r="BC132" i="27"/>
  <c r="BB132" i="27"/>
  <c r="AZ132" i="27"/>
  <c r="AY132" i="27"/>
  <c r="AX132" i="27"/>
  <c r="AV132" i="27"/>
  <c r="AT132" i="27"/>
  <c r="AR132" i="27"/>
  <c r="AP132" i="27"/>
  <c r="AO132" i="27"/>
  <c r="AN132" i="27"/>
  <c r="AM132" i="27"/>
  <c r="AL132" i="27"/>
  <c r="AJ132" i="27"/>
  <c r="AI132" i="27"/>
  <c r="AH132" i="27"/>
  <c r="DY131" i="27"/>
  <c r="BJ131" i="27"/>
  <c r="CE131" i="27"/>
  <c r="BF131" i="27"/>
  <c r="BD131" i="27"/>
  <c r="BC131" i="27"/>
  <c r="BB131" i="27"/>
  <c r="AZ131" i="27"/>
  <c r="AY131" i="27"/>
  <c r="AX131" i="27"/>
  <c r="AV131" i="27"/>
  <c r="AT131" i="27"/>
  <c r="AR131" i="27"/>
  <c r="AP131" i="27"/>
  <c r="AO131" i="27"/>
  <c r="AN131" i="27"/>
  <c r="AM131" i="27"/>
  <c r="AL131" i="27"/>
  <c r="AJ131" i="27"/>
  <c r="AI131" i="27"/>
  <c r="AH131" i="27"/>
  <c r="DY130" i="27"/>
  <c r="BJ130" i="27"/>
  <c r="CF130" i="27"/>
  <c r="BF130" i="27"/>
  <c r="BD130" i="27"/>
  <c r="BC130" i="27"/>
  <c r="BB130" i="27"/>
  <c r="AZ130" i="27"/>
  <c r="AY130" i="27"/>
  <c r="AX130" i="27"/>
  <c r="AV130" i="27"/>
  <c r="AT130" i="27"/>
  <c r="AR130" i="27"/>
  <c r="AP130" i="27"/>
  <c r="AO130" i="27"/>
  <c r="AN130" i="27"/>
  <c r="AM130" i="27"/>
  <c r="AL130" i="27"/>
  <c r="AJ130" i="27"/>
  <c r="AI130" i="27"/>
  <c r="AH130" i="27"/>
  <c r="DY129" i="27"/>
  <c r="BJ129" i="27"/>
  <c r="BF129" i="27"/>
  <c r="BD129" i="27"/>
  <c r="BC129" i="27"/>
  <c r="BB129" i="27"/>
  <c r="AZ129" i="27"/>
  <c r="AY129" i="27"/>
  <c r="AX129" i="27"/>
  <c r="AV129" i="27"/>
  <c r="AT129" i="27"/>
  <c r="AR129" i="27"/>
  <c r="AP129" i="27"/>
  <c r="AO129" i="27"/>
  <c r="AN129" i="27"/>
  <c r="AM129" i="27"/>
  <c r="AL129" i="27"/>
  <c r="AJ129" i="27"/>
  <c r="AI129" i="27"/>
  <c r="AH129" i="27"/>
  <c r="DY128" i="27"/>
  <c r="BJ128" i="27"/>
  <c r="CF128" i="27"/>
  <c r="BF128" i="27"/>
  <c r="BD128" i="27"/>
  <c r="BC128" i="27"/>
  <c r="BB128" i="27"/>
  <c r="AZ128" i="27"/>
  <c r="AY128" i="27"/>
  <c r="AX128" i="27"/>
  <c r="AV128" i="27"/>
  <c r="AT128" i="27"/>
  <c r="AR128" i="27"/>
  <c r="AP128" i="27"/>
  <c r="AO128" i="27"/>
  <c r="AN128" i="27"/>
  <c r="AM128" i="27"/>
  <c r="AL128" i="27"/>
  <c r="AJ128" i="27"/>
  <c r="AI128" i="27"/>
  <c r="AH128" i="27"/>
  <c r="DY127" i="27"/>
  <c r="BJ127" i="27"/>
  <c r="CB127" i="27"/>
  <c r="BF127" i="27"/>
  <c r="BD127" i="27"/>
  <c r="BC127" i="27"/>
  <c r="BB127" i="27"/>
  <c r="AZ127" i="27"/>
  <c r="AY127" i="27"/>
  <c r="AX127" i="27"/>
  <c r="AV127" i="27"/>
  <c r="AT127" i="27"/>
  <c r="AR127" i="27"/>
  <c r="AP127" i="27"/>
  <c r="AO127" i="27"/>
  <c r="AN127" i="27"/>
  <c r="AM127" i="27"/>
  <c r="AL127" i="27"/>
  <c r="AJ127" i="27"/>
  <c r="AI127" i="27"/>
  <c r="AH127" i="27"/>
  <c r="DY126" i="27"/>
  <c r="BJ126" i="27"/>
  <c r="CF126" i="27"/>
  <c r="BF126" i="27"/>
  <c r="BD126" i="27"/>
  <c r="BC126" i="27"/>
  <c r="BB126" i="27"/>
  <c r="AZ126" i="27"/>
  <c r="AY126" i="27"/>
  <c r="AX126" i="27"/>
  <c r="AV126" i="27"/>
  <c r="AT126" i="27"/>
  <c r="AR126" i="27"/>
  <c r="AP126" i="27"/>
  <c r="AO126" i="27"/>
  <c r="AN126" i="27"/>
  <c r="AM126" i="27"/>
  <c r="AL126" i="27"/>
  <c r="AJ126" i="27"/>
  <c r="AI126" i="27"/>
  <c r="AH126" i="27"/>
  <c r="DY125" i="27"/>
  <c r="BJ125" i="27"/>
  <c r="BT125" i="27" s="1"/>
  <c r="CF125" i="27"/>
  <c r="BF125" i="27"/>
  <c r="BD125" i="27"/>
  <c r="BC125" i="27"/>
  <c r="BB125" i="27"/>
  <c r="AZ125" i="27"/>
  <c r="AY125" i="27"/>
  <c r="AX125" i="27"/>
  <c r="AV125" i="27"/>
  <c r="AT125" i="27"/>
  <c r="AR125" i="27"/>
  <c r="AP125" i="27"/>
  <c r="AO125" i="27"/>
  <c r="AN125" i="27"/>
  <c r="AM125" i="27"/>
  <c r="AL125" i="27"/>
  <c r="AJ125" i="27"/>
  <c r="AI125" i="27"/>
  <c r="AH125" i="27"/>
  <c r="DY124" i="27"/>
  <c r="BJ124" i="27"/>
  <c r="CF124" i="27"/>
  <c r="BF124" i="27"/>
  <c r="BD124" i="27"/>
  <c r="BC124" i="27"/>
  <c r="BB124" i="27"/>
  <c r="AZ124" i="27"/>
  <c r="AY124" i="27"/>
  <c r="AX124" i="27"/>
  <c r="AV124" i="27"/>
  <c r="AT124" i="27"/>
  <c r="AR124" i="27"/>
  <c r="AP124" i="27"/>
  <c r="AO124" i="27"/>
  <c r="AN124" i="27"/>
  <c r="AM124" i="27"/>
  <c r="AL124" i="27"/>
  <c r="AJ124" i="27"/>
  <c r="AI124" i="27"/>
  <c r="AH124" i="27"/>
  <c r="DY123" i="27"/>
  <c r="BJ123" i="27"/>
  <c r="BT123" i="27" s="1"/>
  <c r="CF123" i="27"/>
  <c r="BF123" i="27"/>
  <c r="BD123" i="27"/>
  <c r="BC123" i="27"/>
  <c r="BB123" i="27"/>
  <c r="AZ123" i="27"/>
  <c r="AY123" i="27"/>
  <c r="AX123" i="27"/>
  <c r="AV123" i="27"/>
  <c r="AT123" i="27"/>
  <c r="AR123" i="27"/>
  <c r="AP123" i="27"/>
  <c r="AO123" i="27"/>
  <c r="AN123" i="27"/>
  <c r="AM123" i="27"/>
  <c r="AL123" i="27"/>
  <c r="AJ123" i="27"/>
  <c r="AI123" i="27"/>
  <c r="AH123" i="27"/>
  <c r="DY122" i="27"/>
  <c r="BJ122" i="27"/>
  <c r="CF122" i="27"/>
  <c r="BF122" i="27"/>
  <c r="BD122" i="27"/>
  <c r="BC122" i="27"/>
  <c r="BB122" i="27"/>
  <c r="AZ122" i="27"/>
  <c r="AY122" i="27"/>
  <c r="AX122" i="27"/>
  <c r="AV122" i="27"/>
  <c r="AT122" i="27"/>
  <c r="AR122" i="27"/>
  <c r="AP122" i="27"/>
  <c r="AO122" i="27"/>
  <c r="AN122" i="27"/>
  <c r="AM122" i="27"/>
  <c r="AL122" i="27"/>
  <c r="AJ122" i="27"/>
  <c r="AI122" i="27"/>
  <c r="AH122" i="27"/>
  <c r="DY121" i="27"/>
  <c r="BJ121" i="27"/>
  <c r="CF121" i="27"/>
  <c r="BF121" i="27"/>
  <c r="BD121" i="27"/>
  <c r="BC121" i="27"/>
  <c r="BB121" i="27"/>
  <c r="AZ121" i="27"/>
  <c r="AY121" i="27"/>
  <c r="AX121" i="27"/>
  <c r="AV121" i="27"/>
  <c r="AT121" i="27"/>
  <c r="AR121" i="27"/>
  <c r="AP121" i="27"/>
  <c r="AO121" i="27"/>
  <c r="AN121" i="27"/>
  <c r="AM121" i="27"/>
  <c r="AL121" i="27"/>
  <c r="AJ121" i="27"/>
  <c r="AI121" i="27"/>
  <c r="AH121" i="27"/>
  <c r="DY120" i="27"/>
  <c r="BJ120" i="27"/>
  <c r="BF120" i="27"/>
  <c r="BD120" i="27"/>
  <c r="BC120" i="27"/>
  <c r="BB120" i="27"/>
  <c r="AZ120" i="27"/>
  <c r="AY120" i="27"/>
  <c r="AX120" i="27"/>
  <c r="AV120" i="27"/>
  <c r="AT120" i="27"/>
  <c r="AR120" i="27"/>
  <c r="AP120" i="27"/>
  <c r="AO120" i="27"/>
  <c r="AN120" i="27"/>
  <c r="AM120" i="27"/>
  <c r="AL120" i="27"/>
  <c r="AJ120" i="27"/>
  <c r="AI120" i="27"/>
  <c r="AH120" i="27"/>
  <c r="DY119" i="27"/>
  <c r="BJ119" i="27"/>
  <c r="CF119" i="27"/>
  <c r="BF119" i="27"/>
  <c r="BD119" i="27"/>
  <c r="BC119" i="27"/>
  <c r="BB119" i="27"/>
  <c r="AZ119" i="27"/>
  <c r="AY119" i="27"/>
  <c r="AX119" i="27"/>
  <c r="AV119" i="27"/>
  <c r="AT119" i="27"/>
  <c r="AR119" i="27"/>
  <c r="AP119" i="27"/>
  <c r="AO119" i="27"/>
  <c r="AN119" i="27"/>
  <c r="AM119" i="27"/>
  <c r="AL119" i="27"/>
  <c r="AJ119" i="27"/>
  <c r="AI119" i="27"/>
  <c r="AH119" i="27"/>
  <c r="DY118" i="27"/>
  <c r="BJ118" i="27"/>
  <c r="BT118" i="27" s="1"/>
  <c r="CF118" i="27"/>
  <c r="BF118" i="27"/>
  <c r="BD118" i="27"/>
  <c r="BC118" i="27"/>
  <c r="BB118" i="27"/>
  <c r="AZ118" i="27"/>
  <c r="AY118" i="27"/>
  <c r="AX118" i="27"/>
  <c r="AV118" i="27"/>
  <c r="AT118" i="27"/>
  <c r="AR118" i="27"/>
  <c r="AP118" i="27"/>
  <c r="AO118" i="27"/>
  <c r="AN118" i="27"/>
  <c r="AM118" i="27"/>
  <c r="AL118" i="27"/>
  <c r="AJ118" i="27"/>
  <c r="AI118" i="27"/>
  <c r="AH118" i="27"/>
  <c r="DY117" i="27"/>
  <c r="BJ117" i="27"/>
  <c r="BT117" i="27" s="1"/>
  <c r="BF117" i="27"/>
  <c r="BD117" i="27"/>
  <c r="BC117" i="27"/>
  <c r="BB117" i="27"/>
  <c r="AZ117" i="27"/>
  <c r="AY117" i="27"/>
  <c r="AX117" i="27"/>
  <c r="AV117" i="27"/>
  <c r="AT117" i="27"/>
  <c r="AR117" i="27"/>
  <c r="AP117" i="27"/>
  <c r="AO117" i="27"/>
  <c r="AN117" i="27"/>
  <c r="AM117" i="27"/>
  <c r="AL117" i="27"/>
  <c r="AJ117" i="27"/>
  <c r="AI117" i="27"/>
  <c r="AH117" i="27"/>
  <c r="DY116" i="27"/>
  <c r="BJ116" i="27"/>
  <c r="BT116" i="27" s="1"/>
  <c r="CA116" i="27"/>
  <c r="BF116" i="27"/>
  <c r="BD116" i="27"/>
  <c r="BC116" i="27"/>
  <c r="BB116" i="27"/>
  <c r="AZ116" i="27"/>
  <c r="AY116" i="27"/>
  <c r="AX116" i="27"/>
  <c r="AV116" i="27"/>
  <c r="AT116" i="27"/>
  <c r="AR116" i="27"/>
  <c r="AP116" i="27"/>
  <c r="AO116" i="27"/>
  <c r="AN116" i="27"/>
  <c r="AM116" i="27"/>
  <c r="AL116" i="27"/>
  <c r="AJ116" i="27"/>
  <c r="AI116" i="27"/>
  <c r="AH116" i="27"/>
  <c r="DY115" i="27"/>
  <c r="BJ115" i="27"/>
  <c r="BT115" i="27" s="1"/>
  <c r="CB115" i="27"/>
  <c r="BF115" i="27"/>
  <c r="BD115" i="27"/>
  <c r="BC115" i="27"/>
  <c r="BB115" i="27"/>
  <c r="AZ115" i="27"/>
  <c r="AY115" i="27"/>
  <c r="AX115" i="27"/>
  <c r="AV115" i="27"/>
  <c r="AT115" i="27"/>
  <c r="AR115" i="27"/>
  <c r="AP115" i="27"/>
  <c r="AO115" i="27"/>
  <c r="AN115" i="27"/>
  <c r="AM115" i="27"/>
  <c r="AL115" i="27"/>
  <c r="AJ115" i="27"/>
  <c r="AI115" i="27"/>
  <c r="AH115" i="27"/>
  <c r="DY114" i="27"/>
  <c r="BJ114" i="27"/>
  <c r="BT114" i="27" s="1"/>
  <c r="CI114" i="27"/>
  <c r="BF114" i="27"/>
  <c r="BD114" i="27"/>
  <c r="BC114" i="27"/>
  <c r="BB114" i="27"/>
  <c r="AZ114" i="27"/>
  <c r="AY114" i="27"/>
  <c r="AX114" i="27"/>
  <c r="AV114" i="27"/>
  <c r="AT114" i="27"/>
  <c r="AR114" i="27"/>
  <c r="AP114" i="27"/>
  <c r="AO114" i="27"/>
  <c r="AN114" i="27"/>
  <c r="AM114" i="27"/>
  <c r="AL114" i="27"/>
  <c r="AJ114" i="27"/>
  <c r="AI114" i="27"/>
  <c r="AH114" i="27"/>
  <c r="DY113" i="27"/>
  <c r="BJ113" i="27"/>
  <c r="CB113" i="27"/>
  <c r="BF113" i="27"/>
  <c r="BD113" i="27"/>
  <c r="BC113" i="27"/>
  <c r="BB113" i="27"/>
  <c r="AZ113" i="27"/>
  <c r="AY113" i="27"/>
  <c r="AX113" i="27"/>
  <c r="AV113" i="27"/>
  <c r="AT113" i="27"/>
  <c r="AR113" i="27"/>
  <c r="AP113" i="27"/>
  <c r="AO113" i="27"/>
  <c r="AN113" i="27"/>
  <c r="AM113" i="27"/>
  <c r="AL113" i="27"/>
  <c r="AJ113" i="27"/>
  <c r="AI113" i="27"/>
  <c r="AH113" i="27"/>
  <c r="DY112" i="27"/>
  <c r="BJ112" i="27"/>
  <c r="CI112" i="27"/>
  <c r="BF112" i="27"/>
  <c r="BD112" i="27"/>
  <c r="BC112" i="27"/>
  <c r="BB112" i="27"/>
  <c r="AZ112" i="27"/>
  <c r="AY112" i="27"/>
  <c r="AX112" i="27"/>
  <c r="AV112" i="27"/>
  <c r="AT112" i="27"/>
  <c r="AR112" i="27"/>
  <c r="AP112" i="27"/>
  <c r="AO112" i="27"/>
  <c r="AN112" i="27"/>
  <c r="AM112" i="27"/>
  <c r="AL112" i="27"/>
  <c r="AJ112" i="27"/>
  <c r="AI112" i="27"/>
  <c r="AH112" i="27"/>
  <c r="DY111" i="27"/>
  <c r="BJ111" i="27"/>
  <c r="CB111" i="27"/>
  <c r="BF111" i="27"/>
  <c r="BD111" i="27"/>
  <c r="BC111" i="27"/>
  <c r="BB111" i="27"/>
  <c r="AZ111" i="27"/>
  <c r="AY111" i="27"/>
  <c r="AX111" i="27"/>
  <c r="AV111" i="27"/>
  <c r="AT111" i="27"/>
  <c r="AR111" i="27"/>
  <c r="AP111" i="27"/>
  <c r="AO111" i="27"/>
  <c r="AN111" i="27"/>
  <c r="AM111" i="27"/>
  <c r="AL111" i="27"/>
  <c r="AJ111" i="27"/>
  <c r="AI111" i="27"/>
  <c r="AH111" i="27"/>
  <c r="DY110" i="27"/>
  <c r="BJ110" i="27"/>
  <c r="CI110" i="27"/>
  <c r="BF110" i="27"/>
  <c r="BD110" i="27"/>
  <c r="BC110" i="27"/>
  <c r="BB110" i="27"/>
  <c r="AZ110" i="27"/>
  <c r="AY110" i="27"/>
  <c r="AX110" i="27"/>
  <c r="AV110" i="27"/>
  <c r="AT110" i="27"/>
  <c r="AR110" i="27"/>
  <c r="AP110" i="27"/>
  <c r="AO110" i="27"/>
  <c r="AN110" i="27"/>
  <c r="AM110" i="27"/>
  <c r="AL110" i="27"/>
  <c r="AJ110" i="27"/>
  <c r="AI110" i="27"/>
  <c r="AH110" i="27"/>
  <c r="DY109" i="27"/>
  <c r="BJ109" i="27"/>
  <c r="CB109" i="27"/>
  <c r="BF109" i="27"/>
  <c r="BD109" i="27"/>
  <c r="BC109" i="27"/>
  <c r="BB109" i="27"/>
  <c r="AZ109" i="27"/>
  <c r="AY109" i="27"/>
  <c r="AX109" i="27"/>
  <c r="AV109" i="27"/>
  <c r="AT109" i="27"/>
  <c r="AR109" i="27"/>
  <c r="AP109" i="27"/>
  <c r="AO109" i="27"/>
  <c r="AN109" i="27"/>
  <c r="AM109" i="27"/>
  <c r="AL109" i="27"/>
  <c r="AJ109" i="27"/>
  <c r="AI109" i="27"/>
  <c r="AH109" i="27"/>
  <c r="DY108" i="27"/>
  <c r="BJ108" i="27"/>
  <c r="CI108" i="27"/>
  <c r="BF108" i="27"/>
  <c r="BD108" i="27"/>
  <c r="BC108" i="27"/>
  <c r="BB108" i="27"/>
  <c r="AZ108" i="27"/>
  <c r="AY108" i="27"/>
  <c r="AX108" i="27"/>
  <c r="AV108" i="27"/>
  <c r="AT108" i="27"/>
  <c r="AR108" i="27"/>
  <c r="AP108" i="27"/>
  <c r="AO108" i="27"/>
  <c r="AN108" i="27"/>
  <c r="AM108" i="27"/>
  <c r="AL108" i="27"/>
  <c r="AJ108" i="27"/>
  <c r="AI108" i="27"/>
  <c r="AH108" i="27"/>
  <c r="DY107" i="27"/>
  <c r="BJ107" i="27"/>
  <c r="CB107" i="27"/>
  <c r="BF107" i="27"/>
  <c r="BD107" i="27"/>
  <c r="BC107" i="27"/>
  <c r="BB107" i="27"/>
  <c r="AZ107" i="27"/>
  <c r="AY107" i="27"/>
  <c r="AX107" i="27"/>
  <c r="AV107" i="27"/>
  <c r="AT107" i="27"/>
  <c r="AR107" i="27"/>
  <c r="AP107" i="27"/>
  <c r="AO107" i="27"/>
  <c r="AN107" i="27"/>
  <c r="AM107" i="27"/>
  <c r="AL107" i="27"/>
  <c r="AJ107" i="27"/>
  <c r="AI107" i="27"/>
  <c r="AH107" i="27"/>
  <c r="DY106" i="27"/>
  <c r="BJ106" i="27"/>
  <c r="CI106" i="27"/>
  <c r="BF106" i="27"/>
  <c r="BD106" i="27"/>
  <c r="BC106" i="27"/>
  <c r="BB106" i="27"/>
  <c r="AZ106" i="27"/>
  <c r="AY106" i="27"/>
  <c r="AX106" i="27"/>
  <c r="AV106" i="27"/>
  <c r="AT106" i="27"/>
  <c r="AR106" i="27"/>
  <c r="AP106" i="27"/>
  <c r="AO106" i="27"/>
  <c r="AN106" i="27"/>
  <c r="AM106" i="27"/>
  <c r="AL106" i="27"/>
  <c r="AJ106" i="27"/>
  <c r="AI106" i="27"/>
  <c r="AH106" i="27"/>
  <c r="DY105" i="27"/>
  <c r="BJ105" i="27"/>
  <c r="BT105" i="27" s="1"/>
  <c r="CB105" i="27"/>
  <c r="BF105" i="27"/>
  <c r="BD105" i="27"/>
  <c r="BC105" i="27"/>
  <c r="BB105" i="27"/>
  <c r="AZ105" i="27"/>
  <c r="AY105" i="27"/>
  <c r="AX105" i="27"/>
  <c r="AV105" i="27"/>
  <c r="AT105" i="27"/>
  <c r="AR105" i="27"/>
  <c r="AP105" i="27"/>
  <c r="AO105" i="27"/>
  <c r="AN105" i="27"/>
  <c r="AM105" i="27"/>
  <c r="AL105" i="27"/>
  <c r="AJ105" i="27"/>
  <c r="AI105" i="27"/>
  <c r="AH105" i="27"/>
  <c r="DY104" i="27"/>
  <c r="BJ104" i="27"/>
  <c r="CI104" i="27"/>
  <c r="BF104" i="27"/>
  <c r="BD104" i="27"/>
  <c r="BC104" i="27"/>
  <c r="BB104" i="27"/>
  <c r="AZ104" i="27"/>
  <c r="AY104" i="27"/>
  <c r="AX104" i="27"/>
  <c r="AV104" i="27"/>
  <c r="AT104" i="27"/>
  <c r="AR104" i="27"/>
  <c r="AP104" i="27"/>
  <c r="AO104" i="27"/>
  <c r="AN104" i="27"/>
  <c r="AM104" i="27"/>
  <c r="AL104" i="27"/>
  <c r="AJ104" i="27"/>
  <c r="AI104" i="27"/>
  <c r="AH104" i="27"/>
  <c r="DY103" i="27"/>
  <c r="BJ103" i="27"/>
  <c r="CB103" i="27"/>
  <c r="BF103" i="27"/>
  <c r="BD103" i="27"/>
  <c r="BC103" i="27"/>
  <c r="BB103" i="27"/>
  <c r="AZ103" i="27"/>
  <c r="AY103" i="27"/>
  <c r="AX103" i="27"/>
  <c r="AV103" i="27"/>
  <c r="AT103" i="27"/>
  <c r="AR103" i="27"/>
  <c r="AP103" i="27"/>
  <c r="AO103" i="27"/>
  <c r="AN103" i="27"/>
  <c r="AM103" i="27"/>
  <c r="AL103" i="27"/>
  <c r="AJ103" i="27"/>
  <c r="AI103" i="27"/>
  <c r="AH103" i="27"/>
  <c r="DY102" i="27"/>
  <c r="BJ102" i="27"/>
  <c r="CI102" i="27"/>
  <c r="BF102" i="27"/>
  <c r="BD102" i="27"/>
  <c r="BC102" i="27"/>
  <c r="BB102" i="27"/>
  <c r="AZ102" i="27"/>
  <c r="AY102" i="27"/>
  <c r="AX102" i="27"/>
  <c r="AV102" i="27"/>
  <c r="AT102" i="27"/>
  <c r="AR102" i="27"/>
  <c r="AP102" i="27"/>
  <c r="AO102" i="27"/>
  <c r="AN102" i="27"/>
  <c r="AM102" i="27"/>
  <c r="AL102" i="27"/>
  <c r="AJ102" i="27"/>
  <c r="AI102" i="27"/>
  <c r="AH102" i="27"/>
  <c r="DY101" i="27"/>
  <c r="BJ101" i="27"/>
  <c r="BT101" i="27" s="1"/>
  <c r="CB101" i="27"/>
  <c r="BF101" i="27"/>
  <c r="BD101" i="27"/>
  <c r="BC101" i="27"/>
  <c r="BB101" i="27"/>
  <c r="AZ101" i="27"/>
  <c r="AY101" i="27"/>
  <c r="AX101" i="27"/>
  <c r="AV101" i="27"/>
  <c r="AT101" i="27"/>
  <c r="AR101" i="27"/>
  <c r="AP101" i="27"/>
  <c r="AO101" i="27"/>
  <c r="AN101" i="27"/>
  <c r="AM101" i="27"/>
  <c r="AL101" i="27"/>
  <c r="AJ101" i="27"/>
  <c r="AI101" i="27"/>
  <c r="AH101" i="27"/>
  <c r="DY100" i="27"/>
  <c r="BJ100" i="27"/>
  <c r="CI100" i="27"/>
  <c r="BF100" i="27"/>
  <c r="BD100" i="27"/>
  <c r="BC100" i="27"/>
  <c r="BB100" i="27"/>
  <c r="AZ100" i="27"/>
  <c r="AY100" i="27"/>
  <c r="AX100" i="27"/>
  <c r="AV100" i="27"/>
  <c r="AT100" i="27"/>
  <c r="AR100" i="27"/>
  <c r="AP100" i="27"/>
  <c r="AO100" i="27"/>
  <c r="AN100" i="27"/>
  <c r="AM100" i="27"/>
  <c r="AL100" i="27"/>
  <c r="AJ100" i="27"/>
  <c r="AI100" i="27"/>
  <c r="AH100" i="27"/>
  <c r="DY99" i="27"/>
  <c r="BJ99" i="27"/>
  <c r="BT99" i="27" s="1"/>
  <c r="CB99" i="27"/>
  <c r="BF99" i="27"/>
  <c r="BD99" i="27"/>
  <c r="BC99" i="27"/>
  <c r="BB99" i="27"/>
  <c r="AZ99" i="27"/>
  <c r="AY99" i="27"/>
  <c r="AX99" i="27"/>
  <c r="AV99" i="27"/>
  <c r="AT99" i="27"/>
  <c r="AR99" i="27"/>
  <c r="AP99" i="27"/>
  <c r="AO99" i="27"/>
  <c r="AN99" i="27"/>
  <c r="AM99" i="27"/>
  <c r="AL99" i="27"/>
  <c r="AJ99" i="27"/>
  <c r="AI99" i="27"/>
  <c r="AH99" i="27"/>
  <c r="DY98" i="27"/>
  <c r="BJ98" i="27"/>
  <c r="CI98" i="27"/>
  <c r="BF98" i="27"/>
  <c r="BD98" i="27"/>
  <c r="BC98" i="27"/>
  <c r="BB98" i="27"/>
  <c r="AZ98" i="27"/>
  <c r="AY98" i="27"/>
  <c r="AX98" i="27"/>
  <c r="AV98" i="27"/>
  <c r="AT98" i="27"/>
  <c r="AR98" i="27"/>
  <c r="AP98" i="27"/>
  <c r="AO98" i="27"/>
  <c r="AN98" i="27"/>
  <c r="AM98" i="27"/>
  <c r="AL98" i="27"/>
  <c r="AJ98" i="27"/>
  <c r="AI98" i="27"/>
  <c r="AH98" i="27"/>
  <c r="DY97" i="27"/>
  <c r="BJ97" i="27"/>
  <c r="BT97" i="27" s="1"/>
  <c r="CB97" i="27"/>
  <c r="BF97" i="27"/>
  <c r="BD97" i="27"/>
  <c r="BC97" i="27"/>
  <c r="BB97" i="27"/>
  <c r="AZ97" i="27"/>
  <c r="AY97" i="27"/>
  <c r="AX97" i="27"/>
  <c r="AV97" i="27"/>
  <c r="AT97" i="27"/>
  <c r="AR97" i="27"/>
  <c r="AP97" i="27"/>
  <c r="AO97" i="27"/>
  <c r="AN97" i="27"/>
  <c r="AM97" i="27"/>
  <c r="AL97" i="27"/>
  <c r="AJ97" i="27"/>
  <c r="AI97" i="27"/>
  <c r="AH97" i="27"/>
  <c r="DY96" i="27"/>
  <c r="BJ96" i="27"/>
  <c r="CI96" i="27"/>
  <c r="BF96" i="27"/>
  <c r="BD96" i="27"/>
  <c r="BC96" i="27"/>
  <c r="BB96" i="27"/>
  <c r="AZ96" i="27"/>
  <c r="AY96" i="27"/>
  <c r="AX96" i="27"/>
  <c r="AV96" i="27"/>
  <c r="AT96" i="27"/>
  <c r="AR96" i="27"/>
  <c r="AP96" i="27"/>
  <c r="AO96" i="27"/>
  <c r="AN96" i="27"/>
  <c r="AM96" i="27"/>
  <c r="AL96" i="27"/>
  <c r="AJ96" i="27"/>
  <c r="AI96" i="27"/>
  <c r="AH96" i="27"/>
  <c r="BJ95" i="27"/>
  <c r="CF95" i="27"/>
  <c r="BF95" i="27"/>
  <c r="BD95" i="27"/>
  <c r="BC95" i="27"/>
  <c r="BB95" i="27"/>
  <c r="AZ95" i="27"/>
  <c r="AY95" i="27"/>
  <c r="AX95" i="27"/>
  <c r="AV95" i="27"/>
  <c r="AT95" i="27"/>
  <c r="AR95" i="27"/>
  <c r="AP95" i="27"/>
  <c r="AO95" i="27"/>
  <c r="AN95" i="27"/>
  <c r="AM95" i="27"/>
  <c r="AL95" i="27"/>
  <c r="AJ95" i="27"/>
  <c r="AI95" i="27"/>
  <c r="AH95" i="27"/>
  <c r="BJ94" i="27"/>
  <c r="BT94" i="27" s="1"/>
  <c r="BF94" i="27"/>
  <c r="BD94" i="27"/>
  <c r="BC94" i="27"/>
  <c r="BB94" i="27"/>
  <c r="AZ94" i="27"/>
  <c r="AY94" i="27"/>
  <c r="AX94" i="27"/>
  <c r="AV94" i="27"/>
  <c r="AT94" i="27"/>
  <c r="AR94" i="27"/>
  <c r="AP94" i="27"/>
  <c r="AO94" i="27"/>
  <c r="AN94" i="27"/>
  <c r="AM94" i="27"/>
  <c r="AL94" i="27"/>
  <c r="AJ94" i="27"/>
  <c r="AI94" i="27"/>
  <c r="AH94" i="27"/>
  <c r="BJ93" i="27"/>
  <c r="CE93" i="27"/>
  <c r="BF93" i="27"/>
  <c r="BD93" i="27"/>
  <c r="BC93" i="27"/>
  <c r="BB93" i="27"/>
  <c r="AZ93" i="27"/>
  <c r="AY93" i="27"/>
  <c r="AX93" i="27"/>
  <c r="AV93" i="27"/>
  <c r="AT93" i="27"/>
  <c r="AR93" i="27"/>
  <c r="AP93" i="27"/>
  <c r="AO93" i="27"/>
  <c r="AN93" i="27"/>
  <c r="AM93" i="27"/>
  <c r="AL93" i="27"/>
  <c r="AJ93" i="27"/>
  <c r="AI93" i="27"/>
  <c r="AH93" i="27"/>
  <c r="BJ92" i="27"/>
  <c r="CG92" i="27"/>
  <c r="BF92" i="27"/>
  <c r="BD92" i="27"/>
  <c r="BC92" i="27"/>
  <c r="BB92" i="27"/>
  <c r="AZ92" i="27"/>
  <c r="AY92" i="27"/>
  <c r="AX92" i="27"/>
  <c r="AV92" i="27"/>
  <c r="AT92" i="27"/>
  <c r="AR92" i="27"/>
  <c r="AP92" i="27"/>
  <c r="AO92" i="27"/>
  <c r="AN92" i="27"/>
  <c r="AM92" i="27"/>
  <c r="AL92" i="27"/>
  <c r="AJ92" i="27"/>
  <c r="AI92" i="27"/>
  <c r="AH92" i="27"/>
  <c r="BJ91" i="27"/>
  <c r="CI91" i="27"/>
  <c r="BF91" i="27"/>
  <c r="BD91" i="27"/>
  <c r="BC91" i="27"/>
  <c r="BB91" i="27"/>
  <c r="AZ91" i="27"/>
  <c r="AY91" i="27"/>
  <c r="AX91" i="27"/>
  <c r="AV91" i="27"/>
  <c r="AT91" i="27"/>
  <c r="AR91" i="27"/>
  <c r="AP91" i="27"/>
  <c r="AO91" i="27"/>
  <c r="AN91" i="27"/>
  <c r="AM91" i="27"/>
  <c r="AL91" i="27"/>
  <c r="AJ91" i="27"/>
  <c r="AI91" i="27"/>
  <c r="AH91" i="27"/>
  <c r="BJ90" i="27"/>
  <c r="CC90" i="27"/>
  <c r="BF90" i="27"/>
  <c r="BD90" i="27"/>
  <c r="BC90" i="27"/>
  <c r="BB90" i="27"/>
  <c r="AZ90" i="27"/>
  <c r="AY90" i="27"/>
  <c r="AX90" i="27"/>
  <c r="AV90" i="27"/>
  <c r="AT90" i="27"/>
  <c r="AR90" i="27"/>
  <c r="AP90" i="27"/>
  <c r="AO90" i="27"/>
  <c r="AN90" i="27"/>
  <c r="AM90" i="27"/>
  <c r="AL90" i="27"/>
  <c r="AJ90" i="27"/>
  <c r="AI90" i="27"/>
  <c r="AH90" i="27"/>
  <c r="BJ89" i="27"/>
  <c r="CI89" i="27"/>
  <c r="BF89" i="27"/>
  <c r="BD89" i="27"/>
  <c r="BC89" i="27"/>
  <c r="BB89" i="27"/>
  <c r="AZ89" i="27"/>
  <c r="AY89" i="27"/>
  <c r="AX89" i="27"/>
  <c r="AV89" i="27"/>
  <c r="AT89" i="27"/>
  <c r="AR89" i="27"/>
  <c r="AP89" i="27"/>
  <c r="AN89" i="27"/>
  <c r="AM89" i="27"/>
  <c r="AL89" i="27"/>
  <c r="AJ89" i="27"/>
  <c r="AI89" i="27"/>
  <c r="AH89" i="27"/>
  <c r="BJ88" i="27"/>
  <c r="CB88" i="27"/>
  <c r="BF88" i="27"/>
  <c r="BD88" i="27"/>
  <c r="BC88" i="27"/>
  <c r="BB88" i="27"/>
  <c r="AZ88" i="27"/>
  <c r="AY88" i="27"/>
  <c r="AX88" i="27"/>
  <c r="AV88" i="27"/>
  <c r="AT88" i="27"/>
  <c r="AR88" i="27"/>
  <c r="AP88" i="27"/>
  <c r="AN88" i="27"/>
  <c r="AM88" i="27"/>
  <c r="AL88" i="27"/>
  <c r="AJ88" i="27"/>
  <c r="AI88" i="27"/>
  <c r="AH88" i="27"/>
  <c r="BJ87" i="27"/>
  <c r="CF87" i="27"/>
  <c r="BF87" i="27"/>
  <c r="BD87" i="27"/>
  <c r="BC87" i="27"/>
  <c r="BB87" i="27"/>
  <c r="AZ87" i="27"/>
  <c r="AY87" i="27"/>
  <c r="AX87" i="27"/>
  <c r="AV87" i="27"/>
  <c r="AT87" i="27"/>
  <c r="AR87" i="27"/>
  <c r="AP87" i="27"/>
  <c r="AN87" i="27"/>
  <c r="AM87" i="27"/>
  <c r="AL87" i="27"/>
  <c r="AJ87" i="27"/>
  <c r="AI87" i="27"/>
  <c r="AH87" i="27"/>
  <c r="BJ86" i="27"/>
  <c r="CI86" i="27"/>
  <c r="BF86" i="27"/>
  <c r="BD86" i="27"/>
  <c r="BC86" i="27"/>
  <c r="BB86" i="27"/>
  <c r="AZ86" i="27"/>
  <c r="AY86" i="27"/>
  <c r="AX86" i="27"/>
  <c r="AV86" i="27"/>
  <c r="AT86" i="27"/>
  <c r="AR86" i="27"/>
  <c r="AP86" i="27"/>
  <c r="AN86" i="27"/>
  <c r="AM86" i="27"/>
  <c r="AL86" i="27"/>
  <c r="AJ86" i="27"/>
  <c r="AI86" i="27"/>
  <c r="AH86" i="27"/>
  <c r="BJ85" i="27"/>
  <c r="CF85" i="27"/>
  <c r="BF85" i="27"/>
  <c r="BD85" i="27"/>
  <c r="BC85" i="27"/>
  <c r="BB85" i="27"/>
  <c r="AZ85" i="27"/>
  <c r="AY85" i="27"/>
  <c r="AX85" i="27"/>
  <c r="AV85" i="27"/>
  <c r="AT85" i="27"/>
  <c r="AR85" i="27"/>
  <c r="AP85" i="27"/>
  <c r="AN85" i="27"/>
  <c r="AM85" i="27"/>
  <c r="AL85" i="27"/>
  <c r="AJ85" i="27"/>
  <c r="AI85" i="27"/>
  <c r="AH85" i="27"/>
  <c r="EH84" i="27"/>
  <c r="BJ84" i="27"/>
  <c r="CG84" i="27"/>
  <c r="BF84" i="27"/>
  <c r="BD84" i="27"/>
  <c r="BC84" i="27"/>
  <c r="BB84" i="27"/>
  <c r="AZ84" i="27"/>
  <c r="AY84" i="27"/>
  <c r="AX84" i="27"/>
  <c r="AV84" i="27"/>
  <c r="AT84" i="27"/>
  <c r="AR84" i="27"/>
  <c r="AP84" i="27"/>
  <c r="AN84" i="27"/>
  <c r="AM84" i="27"/>
  <c r="AL84" i="27"/>
  <c r="AJ84" i="27"/>
  <c r="AI84" i="27"/>
  <c r="AH84" i="27"/>
  <c r="EH83" i="27"/>
  <c r="BJ83" i="27"/>
  <c r="CG83" i="27"/>
  <c r="BF83" i="27"/>
  <c r="BD83" i="27"/>
  <c r="BC83" i="27"/>
  <c r="BB83" i="27"/>
  <c r="AZ83" i="27"/>
  <c r="AY83" i="27"/>
  <c r="AX83" i="27"/>
  <c r="AV83" i="27"/>
  <c r="AT83" i="27"/>
  <c r="AR83" i="27"/>
  <c r="AP83" i="27"/>
  <c r="AN83" i="27"/>
  <c r="AM83" i="27"/>
  <c r="AL83" i="27"/>
  <c r="AJ83" i="27"/>
  <c r="AI83" i="27"/>
  <c r="AH83" i="27"/>
  <c r="EH82" i="27"/>
  <c r="BJ82" i="27"/>
  <c r="CG82" i="27"/>
  <c r="BF82" i="27"/>
  <c r="BD82" i="27"/>
  <c r="BC82" i="27"/>
  <c r="BB82" i="27"/>
  <c r="AZ82" i="27"/>
  <c r="AY82" i="27"/>
  <c r="AX82" i="27"/>
  <c r="AV82" i="27"/>
  <c r="AT82" i="27"/>
  <c r="AR82" i="27"/>
  <c r="AP82" i="27"/>
  <c r="AN82" i="27"/>
  <c r="AM82" i="27"/>
  <c r="AL82" i="27"/>
  <c r="AJ82" i="27"/>
  <c r="AI82" i="27"/>
  <c r="AH82" i="27"/>
  <c r="EH81" i="27"/>
  <c r="BJ81" i="27"/>
  <c r="CI81" i="27"/>
  <c r="BF81" i="27"/>
  <c r="BD81" i="27"/>
  <c r="BC81" i="27"/>
  <c r="BB81" i="27"/>
  <c r="AZ81" i="27"/>
  <c r="AY81" i="27"/>
  <c r="AX81" i="27"/>
  <c r="AV81" i="27"/>
  <c r="AT81" i="27"/>
  <c r="AR81" i="27"/>
  <c r="AP81" i="27"/>
  <c r="AN81" i="27"/>
  <c r="AM81" i="27"/>
  <c r="AL81" i="27"/>
  <c r="AJ81" i="27"/>
  <c r="AI81" i="27"/>
  <c r="AH81" i="27"/>
  <c r="EH80" i="27"/>
  <c r="BJ80" i="27"/>
  <c r="CI80" i="27"/>
  <c r="BF80" i="27"/>
  <c r="BD80" i="27"/>
  <c r="BC80" i="27"/>
  <c r="BB80" i="27"/>
  <c r="AZ80" i="27"/>
  <c r="AY80" i="27"/>
  <c r="AX80" i="27"/>
  <c r="AV80" i="27"/>
  <c r="AT80" i="27"/>
  <c r="AR80" i="27"/>
  <c r="AP80" i="27"/>
  <c r="AN80" i="27"/>
  <c r="AM80" i="27"/>
  <c r="AL80" i="27"/>
  <c r="AJ80" i="27"/>
  <c r="AI80" i="27"/>
  <c r="AH80" i="27"/>
  <c r="EH79" i="27"/>
  <c r="BJ79" i="27"/>
  <c r="CF79" i="27"/>
  <c r="BF79" i="27"/>
  <c r="BD79" i="27"/>
  <c r="BC79" i="27"/>
  <c r="BB79" i="27"/>
  <c r="AZ79" i="27"/>
  <c r="AY79" i="27"/>
  <c r="AX79" i="27"/>
  <c r="AV79" i="27"/>
  <c r="AT79" i="27"/>
  <c r="AR79" i="27"/>
  <c r="AP79" i="27"/>
  <c r="AN79" i="27"/>
  <c r="AM79" i="27"/>
  <c r="AL79" i="27"/>
  <c r="AJ79" i="27"/>
  <c r="AI79" i="27"/>
  <c r="AH79" i="27"/>
  <c r="EH78" i="27"/>
  <c r="BJ78" i="27"/>
  <c r="CA78" i="27"/>
  <c r="BF78" i="27"/>
  <c r="BD78" i="27"/>
  <c r="BC78" i="27"/>
  <c r="BB78" i="27"/>
  <c r="AZ78" i="27"/>
  <c r="AY78" i="27"/>
  <c r="AX78" i="27"/>
  <c r="AV78" i="27"/>
  <c r="AT78" i="27"/>
  <c r="AR78" i="27"/>
  <c r="AP78" i="27"/>
  <c r="AN78" i="27"/>
  <c r="AM78" i="27"/>
  <c r="AL78" i="27"/>
  <c r="AJ78" i="27"/>
  <c r="AI78" i="27"/>
  <c r="AH78" i="27"/>
  <c r="BJ77" i="27"/>
  <c r="CF77" i="27"/>
  <c r="BF77" i="27"/>
  <c r="BD77" i="27"/>
  <c r="BC77" i="27"/>
  <c r="BB77" i="27"/>
  <c r="AZ77" i="27"/>
  <c r="AY77" i="27"/>
  <c r="AX77" i="27"/>
  <c r="AV77" i="27"/>
  <c r="AT77" i="27"/>
  <c r="AR77" i="27"/>
  <c r="AP77" i="27"/>
  <c r="AN77" i="27"/>
  <c r="AM77" i="27"/>
  <c r="AL77" i="27"/>
  <c r="AJ77" i="27"/>
  <c r="AI77" i="27"/>
  <c r="AH77" i="27"/>
  <c r="EH76" i="27"/>
  <c r="BJ76" i="27"/>
  <c r="CA76" i="27"/>
  <c r="BF76" i="27"/>
  <c r="BD76" i="27"/>
  <c r="BC76" i="27"/>
  <c r="BB76" i="27"/>
  <c r="AZ76" i="27"/>
  <c r="AY76" i="27"/>
  <c r="AX76" i="27"/>
  <c r="AV76" i="27"/>
  <c r="AT76" i="27"/>
  <c r="AR76" i="27"/>
  <c r="AP76" i="27"/>
  <c r="AN76" i="27"/>
  <c r="AM76" i="27"/>
  <c r="AL76" i="27"/>
  <c r="AJ76" i="27"/>
  <c r="AI76" i="27"/>
  <c r="AH76" i="27"/>
  <c r="EH75" i="27"/>
  <c r="BJ75" i="27"/>
  <c r="BF75" i="27"/>
  <c r="BD75" i="27"/>
  <c r="BC75" i="27"/>
  <c r="BB75" i="27"/>
  <c r="AZ75" i="27"/>
  <c r="AY75" i="27"/>
  <c r="AX75" i="27"/>
  <c r="AV75" i="27"/>
  <c r="AT75" i="27"/>
  <c r="AR75" i="27"/>
  <c r="AP75" i="27"/>
  <c r="AN75" i="27"/>
  <c r="AM75" i="27"/>
  <c r="AL75" i="27"/>
  <c r="AJ75" i="27"/>
  <c r="AI75" i="27"/>
  <c r="AH75" i="27"/>
  <c r="EH74" i="27"/>
  <c r="BJ74" i="27"/>
  <c r="BT74" i="27" s="1"/>
  <c r="BF74" i="27"/>
  <c r="BD74" i="27"/>
  <c r="BC74" i="27"/>
  <c r="BB74" i="27"/>
  <c r="AZ74" i="27"/>
  <c r="AY74" i="27"/>
  <c r="AX74" i="27"/>
  <c r="AV74" i="27"/>
  <c r="AT74" i="27"/>
  <c r="AR74" i="27"/>
  <c r="AP74" i="27"/>
  <c r="AN74" i="27"/>
  <c r="AM74" i="27"/>
  <c r="AL74" i="27"/>
  <c r="AJ74" i="27"/>
  <c r="AI74" i="27"/>
  <c r="AH74" i="27"/>
  <c r="EH73" i="27"/>
  <c r="BJ73" i="27"/>
  <c r="CI73" i="27"/>
  <c r="BF73" i="27"/>
  <c r="BD73" i="27"/>
  <c r="BC73" i="27"/>
  <c r="BB73" i="27"/>
  <c r="AZ73" i="27"/>
  <c r="AY73" i="27"/>
  <c r="AX73" i="27"/>
  <c r="AV73" i="27"/>
  <c r="AT73" i="27"/>
  <c r="AR73" i="27"/>
  <c r="AP73" i="27"/>
  <c r="AN73" i="27"/>
  <c r="AM73" i="27"/>
  <c r="AL73" i="27"/>
  <c r="AJ73" i="27"/>
  <c r="AI73" i="27"/>
  <c r="AH73" i="27"/>
  <c r="EH72" i="27"/>
  <c r="BJ72" i="27"/>
  <c r="CI72" i="27"/>
  <c r="BF72" i="27"/>
  <c r="BD72" i="27"/>
  <c r="BC72" i="27"/>
  <c r="BB72" i="27"/>
  <c r="AZ72" i="27"/>
  <c r="AY72" i="27"/>
  <c r="AX72" i="27"/>
  <c r="AV72" i="27"/>
  <c r="AT72" i="27"/>
  <c r="AR72" i="27"/>
  <c r="AP72" i="27"/>
  <c r="AN72" i="27"/>
  <c r="AM72" i="27"/>
  <c r="AL72" i="27"/>
  <c r="AJ72" i="27"/>
  <c r="AI72" i="27"/>
  <c r="AH72" i="27"/>
  <c r="EH71" i="27"/>
  <c r="BJ71" i="27"/>
  <c r="CF71" i="27"/>
  <c r="BF71" i="27"/>
  <c r="BD71" i="27"/>
  <c r="BC71" i="27"/>
  <c r="BB71" i="27"/>
  <c r="AZ71" i="27"/>
  <c r="AY71" i="27"/>
  <c r="AX71" i="27"/>
  <c r="AV71" i="27"/>
  <c r="AT71" i="27"/>
  <c r="AR71" i="27"/>
  <c r="AP71" i="27"/>
  <c r="AN71" i="27"/>
  <c r="AM71" i="27"/>
  <c r="AL71" i="27"/>
  <c r="AJ71" i="27"/>
  <c r="AI71" i="27"/>
  <c r="AH71" i="27"/>
  <c r="EH70" i="27"/>
  <c r="BJ70" i="27"/>
  <c r="CA70" i="27"/>
  <c r="BF70" i="27"/>
  <c r="BD70" i="27"/>
  <c r="BC70" i="27"/>
  <c r="BB70" i="27"/>
  <c r="AZ70" i="27"/>
  <c r="AY70" i="27"/>
  <c r="AX70" i="27"/>
  <c r="AV70" i="27"/>
  <c r="AT70" i="27"/>
  <c r="AR70" i="27"/>
  <c r="AP70" i="27"/>
  <c r="AN70" i="27"/>
  <c r="AM70" i="27"/>
  <c r="AL70" i="27"/>
  <c r="AJ70" i="27"/>
  <c r="AI70" i="27"/>
  <c r="AH70" i="27"/>
  <c r="EH69" i="27"/>
  <c r="BJ69" i="27"/>
  <c r="CF69" i="27"/>
  <c r="BF69" i="27"/>
  <c r="BD69" i="27"/>
  <c r="BC69" i="27"/>
  <c r="BB69" i="27"/>
  <c r="AZ69" i="27"/>
  <c r="AY69" i="27"/>
  <c r="AX69" i="27"/>
  <c r="AV69" i="27"/>
  <c r="AT69" i="27"/>
  <c r="AR69" i="27"/>
  <c r="AP69" i="27"/>
  <c r="AN69" i="27"/>
  <c r="AM69" i="27"/>
  <c r="AL69" i="27"/>
  <c r="AJ69" i="27"/>
  <c r="AI69" i="27"/>
  <c r="AH69" i="27"/>
  <c r="EH68" i="27"/>
  <c r="BJ68" i="27"/>
  <c r="BF68" i="27"/>
  <c r="BD68" i="27"/>
  <c r="BC68" i="27"/>
  <c r="BB68" i="27"/>
  <c r="AZ68" i="27"/>
  <c r="AY68" i="27"/>
  <c r="AX68" i="27"/>
  <c r="AV68" i="27"/>
  <c r="AT68" i="27"/>
  <c r="AR68" i="27"/>
  <c r="AP68" i="27"/>
  <c r="AN68" i="27"/>
  <c r="AM68" i="27"/>
  <c r="AL68" i="27"/>
  <c r="AJ68" i="27"/>
  <c r="AI68" i="27"/>
  <c r="AH68" i="27"/>
  <c r="EH67" i="27"/>
  <c r="BJ67" i="27"/>
  <c r="BF67" i="27"/>
  <c r="BD67" i="27"/>
  <c r="BC67" i="27"/>
  <c r="BB67" i="27"/>
  <c r="AZ67" i="27"/>
  <c r="AY67" i="27"/>
  <c r="AX67" i="27"/>
  <c r="AV67" i="27"/>
  <c r="AT67" i="27"/>
  <c r="AR67" i="27"/>
  <c r="AP67" i="27"/>
  <c r="AN67" i="27"/>
  <c r="AM67" i="27"/>
  <c r="AL67" i="27"/>
  <c r="AJ67" i="27"/>
  <c r="AI67" i="27"/>
  <c r="AH67" i="27"/>
  <c r="EH66" i="27"/>
  <c r="BJ66" i="27"/>
  <c r="CI66" i="27"/>
  <c r="BF66" i="27"/>
  <c r="BD66" i="27"/>
  <c r="BC66" i="27"/>
  <c r="BB66" i="27"/>
  <c r="AZ66" i="27"/>
  <c r="AY66" i="27"/>
  <c r="AX66" i="27"/>
  <c r="AV66" i="27"/>
  <c r="AT66" i="27"/>
  <c r="AR66" i="27"/>
  <c r="AP66" i="27"/>
  <c r="AN66" i="27"/>
  <c r="AM66" i="27"/>
  <c r="AL66" i="27"/>
  <c r="AJ66" i="27"/>
  <c r="AI66" i="27"/>
  <c r="AH66" i="27"/>
  <c r="EH65" i="27"/>
  <c r="BJ65" i="27"/>
  <c r="CC65" i="27"/>
  <c r="BF65" i="27"/>
  <c r="BD65" i="27"/>
  <c r="BC65" i="27"/>
  <c r="BB65" i="27"/>
  <c r="AZ65" i="27"/>
  <c r="AY65" i="27"/>
  <c r="AX65" i="27"/>
  <c r="AV65" i="27"/>
  <c r="AT65" i="27"/>
  <c r="AR65" i="27"/>
  <c r="AP65" i="27"/>
  <c r="AN65" i="27"/>
  <c r="AM65" i="27"/>
  <c r="AL65" i="27"/>
  <c r="AJ65" i="27"/>
  <c r="AI65" i="27"/>
  <c r="AH65" i="27"/>
  <c r="EH64" i="27"/>
  <c r="BJ64" i="27"/>
  <c r="CI64" i="27"/>
  <c r="BF64" i="27"/>
  <c r="BD64" i="27"/>
  <c r="BC64" i="27"/>
  <c r="BB64" i="27"/>
  <c r="AZ64" i="27"/>
  <c r="AY64" i="27"/>
  <c r="AX64" i="27"/>
  <c r="AV64" i="27"/>
  <c r="AT64" i="27"/>
  <c r="AR64" i="27"/>
  <c r="AP64" i="27"/>
  <c r="AN64" i="27"/>
  <c r="AM64" i="27"/>
  <c r="AL64" i="27"/>
  <c r="AJ64" i="27"/>
  <c r="AI64" i="27"/>
  <c r="AH64" i="27"/>
  <c r="EH63" i="27"/>
  <c r="BJ63" i="27"/>
  <c r="CF63" i="27"/>
  <c r="BF63" i="27"/>
  <c r="BD63" i="27"/>
  <c r="BC63" i="27"/>
  <c r="BB63" i="27"/>
  <c r="AZ63" i="27"/>
  <c r="AY63" i="27"/>
  <c r="AX63" i="27"/>
  <c r="AV63" i="27"/>
  <c r="AT63" i="27"/>
  <c r="AR63" i="27"/>
  <c r="AP63" i="27"/>
  <c r="AN63" i="27"/>
  <c r="AM63" i="27"/>
  <c r="AL63" i="27"/>
  <c r="AJ63" i="27"/>
  <c r="AI63" i="27"/>
  <c r="AH63" i="27"/>
  <c r="EH62" i="27"/>
  <c r="BJ62" i="27"/>
  <c r="BT62" i="27" s="1"/>
  <c r="BF62" i="27"/>
  <c r="BD62" i="27"/>
  <c r="BC62" i="27"/>
  <c r="BB62" i="27"/>
  <c r="AZ62" i="27"/>
  <c r="AY62" i="27"/>
  <c r="AX62" i="27"/>
  <c r="AV62" i="27"/>
  <c r="AT62" i="27"/>
  <c r="AR62" i="27"/>
  <c r="AP62" i="27"/>
  <c r="AN62" i="27"/>
  <c r="AM62" i="27"/>
  <c r="AL62" i="27"/>
  <c r="AJ62" i="27"/>
  <c r="AI62" i="27"/>
  <c r="AH62" i="27"/>
  <c r="EH61" i="27"/>
  <c r="BJ61" i="27"/>
  <c r="CF61" i="27"/>
  <c r="BF61" i="27"/>
  <c r="BD61" i="27"/>
  <c r="BC61" i="27"/>
  <c r="BB61" i="27"/>
  <c r="AZ61" i="27"/>
  <c r="AY61" i="27"/>
  <c r="AX61" i="27"/>
  <c r="AV61" i="27"/>
  <c r="AT61" i="27"/>
  <c r="AR61" i="27"/>
  <c r="AP61" i="27"/>
  <c r="AN61" i="27"/>
  <c r="AM61" i="27"/>
  <c r="AL61" i="27"/>
  <c r="AJ61" i="27"/>
  <c r="AI61" i="27"/>
  <c r="AH61" i="27"/>
  <c r="EH60" i="27"/>
  <c r="BJ60" i="27"/>
  <c r="CG60" i="27"/>
  <c r="BF60" i="27"/>
  <c r="BD60" i="27"/>
  <c r="BC60" i="27"/>
  <c r="BB60" i="27"/>
  <c r="AZ60" i="27"/>
  <c r="AY60" i="27"/>
  <c r="AX60" i="27"/>
  <c r="AV60" i="27"/>
  <c r="AT60" i="27"/>
  <c r="AR60" i="27"/>
  <c r="AP60" i="27"/>
  <c r="AN60" i="27"/>
  <c r="AM60" i="27"/>
  <c r="AL60" i="27"/>
  <c r="AJ60" i="27"/>
  <c r="AI60" i="27"/>
  <c r="AH60" i="27"/>
  <c r="EH59" i="27"/>
  <c r="BJ59" i="27"/>
  <c r="BF59" i="27"/>
  <c r="BD59" i="27"/>
  <c r="BC59" i="27"/>
  <c r="BB59" i="27"/>
  <c r="AZ59" i="27"/>
  <c r="AY59" i="27"/>
  <c r="AX59" i="27"/>
  <c r="AV59" i="27"/>
  <c r="AT59" i="27"/>
  <c r="AR59" i="27"/>
  <c r="AP59" i="27"/>
  <c r="AN59" i="27"/>
  <c r="AM59" i="27"/>
  <c r="AL59" i="27"/>
  <c r="AJ59" i="27"/>
  <c r="AI59" i="27"/>
  <c r="AH59" i="27"/>
  <c r="BJ58" i="27"/>
  <c r="CC58" i="27"/>
  <c r="BF58" i="27"/>
  <c r="BD58" i="27"/>
  <c r="BC58" i="27"/>
  <c r="BB58" i="27"/>
  <c r="AZ58" i="27"/>
  <c r="AY58" i="27"/>
  <c r="AX58" i="27"/>
  <c r="AV58" i="27"/>
  <c r="AT58" i="27"/>
  <c r="AR58" i="27"/>
  <c r="AP58" i="27"/>
  <c r="AN58" i="27"/>
  <c r="AM58" i="27"/>
  <c r="AL58" i="27"/>
  <c r="AJ58" i="27"/>
  <c r="AI58" i="27"/>
  <c r="AH58" i="27"/>
  <c r="BJ57" i="27"/>
  <c r="CF57" i="27"/>
  <c r="BF57" i="27"/>
  <c r="BD57" i="27"/>
  <c r="BC57" i="27"/>
  <c r="BB57" i="27"/>
  <c r="AZ57" i="27"/>
  <c r="AY57" i="27"/>
  <c r="AX57" i="27"/>
  <c r="AV57" i="27"/>
  <c r="AT57" i="27"/>
  <c r="AR57" i="27"/>
  <c r="AP57" i="27"/>
  <c r="AN57" i="27"/>
  <c r="AM57" i="27"/>
  <c r="AL57" i="27"/>
  <c r="AJ57" i="27"/>
  <c r="AI57" i="27"/>
  <c r="AH57" i="27"/>
  <c r="BJ56" i="27"/>
  <c r="CF56" i="27"/>
  <c r="BF56" i="27"/>
  <c r="BD56" i="27"/>
  <c r="BC56" i="27"/>
  <c r="BB56" i="27"/>
  <c r="AZ56" i="27"/>
  <c r="AY56" i="27"/>
  <c r="AX56" i="27"/>
  <c r="AV56" i="27"/>
  <c r="AT56" i="27"/>
  <c r="AR56" i="27"/>
  <c r="AP56" i="27"/>
  <c r="AN56" i="27"/>
  <c r="AM56" i="27"/>
  <c r="AL56" i="27"/>
  <c r="AJ56" i="27"/>
  <c r="AI56" i="27"/>
  <c r="AH56" i="27"/>
  <c r="BJ55" i="27"/>
  <c r="CG55" i="27"/>
  <c r="BF55" i="27"/>
  <c r="BD55" i="27"/>
  <c r="BC55" i="27"/>
  <c r="BB55" i="27"/>
  <c r="AZ55" i="27"/>
  <c r="AY55" i="27"/>
  <c r="AX55" i="27"/>
  <c r="AV55" i="27"/>
  <c r="AT55" i="27"/>
  <c r="AR55" i="27"/>
  <c r="AP55" i="27"/>
  <c r="AN55" i="27"/>
  <c r="AM55" i="27"/>
  <c r="AL55" i="27"/>
  <c r="AJ55" i="27"/>
  <c r="AI55" i="27"/>
  <c r="AH55" i="27"/>
  <c r="BJ54" i="27"/>
  <c r="CG54" i="27"/>
  <c r="BF54" i="27"/>
  <c r="BD54" i="27"/>
  <c r="BC54" i="27"/>
  <c r="BB54" i="27"/>
  <c r="AZ54" i="27"/>
  <c r="AY54" i="27"/>
  <c r="AX54" i="27"/>
  <c r="AV54" i="27"/>
  <c r="AT54" i="27"/>
  <c r="AR54" i="27"/>
  <c r="AP54" i="27"/>
  <c r="AN54" i="27"/>
  <c r="AM54" i="27"/>
  <c r="AL54" i="27"/>
  <c r="AJ54" i="27"/>
  <c r="AI54" i="27"/>
  <c r="AH54" i="27"/>
  <c r="BJ53" i="27"/>
  <c r="CG53" i="27"/>
  <c r="BF53" i="27"/>
  <c r="BD53" i="27"/>
  <c r="BC53" i="27"/>
  <c r="BB53" i="27"/>
  <c r="AZ53" i="27"/>
  <c r="AY53" i="27"/>
  <c r="AX53" i="27"/>
  <c r="AV53" i="27"/>
  <c r="AT53" i="27"/>
  <c r="AR53" i="27"/>
  <c r="AP53" i="27"/>
  <c r="AN53" i="27"/>
  <c r="AM53" i="27"/>
  <c r="AL53" i="27"/>
  <c r="AJ53" i="27"/>
  <c r="AI53" i="27"/>
  <c r="AH53" i="27"/>
  <c r="BJ52" i="27"/>
  <c r="CI52" i="27"/>
  <c r="BF52" i="27"/>
  <c r="BD52" i="27"/>
  <c r="BC52" i="27"/>
  <c r="BB52" i="27"/>
  <c r="AZ52" i="27"/>
  <c r="AY52" i="27"/>
  <c r="AX52" i="27"/>
  <c r="AV52" i="27"/>
  <c r="AT52" i="27"/>
  <c r="AR52" i="27"/>
  <c r="AP52" i="27"/>
  <c r="AN52" i="27"/>
  <c r="AM52" i="27"/>
  <c r="AL52" i="27"/>
  <c r="AJ52" i="27"/>
  <c r="AI52" i="27"/>
  <c r="AH52" i="27"/>
  <c r="BJ51" i="27"/>
  <c r="CF51" i="27"/>
  <c r="BF51" i="27"/>
  <c r="BD51" i="27"/>
  <c r="BC51" i="27"/>
  <c r="BB51" i="27"/>
  <c r="AZ51" i="27"/>
  <c r="AY51" i="27"/>
  <c r="AX51" i="27"/>
  <c r="AV51" i="27"/>
  <c r="AT51" i="27"/>
  <c r="AR51" i="27"/>
  <c r="AP51" i="27"/>
  <c r="AN51" i="27"/>
  <c r="AM51" i="27"/>
  <c r="AL51" i="27"/>
  <c r="AJ51" i="27"/>
  <c r="AI51" i="27"/>
  <c r="AH51" i="27"/>
  <c r="BJ50" i="27"/>
  <c r="CB50" i="27"/>
  <c r="BF50" i="27"/>
  <c r="BD50" i="27"/>
  <c r="BC50" i="27"/>
  <c r="BB50" i="27"/>
  <c r="AZ50" i="27"/>
  <c r="AY50" i="27"/>
  <c r="AX50" i="27"/>
  <c r="AV50" i="27"/>
  <c r="AT50" i="27"/>
  <c r="AR50" i="27"/>
  <c r="AP50" i="27"/>
  <c r="AN50" i="27"/>
  <c r="AM50" i="27"/>
  <c r="AL50" i="27"/>
  <c r="AJ50" i="27"/>
  <c r="AI50" i="27"/>
  <c r="AH50" i="27"/>
  <c r="BJ49" i="27"/>
  <c r="BT49" i="27" s="1"/>
  <c r="CI49" i="27"/>
  <c r="BF49" i="27"/>
  <c r="BD49" i="27"/>
  <c r="BC49" i="27"/>
  <c r="BB49" i="27"/>
  <c r="AZ49" i="27"/>
  <c r="AY49" i="27"/>
  <c r="AX49" i="27"/>
  <c r="AV49" i="27"/>
  <c r="AT49" i="27"/>
  <c r="AR49" i="27"/>
  <c r="AP49" i="27"/>
  <c r="AN49" i="27"/>
  <c r="AM49" i="27"/>
  <c r="AL49" i="27"/>
  <c r="AJ49" i="27"/>
  <c r="AI49" i="27"/>
  <c r="AH49" i="27"/>
  <c r="BJ48" i="27"/>
  <c r="CI48" i="27"/>
  <c r="BF48" i="27"/>
  <c r="BD48" i="27"/>
  <c r="BC48" i="27"/>
  <c r="BB48" i="27"/>
  <c r="AZ48" i="27"/>
  <c r="AY48" i="27"/>
  <c r="AX48" i="27"/>
  <c r="AV48" i="27"/>
  <c r="AT48" i="27"/>
  <c r="AR48" i="27"/>
  <c r="AP48" i="27"/>
  <c r="AN48" i="27"/>
  <c r="AM48" i="27"/>
  <c r="AL48" i="27"/>
  <c r="AJ48" i="27"/>
  <c r="AI48" i="27"/>
  <c r="AH48" i="27"/>
  <c r="BJ47" i="27"/>
  <c r="CA47" i="27"/>
  <c r="BF47" i="27"/>
  <c r="BD47" i="27"/>
  <c r="BC47" i="27"/>
  <c r="BB47" i="27"/>
  <c r="AZ47" i="27"/>
  <c r="AY47" i="27"/>
  <c r="AX47" i="27"/>
  <c r="AV47" i="27"/>
  <c r="AT47" i="27"/>
  <c r="AR47" i="27"/>
  <c r="AP47" i="27"/>
  <c r="AN47" i="27"/>
  <c r="AM47" i="27"/>
  <c r="AL47" i="27"/>
  <c r="AJ47" i="27"/>
  <c r="AI47" i="27"/>
  <c r="AH47" i="27"/>
  <c r="BJ46" i="27"/>
  <c r="CG46" i="27"/>
  <c r="BF46" i="27"/>
  <c r="BD46" i="27"/>
  <c r="BC46" i="27"/>
  <c r="BB46" i="27"/>
  <c r="AZ46" i="27"/>
  <c r="AY46" i="27"/>
  <c r="AX46" i="27"/>
  <c r="AV46" i="27"/>
  <c r="AT46" i="27"/>
  <c r="AR46" i="27"/>
  <c r="AP46" i="27"/>
  <c r="AN46" i="27"/>
  <c r="AM46" i="27"/>
  <c r="AL46" i="27"/>
  <c r="AJ46" i="27"/>
  <c r="AI46" i="27"/>
  <c r="AH46" i="27"/>
  <c r="BJ45" i="27"/>
  <c r="CE45" i="27"/>
  <c r="BF45" i="27"/>
  <c r="BD45" i="27"/>
  <c r="BC45" i="27"/>
  <c r="BB45" i="27"/>
  <c r="AZ45" i="27"/>
  <c r="AY45" i="27"/>
  <c r="AX45" i="27"/>
  <c r="AV45" i="27"/>
  <c r="AT45" i="27"/>
  <c r="AR45" i="27"/>
  <c r="AP45" i="27"/>
  <c r="AN45" i="27"/>
  <c r="AM45" i="27"/>
  <c r="AL45" i="27"/>
  <c r="AJ45" i="27"/>
  <c r="AI45" i="27"/>
  <c r="AH45" i="27"/>
  <c r="BJ44" i="27"/>
  <c r="CE44" i="27"/>
  <c r="BF44" i="27"/>
  <c r="BD44" i="27"/>
  <c r="BC44" i="27"/>
  <c r="BB44" i="27"/>
  <c r="AZ44" i="27"/>
  <c r="AY44" i="27"/>
  <c r="AX44" i="27"/>
  <c r="AV44" i="27"/>
  <c r="AT44" i="27"/>
  <c r="AR44" i="27"/>
  <c r="AP44" i="27"/>
  <c r="AN44" i="27"/>
  <c r="AM44" i="27"/>
  <c r="AL44" i="27"/>
  <c r="AJ44" i="27"/>
  <c r="AI44" i="27"/>
  <c r="AH44" i="27"/>
  <c r="BJ43" i="27"/>
  <c r="CE43" i="27"/>
  <c r="BF43" i="27"/>
  <c r="BD43" i="27"/>
  <c r="BC43" i="27"/>
  <c r="BB43" i="27"/>
  <c r="AZ43" i="27"/>
  <c r="AY43" i="27"/>
  <c r="AX43" i="27"/>
  <c r="AV43" i="27"/>
  <c r="AT43" i="27"/>
  <c r="AR43" i="27"/>
  <c r="AP43" i="27"/>
  <c r="AN43" i="27"/>
  <c r="AM43" i="27"/>
  <c r="AL43" i="27"/>
  <c r="AJ43" i="27"/>
  <c r="AI43" i="27"/>
  <c r="AH43" i="27"/>
  <c r="BJ42" i="27"/>
  <c r="CG42" i="27"/>
  <c r="BF42" i="27"/>
  <c r="BD42" i="27"/>
  <c r="BC42" i="27"/>
  <c r="BB42" i="27"/>
  <c r="AZ42" i="27"/>
  <c r="AY42" i="27"/>
  <c r="AX42" i="27"/>
  <c r="AV42" i="27"/>
  <c r="AT42" i="27"/>
  <c r="AR42" i="27"/>
  <c r="AP42" i="27"/>
  <c r="AN42" i="27"/>
  <c r="AM42" i="27"/>
  <c r="AL42" i="27"/>
  <c r="AJ42" i="27"/>
  <c r="AI42" i="27"/>
  <c r="AH42" i="27"/>
  <c r="BJ41" i="27"/>
  <c r="CI41" i="27"/>
  <c r="BF41" i="27"/>
  <c r="BD41" i="27"/>
  <c r="BC41" i="27"/>
  <c r="BB41" i="27"/>
  <c r="AZ41" i="27"/>
  <c r="AY41" i="27"/>
  <c r="AX41" i="27"/>
  <c r="AV41" i="27"/>
  <c r="AT41" i="27"/>
  <c r="AR41" i="27"/>
  <c r="AP41" i="27"/>
  <c r="AN41" i="27"/>
  <c r="AM41" i="27"/>
  <c r="AL41" i="27"/>
  <c r="AJ41" i="27"/>
  <c r="AI41" i="27"/>
  <c r="AH41" i="27"/>
  <c r="BJ40" i="27"/>
  <c r="CG40" i="27"/>
  <c r="BF40" i="27"/>
  <c r="BD40" i="27"/>
  <c r="BC40" i="27"/>
  <c r="BB40" i="27"/>
  <c r="AZ40" i="27"/>
  <c r="AY40" i="27"/>
  <c r="AX40" i="27"/>
  <c r="AV40" i="27"/>
  <c r="AT40" i="27"/>
  <c r="AR40" i="27"/>
  <c r="AP40" i="27"/>
  <c r="AN40" i="27"/>
  <c r="AM40" i="27"/>
  <c r="AL40" i="27"/>
  <c r="AJ40" i="27"/>
  <c r="AI40" i="27"/>
  <c r="AH40" i="27"/>
  <c r="BJ39" i="27"/>
  <c r="CA39" i="27"/>
  <c r="BF39" i="27"/>
  <c r="BD39" i="27"/>
  <c r="BC39" i="27"/>
  <c r="BB39" i="27"/>
  <c r="AZ39" i="27"/>
  <c r="AY39" i="27"/>
  <c r="AX39" i="27"/>
  <c r="AV39" i="27"/>
  <c r="AT39" i="27"/>
  <c r="AR39" i="27"/>
  <c r="AP39" i="27"/>
  <c r="AN39" i="27"/>
  <c r="AM39" i="27"/>
  <c r="AL39" i="27"/>
  <c r="AJ39" i="27"/>
  <c r="AI39" i="27"/>
  <c r="AH39" i="27"/>
  <c r="BJ38" i="27"/>
  <c r="CG38" i="27"/>
  <c r="BF38" i="27"/>
  <c r="BD38" i="27"/>
  <c r="BC38" i="27"/>
  <c r="BB38" i="27"/>
  <c r="AZ38" i="27"/>
  <c r="AY38" i="27"/>
  <c r="AX38" i="27"/>
  <c r="AV38" i="27"/>
  <c r="AT38" i="27"/>
  <c r="AR38" i="27"/>
  <c r="AP38" i="27"/>
  <c r="AN38" i="27"/>
  <c r="AM38" i="27"/>
  <c r="AL38" i="27"/>
  <c r="AJ38" i="27"/>
  <c r="AI38" i="27"/>
  <c r="AH38" i="27"/>
  <c r="BJ37" i="27"/>
  <c r="CF37" i="27"/>
  <c r="BF37" i="27"/>
  <c r="BD37" i="27"/>
  <c r="BC37" i="27"/>
  <c r="BB37" i="27"/>
  <c r="AZ37" i="27"/>
  <c r="AY37" i="27"/>
  <c r="AX37" i="27"/>
  <c r="AV37" i="27"/>
  <c r="AT37" i="27"/>
  <c r="AR37" i="27"/>
  <c r="AP37" i="27"/>
  <c r="AN37" i="27"/>
  <c r="AM37" i="27"/>
  <c r="AL37" i="27"/>
  <c r="AJ37" i="27"/>
  <c r="AI37" i="27"/>
  <c r="AH37" i="27"/>
  <c r="BJ36" i="27"/>
  <c r="CI36" i="27"/>
  <c r="BF36" i="27"/>
  <c r="BD36" i="27"/>
  <c r="BC36" i="27"/>
  <c r="BB36" i="27"/>
  <c r="AZ36" i="27"/>
  <c r="AY36" i="27"/>
  <c r="AX36" i="27"/>
  <c r="AV36" i="27"/>
  <c r="AT36" i="27"/>
  <c r="AR36" i="27"/>
  <c r="AP36" i="27"/>
  <c r="AN36" i="27"/>
  <c r="AM36" i="27"/>
  <c r="AL36" i="27"/>
  <c r="AJ36" i="27"/>
  <c r="AI36" i="27"/>
  <c r="AH36" i="27"/>
  <c r="BJ35" i="27"/>
  <c r="CF35" i="27"/>
  <c r="BF35" i="27"/>
  <c r="BD35" i="27"/>
  <c r="BC35" i="27"/>
  <c r="BB35" i="27"/>
  <c r="AZ35" i="27"/>
  <c r="AY35" i="27"/>
  <c r="AX35" i="27"/>
  <c r="AV35" i="27"/>
  <c r="AT35" i="27"/>
  <c r="AR35" i="27"/>
  <c r="AP35" i="27"/>
  <c r="AN35" i="27"/>
  <c r="AM35" i="27"/>
  <c r="AL35" i="27"/>
  <c r="AJ35" i="27"/>
  <c r="AI35" i="27"/>
  <c r="AH35" i="27"/>
  <c r="EE34" i="27"/>
  <c r="EC34" i="27"/>
  <c r="BJ34" i="27"/>
  <c r="CC34" i="27"/>
  <c r="BF34" i="27"/>
  <c r="BD34" i="27"/>
  <c r="BC34" i="27"/>
  <c r="BB34" i="27"/>
  <c r="AZ34" i="27"/>
  <c r="AY34" i="27"/>
  <c r="AX34" i="27"/>
  <c r="AV34" i="27"/>
  <c r="AT34" i="27"/>
  <c r="AR34" i="27"/>
  <c r="AP34" i="27"/>
  <c r="AN34" i="27"/>
  <c r="AM34" i="27"/>
  <c r="AL34" i="27"/>
  <c r="AJ34" i="27"/>
  <c r="AI34" i="27"/>
  <c r="AH34" i="27"/>
  <c r="EE33" i="27"/>
  <c r="EC33" i="27"/>
  <c r="BJ33" i="27"/>
  <c r="CF33" i="27"/>
  <c r="BF33" i="27"/>
  <c r="BD33" i="27"/>
  <c r="BC33" i="27"/>
  <c r="BB33" i="27"/>
  <c r="AZ33" i="27"/>
  <c r="AY33" i="27"/>
  <c r="AX33" i="27"/>
  <c r="AV33" i="27"/>
  <c r="AT33" i="27"/>
  <c r="AR33" i="27"/>
  <c r="AP33" i="27"/>
  <c r="AN33" i="27"/>
  <c r="AM33" i="27"/>
  <c r="AL33" i="27"/>
  <c r="AJ33" i="27"/>
  <c r="AI33" i="27"/>
  <c r="AH33" i="27"/>
  <c r="BJ32" i="27"/>
  <c r="CI32" i="27"/>
  <c r="BF32" i="27"/>
  <c r="BD32" i="27"/>
  <c r="BC32" i="27"/>
  <c r="BB32" i="27"/>
  <c r="AZ32" i="27"/>
  <c r="AY32" i="27"/>
  <c r="AX32" i="27"/>
  <c r="AV32" i="27"/>
  <c r="AT32" i="27"/>
  <c r="AR32" i="27"/>
  <c r="AP32" i="27"/>
  <c r="AN32" i="27"/>
  <c r="AM32" i="27"/>
  <c r="AL32" i="27"/>
  <c r="AJ32" i="27"/>
  <c r="AI32" i="27"/>
  <c r="AH32" i="27"/>
  <c r="BJ31" i="27"/>
  <c r="CF31" i="27"/>
  <c r="BF31" i="27"/>
  <c r="BD31" i="27"/>
  <c r="BC31" i="27"/>
  <c r="BB31" i="27"/>
  <c r="AZ31" i="27"/>
  <c r="AY31" i="27"/>
  <c r="AX31" i="27"/>
  <c r="AV31" i="27"/>
  <c r="AT31" i="27"/>
  <c r="AR31" i="27"/>
  <c r="AP31" i="27"/>
  <c r="AN31" i="27"/>
  <c r="AM31" i="27"/>
  <c r="AL31" i="27"/>
  <c r="AJ31" i="27"/>
  <c r="AI31" i="27"/>
  <c r="AH31" i="27"/>
  <c r="BJ30" i="27"/>
  <c r="CE30" i="27"/>
  <c r="BF30" i="27"/>
  <c r="BD30" i="27"/>
  <c r="BC30" i="27"/>
  <c r="BB30" i="27"/>
  <c r="AZ30" i="27"/>
  <c r="AY30" i="27"/>
  <c r="AX30" i="27"/>
  <c r="AV30" i="27"/>
  <c r="AT30" i="27"/>
  <c r="AR30" i="27"/>
  <c r="AP30" i="27"/>
  <c r="AN30" i="27"/>
  <c r="AM30" i="27"/>
  <c r="AL30" i="27"/>
  <c r="AJ30" i="27"/>
  <c r="AI30" i="27"/>
  <c r="AH30" i="27"/>
  <c r="BJ29" i="27"/>
  <c r="CB29" i="27"/>
  <c r="BF29" i="27"/>
  <c r="BD29" i="27"/>
  <c r="BC29" i="27"/>
  <c r="BB29" i="27"/>
  <c r="AZ29" i="27"/>
  <c r="AY29" i="27"/>
  <c r="AX29" i="27"/>
  <c r="AV29" i="27"/>
  <c r="AT29" i="27"/>
  <c r="AR29" i="27"/>
  <c r="AP29" i="27"/>
  <c r="AN29" i="27"/>
  <c r="AM29" i="27"/>
  <c r="AL29" i="27"/>
  <c r="AJ29" i="27"/>
  <c r="AI29" i="27"/>
  <c r="AH29" i="27"/>
  <c r="BJ28" i="27"/>
  <c r="CC28" i="27"/>
  <c r="BF28" i="27"/>
  <c r="BD28" i="27"/>
  <c r="BC28" i="27"/>
  <c r="BB28" i="27"/>
  <c r="AZ28" i="27"/>
  <c r="AY28" i="27"/>
  <c r="AX28" i="27"/>
  <c r="AV28" i="27"/>
  <c r="AT28" i="27"/>
  <c r="AR28" i="27"/>
  <c r="AP28" i="27"/>
  <c r="AN28" i="27"/>
  <c r="AM28" i="27"/>
  <c r="AL28" i="27"/>
  <c r="AJ28" i="27"/>
  <c r="AI28" i="27"/>
  <c r="AH28" i="27"/>
  <c r="BJ27" i="27"/>
  <c r="CB27" i="27"/>
  <c r="BF27" i="27"/>
  <c r="BD27" i="27"/>
  <c r="BC27" i="27"/>
  <c r="BB27" i="27"/>
  <c r="AZ27" i="27"/>
  <c r="AY27" i="27"/>
  <c r="AX27" i="27"/>
  <c r="AV27" i="27"/>
  <c r="AT27" i="27"/>
  <c r="AR27" i="27"/>
  <c r="AP27" i="27"/>
  <c r="AN27" i="27"/>
  <c r="AM27" i="27"/>
  <c r="AL27" i="27"/>
  <c r="AJ27" i="27"/>
  <c r="AI27" i="27"/>
  <c r="AH27" i="27"/>
  <c r="BJ26" i="27"/>
  <c r="CI26" i="27"/>
  <c r="BF26" i="27"/>
  <c r="BD26" i="27"/>
  <c r="BC26" i="27"/>
  <c r="BB26" i="27"/>
  <c r="AZ26" i="27"/>
  <c r="AY26" i="27"/>
  <c r="AX26" i="27"/>
  <c r="AV26" i="27"/>
  <c r="AT26" i="27"/>
  <c r="AR26" i="27"/>
  <c r="AP26" i="27"/>
  <c r="AN26" i="27"/>
  <c r="AM26" i="27"/>
  <c r="AL26" i="27"/>
  <c r="AJ26" i="27"/>
  <c r="AI26" i="27"/>
  <c r="AH26" i="27"/>
  <c r="BJ25" i="27"/>
  <c r="CF25" i="27"/>
  <c r="BF25" i="27"/>
  <c r="BD25" i="27"/>
  <c r="BC25" i="27"/>
  <c r="BB25" i="27"/>
  <c r="AZ25" i="27"/>
  <c r="AY25" i="27"/>
  <c r="AX25" i="27"/>
  <c r="AV25" i="27"/>
  <c r="AT25" i="27"/>
  <c r="AR25" i="27"/>
  <c r="AP25" i="27"/>
  <c r="AN25" i="27"/>
  <c r="AM25" i="27"/>
  <c r="AL25" i="27"/>
  <c r="AJ25" i="27"/>
  <c r="AI25" i="27"/>
  <c r="AH25" i="27"/>
  <c r="BJ24" i="27"/>
  <c r="CG24" i="27"/>
  <c r="BF24" i="27"/>
  <c r="BD24" i="27"/>
  <c r="BC24" i="27"/>
  <c r="BB24" i="27"/>
  <c r="AZ24" i="27"/>
  <c r="AY24" i="27"/>
  <c r="AX24" i="27"/>
  <c r="AV24" i="27"/>
  <c r="AT24" i="27"/>
  <c r="AR24" i="27"/>
  <c r="AP24" i="27"/>
  <c r="AN24" i="27"/>
  <c r="AM24" i="27"/>
  <c r="AL24" i="27"/>
  <c r="AJ24" i="27"/>
  <c r="AI24" i="27"/>
  <c r="AH24" i="27"/>
  <c r="BJ23" i="27"/>
  <c r="CF23" i="27"/>
  <c r="BF23" i="27"/>
  <c r="BD23" i="27"/>
  <c r="BC23" i="27"/>
  <c r="BB23" i="27"/>
  <c r="AZ23" i="27"/>
  <c r="AY23" i="27"/>
  <c r="AX23" i="27"/>
  <c r="AV23" i="27"/>
  <c r="AT23" i="27"/>
  <c r="AR23" i="27"/>
  <c r="AP23" i="27"/>
  <c r="AN23" i="27"/>
  <c r="AM23" i="27"/>
  <c r="AL23" i="27"/>
  <c r="AJ23" i="27"/>
  <c r="AI23" i="27"/>
  <c r="AH23" i="27"/>
  <c r="BJ22" i="27"/>
  <c r="CE22" i="27"/>
  <c r="BF22" i="27"/>
  <c r="BD22" i="27"/>
  <c r="BC22" i="27"/>
  <c r="BB22" i="27"/>
  <c r="AZ22" i="27"/>
  <c r="AY22" i="27"/>
  <c r="AX22" i="27"/>
  <c r="AV22" i="27"/>
  <c r="AT22" i="27"/>
  <c r="AR22" i="27"/>
  <c r="AP22" i="27"/>
  <c r="AN22" i="27"/>
  <c r="AM22" i="27"/>
  <c r="AL22" i="27"/>
  <c r="AJ22" i="27"/>
  <c r="AI22" i="27"/>
  <c r="AH22" i="27"/>
  <c r="BJ21" i="27"/>
  <c r="CI21" i="27"/>
  <c r="BF21" i="27"/>
  <c r="BD21" i="27"/>
  <c r="BC21" i="27"/>
  <c r="BB21" i="27"/>
  <c r="AZ21" i="27"/>
  <c r="AY21" i="27"/>
  <c r="AX21" i="27"/>
  <c r="AV21" i="27"/>
  <c r="AT21" i="27"/>
  <c r="AR21" i="27"/>
  <c r="AP21" i="27"/>
  <c r="AN21" i="27"/>
  <c r="AM21" i="27"/>
  <c r="AL21" i="27"/>
  <c r="AJ21" i="27"/>
  <c r="AI21" i="27"/>
  <c r="AH21" i="27"/>
  <c r="BJ20" i="27"/>
  <c r="CC20" i="27"/>
  <c r="BF20" i="27"/>
  <c r="BD20" i="27"/>
  <c r="BC20" i="27"/>
  <c r="BB20" i="27"/>
  <c r="AZ20" i="27"/>
  <c r="AY20" i="27"/>
  <c r="AX20" i="27"/>
  <c r="AV20" i="27"/>
  <c r="AT20" i="27"/>
  <c r="AR20" i="27"/>
  <c r="AP20" i="27"/>
  <c r="AN20" i="27"/>
  <c r="AM20" i="27"/>
  <c r="AL20" i="27"/>
  <c r="AJ20" i="27"/>
  <c r="AI20" i="27"/>
  <c r="AH20" i="27"/>
  <c r="BJ19" i="27"/>
  <c r="CI19" i="27"/>
  <c r="BF19" i="27"/>
  <c r="BD19" i="27"/>
  <c r="BC19" i="27"/>
  <c r="BB19" i="27"/>
  <c r="AZ19" i="27"/>
  <c r="AY19" i="27"/>
  <c r="AX19" i="27"/>
  <c r="AV19" i="27"/>
  <c r="AT19" i="27"/>
  <c r="AR19" i="27"/>
  <c r="AP19" i="27"/>
  <c r="AN19" i="27"/>
  <c r="AM19" i="27"/>
  <c r="AL19" i="27"/>
  <c r="AJ19" i="27"/>
  <c r="AI19" i="27"/>
  <c r="AH19" i="27"/>
  <c r="F4" i="27"/>
  <c r="C4" i="27"/>
  <c r="DV264" i="27" l="1"/>
  <c r="DU264" i="27" a="1"/>
  <c r="DU264" i="27" s="1"/>
  <c r="EA265" i="27"/>
  <c r="DQ264" i="27"/>
  <c r="DP264" i="27" a="1"/>
  <c r="DP264" i="27" s="1"/>
  <c r="BS57" i="27"/>
  <c r="BT57" i="27"/>
  <c r="BS131" i="27"/>
  <c r="BT131" i="27"/>
  <c r="BQ151" i="27"/>
  <c r="BT151" i="27"/>
  <c r="BY198" i="27"/>
  <c r="BT198" i="27"/>
  <c r="BO63" i="27"/>
  <c r="BT63" i="27"/>
  <c r="BM34" i="27"/>
  <c r="BT34" i="27"/>
  <c r="BY69" i="27"/>
  <c r="BT69" i="27"/>
  <c r="BU73" i="27"/>
  <c r="BT73" i="27"/>
  <c r="BM80" i="27"/>
  <c r="BT80" i="27"/>
  <c r="BW84" i="27"/>
  <c r="BT84" i="27"/>
  <c r="BL165" i="27"/>
  <c r="BT165" i="27"/>
  <c r="BU202" i="27"/>
  <c r="BT202" i="27"/>
  <c r="BR229" i="27"/>
  <c r="BT229" i="27"/>
  <c r="BW26" i="27"/>
  <c r="BT26" i="27"/>
  <c r="BU32" i="27"/>
  <c r="BT32" i="27"/>
  <c r="BO51" i="27"/>
  <c r="BT51" i="27"/>
  <c r="BL71" i="27"/>
  <c r="BT71" i="27"/>
  <c r="BP76" i="27"/>
  <c r="BT76" i="27"/>
  <c r="BO87" i="27"/>
  <c r="BT87" i="27"/>
  <c r="BK111" i="27"/>
  <c r="BT111" i="27"/>
  <c r="BW122" i="27"/>
  <c r="BT122" i="27"/>
  <c r="BU128" i="27"/>
  <c r="BT128" i="27"/>
  <c r="BS133" i="27"/>
  <c r="BT133" i="27"/>
  <c r="BY138" i="27"/>
  <c r="BT138" i="27"/>
  <c r="BY148" i="27"/>
  <c r="BT148" i="27"/>
  <c r="BL159" i="27"/>
  <c r="BT159" i="27"/>
  <c r="BL175" i="27"/>
  <c r="BT175" i="27"/>
  <c r="BY180" i="27"/>
  <c r="BT180" i="27"/>
  <c r="BQ212" i="27"/>
  <c r="BT212" i="27"/>
  <c r="BP228" i="27"/>
  <c r="BT228" i="27"/>
  <c r="BY260" i="27"/>
  <c r="BT260" i="27"/>
  <c r="BY93" i="27"/>
  <c r="BT93" i="27"/>
  <c r="BY21" i="27"/>
  <c r="BT21" i="27"/>
  <c r="BW30" i="27"/>
  <c r="BT30" i="27"/>
  <c r="BK33" i="27"/>
  <c r="BT33" i="27"/>
  <c r="BK37" i="27"/>
  <c r="BT37" i="27"/>
  <c r="BL40" i="27"/>
  <c r="BT40" i="27"/>
  <c r="BY43" i="27"/>
  <c r="BT43" i="27"/>
  <c r="BW46" i="27"/>
  <c r="BT46" i="27"/>
  <c r="BW52" i="27"/>
  <c r="BT52" i="27"/>
  <c r="BK55" i="27"/>
  <c r="BT55" i="27"/>
  <c r="BY58" i="27"/>
  <c r="BT58" i="27"/>
  <c r="BY65" i="27"/>
  <c r="BT65" i="27"/>
  <c r="BR90" i="27"/>
  <c r="BT90" i="27"/>
  <c r="BL153" i="27"/>
  <c r="BT153" i="27"/>
  <c r="BO169" i="27"/>
  <c r="BT169" i="27"/>
  <c r="BL211" i="27"/>
  <c r="BT211" i="27"/>
  <c r="BO219" i="27"/>
  <c r="BT219" i="27"/>
  <c r="BW239" i="27"/>
  <c r="BT239" i="27"/>
  <c r="BL250" i="27"/>
  <c r="BT250" i="27"/>
  <c r="BM24" i="27"/>
  <c r="BT24" i="27"/>
  <c r="BS27" i="27"/>
  <c r="BT27" i="27"/>
  <c r="BS61" i="27"/>
  <c r="BT61" i="27"/>
  <c r="BW68" i="27"/>
  <c r="BT68" i="27"/>
  <c r="BL72" i="27"/>
  <c r="BT72" i="27"/>
  <c r="BL79" i="27"/>
  <c r="BT79" i="27"/>
  <c r="BP83" i="27"/>
  <c r="BT83" i="27"/>
  <c r="BP98" i="27"/>
  <c r="BT98" i="27"/>
  <c r="BP104" i="27"/>
  <c r="BT104" i="27"/>
  <c r="BP110" i="27"/>
  <c r="BT110" i="27"/>
  <c r="BO121" i="27"/>
  <c r="BT121" i="27"/>
  <c r="BO127" i="27"/>
  <c r="BT127" i="27"/>
  <c r="BS137" i="27"/>
  <c r="BT137" i="27"/>
  <c r="BK147" i="27"/>
  <c r="BT147" i="27"/>
  <c r="BY158" i="27"/>
  <c r="BT158" i="27"/>
  <c r="BY174" i="27"/>
  <c r="BT174" i="27"/>
  <c r="BS210" i="27"/>
  <c r="BT210" i="27"/>
  <c r="BW218" i="27"/>
  <c r="BT218" i="27"/>
  <c r="BW238" i="27"/>
  <c r="BT238" i="27"/>
  <c r="BS259" i="27"/>
  <c r="BT259" i="27"/>
  <c r="BM64" i="27"/>
  <c r="BT64" i="27"/>
  <c r="BU54" i="27"/>
  <c r="BT54" i="27"/>
  <c r="BU75" i="27"/>
  <c r="BT75" i="27"/>
  <c r="BW132" i="27"/>
  <c r="BT132" i="27"/>
  <c r="BW142" i="27"/>
  <c r="BT142" i="27"/>
  <c r="BY152" i="27"/>
  <c r="BT152" i="27"/>
  <c r="BL163" i="27"/>
  <c r="BT163" i="27"/>
  <c r="BL179" i="27"/>
  <c r="BT179" i="27"/>
  <c r="BS190" i="27"/>
  <c r="BT190" i="27"/>
  <c r="BP217" i="27"/>
  <c r="BT217" i="27"/>
  <c r="BW237" i="27"/>
  <c r="BT237" i="27"/>
  <c r="BL258" i="27"/>
  <c r="BT258" i="27"/>
  <c r="BM86" i="27"/>
  <c r="BT86" i="27"/>
  <c r="BP103" i="27"/>
  <c r="BT103" i="27"/>
  <c r="BW120" i="27"/>
  <c r="BT120" i="27"/>
  <c r="BU126" i="27"/>
  <c r="BT126" i="27"/>
  <c r="BL157" i="27"/>
  <c r="BT157" i="27"/>
  <c r="BL173" i="27"/>
  <c r="BT173" i="27"/>
  <c r="BS189" i="27"/>
  <c r="BT189" i="27"/>
  <c r="BY199" i="27"/>
  <c r="BT199" i="27"/>
  <c r="BW208" i="27"/>
  <c r="BT208" i="27"/>
  <c r="BK216" i="27"/>
  <c r="BT216" i="27"/>
  <c r="BP236" i="27"/>
  <c r="BT236" i="27"/>
  <c r="BQ248" i="27"/>
  <c r="BT248" i="27"/>
  <c r="BL89" i="27"/>
  <c r="BT89" i="27"/>
  <c r="BY82" i="27"/>
  <c r="BT82" i="27"/>
  <c r="BY136" i="27"/>
  <c r="BT136" i="27"/>
  <c r="BS235" i="27"/>
  <c r="BT235" i="27"/>
  <c r="BW247" i="27"/>
  <c r="BT247" i="27"/>
  <c r="BL48" i="27"/>
  <c r="BT48" i="27"/>
  <c r="BU67" i="27"/>
  <c r="BT67" i="27"/>
  <c r="BP96" i="27"/>
  <c r="BT96" i="27"/>
  <c r="BP102" i="27"/>
  <c r="BT102" i="27"/>
  <c r="BP108" i="27"/>
  <c r="BT108" i="27"/>
  <c r="BY156" i="27"/>
  <c r="BT156" i="27"/>
  <c r="BY162" i="27"/>
  <c r="BT162" i="27"/>
  <c r="BU167" i="27"/>
  <c r="BT167" i="27"/>
  <c r="BY172" i="27"/>
  <c r="BT172" i="27"/>
  <c r="BK178" i="27"/>
  <c r="BT178" i="27"/>
  <c r="BY206" i="27"/>
  <c r="BT206" i="27"/>
  <c r="BQ224" i="27"/>
  <c r="BT224" i="27"/>
  <c r="BW246" i="27"/>
  <c r="BT246" i="27"/>
  <c r="BP23" i="27"/>
  <c r="BT23" i="27"/>
  <c r="BM36" i="27"/>
  <c r="BT36" i="27"/>
  <c r="BL183" i="27"/>
  <c r="BT183" i="27"/>
  <c r="BY119" i="27"/>
  <c r="BT119" i="27"/>
  <c r="BU130" i="27"/>
  <c r="BT130" i="27"/>
  <c r="BS135" i="27"/>
  <c r="BT135" i="27"/>
  <c r="BW145" i="27"/>
  <c r="BT145" i="27"/>
  <c r="BY182" i="27"/>
  <c r="BT182" i="27"/>
  <c r="BL187" i="27"/>
  <c r="BT187" i="27"/>
  <c r="BR245" i="27"/>
  <c r="BT245" i="27"/>
  <c r="BO255" i="27"/>
  <c r="BT255" i="27"/>
  <c r="BU42" i="27"/>
  <c r="BT42" i="27"/>
  <c r="BP59" i="27"/>
  <c r="BT59" i="27"/>
  <c r="BY70" i="27"/>
  <c r="BT70" i="27"/>
  <c r="BU81" i="27"/>
  <c r="BT81" i="27"/>
  <c r="BQ85" i="27"/>
  <c r="BT85" i="27"/>
  <c r="BM88" i="27"/>
  <c r="BT88" i="27"/>
  <c r="BP107" i="27"/>
  <c r="BT107" i="27"/>
  <c r="BP113" i="27"/>
  <c r="BT113" i="27"/>
  <c r="BW124" i="27"/>
  <c r="BT124" i="27"/>
  <c r="BU140" i="27"/>
  <c r="BT140" i="27"/>
  <c r="BY150" i="27"/>
  <c r="BT150" i="27"/>
  <c r="BL155" i="27"/>
  <c r="BT155" i="27"/>
  <c r="BL161" i="27"/>
  <c r="BT161" i="27"/>
  <c r="BL171" i="27"/>
  <c r="BT171" i="27"/>
  <c r="BL177" i="27"/>
  <c r="BT177" i="27"/>
  <c r="BQ196" i="27"/>
  <c r="BT196" i="27"/>
  <c r="BP205" i="27"/>
  <c r="BT205" i="27"/>
  <c r="BL214" i="27"/>
  <c r="BT214" i="27"/>
  <c r="BK232" i="27"/>
  <c r="BT232" i="27"/>
  <c r="BY244" i="27"/>
  <c r="BT244" i="27"/>
  <c r="BW254" i="27"/>
  <c r="BT254" i="27"/>
  <c r="BP109" i="27"/>
  <c r="BT109" i="27"/>
  <c r="BW20" i="27"/>
  <c r="BT20" i="27"/>
  <c r="BS45" i="27"/>
  <c r="BT45" i="27"/>
  <c r="BS78" i="27"/>
  <c r="BT78" i="27"/>
  <c r="BS141" i="27"/>
  <c r="BT141" i="27"/>
  <c r="BW207" i="27"/>
  <c r="BT207" i="27"/>
  <c r="BK92" i="27"/>
  <c r="BT92" i="27"/>
  <c r="BS19" i="27"/>
  <c r="BT19" i="27"/>
  <c r="BW22" i="27"/>
  <c r="BT22" i="27"/>
  <c r="BK25" i="27"/>
  <c r="BT25" i="27"/>
  <c r="BM28" i="27"/>
  <c r="BT28" i="27"/>
  <c r="BQ31" i="27"/>
  <c r="BT31" i="27"/>
  <c r="BP35" i="27"/>
  <c r="BT35" i="27"/>
  <c r="BY38" i="27"/>
  <c r="BT38" i="27"/>
  <c r="BU41" i="27"/>
  <c r="BT41" i="27"/>
  <c r="BY44" i="27"/>
  <c r="BT44" i="27"/>
  <c r="BY47" i="27"/>
  <c r="BT47" i="27"/>
  <c r="BS50" i="27"/>
  <c r="BT50" i="27"/>
  <c r="BL53" i="27"/>
  <c r="BT53" i="27"/>
  <c r="BS56" i="27"/>
  <c r="BT56" i="27"/>
  <c r="BQ77" i="27"/>
  <c r="BT77" i="27"/>
  <c r="BS95" i="27"/>
  <c r="BT95" i="27"/>
  <c r="BS129" i="27"/>
  <c r="BT129" i="27"/>
  <c r="BL181" i="27"/>
  <c r="BT181" i="27"/>
  <c r="BO204" i="27"/>
  <c r="BT204" i="27"/>
  <c r="BL222" i="27"/>
  <c r="BT222" i="27"/>
  <c r="BW231" i="27"/>
  <c r="BT231" i="27"/>
  <c r="BS243" i="27"/>
  <c r="BT243" i="27"/>
  <c r="BW253" i="27"/>
  <c r="BT253" i="27"/>
  <c r="BP29" i="27"/>
  <c r="BT29" i="27"/>
  <c r="BK39" i="27"/>
  <c r="BT39" i="27"/>
  <c r="BL60" i="27"/>
  <c r="BT60" i="27"/>
  <c r="BQ66" i="27"/>
  <c r="BT66" i="27"/>
  <c r="BL91" i="27"/>
  <c r="BT91" i="27"/>
  <c r="BP100" i="27"/>
  <c r="BT100" i="27"/>
  <c r="BP106" i="27"/>
  <c r="BT106" i="27"/>
  <c r="BP112" i="27"/>
  <c r="BT112" i="27"/>
  <c r="BY134" i="27"/>
  <c r="BT134" i="27"/>
  <c r="BS139" i="27"/>
  <c r="BT139" i="27"/>
  <c r="BW149" i="27"/>
  <c r="BT149" i="27"/>
  <c r="BY160" i="27"/>
  <c r="BT160" i="27"/>
  <c r="BY170" i="27"/>
  <c r="BT170" i="27"/>
  <c r="BU176" i="27"/>
  <c r="BT176" i="27"/>
  <c r="BP194" i="27"/>
  <c r="BT194" i="27"/>
  <c r="BR203" i="27"/>
  <c r="BT203" i="27"/>
  <c r="BY213" i="27"/>
  <c r="BT213" i="27"/>
  <c r="BY221" i="27"/>
  <c r="BT221" i="27"/>
  <c r="BX230" i="27"/>
  <c r="BT230" i="27"/>
  <c r="BL242" i="27"/>
  <c r="BT242" i="27"/>
  <c r="BY252" i="27"/>
  <c r="BT252" i="27"/>
  <c r="T4" i="1"/>
  <c r="AG4" i="1"/>
  <c r="T5" i="1"/>
  <c r="AG5" i="1"/>
  <c r="BI262" i="27"/>
  <c r="C12" i="25"/>
  <c r="N5" i="1"/>
  <c r="O5" i="1" s="1"/>
  <c r="P5" i="1" s="1"/>
  <c r="AE5" i="1" s="1"/>
  <c r="AF5" i="1" s="1"/>
  <c r="N6" i="1"/>
  <c r="O6" i="1" s="1"/>
  <c r="P6" i="1" s="1"/>
  <c r="AE6" i="1" s="1"/>
  <c r="N4" i="1"/>
  <c r="O4" i="1" s="1"/>
  <c r="P4" i="1" s="1"/>
  <c r="AE4" i="1" s="1"/>
  <c r="AF4" i="1" s="1"/>
  <c r="R4" i="27"/>
  <c r="V4" i="27" s="1"/>
  <c r="AB4" i="27" s="1"/>
  <c r="AG4" i="27" s="1"/>
  <c r="AH4" i="27" s="1"/>
  <c r="W6" i="1"/>
  <c r="X6" i="1" s="1"/>
  <c r="Q6" i="1"/>
  <c r="R6" i="1" s="1"/>
  <c r="U6" i="1" s="1"/>
  <c r="T6" i="1"/>
  <c r="AD6" i="1"/>
  <c r="CM263" i="27"/>
  <c r="CL263" i="27"/>
  <c r="AJ5" i="1"/>
  <c r="AD5" i="1"/>
  <c r="W5" i="1"/>
  <c r="X5" i="1" s="1"/>
  <c r="R5" i="1"/>
  <c r="U5" i="1" s="1"/>
  <c r="AJ4" i="1"/>
  <c r="AD4" i="1"/>
  <c r="W4" i="1"/>
  <c r="X4" i="1" s="1"/>
  <c r="BM60" i="27"/>
  <c r="CC66" i="27"/>
  <c r="BU60" i="27"/>
  <c r="CI76" i="27"/>
  <c r="BK248" i="27"/>
  <c r="BS217" i="27"/>
  <c r="BQ250" i="27"/>
  <c r="BW217" i="27"/>
  <c r="CE29" i="27"/>
  <c r="BQ44" i="27"/>
  <c r="BQ22" i="27"/>
  <c r="CG44" i="27"/>
  <c r="BL202" i="27"/>
  <c r="BM26" i="27"/>
  <c r="BY259" i="27"/>
  <c r="BW60" i="27"/>
  <c r="BO78" i="27"/>
  <c r="BO231" i="27"/>
  <c r="CF78" i="27"/>
  <c r="CB100" i="27"/>
  <c r="BY142" i="27"/>
  <c r="CF100" i="27"/>
  <c r="BR205" i="27"/>
  <c r="BQ247" i="27"/>
  <c r="CE171" i="27"/>
  <c r="BU205" i="27"/>
  <c r="BS247" i="27"/>
  <c r="BO73" i="27"/>
  <c r="BL76" i="27"/>
  <c r="BL124" i="27"/>
  <c r="BY205" i="27"/>
  <c r="BP34" i="27"/>
  <c r="CC119" i="27"/>
  <c r="BW243" i="27"/>
  <c r="CA258" i="27"/>
  <c r="CC156" i="27"/>
  <c r="BU212" i="27"/>
  <c r="BY255" i="27"/>
  <c r="CA210" i="27"/>
  <c r="CG41" i="27"/>
  <c r="BP20" i="27"/>
  <c r="CF22" i="27"/>
  <c r="CI22" i="27"/>
  <c r="BS68" i="27"/>
  <c r="CE90" i="27"/>
  <c r="BU159" i="27"/>
  <c r="BO250" i="27"/>
  <c r="CI152" i="27"/>
  <c r="BX219" i="27"/>
  <c r="CB47" i="27"/>
  <c r="CA49" i="27"/>
  <c r="BM52" i="27"/>
  <c r="CI55" i="27"/>
  <c r="BR58" i="27"/>
  <c r="BY60" i="27"/>
  <c r="CA71" i="27"/>
  <c r="BW81" i="27"/>
  <c r="CA87" i="27"/>
  <c r="CF105" i="27"/>
  <c r="BY112" i="27"/>
  <c r="CI205" i="27"/>
  <c r="BX217" i="27"/>
  <c r="BW229" i="27"/>
  <c r="CF236" i="27"/>
  <c r="CB254" i="27"/>
  <c r="BL58" i="27"/>
  <c r="BM40" i="27"/>
  <c r="BQ42" i="27"/>
  <c r="CF47" i="27"/>
  <c r="CC49" i="27"/>
  <c r="BO52" i="27"/>
  <c r="BU58" i="27"/>
  <c r="CI60" i="27"/>
  <c r="BL84" i="27"/>
  <c r="CI105" i="27"/>
  <c r="CB112" i="27"/>
  <c r="BU161" i="27"/>
  <c r="CB217" i="27"/>
  <c r="BX229" i="27"/>
  <c r="CG236" i="27"/>
  <c r="CA238" i="27"/>
  <c r="BO242" i="27"/>
  <c r="BL247" i="27"/>
  <c r="CF254" i="27"/>
  <c r="BR40" i="27"/>
  <c r="CF58" i="27"/>
  <c r="BQ84" i="27"/>
  <c r="CA93" i="27"/>
  <c r="BU96" i="27"/>
  <c r="CG112" i="27"/>
  <c r="CC127" i="27"/>
  <c r="CF217" i="27"/>
  <c r="CE229" i="27"/>
  <c r="BQ242" i="27"/>
  <c r="BM247" i="27"/>
  <c r="CG254" i="27"/>
  <c r="BU258" i="27"/>
  <c r="BS112" i="27"/>
  <c r="BY20" i="27"/>
  <c r="BO26" i="27"/>
  <c r="CI29" i="27"/>
  <c r="BP32" i="27"/>
  <c r="BR34" i="27"/>
  <c r="BU40" i="27"/>
  <c r="BM67" i="27"/>
  <c r="CI69" i="27"/>
  <c r="CB96" i="27"/>
  <c r="CB132" i="27"/>
  <c r="BU219" i="27"/>
  <c r="CI229" i="27"/>
  <c r="BU242" i="27"/>
  <c r="BP247" i="27"/>
  <c r="BW258" i="27"/>
  <c r="BP26" i="27"/>
  <c r="BR32" i="27"/>
  <c r="BY34" i="27"/>
  <c r="CC37" i="27"/>
  <c r="BY40" i="27"/>
  <c r="BQ65" i="27"/>
  <c r="BY67" i="27"/>
  <c r="CA77" i="27"/>
  <c r="BU79" i="27"/>
  <c r="CA242" i="27"/>
  <c r="BY26" i="27"/>
  <c r="BS32" i="27"/>
  <c r="CC40" i="27"/>
  <c r="CB56" i="27"/>
  <c r="BP63" i="27"/>
  <c r="CA65" i="27"/>
  <c r="CC77" i="27"/>
  <c r="CA79" i="27"/>
  <c r="BL88" i="27"/>
  <c r="BS120" i="27"/>
  <c r="BW140" i="27"/>
  <c r="BM145" i="27"/>
  <c r="CB150" i="27"/>
  <c r="BM177" i="27"/>
  <c r="BM179" i="27"/>
  <c r="BO202" i="27"/>
  <c r="CE204" i="27"/>
  <c r="CC210" i="27"/>
  <c r="CE212" i="27"/>
  <c r="BM214" i="27"/>
  <c r="BU231" i="27"/>
  <c r="BU235" i="27"/>
  <c r="CE242" i="27"/>
  <c r="BP253" i="27"/>
  <c r="CB258" i="27"/>
  <c r="CA32" i="27"/>
  <c r="CF43" i="27"/>
  <c r="BK48" i="27"/>
  <c r="CE50" i="27"/>
  <c r="BQ63" i="27"/>
  <c r="BY130" i="27"/>
  <c r="BM135" i="27"/>
  <c r="CF150" i="27"/>
  <c r="BP157" i="27"/>
  <c r="BP177" i="27"/>
  <c r="BW202" i="27"/>
  <c r="CG212" i="27"/>
  <c r="BO214" i="27"/>
  <c r="BX231" i="27"/>
  <c r="BX235" i="27"/>
  <c r="CC244" i="27"/>
  <c r="BX247" i="27"/>
  <c r="BQ253" i="27"/>
  <c r="CE258" i="27"/>
  <c r="BJ262" i="27"/>
  <c r="CC32" i="27"/>
  <c r="CI43" i="27"/>
  <c r="BU46" i="27"/>
  <c r="BO48" i="27"/>
  <c r="CF50" i="27"/>
  <c r="BK61" i="27"/>
  <c r="BU63" i="27"/>
  <c r="BR157" i="27"/>
  <c r="BW177" i="27"/>
  <c r="BR196" i="27"/>
  <c r="BQ228" i="27"/>
  <c r="BY231" i="27"/>
  <c r="BY235" i="27"/>
  <c r="CF244" i="27"/>
  <c r="CA246" i="27"/>
  <c r="BX253" i="27"/>
  <c r="CA24" i="27"/>
  <c r="BR30" i="27"/>
  <c r="CA46" i="27"/>
  <c r="BR48" i="27"/>
  <c r="BY61" i="27"/>
  <c r="CC63" i="27"/>
  <c r="CB106" i="27"/>
  <c r="CF111" i="27"/>
  <c r="CF148" i="27"/>
  <c r="BP155" i="27"/>
  <c r="CG177" i="27"/>
  <c r="BU196" i="27"/>
  <c r="BY228" i="27"/>
  <c r="CB246" i="27"/>
  <c r="BY253" i="27"/>
  <c r="CC24" i="27"/>
  <c r="CB30" i="27"/>
  <c r="CE46" i="27"/>
  <c r="BS48" i="27"/>
  <c r="CA61" i="27"/>
  <c r="CI63" i="27"/>
  <c r="CB70" i="27"/>
  <c r="CC113" i="27"/>
  <c r="BS128" i="27"/>
  <c r="BW196" i="27"/>
  <c r="CI237" i="27"/>
  <c r="BP239" i="27"/>
  <c r="CI246" i="27"/>
  <c r="BK183" i="27"/>
  <c r="CF30" i="27"/>
  <c r="CA41" i="27"/>
  <c r="CF46" i="27"/>
  <c r="CA48" i="27"/>
  <c r="BK54" i="27"/>
  <c r="CI57" i="27"/>
  <c r="CI61" i="27"/>
  <c r="BK68" i="27"/>
  <c r="CI70" i="27"/>
  <c r="BM92" i="27"/>
  <c r="BO165" i="27"/>
  <c r="CA218" i="27"/>
  <c r="BW222" i="27"/>
  <c r="BO224" i="27"/>
  <c r="BR239" i="27"/>
  <c r="BS255" i="27"/>
  <c r="BW35" i="27"/>
  <c r="CB41" i="27"/>
  <c r="CI46" i="27"/>
  <c r="CG48" i="27"/>
  <c r="BM54" i="27"/>
  <c r="CB66" i="27"/>
  <c r="BR68" i="27"/>
  <c r="BL73" i="27"/>
  <c r="BL78" i="27"/>
  <c r="CC83" i="27"/>
  <c r="BR92" i="27"/>
  <c r="BY126" i="27"/>
  <c r="CB153" i="27"/>
  <c r="CE218" i="27"/>
  <c r="CI222" i="27"/>
  <c r="CE230" i="27"/>
  <c r="BS239" i="27"/>
  <c r="BW255" i="27"/>
  <c r="CB92" i="27"/>
  <c r="BQ100" i="27"/>
  <c r="BS102" i="27"/>
  <c r="BY173" i="27"/>
  <c r="BK180" i="27"/>
  <c r="BQ217" i="27"/>
  <c r="CF230" i="27"/>
  <c r="CA22" i="27"/>
  <c r="EG34" i="27"/>
  <c r="CC44" i="27"/>
  <c r="BR60" i="27"/>
  <c r="CF66" i="27"/>
  <c r="BY68" i="27"/>
  <c r="BY76" i="27"/>
  <c r="CB78" i="27"/>
  <c r="BY100" i="27"/>
  <c r="BU102" i="27"/>
  <c r="BW151" i="27"/>
  <c r="BR217" i="27"/>
  <c r="BQ243" i="27"/>
  <c r="BM250" i="27"/>
  <c r="BQ20" i="27"/>
  <c r="CB24" i="27"/>
  <c r="CF29" i="27"/>
  <c r="BM31" i="27"/>
  <c r="CB32" i="27"/>
  <c r="BW34" i="27"/>
  <c r="BS40" i="27"/>
  <c r="CG43" i="27"/>
  <c r="BU45" i="27"/>
  <c r="CC48" i="27"/>
  <c r="BS58" i="27"/>
  <c r="BS60" i="27"/>
  <c r="CG63" i="27"/>
  <c r="CG65" i="27"/>
  <c r="BO67" i="27"/>
  <c r="BY75" i="27"/>
  <c r="BR78" i="27"/>
  <c r="BM84" i="27"/>
  <c r="CA96" i="27"/>
  <c r="CA100" i="27"/>
  <c r="BQ104" i="27"/>
  <c r="CG107" i="27"/>
  <c r="CC111" i="27"/>
  <c r="CF112" i="27"/>
  <c r="CF127" i="27"/>
  <c r="BY129" i="27"/>
  <c r="CF156" i="27"/>
  <c r="CB171" i="27"/>
  <c r="CB177" i="27"/>
  <c r="BP179" i="27"/>
  <c r="BS196" i="27"/>
  <c r="BW205" i="27"/>
  <c r="BR212" i="27"/>
  <c r="CF218" i="27"/>
  <c r="BY219" i="27"/>
  <c r="BR224" i="27"/>
  <c r="CC228" i="27"/>
  <c r="BQ239" i="27"/>
  <c r="BS242" i="27"/>
  <c r="BX243" i="27"/>
  <c r="CE254" i="27"/>
  <c r="BX255" i="27"/>
  <c r="BK93" i="27"/>
  <c r="CA38" i="27"/>
  <c r="CA69" i="27"/>
  <c r="CB71" i="27"/>
  <c r="BP73" i="27"/>
  <c r="BS77" i="27"/>
  <c r="BY84" i="27"/>
  <c r="BQ87" i="27"/>
  <c r="BQ89" i="27"/>
  <c r="BL93" i="27"/>
  <c r="BK95" i="27"/>
  <c r="CG96" i="27"/>
  <c r="CG100" i="27"/>
  <c r="CF102" i="27"/>
  <c r="CA104" i="27"/>
  <c r="BQ110" i="27"/>
  <c r="CI111" i="27"/>
  <c r="CG114" i="27"/>
  <c r="CB140" i="27"/>
  <c r="CG142" i="27"/>
  <c r="CE158" i="27"/>
  <c r="CC160" i="27"/>
  <c r="CF162" i="27"/>
  <c r="CG176" i="27"/>
  <c r="CA195" i="27"/>
  <c r="CA196" i="27"/>
  <c r="BP202" i="27"/>
  <c r="BO203" i="27"/>
  <c r="CF212" i="27"/>
  <c r="CE217" i="27"/>
  <c r="CA234" i="27"/>
  <c r="BP237" i="27"/>
  <c r="CE238" i="27"/>
  <c r="BU239" i="27"/>
  <c r="CB242" i="27"/>
  <c r="BS245" i="27"/>
  <c r="BY246" i="27"/>
  <c r="BO247" i="27"/>
  <c r="CA253" i="27"/>
  <c r="BR77" i="27"/>
  <c r="CA140" i="27"/>
  <c r="BL23" i="27"/>
  <c r="CA27" i="27"/>
  <c r="BU31" i="27"/>
  <c r="BP36" i="27"/>
  <c r="BK42" i="27"/>
  <c r="CI47" i="27"/>
  <c r="CB51" i="27"/>
  <c r="CC60" i="27"/>
  <c r="CG69" i="27"/>
  <c r="BW73" i="27"/>
  <c r="BU77" i="27"/>
  <c r="CA80" i="27"/>
  <c r="CI84" i="27"/>
  <c r="BR87" i="27"/>
  <c r="BR89" i="27"/>
  <c r="BP93" i="27"/>
  <c r="BQ95" i="27"/>
  <c r="CB104" i="27"/>
  <c r="BR110" i="27"/>
  <c r="CA136" i="27"/>
  <c r="CA149" i="27"/>
  <c r="CF160" i="27"/>
  <c r="CB195" i="27"/>
  <c r="CB196" i="27"/>
  <c r="BP203" i="27"/>
  <c r="CB234" i="27"/>
  <c r="BX237" i="27"/>
  <c r="CF238" i="27"/>
  <c r="BX239" i="27"/>
  <c r="BW245" i="27"/>
  <c r="CE253" i="27"/>
  <c r="BM203" i="27"/>
  <c r="CB238" i="27"/>
  <c r="BX246" i="27"/>
  <c r="BQ23" i="27"/>
  <c r="CE27" i="27"/>
  <c r="BW31" i="27"/>
  <c r="BR36" i="27"/>
  <c r="BL42" i="27"/>
  <c r="CC51" i="27"/>
  <c r="CF73" i="27"/>
  <c r="CG80" i="27"/>
  <c r="BW87" i="27"/>
  <c r="CA89" i="27"/>
  <c r="BR93" i="27"/>
  <c r="BU95" i="27"/>
  <c r="CF104" i="27"/>
  <c r="BS110" i="27"/>
  <c r="CG134" i="27"/>
  <c r="CG136" i="27"/>
  <c r="CE147" i="27"/>
  <c r="CB149" i="27"/>
  <c r="BK155" i="27"/>
  <c r="BQ187" i="27"/>
  <c r="CF195" i="27"/>
  <c r="CF196" i="27"/>
  <c r="BY202" i="27"/>
  <c r="BS203" i="27"/>
  <c r="CI212" i="27"/>
  <c r="BP231" i="27"/>
  <c r="CE234" i="27"/>
  <c r="BY237" i="27"/>
  <c r="CG238" i="27"/>
  <c r="BY239" i="27"/>
  <c r="CI242" i="27"/>
  <c r="BX245" i="27"/>
  <c r="CG253" i="27"/>
  <c r="BP87" i="27"/>
  <c r="CF96" i="27"/>
  <c r="CB142" i="27"/>
  <c r="BM237" i="27"/>
  <c r="BK23" i="27"/>
  <c r="BS31" i="27"/>
  <c r="BO36" i="27"/>
  <c r="CA51" i="27"/>
  <c r="BR23" i="27"/>
  <c r="BK30" i="27"/>
  <c r="CE31" i="27"/>
  <c r="BW36" i="27"/>
  <c r="BM42" i="27"/>
  <c r="BK44" i="27"/>
  <c r="BL54" i="27"/>
  <c r="BK76" i="27"/>
  <c r="CA83" i="27"/>
  <c r="BY87" i="27"/>
  <c r="BL92" i="27"/>
  <c r="BS93" i="27"/>
  <c r="BW95" i="27"/>
  <c r="BW106" i="27"/>
  <c r="BU110" i="27"/>
  <c r="BS126" i="27"/>
  <c r="BY132" i="27"/>
  <c r="BK145" i="27"/>
  <c r="CC149" i="27"/>
  <c r="BR151" i="27"/>
  <c r="BU153" i="27"/>
  <c r="BM155" i="27"/>
  <c r="BK165" i="27"/>
  <c r="BR187" i="27"/>
  <c r="CG195" i="27"/>
  <c r="CI196" i="27"/>
  <c r="CA202" i="27"/>
  <c r="BU203" i="27"/>
  <c r="BQ214" i="27"/>
  <c r="BM222" i="27"/>
  <c r="BQ231" i="27"/>
  <c r="CA237" i="27"/>
  <c r="CI238" i="27"/>
  <c r="CG239" i="27"/>
  <c r="BY245" i="27"/>
  <c r="CE246" i="27"/>
  <c r="BR247" i="27"/>
  <c r="BP250" i="27"/>
  <c r="BL252" i="27"/>
  <c r="CI253" i="27"/>
  <c r="BU259" i="27"/>
  <c r="BK69" i="27"/>
  <c r="BS84" i="27"/>
  <c r="CG111" i="27"/>
  <c r="CB36" i="27"/>
  <c r="BY95" i="27"/>
  <c r="CA110" i="27"/>
  <c r="BS187" i="27"/>
  <c r="CI195" i="27"/>
  <c r="CB202" i="27"/>
  <c r="BW203" i="27"/>
  <c r="CG211" i="27"/>
  <c r="BO222" i="27"/>
  <c r="CA230" i="27"/>
  <c r="BR231" i="27"/>
  <c r="CE237" i="27"/>
  <c r="CA245" i="27"/>
  <c r="CF246" i="27"/>
  <c r="BP252" i="27"/>
  <c r="BQ258" i="27"/>
  <c r="BW259" i="27"/>
  <c r="BS104" i="27"/>
  <c r="CC158" i="27"/>
  <c r="BO207" i="27"/>
  <c r="BY23" i="27"/>
  <c r="BS30" i="27"/>
  <c r="BL35" i="27"/>
  <c r="BO41" i="27"/>
  <c r="BW42" i="27"/>
  <c r="BU44" i="27"/>
  <c r="BY46" i="27"/>
  <c r="BS54" i="27"/>
  <c r="BM68" i="27"/>
  <c r="BQ76" i="27"/>
  <c r="BM79" i="27"/>
  <c r="CI83" i="27"/>
  <c r="BO92" i="27"/>
  <c r="CI93" i="27"/>
  <c r="CA95" i="27"/>
  <c r="CF106" i="27"/>
  <c r="CB110" i="27"/>
  <c r="BM122" i="27"/>
  <c r="BO124" i="27"/>
  <c r="CA126" i="27"/>
  <c r="BY128" i="27"/>
  <c r="CB130" i="27"/>
  <c r="CG132" i="27"/>
  <c r="BP145" i="27"/>
  <c r="BP165" i="27"/>
  <c r="CB172" i="27"/>
  <c r="BU187" i="27"/>
  <c r="CC202" i="27"/>
  <c r="BY203" i="27"/>
  <c r="BK210" i="27"/>
  <c r="CI211" i="27"/>
  <c r="BK219" i="27"/>
  <c r="BP222" i="27"/>
  <c r="BS229" i="27"/>
  <c r="CB230" i="27"/>
  <c r="BS231" i="27"/>
  <c r="CG237" i="27"/>
  <c r="BP244" i="27"/>
  <c r="CE245" i="27"/>
  <c r="CG246" i="27"/>
  <c r="BU247" i="27"/>
  <c r="BS258" i="27"/>
  <c r="BX259" i="27"/>
  <c r="CA114" i="27"/>
  <c r="CA23" i="27"/>
  <c r="BM35" i="27"/>
  <c r="BP41" i="27"/>
  <c r="CF42" i="27"/>
  <c r="BQ68" i="27"/>
  <c r="BR76" i="27"/>
  <c r="BO79" i="27"/>
  <c r="BP92" i="27"/>
  <c r="CG95" i="27"/>
  <c r="CG106" i="27"/>
  <c r="CG113" i="27"/>
  <c r="BK120" i="27"/>
  <c r="BP122" i="27"/>
  <c r="BP124" i="27"/>
  <c r="CA128" i="27"/>
  <c r="CG130" i="27"/>
  <c r="BS157" i="27"/>
  <c r="BR165" i="27"/>
  <c r="BK170" i="27"/>
  <c r="BY187" i="27"/>
  <c r="CG202" i="27"/>
  <c r="CA203" i="27"/>
  <c r="BM210" i="27"/>
  <c r="BP219" i="27"/>
  <c r="BQ222" i="27"/>
  <c r="CG245" i="27"/>
  <c r="BU104" i="27"/>
  <c r="BP22" i="27"/>
  <c r="CB23" i="27"/>
  <c r="CC30" i="27"/>
  <c r="BO35" i="27"/>
  <c r="BW41" i="27"/>
  <c r="CF44" i="27"/>
  <c r="CB46" i="27"/>
  <c r="BM48" i="27"/>
  <c r="BL52" i="27"/>
  <c r="BM63" i="27"/>
  <c r="CB72" i="27"/>
  <c r="BS76" i="27"/>
  <c r="BP79" i="27"/>
  <c r="BQ92" i="27"/>
  <c r="CI97" i="27"/>
  <c r="CF101" i="27"/>
  <c r="BR112" i="27"/>
  <c r="CI113" i="27"/>
  <c r="BL120" i="27"/>
  <c r="BQ122" i="27"/>
  <c r="CE139" i="27"/>
  <c r="BP141" i="27"/>
  <c r="BW157" i="27"/>
  <c r="BR159" i="27"/>
  <c r="BK177" i="27"/>
  <c r="CI202" i="27"/>
  <c r="CG203" i="27"/>
  <c r="BK205" i="27"/>
  <c r="BL206" i="27"/>
  <c r="BU210" i="27"/>
  <c r="BQ219" i="27"/>
  <c r="BR222" i="27"/>
  <c r="CI245" i="27"/>
  <c r="CB247" i="27"/>
  <c r="BP255" i="27"/>
  <c r="BW45" i="27"/>
  <c r="BP89" i="27"/>
  <c r="BS23" i="27"/>
  <c r="BQ35" i="27"/>
  <c r="BY41" i="27"/>
  <c r="CG72" i="27"/>
  <c r="BQ79" i="27"/>
  <c r="BL205" i="27"/>
  <c r="BW210" i="27"/>
  <c r="BR219" i="27"/>
  <c r="BS222" i="27"/>
  <c r="BY229" i="27"/>
  <c r="CG230" i="27"/>
  <c r="CF247" i="27"/>
  <c r="BQ255" i="27"/>
  <c r="BO31" i="27"/>
  <c r="CE24" i="27"/>
  <c r="BR31" i="27"/>
  <c r="BY45" i="27"/>
  <c r="CF114" i="27"/>
  <c r="BO34" i="27"/>
  <c r="BU35" i="27"/>
  <c r="BY37" i="27"/>
  <c r="BK40" i="27"/>
  <c r="BK58" i="27"/>
  <c r="BK60" i="27"/>
  <c r="BP65" i="27"/>
  <c r="BK78" i="27"/>
  <c r="BR79" i="27"/>
  <c r="CC105" i="27"/>
  <c r="BW112" i="27"/>
  <c r="CC148" i="27"/>
  <c r="BW159" i="27"/>
  <c r="CB175" i="27"/>
  <c r="BO177" i="27"/>
  <c r="BQ205" i="27"/>
  <c r="BY210" i="27"/>
  <c r="BY218" i="27"/>
  <c r="BS219" i="27"/>
  <c r="BU222" i="27"/>
  <c r="CA229" i="27"/>
  <c r="CI230" i="27"/>
  <c r="CG231" i="27"/>
  <c r="BM242" i="27"/>
  <c r="CG247" i="27"/>
  <c r="BR255" i="27"/>
  <c r="CA158" i="27"/>
  <c r="BU26" i="27"/>
  <c r="CC29" i="27"/>
  <c r="BW32" i="27"/>
  <c r="BQ34" i="27"/>
  <c r="BY35" i="27"/>
  <c r="CI37" i="27"/>
  <c r="BQ40" i="27"/>
  <c r="CF41" i="27"/>
  <c r="CC43" i="27"/>
  <c r="BU48" i="27"/>
  <c r="CG50" i="27"/>
  <c r="BM58" i="27"/>
  <c r="BO60" i="27"/>
  <c r="CB61" i="27"/>
  <c r="BY63" i="27"/>
  <c r="BR65" i="27"/>
  <c r="BL67" i="27"/>
  <c r="BM78" i="27"/>
  <c r="BK84" i="27"/>
  <c r="BW100" i="27"/>
  <c r="CG105" i="27"/>
  <c r="CA112" i="27"/>
  <c r="CE150" i="27"/>
  <c r="CF152" i="27"/>
  <c r="CB156" i="27"/>
  <c r="BS177" i="27"/>
  <c r="BK179" i="27"/>
  <c r="BK181" i="27"/>
  <c r="BK190" i="27"/>
  <c r="BS205" i="27"/>
  <c r="CB218" i="27"/>
  <c r="BW219" i="27"/>
  <c r="CB222" i="27"/>
  <c r="BL224" i="27"/>
  <c r="BR228" i="27"/>
  <c r="CG229" i="27"/>
  <c r="BW235" i="27"/>
  <c r="BO239" i="27"/>
  <c r="BP242" i="27"/>
  <c r="BU243" i="27"/>
  <c r="CA254" i="27"/>
  <c r="BU255" i="27"/>
  <c r="CF258" i="27"/>
  <c r="BM240" i="27"/>
  <c r="BY240" i="27"/>
  <c r="BX240" i="27"/>
  <c r="BW240" i="27"/>
  <c r="BU240" i="27"/>
  <c r="BS240" i="27"/>
  <c r="BR240" i="27"/>
  <c r="BQ240" i="27"/>
  <c r="BP240" i="27"/>
  <c r="BO240" i="27"/>
  <c r="BL240" i="27"/>
  <c r="CB19" i="27"/>
  <c r="BR21" i="27"/>
  <c r="CB22" i="27"/>
  <c r="BU23" i="27"/>
  <c r="CF24" i="27"/>
  <c r="BQ26" i="27"/>
  <c r="CG30" i="27"/>
  <c r="BY31" i="27"/>
  <c r="BS34" i="27"/>
  <c r="BR35" i="27"/>
  <c r="BS36" i="27"/>
  <c r="BM39" i="27"/>
  <c r="BW40" i="27"/>
  <c r="CC41" i="27"/>
  <c r="CI44" i="27"/>
  <c r="CA45" i="27"/>
  <c r="CI50" i="27"/>
  <c r="CG51" i="27"/>
  <c r="BK53" i="27"/>
  <c r="BM55" i="27"/>
  <c r="BU56" i="27"/>
  <c r="CC61" i="27"/>
  <c r="BR63" i="27"/>
  <c r="BO64" i="27"/>
  <c r="BU65" i="27"/>
  <c r="CG66" i="27"/>
  <c r="BQ70" i="27"/>
  <c r="BO71" i="27"/>
  <c r="BQ73" i="27"/>
  <c r="BU76" i="27"/>
  <c r="BW77" i="27"/>
  <c r="CC80" i="27"/>
  <c r="BP82" i="27"/>
  <c r="BQ83" i="27"/>
  <c r="BO84" i="27"/>
  <c r="BL85" i="27"/>
  <c r="BL86" i="27"/>
  <c r="BS89" i="27"/>
  <c r="BM90" i="27"/>
  <c r="BO91" i="27"/>
  <c r="BQ98" i="27"/>
  <c r="CF99" i="27"/>
  <c r="BW104" i="27"/>
  <c r="BP114" i="27"/>
  <c r="BY114" i="27"/>
  <c r="BW114" i="27"/>
  <c r="BU114" i="27"/>
  <c r="BS114" i="27"/>
  <c r="BR114" i="27"/>
  <c r="BQ114" i="27"/>
  <c r="CG180" i="27"/>
  <c r="CI180" i="27"/>
  <c r="CF180" i="27"/>
  <c r="CB180" i="27"/>
  <c r="CA180" i="27"/>
  <c r="BL200" i="27"/>
  <c r="BU200" i="27"/>
  <c r="BS200" i="27"/>
  <c r="BQ200" i="27"/>
  <c r="BP200" i="27"/>
  <c r="BO200" i="27"/>
  <c r="BM200" i="27"/>
  <c r="BK204" i="27"/>
  <c r="BK240" i="27"/>
  <c r="BW118" i="27"/>
  <c r="BY118" i="27"/>
  <c r="BS118" i="27"/>
  <c r="BQ118" i="27"/>
  <c r="BP118" i="27"/>
  <c r="BO118" i="27"/>
  <c r="BM118" i="27"/>
  <c r="BL118" i="27"/>
  <c r="BK71" i="27"/>
  <c r="CF116" i="27"/>
  <c r="CI116" i="27"/>
  <c r="CG116" i="27"/>
  <c r="CC116" i="27"/>
  <c r="CB116" i="27"/>
  <c r="CC99" i="27"/>
  <c r="BU116" i="27"/>
  <c r="BY116" i="27"/>
  <c r="BW116" i="27"/>
  <c r="BS116" i="27"/>
  <c r="BR116" i="27"/>
  <c r="BQ116" i="27"/>
  <c r="CI200" i="27"/>
  <c r="CC200" i="27"/>
  <c r="BU209" i="27"/>
  <c r="BY209" i="27"/>
  <c r="BW209" i="27"/>
  <c r="BS209" i="27"/>
  <c r="BR209" i="27"/>
  <c r="BQ209" i="27"/>
  <c r="BP209" i="27"/>
  <c r="BO209" i="27"/>
  <c r="BM209" i="27"/>
  <c r="BL209" i="27"/>
  <c r="BK209" i="27"/>
  <c r="CF19" i="27"/>
  <c r="BS21" i="27"/>
  <c r="CC22" i="27"/>
  <c r="BW23" i="27"/>
  <c r="CI24" i="27"/>
  <c r="BS26" i="27"/>
  <c r="CI30" i="27"/>
  <c r="CB31" i="27"/>
  <c r="BU34" i="27"/>
  <c r="BS35" i="27"/>
  <c r="BU36" i="27"/>
  <c r="BO39" i="27"/>
  <c r="CG45" i="27"/>
  <c r="CI51" i="27"/>
  <c r="BM53" i="27"/>
  <c r="BO55" i="27"/>
  <c r="BW56" i="27"/>
  <c r="CA60" i="27"/>
  <c r="CG61" i="27"/>
  <c r="BS63" i="27"/>
  <c r="BY64" i="27"/>
  <c r="BW65" i="27"/>
  <c r="BR70" i="27"/>
  <c r="BP71" i="27"/>
  <c r="BW76" i="27"/>
  <c r="BY77" i="27"/>
  <c r="BS79" i="27"/>
  <c r="CF80" i="27"/>
  <c r="BR82" i="27"/>
  <c r="BY83" i="27"/>
  <c r="BP84" i="27"/>
  <c r="BP85" i="27"/>
  <c r="BU89" i="27"/>
  <c r="BQ90" i="27"/>
  <c r="CB91" i="27"/>
  <c r="BS92" i="27"/>
  <c r="BU93" i="27"/>
  <c r="CI95" i="27"/>
  <c r="BS98" i="27"/>
  <c r="CG99" i="27"/>
  <c r="BO103" i="27"/>
  <c r="BY104" i="27"/>
  <c r="BQ108" i="27"/>
  <c r="BK109" i="27"/>
  <c r="BW110" i="27"/>
  <c r="BP191" i="27"/>
  <c r="BO191" i="27"/>
  <c r="BM191" i="27"/>
  <c r="BS251" i="27"/>
  <c r="BY251" i="27"/>
  <c r="BX251" i="27"/>
  <c r="BW251" i="27"/>
  <c r="BU251" i="27"/>
  <c r="BL70" i="27"/>
  <c r="BK90" i="27"/>
  <c r="BO53" i="27"/>
  <c r="BP55" i="27"/>
  <c r="BY56" i="27"/>
  <c r="CA64" i="27"/>
  <c r="BS70" i="27"/>
  <c r="BQ71" i="27"/>
  <c r="BS82" i="27"/>
  <c r="BR85" i="27"/>
  <c r="BW89" i="27"/>
  <c r="BS90" i="27"/>
  <c r="CE91" i="27"/>
  <c r="BU92" i="27"/>
  <c r="BW93" i="27"/>
  <c r="BU98" i="27"/>
  <c r="CI99" i="27"/>
  <c r="BQ102" i="27"/>
  <c r="BR108" i="27"/>
  <c r="BY110" i="27"/>
  <c r="CI170" i="27"/>
  <c r="CF170" i="27"/>
  <c r="CE170" i="27"/>
  <c r="CC170" i="27"/>
  <c r="CB170" i="27"/>
  <c r="CA170" i="27"/>
  <c r="BK191" i="27"/>
  <c r="BO70" i="27"/>
  <c r="BP39" i="27"/>
  <c r="CA21" i="27"/>
  <c r="CG22" i="27"/>
  <c r="BO28" i="27"/>
  <c r="CA36" i="27"/>
  <c r="BP38" i="27"/>
  <c r="BQ39" i="27"/>
  <c r="BM43" i="27"/>
  <c r="BM47" i="27"/>
  <c r="BP53" i="27"/>
  <c r="BQ55" i="27"/>
  <c r="CA56" i="27"/>
  <c r="BW63" i="27"/>
  <c r="CB64" i="27"/>
  <c r="CF65" i="27"/>
  <c r="BL68" i="27"/>
  <c r="BR71" i="27"/>
  <c r="CA72" i="27"/>
  <c r="CB73" i="27"/>
  <c r="CB77" i="27"/>
  <c r="CC78" i="27"/>
  <c r="BW79" i="27"/>
  <c r="BU82" i="27"/>
  <c r="CB83" i="27"/>
  <c r="BR84" i="27"/>
  <c r="BS85" i="27"/>
  <c r="BY89" i="27"/>
  <c r="BU90" i="27"/>
  <c r="CF91" i="27"/>
  <c r="CA92" i="27"/>
  <c r="BW98" i="27"/>
  <c r="CC103" i="27"/>
  <c r="BS108" i="27"/>
  <c r="CC109" i="27"/>
  <c r="CI185" i="27"/>
  <c r="CG185" i="27"/>
  <c r="CB185" i="27"/>
  <c r="CG214" i="27"/>
  <c r="CI214" i="27"/>
  <c r="CB214" i="27"/>
  <c r="BK56" i="27"/>
  <c r="BK83" i="27"/>
  <c r="BM71" i="27"/>
  <c r="BQ28" i="27"/>
  <c r="BR38" i="27"/>
  <c r="BP43" i="27"/>
  <c r="BO47" i="27"/>
  <c r="BQ53" i="27"/>
  <c r="BR55" i="27"/>
  <c r="CC64" i="27"/>
  <c r="BS71" i="27"/>
  <c r="BW82" i="27"/>
  <c r="BU85" i="27"/>
  <c r="BW90" i="27"/>
  <c r="CG91" i="27"/>
  <c r="BY98" i="27"/>
  <c r="CF103" i="27"/>
  <c r="BU108" i="27"/>
  <c r="CF109" i="27"/>
  <c r="BY123" i="27"/>
  <c r="BU123" i="27"/>
  <c r="BM123" i="27"/>
  <c r="CI168" i="27"/>
  <c r="CF168" i="27"/>
  <c r="CA168" i="27"/>
  <c r="BL185" i="27"/>
  <c r="BY185" i="27"/>
  <c r="BW185" i="27"/>
  <c r="BU185" i="27"/>
  <c r="BS185" i="27"/>
  <c r="BR185" i="27"/>
  <c r="BQ185" i="27"/>
  <c r="BP185" i="27"/>
  <c r="BO185" i="27"/>
  <c r="BM185" i="27"/>
  <c r="BK185" i="27"/>
  <c r="CF216" i="27"/>
  <c r="CE216" i="27"/>
  <c r="CG209" i="27"/>
  <c r="CB209" i="27"/>
  <c r="CA209" i="27"/>
  <c r="CI209" i="27"/>
  <c r="BL90" i="27"/>
  <c r="CB21" i="27"/>
  <c r="CC21" i="27"/>
  <c r="CC23" i="27"/>
  <c r="CF26" i="27"/>
  <c r="BS28" i="27"/>
  <c r="BL30" i="27"/>
  <c r="CB35" i="27"/>
  <c r="CC36" i="27"/>
  <c r="BS38" i="27"/>
  <c r="BQ43" i="27"/>
  <c r="BL44" i="27"/>
  <c r="BK45" i="27"/>
  <c r="BP47" i="27"/>
  <c r="BP48" i="27"/>
  <c r="CF49" i="27"/>
  <c r="BM51" i="27"/>
  <c r="BR53" i="27"/>
  <c r="BW54" i="27"/>
  <c r="BS55" i="27"/>
  <c r="CG56" i="27"/>
  <c r="BO58" i="27"/>
  <c r="CA63" i="27"/>
  <c r="BO68" i="27"/>
  <c r="CB69" i="27"/>
  <c r="CC70" i="27"/>
  <c r="BU71" i="27"/>
  <c r="CC72" i="27"/>
  <c r="CG73" i="27"/>
  <c r="CG77" i="27"/>
  <c r="CG78" i="27"/>
  <c r="CB79" i="27"/>
  <c r="CF83" i="27"/>
  <c r="BU84" i="27"/>
  <c r="BW85" i="27"/>
  <c r="CB89" i="27"/>
  <c r="BY90" i="27"/>
  <c r="CF92" i="27"/>
  <c r="CB93" i="27"/>
  <c r="BL95" i="27"/>
  <c r="CA98" i="27"/>
  <c r="BW102" i="27"/>
  <c r="CG103" i="27"/>
  <c r="CG104" i="27"/>
  <c r="BK107" i="27"/>
  <c r="BW108" i="27"/>
  <c r="CG109" i="27"/>
  <c r="CF110" i="27"/>
  <c r="CE117" i="27"/>
  <c r="CF117" i="27"/>
  <c r="CB117" i="27"/>
  <c r="CA117" i="27"/>
  <c r="BO123" i="27"/>
  <c r="BW168" i="27"/>
  <c r="BO168" i="27"/>
  <c r="BM168" i="27"/>
  <c r="BL168" i="27"/>
  <c r="BK168" i="27"/>
  <c r="CI183" i="27"/>
  <c r="CB183" i="27"/>
  <c r="BQ232" i="27"/>
  <c r="BY232" i="27"/>
  <c r="BX232" i="27"/>
  <c r="BW232" i="27"/>
  <c r="BU232" i="27"/>
  <c r="BS232" i="27"/>
  <c r="BR232" i="27"/>
  <c r="BP232" i="27"/>
  <c r="BO232" i="27"/>
  <c r="BM232" i="27"/>
  <c r="BL232" i="27"/>
  <c r="CI248" i="27"/>
  <c r="CA248" i="27"/>
  <c r="CG250" i="27"/>
  <c r="CI250" i="27"/>
  <c r="CF250" i="27"/>
  <c r="CE250" i="27"/>
  <c r="CB250" i="27"/>
  <c r="CA250" i="27"/>
  <c r="BK20" i="27"/>
  <c r="CE21" i="27"/>
  <c r="CE23" i="27"/>
  <c r="BW25" i="27"/>
  <c r="BW28" i="27"/>
  <c r="BP30" i="27"/>
  <c r="BK31" i="27"/>
  <c r="CE36" i="27"/>
  <c r="BU38" i="27"/>
  <c r="BR43" i="27"/>
  <c r="BM44" i="27"/>
  <c r="BL45" i="27"/>
  <c r="BQ47" i="27"/>
  <c r="BQ48" i="27"/>
  <c r="BP51" i="27"/>
  <c r="BK52" i="27"/>
  <c r="BS53" i="27"/>
  <c r="BY54" i="27"/>
  <c r="BU55" i="27"/>
  <c r="CI56" i="27"/>
  <c r="BQ58" i="27"/>
  <c r="CB63" i="27"/>
  <c r="BK67" i="27"/>
  <c r="BP68" i="27"/>
  <c r="CC69" i="27"/>
  <c r="CF70" i="27"/>
  <c r="BW71" i="27"/>
  <c r="CF72" i="27"/>
  <c r="CI77" i="27"/>
  <c r="CC79" i="27"/>
  <c r="CA82" i="27"/>
  <c r="BY85" i="27"/>
  <c r="CC89" i="27"/>
  <c r="CA90" i="27"/>
  <c r="CI92" i="27"/>
  <c r="CC93" i="27"/>
  <c r="BM95" i="27"/>
  <c r="CC97" i="27"/>
  <c r="CB98" i="27"/>
  <c r="BY102" i="27"/>
  <c r="CI103" i="27"/>
  <c r="BQ106" i="27"/>
  <c r="BY108" i="27"/>
  <c r="CI109" i="27"/>
  <c r="CG110" i="27"/>
  <c r="BW117" i="27"/>
  <c r="BU117" i="27"/>
  <c r="BP117" i="27"/>
  <c r="BO117" i="27"/>
  <c r="BM117" i="27"/>
  <c r="BP123" i="27"/>
  <c r="CE125" i="27"/>
  <c r="CF227" i="27"/>
  <c r="CE227" i="27"/>
  <c r="CC227" i="27"/>
  <c r="CB227" i="27"/>
  <c r="BK118" i="27"/>
  <c r="BL55" i="27"/>
  <c r="BR118" i="27"/>
  <c r="BM20" i="27"/>
  <c r="CI23" i="27"/>
  <c r="CB25" i="27"/>
  <c r="BY28" i="27"/>
  <c r="BQ30" i="27"/>
  <c r="BL31" i="27"/>
  <c r="BK32" i="27"/>
  <c r="BW38" i="27"/>
  <c r="BL41" i="27"/>
  <c r="BU43" i="27"/>
  <c r="BO44" i="27"/>
  <c r="BM45" i="27"/>
  <c r="BS47" i="27"/>
  <c r="BQ51" i="27"/>
  <c r="BU53" i="27"/>
  <c r="CB54" i="27"/>
  <c r="BW55" i="27"/>
  <c r="CG70" i="27"/>
  <c r="BY71" i="27"/>
  <c r="CG79" i="27"/>
  <c r="CF82" i="27"/>
  <c r="CA85" i="27"/>
  <c r="CF89" i="27"/>
  <c r="CB90" i="27"/>
  <c r="CF93" i="27"/>
  <c r="BO95" i="27"/>
  <c r="BQ96" i="27"/>
  <c r="CF97" i="27"/>
  <c r="CF98" i="27"/>
  <c r="CA102" i="27"/>
  <c r="BS106" i="27"/>
  <c r="CC107" i="27"/>
  <c r="CA108" i="27"/>
  <c r="BY117" i="27"/>
  <c r="CE146" i="27"/>
  <c r="CI146" i="27"/>
  <c r="CF146" i="27"/>
  <c r="CA146" i="27"/>
  <c r="CI179" i="27"/>
  <c r="CG179" i="27"/>
  <c r="CB179" i="27"/>
  <c r="CI181" i="27"/>
  <c r="CB181" i="27"/>
  <c r="BY194" i="27"/>
  <c r="BW194" i="27"/>
  <c r="BU194" i="27"/>
  <c r="BS194" i="27"/>
  <c r="BQ194" i="27"/>
  <c r="BK194" i="27"/>
  <c r="CC220" i="27"/>
  <c r="CI220" i="27"/>
  <c r="CG220" i="27"/>
  <c r="CF220" i="27"/>
  <c r="CE220" i="27"/>
  <c r="CB220" i="27"/>
  <c r="CA220" i="27"/>
  <c r="BS223" i="27"/>
  <c r="BY223" i="27"/>
  <c r="BX223" i="27"/>
  <c r="BW223" i="27"/>
  <c r="BU223" i="27"/>
  <c r="BP223" i="27"/>
  <c r="BO223" i="27"/>
  <c r="CI145" i="27"/>
  <c r="CE145" i="27"/>
  <c r="CC145" i="27"/>
  <c r="CB145" i="27"/>
  <c r="CA145" i="27"/>
  <c r="BS215" i="27"/>
  <c r="BY215" i="27"/>
  <c r="BX215" i="27"/>
  <c r="BW215" i="27"/>
  <c r="BU215" i="27"/>
  <c r="BP215" i="27"/>
  <c r="BO215" i="27"/>
  <c r="BM215" i="27"/>
  <c r="BL215" i="27"/>
  <c r="BK215" i="27"/>
  <c r="BW21" i="27"/>
  <c r="CE25" i="27"/>
  <c r="BW43" i="27"/>
  <c r="BO45" i="27"/>
  <c r="BR51" i="27"/>
  <c r="BW53" i="27"/>
  <c r="CF54" i="27"/>
  <c r="BY55" i="27"/>
  <c r="CI79" i="27"/>
  <c r="CA84" i="27"/>
  <c r="CB85" i="27"/>
  <c r="CG89" i="27"/>
  <c r="CG93" i="27"/>
  <c r="BP95" i="27"/>
  <c r="BS96" i="27"/>
  <c r="CG97" i="27"/>
  <c r="CG98" i="27"/>
  <c r="CC101" i="27"/>
  <c r="CB102" i="27"/>
  <c r="BU106" i="27"/>
  <c r="CF107" i="27"/>
  <c r="CB108" i="27"/>
  <c r="BQ112" i="27"/>
  <c r="CG144" i="27"/>
  <c r="CI144" i="27"/>
  <c r="CA144" i="27"/>
  <c r="CI192" i="27"/>
  <c r="CG192" i="27"/>
  <c r="CB192" i="27"/>
  <c r="CA192" i="27"/>
  <c r="BM194" i="27"/>
  <c r="BQ220" i="27"/>
  <c r="BY220" i="27"/>
  <c r="BW220" i="27"/>
  <c r="BU220" i="27"/>
  <c r="BS220" i="27"/>
  <c r="BR220" i="27"/>
  <c r="BL220" i="27"/>
  <c r="BL223" i="27"/>
  <c r="BY19" i="27"/>
  <c r="BP45" i="27"/>
  <c r="BS51" i="27"/>
  <c r="BY53" i="27"/>
  <c r="CI54" i="27"/>
  <c r="CC85" i="27"/>
  <c r="CF108" i="27"/>
  <c r="CF138" i="27"/>
  <c r="CB138" i="27"/>
  <c r="BQ144" i="27"/>
  <c r="BY144" i="27"/>
  <c r="BU144" i="27"/>
  <c r="BS144" i="27"/>
  <c r="BR144" i="27"/>
  <c r="BP144" i="27"/>
  <c r="BK144" i="27"/>
  <c r="BQ192" i="27"/>
  <c r="BY192" i="27"/>
  <c r="BW192" i="27"/>
  <c r="BU192" i="27"/>
  <c r="BS192" i="27"/>
  <c r="BR192" i="27"/>
  <c r="BP192" i="27"/>
  <c r="BM192" i="27"/>
  <c r="BL192" i="27"/>
  <c r="BK192" i="27"/>
  <c r="CI215" i="27"/>
  <c r="CB215" i="27"/>
  <c r="BU19" i="27"/>
  <c r="BK27" i="27"/>
  <c r="BU30" i="27"/>
  <c r="BP31" i="27"/>
  <c r="BK36" i="27"/>
  <c r="CB38" i="27"/>
  <c r="BO40" i="27"/>
  <c r="BR41" i="27"/>
  <c r="BO42" i="27"/>
  <c r="CA43" i="27"/>
  <c r="BQ45" i="27"/>
  <c r="CC47" i="27"/>
  <c r="BW48" i="27"/>
  <c r="BP50" i="27"/>
  <c r="BU51" i="27"/>
  <c r="BP52" i="27"/>
  <c r="CA53" i="27"/>
  <c r="BW58" i="27"/>
  <c r="BP60" i="27"/>
  <c r="BL61" i="27"/>
  <c r="BL65" i="27"/>
  <c r="BM66" i="27"/>
  <c r="BQ67" i="27"/>
  <c r="BU68" i="27"/>
  <c r="CC71" i="27"/>
  <c r="BM76" i="27"/>
  <c r="BK77" i="27"/>
  <c r="CF81" i="27"/>
  <c r="CG85" i="27"/>
  <c r="BS87" i="27"/>
  <c r="BK89" i="27"/>
  <c r="BR95" i="27"/>
  <c r="BW96" i="27"/>
  <c r="BS100" i="27"/>
  <c r="CG101" i="27"/>
  <c r="CG102" i="27"/>
  <c r="BY106" i="27"/>
  <c r="CI107" i="27"/>
  <c r="CG108" i="27"/>
  <c r="CF134" i="27"/>
  <c r="CB134" i="27"/>
  <c r="CF136" i="27"/>
  <c r="CB136" i="27"/>
  <c r="CG181" i="27"/>
  <c r="CI261" i="27"/>
  <c r="CG261" i="27"/>
  <c r="CE261" i="27"/>
  <c r="CA261" i="27"/>
  <c r="BK85" i="27"/>
  <c r="BK22" i="27"/>
  <c r="BM23" i="27"/>
  <c r="BL27" i="27"/>
  <c r="BY30" i="27"/>
  <c r="EG33" i="27"/>
  <c r="BK34" i="27"/>
  <c r="BK35" i="27"/>
  <c r="BL36" i="27"/>
  <c r="BL37" i="27"/>
  <c r="BP40" i="27"/>
  <c r="BP42" i="27"/>
  <c r="CB43" i="27"/>
  <c r="CA44" i="27"/>
  <c r="BR45" i="27"/>
  <c r="CC46" i="27"/>
  <c r="CE47" i="27"/>
  <c r="BY48" i="27"/>
  <c r="BR50" i="27"/>
  <c r="BW51" i="27"/>
  <c r="CC53" i="27"/>
  <c r="BQ60" i="27"/>
  <c r="BU61" i="27"/>
  <c r="BM65" i="27"/>
  <c r="BP66" i="27"/>
  <c r="CG71" i="27"/>
  <c r="BO76" i="27"/>
  <c r="BL77" i="27"/>
  <c r="BK79" i="27"/>
  <c r="CI85" i="27"/>
  <c r="BU87" i="27"/>
  <c r="BM89" i="27"/>
  <c r="BY96" i="27"/>
  <c r="BU100" i="27"/>
  <c r="CI101" i="27"/>
  <c r="CA106" i="27"/>
  <c r="BU112" i="27"/>
  <c r="CF120" i="27"/>
  <c r="CI120" i="27"/>
  <c r="CG120" i="27"/>
  <c r="CB120" i="27"/>
  <c r="CA120" i="27"/>
  <c r="CA138" i="27"/>
  <c r="BL169" i="27"/>
  <c r="BY169" i="27"/>
  <c r="BW169" i="27"/>
  <c r="BU169" i="27"/>
  <c r="BS169" i="27"/>
  <c r="BR169" i="27"/>
  <c r="BQ169" i="27"/>
  <c r="BP169" i="27"/>
  <c r="BK169" i="27"/>
  <c r="BQ256" i="27"/>
  <c r="BY256" i="27"/>
  <c r="BX256" i="27"/>
  <c r="BW256" i="27"/>
  <c r="BU256" i="27"/>
  <c r="BS256" i="27"/>
  <c r="BR256" i="27"/>
  <c r="BP256" i="27"/>
  <c r="BO256" i="27"/>
  <c r="BL256" i="27"/>
  <c r="BY261" i="27"/>
  <c r="BX261" i="27"/>
  <c r="BW261" i="27"/>
  <c r="BU261" i="27"/>
  <c r="BS261" i="27"/>
  <c r="BR261" i="27"/>
  <c r="BQ261" i="27"/>
  <c r="BP261" i="27"/>
  <c r="BL21" i="27"/>
  <c r="BM22" i="27"/>
  <c r="BO23" i="27"/>
  <c r="BR27" i="27"/>
  <c r="CA30" i="27"/>
  <c r="CB44" i="27"/>
  <c r="BY51" i="27"/>
  <c r="CI53" i="27"/>
  <c r="CG57" i="27"/>
  <c r="BW61" i="27"/>
  <c r="BO65" i="27"/>
  <c r="CI71" i="27"/>
  <c r="BP77" i="27"/>
  <c r="BO89" i="27"/>
  <c r="CA134" i="27"/>
  <c r="CG138" i="27"/>
  <c r="BM169" i="27"/>
  <c r="BK256" i="27"/>
  <c r="CF113" i="27"/>
  <c r="CB114" i="27"/>
  <c r="BO122" i="27"/>
  <c r="BM124" i="27"/>
  <c r="BW126" i="27"/>
  <c r="CE127" i="27"/>
  <c r="BW128" i="27"/>
  <c r="CA130" i="27"/>
  <c r="CA132" i="27"/>
  <c r="BY140" i="27"/>
  <c r="CA142" i="27"/>
  <c r="CF147" i="27"/>
  <c r="CE148" i="27"/>
  <c r="CC150" i="27"/>
  <c r="CG152" i="27"/>
  <c r="BW153" i="27"/>
  <c r="BQ157" i="27"/>
  <c r="CB158" i="27"/>
  <c r="BS159" i="27"/>
  <c r="CE160" i="27"/>
  <c r="BW161" i="27"/>
  <c r="BM165" i="27"/>
  <c r="CC171" i="27"/>
  <c r="CG175" i="27"/>
  <c r="CI176" i="27"/>
  <c r="BY177" i="27"/>
  <c r="BM120" i="27"/>
  <c r="BR122" i="27"/>
  <c r="BQ124" i="27"/>
  <c r="CB126" i="27"/>
  <c r="CB128" i="27"/>
  <c r="CI130" i="27"/>
  <c r="CI132" i="27"/>
  <c r="CG140" i="27"/>
  <c r="CI142" i="27"/>
  <c r="BO145" i="27"/>
  <c r="BO155" i="27"/>
  <c r="CE156" i="27"/>
  <c r="BU157" i="27"/>
  <c r="BQ165" i="27"/>
  <c r="BO179" i="27"/>
  <c r="BW187" i="27"/>
  <c r="BP214" i="27"/>
  <c r="BP224" i="27"/>
  <c r="BO120" i="27"/>
  <c r="BM121" i="27"/>
  <c r="BS122" i="27"/>
  <c r="BR124" i="27"/>
  <c r="CG126" i="27"/>
  <c r="CG128" i="27"/>
  <c r="BK134" i="27"/>
  <c r="BK136" i="27"/>
  <c r="BK138" i="27"/>
  <c r="CI140" i="27"/>
  <c r="BP120" i="27"/>
  <c r="BY122" i="27"/>
  <c r="CA123" i="27"/>
  <c r="BS124" i="27"/>
  <c r="CI126" i="27"/>
  <c r="CI128" i="27"/>
  <c r="BK132" i="27"/>
  <c r="BL134" i="27"/>
  <c r="BL136" i="27"/>
  <c r="BL138" i="27"/>
  <c r="BK142" i="27"/>
  <c r="BQ145" i="27"/>
  <c r="BQ155" i="27"/>
  <c r="CI156" i="27"/>
  <c r="CA164" i="27"/>
  <c r="BS165" i="27"/>
  <c r="BP167" i="27"/>
  <c r="BL170" i="27"/>
  <c r="BK171" i="27"/>
  <c r="BK175" i="27"/>
  <c r="BQ179" i="27"/>
  <c r="BL180" i="27"/>
  <c r="BM181" i="27"/>
  <c r="BM183" i="27"/>
  <c r="CB187" i="27"/>
  <c r="BP189" i="27"/>
  <c r="BM190" i="27"/>
  <c r="BP198" i="27"/>
  <c r="CF204" i="27"/>
  <c r="BR214" i="27"/>
  <c r="BS224" i="27"/>
  <c r="CF234" i="27"/>
  <c r="BY243" i="27"/>
  <c r="BL248" i="27"/>
  <c r="BS250" i="27"/>
  <c r="CA119" i="27"/>
  <c r="BQ120" i="27"/>
  <c r="CA122" i="27"/>
  <c r="CB123" i="27"/>
  <c r="BY124" i="27"/>
  <c r="BK130" i="27"/>
  <c r="BL132" i="27"/>
  <c r="BM134" i="27"/>
  <c r="BM136" i="27"/>
  <c r="BM138" i="27"/>
  <c r="BK140" i="27"/>
  <c r="BL142" i="27"/>
  <c r="BR145" i="27"/>
  <c r="BL150" i="27"/>
  <c r="BK152" i="27"/>
  <c r="BR155" i="27"/>
  <c r="BK163" i="27"/>
  <c r="CC164" i="27"/>
  <c r="BU165" i="27"/>
  <c r="BR167" i="27"/>
  <c r="BM170" i="27"/>
  <c r="BM171" i="27"/>
  <c r="BK173" i="27"/>
  <c r="BP174" i="27"/>
  <c r="BM175" i="27"/>
  <c r="BR179" i="27"/>
  <c r="BM180" i="27"/>
  <c r="BO181" i="27"/>
  <c r="BK182" i="27"/>
  <c r="BO183" i="27"/>
  <c r="CG187" i="27"/>
  <c r="BR189" i="27"/>
  <c r="BR190" i="27"/>
  <c r="CA191" i="27"/>
  <c r="CE193" i="27"/>
  <c r="BQ198" i="27"/>
  <c r="BK199" i="27"/>
  <c r="CG204" i="27"/>
  <c r="BY208" i="27"/>
  <c r="BS214" i="27"/>
  <c r="CB221" i="27"/>
  <c r="BU224" i="27"/>
  <c r="CA233" i="27"/>
  <c r="CI234" i="27"/>
  <c r="CC241" i="27"/>
  <c r="BO248" i="27"/>
  <c r="BU250" i="27"/>
  <c r="CB119" i="27"/>
  <c r="BR120" i="27"/>
  <c r="CB122" i="27"/>
  <c r="CC123" i="27"/>
  <c r="CA124" i="27"/>
  <c r="BL130" i="27"/>
  <c r="BM132" i="27"/>
  <c r="BO134" i="27"/>
  <c r="BO136" i="27"/>
  <c r="BO138" i="27"/>
  <c r="BL140" i="27"/>
  <c r="BM142" i="27"/>
  <c r="BS145" i="27"/>
  <c r="BK148" i="27"/>
  <c r="BO150" i="27"/>
  <c r="BL152" i="27"/>
  <c r="BS155" i="27"/>
  <c r="BM163" i="27"/>
  <c r="CE164" i="27"/>
  <c r="BW165" i="27"/>
  <c r="BS167" i="27"/>
  <c r="BP170" i="27"/>
  <c r="BO171" i="27"/>
  <c r="BM173" i="27"/>
  <c r="BU174" i="27"/>
  <c r="BO175" i="27"/>
  <c r="BK176" i="27"/>
  <c r="BS179" i="27"/>
  <c r="BP180" i="27"/>
  <c r="BP181" i="27"/>
  <c r="BP182" i="27"/>
  <c r="BP183" i="27"/>
  <c r="CA184" i="27"/>
  <c r="BU190" i="27"/>
  <c r="CB191" i="27"/>
  <c r="CF193" i="27"/>
  <c r="BR198" i="27"/>
  <c r="BL199" i="27"/>
  <c r="CB203" i="27"/>
  <c r="CA205" i="27"/>
  <c r="CA208" i="27"/>
  <c r="BU214" i="27"/>
  <c r="CA219" i="27"/>
  <c r="BX222" i="27"/>
  <c r="BW224" i="27"/>
  <c r="CB231" i="27"/>
  <c r="CB233" i="27"/>
  <c r="CB239" i="27"/>
  <c r="BP248" i="27"/>
  <c r="CA249" i="27"/>
  <c r="CB255" i="27"/>
  <c r="CI258" i="27"/>
  <c r="CG122" i="27"/>
  <c r="CB124" i="27"/>
  <c r="BK126" i="27"/>
  <c r="BK128" i="27"/>
  <c r="BM130" i="27"/>
  <c r="BO132" i="27"/>
  <c r="BP134" i="27"/>
  <c r="BP136" i="27"/>
  <c r="BP138" i="27"/>
  <c r="BM140" i="27"/>
  <c r="BO142" i="27"/>
  <c r="BU145" i="27"/>
  <c r="BL148" i="27"/>
  <c r="BK149" i="27"/>
  <c r="BP150" i="27"/>
  <c r="BP152" i="27"/>
  <c r="BK153" i="27"/>
  <c r="BU155" i="27"/>
  <c r="BK161" i="27"/>
  <c r="BP162" i="27"/>
  <c r="BO163" i="27"/>
  <c r="CF164" i="27"/>
  <c r="BR170" i="27"/>
  <c r="BP171" i="27"/>
  <c r="BK172" i="27"/>
  <c r="BO173" i="27"/>
  <c r="BP175" i="27"/>
  <c r="BM176" i="27"/>
  <c r="BU179" i="27"/>
  <c r="BU180" i="27"/>
  <c r="BQ181" i="27"/>
  <c r="BQ183" i="27"/>
  <c r="CB184" i="27"/>
  <c r="CA189" i="27"/>
  <c r="BW190" i="27"/>
  <c r="CC191" i="27"/>
  <c r="CA194" i="27"/>
  <c r="BS198" i="27"/>
  <c r="BR199" i="27"/>
  <c r="BK202" i="27"/>
  <c r="CC203" i="27"/>
  <c r="CG205" i="27"/>
  <c r="CB208" i="27"/>
  <c r="BL212" i="27"/>
  <c r="BX214" i="27"/>
  <c r="CB219" i="27"/>
  <c r="BY222" i="27"/>
  <c r="BX224" i="27"/>
  <c r="CB226" i="27"/>
  <c r="CF231" i="27"/>
  <c r="CC233" i="27"/>
  <c r="BL237" i="27"/>
  <c r="CF239" i="27"/>
  <c r="CF242" i="27"/>
  <c r="BY247" i="27"/>
  <c r="BR248" i="27"/>
  <c r="CC249" i="27"/>
  <c r="BL253" i="27"/>
  <c r="CF255" i="27"/>
  <c r="CC115" i="27"/>
  <c r="CE119" i="27"/>
  <c r="BY120" i="27"/>
  <c r="CI122" i="27"/>
  <c r="CG124" i="27"/>
  <c r="BL126" i="27"/>
  <c r="BL128" i="27"/>
  <c r="BO130" i="27"/>
  <c r="BP132" i="27"/>
  <c r="BQ134" i="27"/>
  <c r="BQ136" i="27"/>
  <c r="BQ138" i="27"/>
  <c r="BO140" i="27"/>
  <c r="BP142" i="27"/>
  <c r="BO148" i="27"/>
  <c r="BQ149" i="27"/>
  <c r="BQ150" i="27"/>
  <c r="BK151" i="27"/>
  <c r="BR152" i="27"/>
  <c r="BM153" i="27"/>
  <c r="CF154" i="27"/>
  <c r="BW155" i="27"/>
  <c r="BM161" i="27"/>
  <c r="BR162" i="27"/>
  <c r="BP163" i="27"/>
  <c r="CA167" i="27"/>
  <c r="BQ171" i="27"/>
  <c r="BM172" i="27"/>
  <c r="BP173" i="27"/>
  <c r="CA174" i="27"/>
  <c r="BQ175" i="27"/>
  <c r="BW179" i="27"/>
  <c r="BR181" i="27"/>
  <c r="CB182" i="27"/>
  <c r="BR183" i="27"/>
  <c r="CC184" i="27"/>
  <c r="CB189" i="27"/>
  <c r="BY190" i="27"/>
  <c r="CF191" i="27"/>
  <c r="BW198" i="27"/>
  <c r="BS199" i="27"/>
  <c r="CC208" i="27"/>
  <c r="BY214" i="27"/>
  <c r="CF219" i="27"/>
  <c r="CB223" i="27"/>
  <c r="BY224" i="27"/>
  <c r="CE226" i="27"/>
  <c r="CE233" i="27"/>
  <c r="BS248" i="27"/>
  <c r="CG255" i="27"/>
  <c r="CF115" i="27"/>
  <c r="CI124" i="27"/>
  <c r="BM126" i="27"/>
  <c r="BM128" i="27"/>
  <c r="BP130" i="27"/>
  <c r="BO131" i="27"/>
  <c r="BQ132" i="27"/>
  <c r="BO133" i="27"/>
  <c r="BR134" i="27"/>
  <c r="BO135" i="27"/>
  <c r="BR136" i="27"/>
  <c r="BM137" i="27"/>
  <c r="BR138" i="27"/>
  <c r="BM139" i="27"/>
  <c r="BP140" i="27"/>
  <c r="BQ142" i="27"/>
  <c r="CB143" i="27"/>
  <c r="BP148" i="27"/>
  <c r="BS149" i="27"/>
  <c r="BR150" i="27"/>
  <c r="BM151" i="27"/>
  <c r="BO153" i="27"/>
  <c r="CI154" i="27"/>
  <c r="BK159" i="27"/>
  <c r="BP160" i="27"/>
  <c r="BO161" i="27"/>
  <c r="BQ163" i="27"/>
  <c r="CC167" i="27"/>
  <c r="CB169" i="27"/>
  <c r="BR171" i="27"/>
  <c r="BQ172" i="27"/>
  <c r="BQ173" i="27"/>
  <c r="CB174" i="27"/>
  <c r="BR175" i="27"/>
  <c r="CA176" i="27"/>
  <c r="BY179" i="27"/>
  <c r="BS181" i="27"/>
  <c r="CC182" i="27"/>
  <c r="BS183" i="27"/>
  <c r="CE184" i="27"/>
  <c r="CC189" i="27"/>
  <c r="CG191" i="27"/>
  <c r="CG199" i="27"/>
  <c r="BM202" i="27"/>
  <c r="CI203" i="27"/>
  <c r="BP207" i="27"/>
  <c r="CF208" i="27"/>
  <c r="BL210" i="27"/>
  <c r="BS212" i="27"/>
  <c r="CG219" i="27"/>
  <c r="CF226" i="27"/>
  <c r="BL229" i="27"/>
  <c r="CI231" i="27"/>
  <c r="CI233" i="27"/>
  <c r="CI239" i="27"/>
  <c r="BL245" i="27"/>
  <c r="BU248" i="27"/>
  <c r="CI255" i="27"/>
  <c r="BK260" i="27"/>
  <c r="CG115" i="27"/>
  <c r="CA118" i="27"/>
  <c r="BO126" i="27"/>
  <c r="BO128" i="27"/>
  <c r="BQ130" i="27"/>
  <c r="BP131" i="27"/>
  <c r="BR132" i="27"/>
  <c r="BP133" i="27"/>
  <c r="BS134" i="27"/>
  <c r="BP135" i="27"/>
  <c r="BS136" i="27"/>
  <c r="BP137" i="27"/>
  <c r="BS138" i="27"/>
  <c r="BP139" i="27"/>
  <c r="BQ140" i="27"/>
  <c r="BM141" i="27"/>
  <c r="BR142" i="27"/>
  <c r="CC143" i="27"/>
  <c r="BU148" i="27"/>
  <c r="BU149" i="27"/>
  <c r="BS150" i="27"/>
  <c r="BO151" i="27"/>
  <c r="CA152" i="27"/>
  <c r="BP153" i="27"/>
  <c r="BM159" i="27"/>
  <c r="BR160" i="27"/>
  <c r="BP161" i="27"/>
  <c r="CA162" i="27"/>
  <c r="BR163" i="27"/>
  <c r="CE167" i="27"/>
  <c r="CC169" i="27"/>
  <c r="BS171" i="27"/>
  <c r="BR172" i="27"/>
  <c r="BR173" i="27"/>
  <c r="CC174" i="27"/>
  <c r="BS175" i="27"/>
  <c r="CB176" i="27"/>
  <c r="BQ177" i="27"/>
  <c r="BU181" i="27"/>
  <c r="CE182" i="27"/>
  <c r="BU183" i="27"/>
  <c r="CF184" i="27"/>
  <c r="BK187" i="27"/>
  <c r="CF189" i="27"/>
  <c r="CI191" i="27"/>
  <c r="CC198" i="27"/>
  <c r="CI199" i="27"/>
  <c r="BQ207" i="27"/>
  <c r="CG208" i="27"/>
  <c r="CI219" i="27"/>
  <c r="CI226" i="27"/>
  <c r="BM229" i="27"/>
  <c r="BL236" i="27"/>
  <c r="BQ237" i="27"/>
  <c r="BM245" i="27"/>
  <c r="BW248" i="27"/>
  <c r="BR253" i="27"/>
  <c r="BK255" i="27"/>
  <c r="BL260" i="27"/>
  <c r="CI115" i="27"/>
  <c r="CB118" i="27"/>
  <c r="BP126" i="27"/>
  <c r="BP128" i="27"/>
  <c r="BO129" i="27"/>
  <c r="BR130" i="27"/>
  <c r="BU131" i="27"/>
  <c r="BS132" i="27"/>
  <c r="BU133" i="27"/>
  <c r="BU134" i="27"/>
  <c r="BU135" i="27"/>
  <c r="BU136" i="27"/>
  <c r="BU137" i="27"/>
  <c r="BU138" i="27"/>
  <c r="BU139" i="27"/>
  <c r="BR140" i="27"/>
  <c r="BS142" i="27"/>
  <c r="CG143" i="27"/>
  <c r="BU150" i="27"/>
  <c r="BP151" i="27"/>
  <c r="CB152" i="27"/>
  <c r="BQ153" i="27"/>
  <c r="BK157" i="27"/>
  <c r="BP158" i="27"/>
  <c r="BO159" i="27"/>
  <c r="BQ161" i="27"/>
  <c r="CB162" i="27"/>
  <c r="BS163" i="27"/>
  <c r="CG167" i="27"/>
  <c r="CE169" i="27"/>
  <c r="BU171" i="27"/>
  <c r="BU172" i="27"/>
  <c r="BS173" i="27"/>
  <c r="CE174" i="27"/>
  <c r="BU175" i="27"/>
  <c r="CC176" i="27"/>
  <c r="BR177" i="27"/>
  <c r="BW181" i="27"/>
  <c r="CF182" i="27"/>
  <c r="BW183" i="27"/>
  <c r="CG184" i="27"/>
  <c r="BM187" i="27"/>
  <c r="CI189" i="27"/>
  <c r="BL196" i="27"/>
  <c r="CF198" i="27"/>
  <c r="BR207" i="27"/>
  <c r="BO210" i="27"/>
  <c r="CA211" i="27"/>
  <c r="BW212" i="27"/>
  <c r="BL219" i="27"/>
  <c r="BP229" i="27"/>
  <c r="BK231" i="27"/>
  <c r="BR237" i="27"/>
  <c r="BK238" i="27"/>
  <c r="BK239" i="27"/>
  <c r="BP245" i="27"/>
  <c r="CI247" i="27"/>
  <c r="BX248" i="27"/>
  <c r="BS253" i="27"/>
  <c r="BK254" i="27"/>
  <c r="BL255" i="27"/>
  <c r="CA256" i="27"/>
  <c r="BM258" i="27"/>
  <c r="CG118" i="27"/>
  <c r="BK122" i="27"/>
  <c r="BQ126" i="27"/>
  <c r="CA127" i="27"/>
  <c r="BQ128" i="27"/>
  <c r="BP129" i="27"/>
  <c r="BS130" i="27"/>
  <c r="BY131" i="27"/>
  <c r="BU132" i="27"/>
  <c r="BY133" i="27"/>
  <c r="BW134" i="27"/>
  <c r="BY135" i="27"/>
  <c r="BW136" i="27"/>
  <c r="BY137" i="27"/>
  <c r="BW138" i="27"/>
  <c r="BY139" i="27"/>
  <c r="BS140" i="27"/>
  <c r="BU141" i="27"/>
  <c r="BU142" i="27"/>
  <c r="CA148" i="27"/>
  <c r="CC152" i="27"/>
  <c r="BR153" i="27"/>
  <c r="BM157" i="27"/>
  <c r="BR158" i="27"/>
  <c r="BP159" i="27"/>
  <c r="CA160" i="27"/>
  <c r="BR161" i="27"/>
  <c r="CC162" i="27"/>
  <c r="BU163" i="27"/>
  <c r="BW171" i="27"/>
  <c r="BU173" i="27"/>
  <c r="CG174" i="27"/>
  <c r="BW175" i="27"/>
  <c r="CE176" i="27"/>
  <c r="BY181" i="27"/>
  <c r="CG182" i="27"/>
  <c r="BY183" i="27"/>
  <c r="BO187" i="27"/>
  <c r="CE188" i="27"/>
  <c r="BM196" i="27"/>
  <c r="CG198" i="27"/>
  <c r="BQ202" i="27"/>
  <c r="BK203" i="27"/>
  <c r="BU207" i="27"/>
  <c r="BP210" i="27"/>
  <c r="CB211" i="27"/>
  <c r="BY212" i="27"/>
  <c r="BM219" i="27"/>
  <c r="BQ229" i="27"/>
  <c r="BL231" i="27"/>
  <c r="CA232" i="27"/>
  <c r="CC236" i="27"/>
  <c r="BS237" i="27"/>
  <c r="BX238" i="27"/>
  <c r="BL239" i="27"/>
  <c r="CA240" i="27"/>
  <c r="BK244" i="27"/>
  <c r="BQ245" i="27"/>
  <c r="BY248" i="27"/>
  <c r="BU253" i="27"/>
  <c r="BX254" i="27"/>
  <c r="BM255" i="27"/>
  <c r="CB256" i="27"/>
  <c r="BO258" i="27"/>
  <c r="CI118" i="27"/>
  <c r="BL122" i="27"/>
  <c r="BK124" i="27"/>
  <c r="BR126" i="27"/>
  <c r="BR128" i="27"/>
  <c r="BU129" i="27"/>
  <c r="BW130" i="27"/>
  <c r="BY141" i="27"/>
  <c r="CB147" i="27"/>
  <c r="CB148" i="27"/>
  <c r="CA150" i="27"/>
  <c r="BS153" i="27"/>
  <c r="BO157" i="27"/>
  <c r="BQ159" i="27"/>
  <c r="BS161" i="27"/>
  <c r="BW163" i="27"/>
  <c r="BY171" i="27"/>
  <c r="CA172" i="27"/>
  <c r="BW173" i="27"/>
  <c r="CI174" i="27"/>
  <c r="BY175" i="27"/>
  <c r="BU177" i="27"/>
  <c r="BP187" i="27"/>
  <c r="BO196" i="27"/>
  <c r="CI198" i="27"/>
  <c r="BR202" i="27"/>
  <c r="BL203" i="27"/>
  <c r="BQ210" i="27"/>
  <c r="CF211" i="27"/>
  <c r="CA212" i="27"/>
  <c r="BX218" i="27"/>
  <c r="BM231" i="27"/>
  <c r="CB232" i="27"/>
  <c r="BQ235" i="27"/>
  <c r="BY238" i="27"/>
  <c r="BM239" i="27"/>
  <c r="CB240" i="27"/>
  <c r="BL244" i="27"/>
  <c r="BK246" i="27"/>
  <c r="BK247" i="27"/>
  <c r="BK252" i="27"/>
  <c r="BY254" i="27"/>
  <c r="BP258" i="27"/>
  <c r="BW19" i="27"/>
  <c r="CF20" i="27"/>
  <c r="BK24" i="27"/>
  <c r="BY25" i="27"/>
  <c r="CC27" i="27"/>
  <c r="BP28" i="27"/>
  <c r="CC31" i="27"/>
  <c r="CG33" i="27"/>
  <c r="CA33" i="27"/>
  <c r="CI33" i="27"/>
  <c r="CB37" i="27"/>
  <c r="BW39" i="27"/>
  <c r="BR39" i="27"/>
  <c r="CB49" i="27"/>
  <c r="BQ50" i="27"/>
  <c r="CA54" i="27"/>
  <c r="BY115" i="27"/>
  <c r="BW115" i="27"/>
  <c r="BU115" i="27"/>
  <c r="BS115" i="27"/>
  <c r="BR115" i="27"/>
  <c r="BQ115" i="27"/>
  <c r="BP115" i="27"/>
  <c r="BO115" i="27"/>
  <c r="BM115" i="27"/>
  <c r="BL115" i="27"/>
  <c r="BK115" i="27"/>
  <c r="CC42" i="27"/>
  <c r="CA42" i="27"/>
  <c r="CI42" i="27"/>
  <c r="CA19" i="27"/>
  <c r="BL20" i="27"/>
  <c r="CI20" i="27"/>
  <c r="BL22" i="27"/>
  <c r="CC25" i="27"/>
  <c r="CF27" i="27"/>
  <c r="BR28" i="27"/>
  <c r="CG29" i="27"/>
  <c r="CG31" i="27"/>
  <c r="BL33" i="27"/>
  <c r="CA35" i="27"/>
  <c r="BL39" i="27"/>
  <c r="CA40" i="27"/>
  <c r="CF45" i="27"/>
  <c r="CC45" i="27"/>
  <c r="CB45" i="27"/>
  <c r="CI45" i="27"/>
  <c r="CE49" i="27"/>
  <c r="BY52" i="27"/>
  <c r="BU52" i="27"/>
  <c r="BS52" i="27"/>
  <c r="BR52" i="27"/>
  <c r="BQ52" i="27"/>
  <c r="CC54" i="27"/>
  <c r="CI75" i="27"/>
  <c r="CG75" i="27"/>
  <c r="CF75" i="27"/>
  <c r="CC75" i="27"/>
  <c r="CB75" i="27"/>
  <c r="CA75" i="27"/>
  <c r="BY24" i="27"/>
  <c r="BQ24" i="27"/>
  <c r="CC19" i="27"/>
  <c r="BO20" i="27"/>
  <c r="BO22" i="27"/>
  <c r="BP24" i="27"/>
  <c r="CI27" i="27"/>
  <c r="BU28" i="27"/>
  <c r="BK29" i="27"/>
  <c r="BO33" i="27"/>
  <c r="CC35" i="27"/>
  <c r="CG37" i="27"/>
  <c r="CE37" i="27"/>
  <c r="CA37" i="27"/>
  <c r="CE40" i="27"/>
  <c r="CG49" i="27"/>
  <c r="BY113" i="27"/>
  <c r="BW113" i="27"/>
  <c r="BU113" i="27"/>
  <c r="BS113" i="27"/>
  <c r="BR113" i="27"/>
  <c r="BQ113" i="27"/>
  <c r="BO113" i="27"/>
  <c r="BM113" i="27"/>
  <c r="BL113" i="27"/>
  <c r="BO24" i="27"/>
  <c r="CE19" i="27"/>
  <c r="BR24" i="27"/>
  <c r="CG25" i="27"/>
  <c r="CA25" i="27"/>
  <c r="CI25" i="27"/>
  <c r="BL29" i="27"/>
  <c r="BP33" i="27"/>
  <c r="CE35" i="27"/>
  <c r="BK113" i="27"/>
  <c r="CI137" i="27"/>
  <c r="CG137" i="27"/>
  <c r="CF137" i="27"/>
  <c r="CB137" i="27"/>
  <c r="CE137" i="27"/>
  <c r="CC137" i="27"/>
  <c r="CA137" i="27"/>
  <c r="CI40" i="27"/>
  <c r="CF40" i="27"/>
  <c r="CB40" i="27"/>
  <c r="BK19" i="27"/>
  <c r="CG19" i="27"/>
  <c r="BR20" i="27"/>
  <c r="CF21" i="27"/>
  <c r="BR22" i="27"/>
  <c r="CG23" i="27"/>
  <c r="BU24" i="27"/>
  <c r="BL25" i="27"/>
  <c r="CA26" i="27"/>
  <c r="BM27" i="27"/>
  <c r="CA28" i="27"/>
  <c r="CE32" i="27"/>
  <c r="BR33" i="27"/>
  <c r="CA34" i="27"/>
  <c r="CI35" i="27"/>
  <c r="BM37" i="27"/>
  <c r="CC38" i="27"/>
  <c r="BS39" i="27"/>
  <c r="BS49" i="27"/>
  <c r="BQ49" i="27"/>
  <c r="BP49" i="27"/>
  <c r="BM49" i="27"/>
  <c r="BY59" i="27"/>
  <c r="BW59" i="27"/>
  <c r="BU59" i="27"/>
  <c r="BS59" i="27"/>
  <c r="BR59" i="27"/>
  <c r="BO59" i="27"/>
  <c r="BM59" i="27"/>
  <c r="BL59" i="27"/>
  <c r="BK59" i="27"/>
  <c r="CC62" i="27"/>
  <c r="CB62" i="27"/>
  <c r="CA62" i="27"/>
  <c r="BU29" i="27"/>
  <c r="BO29" i="27"/>
  <c r="CA59" i="27"/>
  <c r="CI59" i="27"/>
  <c r="BL19" i="27"/>
  <c r="BS20" i="27"/>
  <c r="CG21" i="27"/>
  <c r="BS22" i="27"/>
  <c r="BW24" i="27"/>
  <c r="BM25" i="27"/>
  <c r="CB26" i="27"/>
  <c r="BO27" i="27"/>
  <c r="CB28" i="27"/>
  <c r="BQ29" i="27"/>
  <c r="CF32" i="27"/>
  <c r="BS33" i="27"/>
  <c r="CB34" i="27"/>
  <c r="BO37" i="27"/>
  <c r="CE38" i="27"/>
  <c r="BU39" i="27"/>
  <c r="BK49" i="27"/>
  <c r="BY62" i="27"/>
  <c r="BW62" i="27"/>
  <c r="BU62" i="27"/>
  <c r="BR62" i="27"/>
  <c r="BQ62" i="27"/>
  <c r="BP62" i="27"/>
  <c r="BO62" i="27"/>
  <c r="BM62" i="27"/>
  <c r="BL62" i="27"/>
  <c r="BQ33" i="27"/>
  <c r="BM19" i="27"/>
  <c r="BU20" i="27"/>
  <c r="BU21" i="27"/>
  <c r="BO21" i="27"/>
  <c r="BU22" i="27"/>
  <c r="BO25" i="27"/>
  <c r="CC26" i="27"/>
  <c r="BP27" i="27"/>
  <c r="CE28" i="27"/>
  <c r="BR29" i="27"/>
  <c r="CG32" i="27"/>
  <c r="BU33" i="27"/>
  <c r="CE34" i="27"/>
  <c r="BP37" i="27"/>
  <c r="CF38" i="27"/>
  <c r="BY39" i="27"/>
  <c r="CE41" i="27"/>
  <c r="BR42" i="27"/>
  <c r="BO43" i="27"/>
  <c r="BL43" i="27"/>
  <c r="BK43" i="27"/>
  <c r="CG47" i="27"/>
  <c r="BL49" i="27"/>
  <c r="CC50" i="27"/>
  <c r="CA50" i="27"/>
  <c r="CA52" i="27"/>
  <c r="BQ59" i="27"/>
  <c r="BK62" i="27"/>
  <c r="CG94" i="27"/>
  <c r="CB94" i="27"/>
  <c r="CI94" i="27"/>
  <c r="CF94" i="27"/>
  <c r="CE94" i="27"/>
  <c r="CC94" i="27"/>
  <c r="CA94" i="27"/>
  <c r="BO19" i="27"/>
  <c r="BK21" i="27"/>
  <c r="BY22" i="27"/>
  <c r="BP25" i="27"/>
  <c r="CE26" i="27"/>
  <c r="BQ27" i="27"/>
  <c r="CF28" i="27"/>
  <c r="BS29" i="27"/>
  <c r="BY32" i="27"/>
  <c r="BQ32" i="27"/>
  <c r="BW33" i="27"/>
  <c r="CF34" i="27"/>
  <c r="BQ37" i="27"/>
  <c r="CI38" i="27"/>
  <c r="CB39" i="27"/>
  <c r="BS42" i="27"/>
  <c r="BQ46" i="27"/>
  <c r="BO46" i="27"/>
  <c r="BM46" i="27"/>
  <c r="BK46" i="27"/>
  <c r="BO49" i="27"/>
  <c r="BY50" i="27"/>
  <c r="BW50" i="27"/>
  <c r="BU50" i="27"/>
  <c r="CB52" i="27"/>
  <c r="CC57" i="27"/>
  <c r="CB57" i="27"/>
  <c r="CA57" i="27"/>
  <c r="CB59" i="27"/>
  <c r="BS62" i="27"/>
  <c r="CG35" i="27"/>
  <c r="CG28" i="27"/>
  <c r="BW29" i="27"/>
  <c r="BY33" i="27"/>
  <c r="CG34" i="27"/>
  <c r="BR37" i="27"/>
  <c r="CC39" i="27"/>
  <c r="BL46" i="27"/>
  <c r="BR49" i="27"/>
  <c r="BK50" i="27"/>
  <c r="CC52" i="27"/>
  <c r="BY57" i="27"/>
  <c r="BW57" i="27"/>
  <c r="BU57" i="27"/>
  <c r="BQ57" i="27"/>
  <c r="BP57" i="27"/>
  <c r="BO57" i="27"/>
  <c r="BM57" i="27"/>
  <c r="CC59" i="27"/>
  <c r="CF62" i="27"/>
  <c r="CG68" i="27"/>
  <c r="CC68" i="27"/>
  <c r="CB68" i="27"/>
  <c r="CI68" i="27"/>
  <c r="CF68" i="27"/>
  <c r="CA68" i="27"/>
  <c r="CI74" i="27"/>
  <c r="CC74" i="27"/>
  <c r="CB74" i="27"/>
  <c r="CG74" i="27"/>
  <c r="CF74" i="27"/>
  <c r="CA74" i="27"/>
  <c r="BM29" i="27"/>
  <c r="BL32" i="27"/>
  <c r="CB33" i="27"/>
  <c r="CI34" i="27"/>
  <c r="CF36" i="27"/>
  <c r="BS37" i="27"/>
  <c r="BQ38" i="27"/>
  <c r="BO38" i="27"/>
  <c r="BK38" i="27"/>
  <c r="CE39" i="27"/>
  <c r="BY42" i="27"/>
  <c r="BP46" i="27"/>
  <c r="BW47" i="27"/>
  <c r="BU47" i="27"/>
  <c r="BR47" i="27"/>
  <c r="BU49" i="27"/>
  <c r="BL50" i="27"/>
  <c r="CF52" i="27"/>
  <c r="BK57" i="27"/>
  <c r="CF59" i="27"/>
  <c r="CG62" i="27"/>
  <c r="BO74" i="27"/>
  <c r="BL74" i="27"/>
  <c r="BK74" i="27"/>
  <c r="BW74" i="27"/>
  <c r="BU74" i="27"/>
  <c r="BS74" i="27"/>
  <c r="BR74" i="27"/>
  <c r="BQ74" i="27"/>
  <c r="BP74" i="27"/>
  <c r="CE20" i="27"/>
  <c r="CI39" i="27"/>
  <c r="CG20" i="27"/>
  <c r="CG27" i="27"/>
  <c r="CI31" i="27"/>
  <c r="BM33" i="27"/>
  <c r="CI58" i="27"/>
  <c r="CG58" i="27"/>
  <c r="CB58" i="27"/>
  <c r="CA58" i="27"/>
  <c r="BP19" i="27"/>
  <c r="BQ19" i="27"/>
  <c r="BM21" i="27"/>
  <c r="BR25" i="27"/>
  <c r="CG26" i="27"/>
  <c r="BY29" i="27"/>
  <c r="CB20" i="27"/>
  <c r="BP21" i="27"/>
  <c r="BS25" i="27"/>
  <c r="BW27" i="27"/>
  <c r="BM30" i="27"/>
  <c r="CC33" i="27"/>
  <c r="CG36" i="27"/>
  <c r="BU37" i="27"/>
  <c r="BL38" i="27"/>
  <c r="CF39" i="27"/>
  <c r="BS41" i="27"/>
  <c r="BQ41" i="27"/>
  <c r="BM41" i="27"/>
  <c r="CB42" i="27"/>
  <c r="BR46" i="27"/>
  <c r="BK47" i="27"/>
  <c r="BW49" i="27"/>
  <c r="BM50" i="27"/>
  <c r="CG52" i="27"/>
  <c r="BL57" i="27"/>
  <c r="CG59" i="27"/>
  <c r="CI62" i="27"/>
  <c r="BM74" i="27"/>
  <c r="BL24" i="27"/>
  <c r="BS24" i="27"/>
  <c r="BQ25" i="27"/>
  <c r="CA20" i="27"/>
  <c r="BU27" i="27"/>
  <c r="CI28" i="27"/>
  <c r="BR19" i="27"/>
  <c r="BR26" i="27"/>
  <c r="BL26" i="27"/>
  <c r="BK28" i="27"/>
  <c r="CA29" i="27"/>
  <c r="BM32" i="27"/>
  <c r="BQ21" i="27"/>
  <c r="BU25" i="27"/>
  <c r="BK26" i="27"/>
  <c r="BY27" i="27"/>
  <c r="BL28" i="27"/>
  <c r="BO30" i="27"/>
  <c r="CA31" i="27"/>
  <c r="BO32" i="27"/>
  <c r="CE33" i="27"/>
  <c r="BL34" i="27"/>
  <c r="BY36" i="27"/>
  <c r="BQ36" i="27"/>
  <c r="BW37" i="27"/>
  <c r="BM38" i="27"/>
  <c r="CG39" i="27"/>
  <c r="BK41" i="27"/>
  <c r="CE42" i="27"/>
  <c r="BS43" i="27"/>
  <c r="BW44" i="27"/>
  <c r="BS44" i="27"/>
  <c r="BR44" i="27"/>
  <c r="BP44" i="27"/>
  <c r="BS46" i="27"/>
  <c r="BL47" i="27"/>
  <c r="BY49" i="27"/>
  <c r="BO50" i="27"/>
  <c r="BR56" i="27"/>
  <c r="BQ56" i="27"/>
  <c r="BP56" i="27"/>
  <c r="BO56" i="27"/>
  <c r="BM56" i="27"/>
  <c r="BL56" i="27"/>
  <c r="BR57" i="27"/>
  <c r="CI67" i="27"/>
  <c r="CG67" i="27"/>
  <c r="CF67" i="27"/>
  <c r="CC67" i="27"/>
  <c r="CB67" i="27"/>
  <c r="CA67" i="27"/>
  <c r="BY74" i="27"/>
  <c r="BW75" i="27"/>
  <c r="BS75" i="27"/>
  <c r="BR75" i="27"/>
  <c r="BO75" i="27"/>
  <c r="BM75" i="27"/>
  <c r="CG81" i="27"/>
  <c r="BY94" i="27"/>
  <c r="BW94" i="27"/>
  <c r="BU94" i="27"/>
  <c r="BS94" i="27"/>
  <c r="BR94" i="27"/>
  <c r="BQ94" i="27"/>
  <c r="BP94" i="27"/>
  <c r="BO94" i="27"/>
  <c r="BK94" i="27"/>
  <c r="BY99" i="27"/>
  <c r="BW99" i="27"/>
  <c r="BU99" i="27"/>
  <c r="BS99" i="27"/>
  <c r="BR99" i="27"/>
  <c r="BQ99" i="27"/>
  <c r="BM99" i="27"/>
  <c r="BY105" i="27"/>
  <c r="BW105" i="27"/>
  <c r="BU105" i="27"/>
  <c r="BS105" i="27"/>
  <c r="BR105" i="27"/>
  <c r="BQ105" i="27"/>
  <c r="BM105" i="27"/>
  <c r="BL105" i="27"/>
  <c r="CF64" i="27"/>
  <c r="BK75" i="27"/>
  <c r="BL94" i="27"/>
  <c r="BK99" i="27"/>
  <c r="BK105" i="27"/>
  <c r="CG64" i="27"/>
  <c r="BL75" i="27"/>
  <c r="CG76" i="27"/>
  <c r="CF76" i="27"/>
  <c r="CC76" i="27"/>
  <c r="CB76" i="27"/>
  <c r="CB86" i="27"/>
  <c r="CA86" i="27"/>
  <c r="BM94" i="27"/>
  <c r="BL99" i="27"/>
  <c r="BO105" i="27"/>
  <c r="CC56" i="27"/>
  <c r="BK64" i="27"/>
  <c r="BS65" i="27"/>
  <c r="BO66" i="27"/>
  <c r="BL66" i="27"/>
  <c r="BK66" i="27"/>
  <c r="BP75" i="27"/>
  <c r="BY86" i="27"/>
  <c r="BW86" i="27"/>
  <c r="BU86" i="27"/>
  <c r="BR86" i="27"/>
  <c r="BQ86" i="27"/>
  <c r="BY88" i="27"/>
  <c r="BW88" i="27"/>
  <c r="BU88" i="27"/>
  <c r="BS88" i="27"/>
  <c r="BR88" i="27"/>
  <c r="BQ88" i="27"/>
  <c r="BP88" i="27"/>
  <c r="BO88" i="27"/>
  <c r="BO99" i="27"/>
  <c r="BP105" i="27"/>
  <c r="BL64" i="27"/>
  <c r="BQ75" i="27"/>
  <c r="BK86" i="27"/>
  <c r="CI87" i="27"/>
  <c r="CG87" i="27"/>
  <c r="CC87" i="27"/>
  <c r="CB87" i="27"/>
  <c r="BK88" i="27"/>
  <c r="BP99" i="27"/>
  <c r="BY107" i="27"/>
  <c r="BW107" i="27"/>
  <c r="BU107" i="27"/>
  <c r="BS107" i="27"/>
  <c r="BR107" i="27"/>
  <c r="BQ107" i="27"/>
  <c r="BO107" i="27"/>
  <c r="BM107" i="27"/>
  <c r="BL107" i="27"/>
  <c r="BS127" i="27"/>
  <c r="BR127" i="27"/>
  <c r="BQ127" i="27"/>
  <c r="BL127" i="27"/>
  <c r="BK127" i="27"/>
  <c r="BW127" i="27"/>
  <c r="BY127" i="27"/>
  <c r="BU127" i="27"/>
  <c r="BP127" i="27"/>
  <c r="BM127" i="27"/>
  <c r="BQ69" i="27"/>
  <c r="BO69" i="27"/>
  <c r="BM69" i="27"/>
  <c r="BS72" i="27"/>
  <c r="BQ72" i="27"/>
  <c r="BP72" i="27"/>
  <c r="BK72" i="27"/>
  <c r="BS80" i="27"/>
  <c r="BR80" i="27"/>
  <c r="BQ80" i="27"/>
  <c r="BP80" i="27"/>
  <c r="BL80" i="27"/>
  <c r="BK80" i="27"/>
  <c r="CC81" i="27"/>
  <c r="CB81" i="27"/>
  <c r="CA81" i="27"/>
  <c r="BY81" i="27"/>
  <c r="BS81" i="27"/>
  <c r="BR81" i="27"/>
  <c r="BY101" i="27"/>
  <c r="BW101" i="27"/>
  <c r="BU101" i="27"/>
  <c r="BS101" i="27"/>
  <c r="BR101" i="27"/>
  <c r="BQ101" i="27"/>
  <c r="BM101" i="27"/>
  <c r="BL101" i="27"/>
  <c r="CB48" i="27"/>
  <c r="CB53" i="27"/>
  <c r="BO54" i="27"/>
  <c r="CB60" i="27"/>
  <c r="BM61" i="27"/>
  <c r="BP64" i="27"/>
  <c r="CB65" i="27"/>
  <c r="BR66" i="27"/>
  <c r="BW67" i="27"/>
  <c r="BS67" i="27"/>
  <c r="BR67" i="27"/>
  <c r="BL69" i="27"/>
  <c r="BM72" i="27"/>
  <c r="CI78" i="27"/>
  <c r="BO80" i="27"/>
  <c r="BK81" i="27"/>
  <c r="BO86" i="27"/>
  <c r="CA88" i="27"/>
  <c r="CI90" i="27"/>
  <c r="CG90" i="27"/>
  <c r="CF90" i="27"/>
  <c r="BK101" i="27"/>
  <c r="BY109" i="27"/>
  <c r="BW109" i="27"/>
  <c r="BU109" i="27"/>
  <c r="BS109" i="27"/>
  <c r="BR109" i="27"/>
  <c r="BQ109" i="27"/>
  <c r="BO109" i="27"/>
  <c r="BM109" i="27"/>
  <c r="BL109" i="27"/>
  <c r="BP54" i="27"/>
  <c r="CA55" i="27"/>
  <c r="BO61" i="27"/>
  <c r="BQ64" i="27"/>
  <c r="BS66" i="27"/>
  <c r="BP69" i="27"/>
  <c r="BO72" i="27"/>
  <c r="CC73" i="27"/>
  <c r="CA73" i="27"/>
  <c r="BU80" i="27"/>
  <c r="BL81" i="27"/>
  <c r="BP86" i="27"/>
  <c r="CC88" i="27"/>
  <c r="CA91" i="27"/>
  <c r="CC91" i="27"/>
  <c r="BY97" i="27"/>
  <c r="BW97" i="27"/>
  <c r="BU97" i="27"/>
  <c r="BS97" i="27"/>
  <c r="BR97" i="27"/>
  <c r="BQ97" i="27"/>
  <c r="BM97" i="27"/>
  <c r="BO101" i="27"/>
  <c r="CE48" i="27"/>
  <c r="BK51" i="27"/>
  <c r="CF53" i="27"/>
  <c r="BQ54" i="27"/>
  <c r="CB55" i="27"/>
  <c r="CF60" i="27"/>
  <c r="BP61" i="27"/>
  <c r="BK63" i="27"/>
  <c r="BR64" i="27"/>
  <c r="BU66" i="27"/>
  <c r="BR69" i="27"/>
  <c r="BW70" i="27"/>
  <c r="BU70" i="27"/>
  <c r="BP70" i="27"/>
  <c r="BR72" i="27"/>
  <c r="BY73" i="27"/>
  <c r="BS73" i="27"/>
  <c r="BR73" i="27"/>
  <c r="BW80" i="27"/>
  <c r="BM81" i="27"/>
  <c r="CI82" i="27"/>
  <c r="CC82" i="27"/>
  <c r="CB82" i="27"/>
  <c r="BS86" i="27"/>
  <c r="CF88" i="27"/>
  <c r="BY91" i="27"/>
  <c r="BW91" i="27"/>
  <c r="BU91" i="27"/>
  <c r="BS91" i="27"/>
  <c r="BR91" i="27"/>
  <c r="BQ91" i="27"/>
  <c r="BP91" i="27"/>
  <c r="BK97" i="27"/>
  <c r="BP101" i="27"/>
  <c r="CF48" i="27"/>
  <c r="BL51" i="27"/>
  <c r="BR54" i="27"/>
  <c r="CC55" i="27"/>
  <c r="BQ61" i="27"/>
  <c r="BL63" i="27"/>
  <c r="BS64" i="27"/>
  <c r="CI65" i="27"/>
  <c r="BW66" i="27"/>
  <c r="BS69" i="27"/>
  <c r="BK70" i="27"/>
  <c r="BU72" i="27"/>
  <c r="BK73" i="27"/>
  <c r="BY80" i="27"/>
  <c r="BO81" i="27"/>
  <c r="BO82" i="27"/>
  <c r="BM82" i="27"/>
  <c r="BL82" i="27"/>
  <c r="BK82" i="27"/>
  <c r="BW83" i="27"/>
  <c r="BU83" i="27"/>
  <c r="BS83" i="27"/>
  <c r="BR83" i="27"/>
  <c r="BO83" i="27"/>
  <c r="BM83" i="27"/>
  <c r="CC86" i="27"/>
  <c r="CG88" i="27"/>
  <c r="BK91" i="27"/>
  <c r="BL97" i="27"/>
  <c r="BY111" i="27"/>
  <c r="BW111" i="27"/>
  <c r="BU111" i="27"/>
  <c r="BS111" i="27"/>
  <c r="BR111" i="27"/>
  <c r="BQ111" i="27"/>
  <c r="BO111" i="27"/>
  <c r="BM111" i="27"/>
  <c r="BL111" i="27"/>
  <c r="CF55" i="27"/>
  <c r="BR61" i="27"/>
  <c r="BU64" i="27"/>
  <c r="BY66" i="27"/>
  <c r="BU69" i="27"/>
  <c r="BW72" i="27"/>
  <c r="BP81" i="27"/>
  <c r="CF86" i="27"/>
  <c r="CI88" i="27"/>
  <c r="BO97" i="27"/>
  <c r="BY103" i="27"/>
  <c r="BW103" i="27"/>
  <c r="BU103" i="27"/>
  <c r="BS103" i="27"/>
  <c r="BR103" i="27"/>
  <c r="BQ103" i="27"/>
  <c r="BM103" i="27"/>
  <c r="BL103" i="27"/>
  <c r="BP58" i="27"/>
  <c r="BW64" i="27"/>
  <c r="BK65" i="27"/>
  <c r="CA66" i="27"/>
  <c r="BP67" i="27"/>
  <c r="BW69" i="27"/>
  <c r="BM70" i="27"/>
  <c r="BY72" i="27"/>
  <c r="BM73" i="27"/>
  <c r="BY78" i="27"/>
  <c r="BW78" i="27"/>
  <c r="BU78" i="27"/>
  <c r="BQ78" i="27"/>
  <c r="BP78" i="27"/>
  <c r="CB80" i="27"/>
  <c r="BQ81" i="27"/>
  <c r="BQ82" i="27"/>
  <c r="BL83" i="27"/>
  <c r="CG86" i="27"/>
  <c r="BM91" i="27"/>
  <c r="BP97" i="27"/>
  <c r="BK103" i="27"/>
  <c r="BP111" i="27"/>
  <c r="BR96" i="27"/>
  <c r="CE97" i="27"/>
  <c r="BR98" i="27"/>
  <c r="CE99" i="27"/>
  <c r="BR100" i="27"/>
  <c r="CE101" i="27"/>
  <c r="BR102" i="27"/>
  <c r="CE103" i="27"/>
  <c r="BR104" i="27"/>
  <c r="CE105" i="27"/>
  <c r="BR106" i="27"/>
  <c r="CE107" i="27"/>
  <c r="CE109" i="27"/>
  <c r="CE111" i="27"/>
  <c r="CE113" i="27"/>
  <c r="CE115" i="27"/>
  <c r="CI186" i="27"/>
  <c r="CG186" i="27"/>
  <c r="CF186" i="27"/>
  <c r="CE186" i="27"/>
  <c r="CC186" i="27"/>
  <c r="CB186" i="27"/>
  <c r="CA186" i="27"/>
  <c r="CI135" i="27"/>
  <c r="CG135" i="27"/>
  <c r="CF135" i="27"/>
  <c r="CB135" i="27"/>
  <c r="BW146" i="27"/>
  <c r="BM146" i="27"/>
  <c r="BY146" i="27"/>
  <c r="BU146" i="27"/>
  <c r="BS146" i="27"/>
  <c r="BR146" i="27"/>
  <c r="BQ146" i="27"/>
  <c r="BP146" i="27"/>
  <c r="BO146" i="27"/>
  <c r="BL146" i="27"/>
  <c r="BW184" i="27"/>
  <c r="BS184" i="27"/>
  <c r="BR184" i="27"/>
  <c r="BQ184" i="27"/>
  <c r="BO184" i="27"/>
  <c r="BM184" i="27"/>
  <c r="BL184" i="27"/>
  <c r="BY184" i="27"/>
  <c r="BK184" i="27"/>
  <c r="BU184" i="27"/>
  <c r="CI121" i="27"/>
  <c r="CG121" i="27"/>
  <c r="CI141" i="27"/>
  <c r="CG141" i="27"/>
  <c r="CF141" i="27"/>
  <c r="CC141" i="27"/>
  <c r="CB141" i="27"/>
  <c r="BK146" i="27"/>
  <c r="CI155" i="27"/>
  <c r="CG155" i="27"/>
  <c r="CF155" i="27"/>
  <c r="CC155" i="27"/>
  <c r="CA155" i="27"/>
  <c r="CE155" i="27"/>
  <c r="CB155" i="27"/>
  <c r="BP184" i="27"/>
  <c r="BS121" i="27"/>
  <c r="BR121" i="27"/>
  <c r="BQ121" i="27"/>
  <c r="BL121" i="27"/>
  <c r="BK121" i="27"/>
  <c r="CI151" i="27"/>
  <c r="CC151" i="27"/>
  <c r="CA151" i="27"/>
  <c r="CG151" i="27"/>
  <c r="CF151" i="27"/>
  <c r="CE151" i="27"/>
  <c r="CB151" i="27"/>
  <c r="CI125" i="27"/>
  <c r="CG125" i="27"/>
  <c r="CI129" i="27"/>
  <c r="CG129" i="27"/>
  <c r="CF129" i="27"/>
  <c r="BS125" i="27"/>
  <c r="BR125" i="27"/>
  <c r="BQ125" i="27"/>
  <c r="BL125" i="27"/>
  <c r="BK125" i="27"/>
  <c r="BW125" i="27"/>
  <c r="CI131" i="27"/>
  <c r="CG131" i="27"/>
  <c r="CF131" i="27"/>
  <c r="CI133" i="27"/>
  <c r="CG133" i="27"/>
  <c r="CF133" i="27"/>
  <c r="CB133" i="27"/>
  <c r="BY79" i="27"/>
  <c r="BW92" i="27"/>
  <c r="CC96" i="27"/>
  <c r="CC98" i="27"/>
  <c r="CC100" i="27"/>
  <c r="CC102" i="27"/>
  <c r="CC104" i="27"/>
  <c r="CC106" i="27"/>
  <c r="CC108" i="27"/>
  <c r="CC110" i="27"/>
  <c r="CC112" i="27"/>
  <c r="CC114" i="27"/>
  <c r="CE116" i="27"/>
  <c r="CC117" i="27"/>
  <c r="BP121" i="27"/>
  <c r="CE123" i="27"/>
  <c r="BM125" i="27"/>
  <c r="BY92" i="27"/>
  <c r="CE96" i="27"/>
  <c r="CE98" i="27"/>
  <c r="CE100" i="27"/>
  <c r="CE102" i="27"/>
  <c r="CE104" i="27"/>
  <c r="CE106" i="27"/>
  <c r="CE108" i="27"/>
  <c r="CE110" i="27"/>
  <c r="CE112" i="27"/>
  <c r="CE114" i="27"/>
  <c r="CI119" i="27"/>
  <c r="CG119" i="27"/>
  <c r="BU121" i="27"/>
  <c r="BO125" i="27"/>
  <c r="BS119" i="27"/>
  <c r="BR119" i="27"/>
  <c r="BQ119" i="27"/>
  <c r="BL119" i="27"/>
  <c r="BK119" i="27"/>
  <c r="BW121" i="27"/>
  <c r="BP125" i="27"/>
  <c r="CA135" i="27"/>
  <c r="CA141" i="27"/>
  <c r="BK96" i="27"/>
  <c r="BK98" i="27"/>
  <c r="BK100" i="27"/>
  <c r="BK102" i="27"/>
  <c r="BK104" i="27"/>
  <c r="BK106" i="27"/>
  <c r="BK108" i="27"/>
  <c r="BK110" i="27"/>
  <c r="BK112" i="27"/>
  <c r="BK114" i="27"/>
  <c r="BK116" i="27"/>
  <c r="BM119" i="27"/>
  <c r="BY121" i="27"/>
  <c r="BU125" i="27"/>
  <c r="CC135" i="27"/>
  <c r="CI139" i="27"/>
  <c r="CG139" i="27"/>
  <c r="CF139" i="27"/>
  <c r="CC139" i="27"/>
  <c r="CB139" i="27"/>
  <c r="CE141" i="27"/>
  <c r="BM77" i="27"/>
  <c r="CB84" i="27"/>
  <c r="BM85" i="27"/>
  <c r="BK87" i="27"/>
  <c r="CE89" i="27"/>
  <c r="BO90" i="27"/>
  <c r="CC92" i="27"/>
  <c r="BM93" i="27"/>
  <c r="CB95" i="27"/>
  <c r="BL96" i="27"/>
  <c r="BL98" i="27"/>
  <c r="BL100" i="27"/>
  <c r="BL102" i="27"/>
  <c r="BL104" i="27"/>
  <c r="BL106" i="27"/>
  <c r="BL108" i="27"/>
  <c r="BL110" i="27"/>
  <c r="BL112" i="27"/>
  <c r="BL114" i="27"/>
  <c r="BL116" i="27"/>
  <c r="BO119" i="27"/>
  <c r="CA121" i="27"/>
  <c r="BY125" i="27"/>
  <c r="CA129" i="27"/>
  <c r="CE135" i="27"/>
  <c r="BO77" i="27"/>
  <c r="CC84" i="27"/>
  <c r="BO85" i="27"/>
  <c r="BL87" i="27"/>
  <c r="BP90" i="27"/>
  <c r="CE92" i="27"/>
  <c r="BO93" i="27"/>
  <c r="CC95" i="27"/>
  <c r="BM96" i="27"/>
  <c r="BM98" i="27"/>
  <c r="BM100" i="27"/>
  <c r="BM102" i="27"/>
  <c r="BM104" i="27"/>
  <c r="BM106" i="27"/>
  <c r="BM108" i="27"/>
  <c r="BM110" i="27"/>
  <c r="BM112" i="27"/>
  <c r="BM114" i="27"/>
  <c r="BM116" i="27"/>
  <c r="BP119" i="27"/>
  <c r="CB121" i="27"/>
  <c r="CA125" i="27"/>
  <c r="CB129" i="27"/>
  <c r="CA131" i="27"/>
  <c r="CA133" i="27"/>
  <c r="CF84" i="27"/>
  <c r="BM87" i="27"/>
  <c r="CE95" i="27"/>
  <c r="BO96" i="27"/>
  <c r="CA97" i="27"/>
  <c r="BO98" i="27"/>
  <c r="CA99" i="27"/>
  <c r="BO100" i="27"/>
  <c r="CA101" i="27"/>
  <c r="BO102" i="27"/>
  <c r="CA103" i="27"/>
  <c r="BO104" i="27"/>
  <c r="CA105" i="27"/>
  <c r="BO106" i="27"/>
  <c r="CA107" i="27"/>
  <c r="BO108" i="27"/>
  <c r="CA109" i="27"/>
  <c r="BO110" i="27"/>
  <c r="CA111" i="27"/>
  <c r="BO112" i="27"/>
  <c r="CA113" i="27"/>
  <c r="BO114" i="27"/>
  <c r="CA115" i="27"/>
  <c r="BO116" i="27"/>
  <c r="CI117" i="27"/>
  <c r="CG117" i="27"/>
  <c r="BU119" i="27"/>
  <c r="CC121" i="27"/>
  <c r="CI123" i="27"/>
  <c r="CG123" i="27"/>
  <c r="CB125" i="27"/>
  <c r="CC129" i="27"/>
  <c r="CB131" i="27"/>
  <c r="CC133" i="27"/>
  <c r="BL143" i="27"/>
  <c r="BW143" i="27"/>
  <c r="BU143" i="27"/>
  <c r="BS143" i="27"/>
  <c r="BR143" i="27"/>
  <c r="BQ143" i="27"/>
  <c r="BP143" i="27"/>
  <c r="BO143" i="27"/>
  <c r="BM143" i="27"/>
  <c r="BK143" i="27"/>
  <c r="BQ93" i="27"/>
  <c r="BP116" i="27"/>
  <c r="BS117" i="27"/>
  <c r="BR117" i="27"/>
  <c r="BQ117" i="27"/>
  <c r="BL117" i="27"/>
  <c r="BK117" i="27"/>
  <c r="BW119" i="27"/>
  <c r="CE121" i="27"/>
  <c r="BS123" i="27"/>
  <c r="BR123" i="27"/>
  <c r="BQ123" i="27"/>
  <c r="BL123" i="27"/>
  <c r="BK123" i="27"/>
  <c r="BW123" i="27"/>
  <c r="CC125" i="27"/>
  <c r="CI127" i="27"/>
  <c r="CG127" i="27"/>
  <c r="CE129" i="27"/>
  <c r="CC131" i="27"/>
  <c r="CE133" i="27"/>
  <c r="BY143" i="27"/>
  <c r="BW129" i="27"/>
  <c r="BW131" i="27"/>
  <c r="BW133" i="27"/>
  <c r="BW135" i="27"/>
  <c r="BW137" i="27"/>
  <c r="BW139" i="27"/>
  <c r="BW141" i="27"/>
  <c r="CA143" i="27"/>
  <c r="CG146" i="27"/>
  <c r="CC147" i="27"/>
  <c r="BR149" i="27"/>
  <c r="BL151" i="27"/>
  <c r="BY151" i="27"/>
  <c r="CG154" i="27"/>
  <c r="CA156" i="27"/>
  <c r="CE143" i="27"/>
  <c r="CG147" i="27"/>
  <c r="CI157" i="27"/>
  <c r="CG157" i="27"/>
  <c r="CF157" i="27"/>
  <c r="CC157" i="27"/>
  <c r="CA157" i="27"/>
  <c r="CI159" i="27"/>
  <c r="CG159" i="27"/>
  <c r="CF159" i="27"/>
  <c r="CC159" i="27"/>
  <c r="CA159" i="27"/>
  <c r="CI161" i="27"/>
  <c r="CG161" i="27"/>
  <c r="CF161" i="27"/>
  <c r="CC161" i="27"/>
  <c r="CA161" i="27"/>
  <c r="CI163" i="27"/>
  <c r="CG163" i="27"/>
  <c r="CF163" i="27"/>
  <c r="CC163" i="27"/>
  <c r="CB163" i="27"/>
  <c r="CA163" i="27"/>
  <c r="BW186" i="27"/>
  <c r="BS186" i="27"/>
  <c r="BR186" i="27"/>
  <c r="BQ186" i="27"/>
  <c r="BO186" i="27"/>
  <c r="BM186" i="27"/>
  <c r="BL186" i="27"/>
  <c r="BY186" i="27"/>
  <c r="BU186" i="27"/>
  <c r="BP186" i="27"/>
  <c r="BK186" i="27"/>
  <c r="CF143" i="27"/>
  <c r="BL147" i="27"/>
  <c r="BY147" i="27"/>
  <c r="BW154" i="27"/>
  <c r="BU154" i="27"/>
  <c r="BS154" i="27"/>
  <c r="BQ154" i="27"/>
  <c r="BO154" i="27"/>
  <c r="BM154" i="27"/>
  <c r="CI166" i="27"/>
  <c r="CG166" i="27"/>
  <c r="CA166" i="27"/>
  <c r="CB144" i="27"/>
  <c r="BM147" i="27"/>
  <c r="CG148" i="27"/>
  <c r="BK154" i="27"/>
  <c r="BW166" i="27"/>
  <c r="BU166" i="27"/>
  <c r="BS166" i="27"/>
  <c r="BQ166" i="27"/>
  <c r="BP166" i="27"/>
  <c r="BO166" i="27"/>
  <c r="BM166" i="27"/>
  <c r="BL166" i="27"/>
  <c r="BK166" i="27"/>
  <c r="BU118" i="27"/>
  <c r="BU120" i="27"/>
  <c r="BU122" i="27"/>
  <c r="BU124" i="27"/>
  <c r="BK129" i="27"/>
  <c r="BK131" i="27"/>
  <c r="BK133" i="27"/>
  <c r="BK135" i="27"/>
  <c r="BK137" i="27"/>
  <c r="BK139" i="27"/>
  <c r="BK141" i="27"/>
  <c r="CC144" i="27"/>
  <c r="BO147" i="27"/>
  <c r="BW148" i="27"/>
  <c r="BM148" i="27"/>
  <c r="CE149" i="27"/>
  <c r="BS151" i="27"/>
  <c r="BL154" i="27"/>
  <c r="BR166" i="27"/>
  <c r="BL167" i="27"/>
  <c r="BO167" i="27"/>
  <c r="BM167" i="27"/>
  <c r="BK167" i="27"/>
  <c r="BY167" i="27"/>
  <c r="BW167" i="27"/>
  <c r="BQ167" i="27"/>
  <c r="BL226" i="27"/>
  <c r="BY226" i="27"/>
  <c r="BR226" i="27"/>
  <c r="BX226" i="27"/>
  <c r="BW226" i="27"/>
  <c r="BU226" i="27"/>
  <c r="BS226" i="27"/>
  <c r="BQ226" i="27"/>
  <c r="BP226" i="27"/>
  <c r="BO226" i="27"/>
  <c r="BM226" i="27"/>
  <c r="BK226" i="27"/>
  <c r="BL129" i="27"/>
  <c r="BL131" i="27"/>
  <c r="BL133" i="27"/>
  <c r="BL135" i="27"/>
  <c r="BL137" i="27"/>
  <c r="BL139" i="27"/>
  <c r="BL141" i="27"/>
  <c r="CE144" i="27"/>
  <c r="BP147" i="27"/>
  <c r="CF149" i="27"/>
  <c r="BU151" i="27"/>
  <c r="CI153" i="27"/>
  <c r="CG153" i="27"/>
  <c r="CF153" i="27"/>
  <c r="CC153" i="27"/>
  <c r="CA153" i="27"/>
  <c r="BP154" i="27"/>
  <c r="BY166" i="27"/>
  <c r="CF178" i="27"/>
  <c r="CE178" i="27"/>
  <c r="CC178" i="27"/>
  <c r="CB178" i="27"/>
  <c r="CA178" i="27"/>
  <c r="CI178" i="27"/>
  <c r="BM129" i="27"/>
  <c r="BM131" i="27"/>
  <c r="BM133" i="27"/>
  <c r="CF144" i="27"/>
  <c r="BQ147" i="27"/>
  <c r="CG149" i="27"/>
  <c r="BR154" i="27"/>
  <c r="CB166" i="27"/>
  <c r="CE168" i="27"/>
  <c r="CC168" i="27"/>
  <c r="CB168" i="27"/>
  <c r="CG168" i="27"/>
  <c r="BO137" i="27"/>
  <c r="BO139" i="27"/>
  <c r="BO141" i="27"/>
  <c r="BW144" i="27"/>
  <c r="BR147" i="27"/>
  <c r="BL149" i="27"/>
  <c r="BY149" i="27"/>
  <c r="BY154" i="27"/>
  <c r="CC166" i="27"/>
  <c r="BS147" i="27"/>
  <c r="CA154" i="27"/>
  <c r="BW156" i="27"/>
  <c r="BU156" i="27"/>
  <c r="BS156" i="27"/>
  <c r="BQ156" i="27"/>
  <c r="BO156" i="27"/>
  <c r="BM156" i="27"/>
  <c r="BK156" i="27"/>
  <c r="CI164" i="27"/>
  <c r="CG164" i="27"/>
  <c r="CE166" i="27"/>
  <c r="BW195" i="27"/>
  <c r="BU195" i="27"/>
  <c r="BS195" i="27"/>
  <c r="BR195" i="27"/>
  <c r="BO195" i="27"/>
  <c r="BY195" i="27"/>
  <c r="BP195" i="27"/>
  <c r="BQ195" i="27"/>
  <c r="BM195" i="27"/>
  <c r="BL195" i="27"/>
  <c r="BK195" i="27"/>
  <c r="CC118" i="27"/>
  <c r="CC120" i="27"/>
  <c r="CC122" i="27"/>
  <c r="CC124" i="27"/>
  <c r="CC126" i="27"/>
  <c r="CC128" i="27"/>
  <c r="BQ129" i="27"/>
  <c r="CC130" i="27"/>
  <c r="BQ131" i="27"/>
  <c r="CC132" i="27"/>
  <c r="BQ133" i="27"/>
  <c r="CC134" i="27"/>
  <c r="BQ135" i="27"/>
  <c r="CC136" i="27"/>
  <c r="BQ137" i="27"/>
  <c r="CC138" i="27"/>
  <c r="BQ139" i="27"/>
  <c r="CC140" i="27"/>
  <c r="BQ141" i="27"/>
  <c r="CC142" i="27"/>
  <c r="BL144" i="27"/>
  <c r="CF145" i="27"/>
  <c r="CB146" i="27"/>
  <c r="BU147" i="27"/>
  <c r="BQ148" i="27"/>
  <c r="BM149" i="27"/>
  <c r="CG150" i="27"/>
  <c r="CB154" i="27"/>
  <c r="BL156" i="27"/>
  <c r="BW164" i="27"/>
  <c r="BU164" i="27"/>
  <c r="BS164" i="27"/>
  <c r="BQ164" i="27"/>
  <c r="BP164" i="27"/>
  <c r="BO164" i="27"/>
  <c r="BM164" i="27"/>
  <c r="BL164" i="27"/>
  <c r="BK164" i="27"/>
  <c r="CF166" i="27"/>
  <c r="CE118" i="27"/>
  <c r="CE120" i="27"/>
  <c r="CE122" i="27"/>
  <c r="CE124" i="27"/>
  <c r="CE126" i="27"/>
  <c r="CE128" i="27"/>
  <c r="BR129" i="27"/>
  <c r="CE130" i="27"/>
  <c r="BR131" i="27"/>
  <c r="CE132" i="27"/>
  <c r="BR133" i="27"/>
  <c r="CE134" i="27"/>
  <c r="BR135" i="27"/>
  <c r="CE136" i="27"/>
  <c r="BR137" i="27"/>
  <c r="CE138" i="27"/>
  <c r="BR139" i="27"/>
  <c r="CE140" i="27"/>
  <c r="BR141" i="27"/>
  <c r="CE142" i="27"/>
  <c r="BM144" i="27"/>
  <c r="CG145" i="27"/>
  <c r="CC146" i="27"/>
  <c r="BW147" i="27"/>
  <c r="BR148" i="27"/>
  <c r="BO149" i="27"/>
  <c r="BW150" i="27"/>
  <c r="BM150" i="27"/>
  <c r="CC154" i="27"/>
  <c r="BP156" i="27"/>
  <c r="CI158" i="27"/>
  <c r="CG158" i="27"/>
  <c r="CI160" i="27"/>
  <c r="CG160" i="27"/>
  <c r="CI162" i="27"/>
  <c r="CG162" i="27"/>
  <c r="BR164" i="27"/>
  <c r="BO144" i="27"/>
  <c r="BL145" i="27"/>
  <c r="BY145" i="27"/>
  <c r="CA147" i="27"/>
  <c r="BS148" i="27"/>
  <c r="BP149" i="27"/>
  <c r="BK150" i="27"/>
  <c r="BW152" i="27"/>
  <c r="BU152" i="27"/>
  <c r="BS152" i="27"/>
  <c r="BQ152" i="27"/>
  <c r="BO152" i="27"/>
  <c r="BM152" i="27"/>
  <c r="BR156" i="27"/>
  <c r="CB157" i="27"/>
  <c r="BW158" i="27"/>
  <c r="BU158" i="27"/>
  <c r="BS158" i="27"/>
  <c r="BQ158" i="27"/>
  <c r="BO158" i="27"/>
  <c r="BM158" i="27"/>
  <c r="BL158" i="27"/>
  <c r="BK158" i="27"/>
  <c r="CB159" i="27"/>
  <c r="BW160" i="27"/>
  <c r="BU160" i="27"/>
  <c r="BS160" i="27"/>
  <c r="BQ160" i="27"/>
  <c r="BO160" i="27"/>
  <c r="BM160" i="27"/>
  <c r="BL160" i="27"/>
  <c r="BK160" i="27"/>
  <c r="CB161" i="27"/>
  <c r="BW162" i="27"/>
  <c r="BU162" i="27"/>
  <c r="BS162" i="27"/>
  <c r="BQ162" i="27"/>
  <c r="BO162" i="27"/>
  <c r="BM162" i="27"/>
  <c r="BL162" i="27"/>
  <c r="BK162" i="27"/>
  <c r="CE163" i="27"/>
  <c r="BY164" i="27"/>
  <c r="CI165" i="27"/>
  <c r="CG165" i="27"/>
  <c r="CF165" i="27"/>
  <c r="CC165" i="27"/>
  <c r="CB165" i="27"/>
  <c r="CA165" i="27"/>
  <c r="BR174" i="27"/>
  <c r="BQ189" i="27"/>
  <c r="BW178" i="27"/>
  <c r="BS178" i="27"/>
  <c r="BR178" i="27"/>
  <c r="BQ178" i="27"/>
  <c r="BO178" i="27"/>
  <c r="CI257" i="27"/>
  <c r="CG257" i="27"/>
  <c r="CF257" i="27"/>
  <c r="CB257" i="27"/>
  <c r="CE257" i="27"/>
  <c r="CC257" i="27"/>
  <c r="CA257" i="27"/>
  <c r="BW188" i="27"/>
  <c r="BS188" i="27"/>
  <c r="BR188" i="27"/>
  <c r="BQ188" i="27"/>
  <c r="BP188" i="27"/>
  <c r="BO188" i="27"/>
  <c r="BM188" i="27"/>
  <c r="BL188" i="27"/>
  <c r="BP168" i="27"/>
  <c r="CI169" i="27"/>
  <c r="CF169" i="27"/>
  <c r="CA169" i="27"/>
  <c r="CG170" i="27"/>
  <c r="CC172" i="27"/>
  <c r="BL178" i="27"/>
  <c r="BK188" i="27"/>
  <c r="CI190" i="27"/>
  <c r="CG190" i="27"/>
  <c r="CF190" i="27"/>
  <c r="CE190" i="27"/>
  <c r="BU201" i="27"/>
  <c r="BS201" i="27"/>
  <c r="BR201" i="27"/>
  <c r="BQ201" i="27"/>
  <c r="BO201" i="27"/>
  <c r="BM201" i="27"/>
  <c r="BL201" i="27"/>
  <c r="BK201" i="27"/>
  <c r="BY201" i="27"/>
  <c r="BW201" i="27"/>
  <c r="BP201" i="27"/>
  <c r="BQ168" i="27"/>
  <c r="CE172" i="27"/>
  <c r="BM178" i="27"/>
  <c r="BU188" i="27"/>
  <c r="CI224" i="27"/>
  <c r="CF224" i="27"/>
  <c r="CE224" i="27"/>
  <c r="CG224" i="27"/>
  <c r="CC224" i="27"/>
  <c r="CB224" i="27"/>
  <c r="CA224" i="27"/>
  <c r="BY153" i="27"/>
  <c r="BY155" i="27"/>
  <c r="BY157" i="27"/>
  <c r="BY159" i="27"/>
  <c r="BY161" i="27"/>
  <c r="BY163" i="27"/>
  <c r="BY165" i="27"/>
  <c r="CB167" i="27"/>
  <c r="BR168" i="27"/>
  <c r="BW170" i="27"/>
  <c r="BS170" i="27"/>
  <c r="BO170" i="27"/>
  <c r="CF172" i="27"/>
  <c r="CB173" i="27"/>
  <c r="BP178" i="27"/>
  <c r="CC180" i="27"/>
  <c r="BY188" i="27"/>
  <c r="BY211" i="27"/>
  <c r="BW211" i="27"/>
  <c r="BU211" i="27"/>
  <c r="BS211" i="27"/>
  <c r="BR211" i="27"/>
  <c r="BQ211" i="27"/>
  <c r="BP211" i="27"/>
  <c r="BO211" i="27"/>
  <c r="BM211" i="27"/>
  <c r="BS168" i="27"/>
  <c r="CI171" i="27"/>
  <c r="CF171" i="27"/>
  <c r="CA171" i="27"/>
  <c r="CG172" i="27"/>
  <c r="CE173" i="27"/>
  <c r="BW176" i="27"/>
  <c r="BS176" i="27"/>
  <c r="BR176" i="27"/>
  <c r="BQ176" i="27"/>
  <c r="BO176" i="27"/>
  <c r="BU178" i="27"/>
  <c r="CE180" i="27"/>
  <c r="BW182" i="27"/>
  <c r="BS182" i="27"/>
  <c r="BR182" i="27"/>
  <c r="BQ182" i="27"/>
  <c r="BO182" i="27"/>
  <c r="BL182" i="27"/>
  <c r="CA188" i="27"/>
  <c r="CB197" i="27"/>
  <c r="CA197" i="27"/>
  <c r="CI197" i="27"/>
  <c r="CG197" i="27"/>
  <c r="CF197" i="27"/>
  <c r="CE197" i="27"/>
  <c r="CC197" i="27"/>
  <c r="BK211" i="27"/>
  <c r="BU168" i="27"/>
  <c r="BY178" i="27"/>
  <c r="CB188" i="27"/>
  <c r="CF167" i="27"/>
  <c r="BY168" i="27"/>
  <c r="BW172" i="27"/>
  <c r="BS172" i="27"/>
  <c r="BO172" i="27"/>
  <c r="BL176" i="27"/>
  <c r="BM182" i="27"/>
  <c r="CC188" i="27"/>
  <c r="CB193" i="27"/>
  <c r="CA193" i="27"/>
  <c r="CI193" i="27"/>
  <c r="CI173" i="27"/>
  <c r="CF173" i="27"/>
  <c r="CC173" i="27"/>
  <c r="CA173" i="27"/>
  <c r="BW174" i="27"/>
  <c r="BS174" i="27"/>
  <c r="BQ174" i="27"/>
  <c r="BO174" i="27"/>
  <c r="BK189" i="27"/>
  <c r="BY189" i="27"/>
  <c r="BW189" i="27"/>
  <c r="BU189" i="27"/>
  <c r="BY193" i="27"/>
  <c r="BW193" i="27"/>
  <c r="BU193" i="27"/>
  <c r="BS193" i="27"/>
  <c r="BR193" i="27"/>
  <c r="BQ193" i="27"/>
  <c r="BP193" i="27"/>
  <c r="BO193" i="27"/>
  <c r="BL193" i="27"/>
  <c r="BS227" i="27"/>
  <c r="BP227" i="27"/>
  <c r="BO227" i="27"/>
  <c r="BM227" i="27"/>
  <c r="BL227" i="27"/>
  <c r="BY227" i="27"/>
  <c r="BX227" i="27"/>
  <c r="BW227" i="27"/>
  <c r="BU227" i="27"/>
  <c r="BR227" i="27"/>
  <c r="BQ170" i="27"/>
  <c r="BL172" i="27"/>
  <c r="BK174" i="27"/>
  <c r="BP176" i="27"/>
  <c r="BU182" i="27"/>
  <c r="CF188" i="27"/>
  <c r="BL189" i="27"/>
  <c r="BY191" i="27"/>
  <c r="BW191" i="27"/>
  <c r="BU191" i="27"/>
  <c r="BS191" i="27"/>
  <c r="BR191" i="27"/>
  <c r="BQ191" i="27"/>
  <c r="BK193" i="27"/>
  <c r="BK227" i="27"/>
  <c r="BL174" i="27"/>
  <c r="CG188" i="27"/>
  <c r="BM189" i="27"/>
  <c r="CA190" i="27"/>
  <c r="BM193" i="27"/>
  <c r="BQ227" i="27"/>
  <c r="BU170" i="27"/>
  <c r="BP172" i="27"/>
  <c r="BM174" i="27"/>
  <c r="BY176" i="27"/>
  <c r="BW180" i="27"/>
  <c r="BS180" i="27"/>
  <c r="BR180" i="27"/>
  <c r="BQ180" i="27"/>
  <c r="BO180" i="27"/>
  <c r="CA182" i="27"/>
  <c r="BO189" i="27"/>
  <c r="CB190" i="27"/>
  <c r="BL191" i="27"/>
  <c r="CC193" i="27"/>
  <c r="CI201" i="27"/>
  <c r="CG201" i="27"/>
  <c r="CC201" i="27"/>
  <c r="CA206" i="27"/>
  <c r="CI206" i="27"/>
  <c r="CG206" i="27"/>
  <c r="CF206" i="27"/>
  <c r="BY257" i="27"/>
  <c r="BX257" i="27"/>
  <c r="BW257" i="27"/>
  <c r="BU257" i="27"/>
  <c r="BS257" i="27"/>
  <c r="BR257" i="27"/>
  <c r="BQ257" i="27"/>
  <c r="BP257" i="27"/>
  <c r="BO257" i="27"/>
  <c r="BM257" i="27"/>
  <c r="BL257" i="27"/>
  <c r="BK257" i="27"/>
  <c r="CI213" i="27"/>
  <c r="CG213" i="27"/>
  <c r="CF213" i="27"/>
  <c r="CE213" i="27"/>
  <c r="BY197" i="27"/>
  <c r="BS197" i="27"/>
  <c r="BR197" i="27"/>
  <c r="BQ197" i="27"/>
  <c r="BP197" i="27"/>
  <c r="BL197" i="27"/>
  <c r="CF225" i="27"/>
  <c r="CI225" i="27"/>
  <c r="CG225" i="27"/>
  <c r="CE225" i="27"/>
  <c r="CC225" i="27"/>
  <c r="CB225" i="27"/>
  <c r="CA225" i="27"/>
  <c r="CC192" i="27"/>
  <c r="CB194" i="27"/>
  <c r="BK197" i="27"/>
  <c r="CB206" i="27"/>
  <c r="CA213" i="27"/>
  <c r="BY225" i="27"/>
  <c r="BU225" i="27"/>
  <c r="BR225" i="27"/>
  <c r="BQ225" i="27"/>
  <c r="BX225" i="27"/>
  <c r="BW225" i="27"/>
  <c r="BS225" i="27"/>
  <c r="BP225" i="27"/>
  <c r="BO225" i="27"/>
  <c r="BM225" i="27"/>
  <c r="BL225" i="27"/>
  <c r="CE192" i="27"/>
  <c r="CC194" i="27"/>
  <c r="BM197" i="27"/>
  <c r="CC206" i="27"/>
  <c r="CB213" i="27"/>
  <c r="BK225" i="27"/>
  <c r="CA175" i="27"/>
  <c r="CA177" i="27"/>
  <c r="CA179" i="27"/>
  <c r="CA181" i="27"/>
  <c r="CA183" i="27"/>
  <c r="CA185" i="27"/>
  <c r="CA187" i="27"/>
  <c r="BL190" i="27"/>
  <c r="CF192" i="27"/>
  <c r="CE194" i="27"/>
  <c r="BO197" i="27"/>
  <c r="CA201" i="27"/>
  <c r="CE206" i="27"/>
  <c r="CC213" i="27"/>
  <c r="CB260" i="27"/>
  <c r="CA260" i="27"/>
  <c r="CI260" i="27"/>
  <c r="CE260" i="27"/>
  <c r="CG260" i="27"/>
  <c r="CF260" i="27"/>
  <c r="CC260" i="27"/>
  <c r="CF194" i="27"/>
  <c r="BU197" i="27"/>
  <c r="CB201" i="27"/>
  <c r="CC175" i="27"/>
  <c r="CC177" i="27"/>
  <c r="CC179" i="27"/>
  <c r="CC181" i="27"/>
  <c r="CC183" i="27"/>
  <c r="CC185" i="27"/>
  <c r="CC187" i="27"/>
  <c r="BO190" i="27"/>
  <c r="BR194" i="27"/>
  <c r="CG194" i="27"/>
  <c r="BW197" i="27"/>
  <c r="CE201" i="27"/>
  <c r="CE175" i="27"/>
  <c r="CE177" i="27"/>
  <c r="CE179" i="27"/>
  <c r="CE181" i="27"/>
  <c r="CE183" i="27"/>
  <c r="CE185" i="27"/>
  <c r="CE187" i="27"/>
  <c r="BP190" i="27"/>
  <c r="CA199" i="27"/>
  <c r="CF201" i="27"/>
  <c r="CC204" i="27"/>
  <c r="CB204" i="27"/>
  <c r="CA204" i="27"/>
  <c r="CB216" i="27"/>
  <c r="CA216" i="27"/>
  <c r="CI216" i="27"/>
  <c r="CG216" i="27"/>
  <c r="CF175" i="27"/>
  <c r="CF177" i="27"/>
  <c r="CF179" i="27"/>
  <c r="CF181" i="27"/>
  <c r="CF183" i="27"/>
  <c r="CF185" i="27"/>
  <c r="CF187" i="27"/>
  <c r="CE189" i="27"/>
  <c r="BQ190" i="27"/>
  <c r="BO192" i="27"/>
  <c r="BL194" i="27"/>
  <c r="CB199" i="27"/>
  <c r="BY204" i="27"/>
  <c r="BW204" i="27"/>
  <c r="BU204" i="27"/>
  <c r="BS204" i="27"/>
  <c r="BR204" i="27"/>
  <c r="BQ204" i="27"/>
  <c r="BP204" i="27"/>
  <c r="BM204" i="27"/>
  <c r="BY216" i="27"/>
  <c r="BX216" i="27"/>
  <c r="BW216" i="27"/>
  <c r="BU216" i="27"/>
  <c r="BS216" i="27"/>
  <c r="BR216" i="27"/>
  <c r="BQ216" i="27"/>
  <c r="BP216" i="27"/>
  <c r="BO216" i="27"/>
  <c r="BM216" i="27"/>
  <c r="BL216" i="27"/>
  <c r="CI221" i="27"/>
  <c r="CG221" i="27"/>
  <c r="CF221" i="27"/>
  <c r="CE221" i="27"/>
  <c r="BL234" i="27"/>
  <c r="BK234" i="27"/>
  <c r="BY234" i="27"/>
  <c r="BX234" i="27"/>
  <c r="BW234" i="27"/>
  <c r="BR234" i="27"/>
  <c r="BU234" i="27"/>
  <c r="BS234" i="27"/>
  <c r="BQ234" i="27"/>
  <c r="BP234" i="27"/>
  <c r="BO234" i="27"/>
  <c r="BM234" i="27"/>
  <c r="BO198" i="27"/>
  <c r="BM198" i="27"/>
  <c r="BL198" i="27"/>
  <c r="BU198" i="27"/>
  <c r="CC199" i="27"/>
  <c r="BO194" i="27"/>
  <c r="BK198" i="27"/>
  <c r="CE199" i="27"/>
  <c r="BL204" i="27"/>
  <c r="CC216" i="27"/>
  <c r="CA221" i="27"/>
  <c r="BY196" i="27"/>
  <c r="BR200" i="27"/>
  <c r="BK206" i="27"/>
  <c r="BS207" i="27"/>
  <c r="CE208" i="27"/>
  <c r="CB210" i="27"/>
  <c r="BX212" i="27"/>
  <c r="BK213" i="27"/>
  <c r="CA215" i="27"/>
  <c r="BU217" i="27"/>
  <c r="CC218" i="27"/>
  <c r="BX220" i="27"/>
  <c r="BK221" i="27"/>
  <c r="CA223" i="27"/>
  <c r="CA228" i="27"/>
  <c r="CG233" i="27"/>
  <c r="BL213" i="27"/>
  <c r="BL221" i="27"/>
  <c r="BM206" i="27"/>
  <c r="BK208" i="27"/>
  <c r="CE210" i="27"/>
  <c r="BM213" i="27"/>
  <c r="CC215" i="27"/>
  <c r="BK218" i="27"/>
  <c r="BM221" i="27"/>
  <c r="CC223" i="27"/>
  <c r="CE228" i="27"/>
  <c r="BW230" i="27"/>
  <c r="BR230" i="27"/>
  <c r="BQ230" i="27"/>
  <c r="BP230" i="27"/>
  <c r="BO230" i="27"/>
  <c r="BM230" i="27"/>
  <c r="CC196" i="27"/>
  <c r="CA198" i="27"/>
  <c r="BM199" i="27"/>
  <c r="BW200" i="27"/>
  <c r="BS202" i="27"/>
  <c r="CE203" i="27"/>
  <c r="CB205" i="27"/>
  <c r="BO206" i="27"/>
  <c r="BY207" i="27"/>
  <c r="BL208" i="27"/>
  <c r="CF210" i="27"/>
  <c r="CB212" i="27"/>
  <c r="BO213" i="27"/>
  <c r="BW214" i="27"/>
  <c r="CE215" i="27"/>
  <c r="BY217" i="27"/>
  <c r="BL218" i="27"/>
  <c r="CG218" i="27"/>
  <c r="BO221" i="27"/>
  <c r="CE223" i="27"/>
  <c r="CF228" i="27"/>
  <c r="BK230" i="27"/>
  <c r="CI249" i="27"/>
  <c r="CG249" i="27"/>
  <c r="CF249" i="27"/>
  <c r="CB249" i="27"/>
  <c r="CB252" i="27"/>
  <c r="CA252" i="27"/>
  <c r="CI252" i="27"/>
  <c r="CE252" i="27"/>
  <c r="CE196" i="27"/>
  <c r="CB198" i="27"/>
  <c r="BO199" i="27"/>
  <c r="BY200" i="27"/>
  <c r="CC205" i="27"/>
  <c r="BP206" i="27"/>
  <c r="CA207" i="27"/>
  <c r="BM208" i="27"/>
  <c r="CG210" i="27"/>
  <c r="BP213" i="27"/>
  <c r="CF215" i="27"/>
  <c r="CA217" i="27"/>
  <c r="BM218" i="27"/>
  <c r="BP221" i="27"/>
  <c r="BK223" i="27"/>
  <c r="CF223" i="27"/>
  <c r="BL230" i="27"/>
  <c r="BY249" i="27"/>
  <c r="BX249" i="27"/>
  <c r="BW249" i="27"/>
  <c r="BU249" i="27"/>
  <c r="BS249" i="27"/>
  <c r="BR249" i="27"/>
  <c r="BQ249" i="27"/>
  <c r="BP249" i="27"/>
  <c r="BO249" i="27"/>
  <c r="BM249" i="27"/>
  <c r="BL249" i="27"/>
  <c r="BK249" i="27"/>
  <c r="BP199" i="27"/>
  <c r="CA200" i="27"/>
  <c r="CE205" i="27"/>
  <c r="BQ206" i="27"/>
  <c r="CB207" i="27"/>
  <c r="BO208" i="27"/>
  <c r="BQ213" i="27"/>
  <c r="CG215" i="27"/>
  <c r="BO218" i="27"/>
  <c r="BQ221" i="27"/>
  <c r="CG223" i="27"/>
  <c r="BS230" i="27"/>
  <c r="BK196" i="27"/>
  <c r="BQ199" i="27"/>
  <c r="CB200" i="27"/>
  <c r="BR206" i="27"/>
  <c r="CC207" i="27"/>
  <c r="BP208" i="27"/>
  <c r="BK212" i="27"/>
  <c r="BR213" i="27"/>
  <c r="CA214" i="27"/>
  <c r="CC217" i="27"/>
  <c r="BP218" i="27"/>
  <c r="BK220" i="27"/>
  <c r="BR221" i="27"/>
  <c r="CA222" i="27"/>
  <c r="BM223" i="27"/>
  <c r="BU230" i="27"/>
  <c r="BS206" i="27"/>
  <c r="CE207" i="27"/>
  <c r="BQ208" i="27"/>
  <c r="BS213" i="27"/>
  <c r="BQ218" i="27"/>
  <c r="BS221" i="27"/>
  <c r="CB228" i="27"/>
  <c r="CI228" i="27"/>
  <c r="CI235" i="27"/>
  <c r="CG235" i="27"/>
  <c r="CF235" i="27"/>
  <c r="CE235" i="27"/>
  <c r="CB235" i="27"/>
  <c r="CA235" i="27"/>
  <c r="CE200" i="27"/>
  <c r="BU206" i="27"/>
  <c r="CF207" i="27"/>
  <c r="BR208" i="27"/>
  <c r="BM212" i="27"/>
  <c r="BU213" i="27"/>
  <c r="CC214" i="27"/>
  <c r="BK217" i="27"/>
  <c r="BR218" i="27"/>
  <c r="BM220" i="27"/>
  <c r="BU221" i="27"/>
  <c r="CC222" i="27"/>
  <c r="BX228" i="27"/>
  <c r="BW228" i="27"/>
  <c r="BU228" i="27"/>
  <c r="BS228" i="27"/>
  <c r="BM228" i="27"/>
  <c r="BY230" i="27"/>
  <c r="BY233" i="27"/>
  <c r="BX233" i="27"/>
  <c r="BU233" i="27"/>
  <c r="BS233" i="27"/>
  <c r="BR233" i="27"/>
  <c r="BQ233" i="27"/>
  <c r="BP233" i="27"/>
  <c r="BO233" i="27"/>
  <c r="BK233" i="27"/>
  <c r="CC252" i="27"/>
  <c r="BU199" i="27"/>
  <c r="CF200" i="27"/>
  <c r="BM205" i="27"/>
  <c r="BW206" i="27"/>
  <c r="BK207" i="27"/>
  <c r="CG207" i="27"/>
  <c r="BS208" i="27"/>
  <c r="CE209" i="27"/>
  <c r="BO212" i="27"/>
  <c r="BW213" i="27"/>
  <c r="CE214" i="27"/>
  <c r="BQ215" i="27"/>
  <c r="BL217" i="27"/>
  <c r="CG217" i="27"/>
  <c r="BS218" i="27"/>
  <c r="BO220" i="27"/>
  <c r="BW221" i="27"/>
  <c r="CE222" i="27"/>
  <c r="BQ223" i="27"/>
  <c r="BK228" i="27"/>
  <c r="BL233" i="27"/>
  <c r="CB236" i="27"/>
  <c r="CA236" i="27"/>
  <c r="CI236" i="27"/>
  <c r="CI241" i="27"/>
  <c r="CG241" i="27"/>
  <c r="CF241" i="27"/>
  <c r="CB241" i="27"/>
  <c r="CF252" i="27"/>
  <c r="CC195" i="27"/>
  <c r="BP196" i="27"/>
  <c r="BW199" i="27"/>
  <c r="BK200" i="27"/>
  <c r="CG200" i="27"/>
  <c r="CE202" i="27"/>
  <c r="BQ203" i="27"/>
  <c r="BO205" i="27"/>
  <c r="BL207" i="27"/>
  <c r="BU208" i="27"/>
  <c r="CF209" i="27"/>
  <c r="BR210" i="27"/>
  <c r="CC211" i="27"/>
  <c r="BP212" i="27"/>
  <c r="BX213" i="27"/>
  <c r="BK214" i="27"/>
  <c r="CF214" i="27"/>
  <c r="BR215" i="27"/>
  <c r="BM217" i="27"/>
  <c r="BU218" i="27"/>
  <c r="CC219" i="27"/>
  <c r="BP220" i="27"/>
  <c r="BX221" i="27"/>
  <c r="BK222" i="27"/>
  <c r="CF222" i="27"/>
  <c r="BR223" i="27"/>
  <c r="BL228" i="27"/>
  <c r="BM233" i="27"/>
  <c r="BY236" i="27"/>
  <c r="BX236" i="27"/>
  <c r="BW236" i="27"/>
  <c r="BU236" i="27"/>
  <c r="BS236" i="27"/>
  <c r="BR236" i="27"/>
  <c r="BQ236" i="27"/>
  <c r="BO236" i="27"/>
  <c r="BM236" i="27"/>
  <c r="BY241" i="27"/>
  <c r="BX241" i="27"/>
  <c r="BW241" i="27"/>
  <c r="BU241" i="27"/>
  <c r="BS241" i="27"/>
  <c r="BR241" i="27"/>
  <c r="BQ241" i="27"/>
  <c r="BP241" i="27"/>
  <c r="BO241" i="27"/>
  <c r="BM241" i="27"/>
  <c r="BL241" i="27"/>
  <c r="BK241" i="27"/>
  <c r="CB244" i="27"/>
  <c r="CA244" i="27"/>
  <c r="CI244" i="27"/>
  <c r="CE244" i="27"/>
  <c r="CG252" i="27"/>
  <c r="BM207" i="27"/>
  <c r="BO217" i="27"/>
  <c r="CI227" i="27"/>
  <c r="CG227" i="27"/>
  <c r="CA227" i="27"/>
  <c r="BO228" i="27"/>
  <c r="BW233" i="27"/>
  <c r="BK236" i="27"/>
  <c r="CA241" i="27"/>
  <c r="BU229" i="27"/>
  <c r="BU237" i="27"/>
  <c r="BR242" i="27"/>
  <c r="CA243" i="27"/>
  <c r="BM244" i="27"/>
  <c r="BU245" i="27"/>
  <c r="BR250" i="27"/>
  <c r="CA251" i="27"/>
  <c r="BM252" i="27"/>
  <c r="CC254" i="27"/>
  <c r="BR258" i="27"/>
  <c r="CA259" i="27"/>
  <c r="BM260" i="27"/>
  <c r="CB243" i="27"/>
  <c r="BO244" i="27"/>
  <c r="CB251" i="27"/>
  <c r="BO252" i="27"/>
  <c r="CB259" i="27"/>
  <c r="BO260" i="27"/>
  <c r="CC243" i="27"/>
  <c r="CC251" i="27"/>
  <c r="CC259" i="27"/>
  <c r="BP260" i="27"/>
  <c r="BL238" i="27"/>
  <c r="BW242" i="27"/>
  <c r="CE243" i="27"/>
  <c r="BQ244" i="27"/>
  <c r="BL246" i="27"/>
  <c r="BW250" i="27"/>
  <c r="CE251" i="27"/>
  <c r="BQ252" i="27"/>
  <c r="BL254" i="27"/>
  <c r="CE259" i="27"/>
  <c r="BQ260" i="27"/>
  <c r="CC232" i="27"/>
  <c r="BK235" i="27"/>
  <c r="BM238" i="27"/>
  <c r="CC240" i="27"/>
  <c r="BX242" i="27"/>
  <c r="BK243" i="27"/>
  <c r="CF243" i="27"/>
  <c r="BR244" i="27"/>
  <c r="BM246" i="27"/>
  <c r="CC248" i="27"/>
  <c r="BX250" i="27"/>
  <c r="BK251" i="27"/>
  <c r="CF251" i="27"/>
  <c r="BR252" i="27"/>
  <c r="BM254" i="27"/>
  <c r="CC256" i="27"/>
  <c r="BX258" i="27"/>
  <c r="BK259" i="27"/>
  <c r="CF259" i="27"/>
  <c r="BR260" i="27"/>
  <c r="CB229" i="27"/>
  <c r="CE232" i="27"/>
  <c r="BL235" i="27"/>
  <c r="CB237" i="27"/>
  <c r="BO238" i="27"/>
  <c r="CE240" i="27"/>
  <c r="BY242" i="27"/>
  <c r="BL243" i="27"/>
  <c r="CG243" i="27"/>
  <c r="BS244" i="27"/>
  <c r="CB245" i="27"/>
  <c r="BO246" i="27"/>
  <c r="CE248" i="27"/>
  <c r="BY250" i="27"/>
  <c r="BL251" i="27"/>
  <c r="CG251" i="27"/>
  <c r="BS252" i="27"/>
  <c r="CB253" i="27"/>
  <c r="BO254" i="27"/>
  <c r="CE256" i="27"/>
  <c r="BY258" i="27"/>
  <c r="BL259" i="27"/>
  <c r="CG259" i="27"/>
  <c r="BS260" i="27"/>
  <c r="CB261" i="27"/>
  <c r="BK224" i="27"/>
  <c r="CA226" i="27"/>
  <c r="CC229" i="27"/>
  <c r="CF232" i="27"/>
  <c r="BM235" i="27"/>
  <c r="CC237" i="27"/>
  <c r="BP238" i="27"/>
  <c r="CF240" i="27"/>
  <c r="BM243" i="27"/>
  <c r="BU244" i="27"/>
  <c r="CC245" i="27"/>
  <c r="BP246" i="27"/>
  <c r="CF248" i="27"/>
  <c r="BM251" i="27"/>
  <c r="BU252" i="27"/>
  <c r="CC253" i="27"/>
  <c r="BP254" i="27"/>
  <c r="CF256" i="27"/>
  <c r="BM259" i="27"/>
  <c r="BU260" i="27"/>
  <c r="CC261" i="27"/>
  <c r="CG232" i="27"/>
  <c r="BO235" i="27"/>
  <c r="BQ238" i="27"/>
  <c r="CG240" i="27"/>
  <c r="BO243" i="27"/>
  <c r="BW244" i="27"/>
  <c r="BQ246" i="27"/>
  <c r="CG248" i="27"/>
  <c r="BO251" i="27"/>
  <c r="BW252" i="27"/>
  <c r="BQ254" i="27"/>
  <c r="CG256" i="27"/>
  <c r="BO259" i="27"/>
  <c r="BW260" i="27"/>
  <c r="BM224" i="27"/>
  <c r="CC226" i="27"/>
  <c r="BK229" i="27"/>
  <c r="CA231" i="27"/>
  <c r="CC234" i="27"/>
  <c r="BP235" i="27"/>
  <c r="BK237" i="27"/>
  <c r="BR238" i="27"/>
  <c r="CA239" i="27"/>
  <c r="CC242" i="27"/>
  <c r="BP243" i="27"/>
  <c r="BX244" i="27"/>
  <c r="BK245" i="27"/>
  <c r="BR246" i="27"/>
  <c r="CA247" i="27"/>
  <c r="BM248" i="27"/>
  <c r="CC250" i="27"/>
  <c r="BP251" i="27"/>
  <c r="BX252" i="27"/>
  <c r="BK253" i="27"/>
  <c r="BR254" i="27"/>
  <c r="CA255" i="27"/>
  <c r="BM256" i="27"/>
  <c r="CC258" i="27"/>
  <c r="BP259" i="27"/>
  <c r="BX260" i="27"/>
  <c r="BK261" i="27"/>
  <c r="CF261" i="27"/>
  <c r="BS238" i="27"/>
  <c r="BS246" i="27"/>
  <c r="BQ251" i="27"/>
  <c r="BS254" i="27"/>
  <c r="BQ259" i="27"/>
  <c r="BL261" i="27"/>
  <c r="CC231" i="27"/>
  <c r="BR235" i="27"/>
  <c r="BU238" i="27"/>
  <c r="CC239" i="27"/>
  <c r="BK242" i="27"/>
  <c r="BR243" i="27"/>
  <c r="BU246" i="27"/>
  <c r="CC247" i="27"/>
  <c r="BK250" i="27"/>
  <c r="BR251" i="27"/>
  <c r="BM253" i="27"/>
  <c r="BU254" i="27"/>
  <c r="CC255" i="27"/>
  <c r="BK258" i="27"/>
  <c r="BR259" i="27"/>
  <c r="BM261" i="27"/>
  <c r="BO229" i="27"/>
  <c r="BO237" i="27"/>
  <c r="BO245" i="27"/>
  <c r="BO253" i="27"/>
  <c r="BO261" i="27"/>
  <c r="BK262" i="27" l="1"/>
  <c r="DR264" i="27"/>
  <c r="DO263" i="27"/>
  <c r="DQ263" i="27" s="1"/>
  <c r="DT263" i="27"/>
  <c r="DU263" i="27" s="1" a="1"/>
  <c r="DU263" i="27" s="1"/>
  <c r="DW264" i="27"/>
  <c r="CH262" i="27"/>
  <c r="CK262" i="27"/>
  <c r="CD262" i="27"/>
  <c r="BT262" i="27"/>
  <c r="CM80" i="27"/>
  <c r="DZ80" i="27" s="1"/>
  <c r="EA80" i="27" s="1"/>
  <c r="CM66" i="27"/>
  <c r="DZ66" i="27" s="1"/>
  <c r="EA66" i="27" s="1"/>
  <c r="AF6" i="1"/>
  <c r="CM116" i="27"/>
  <c r="DT116" i="27" s="1"/>
  <c r="CG262" i="27"/>
  <c r="CJ262" i="27"/>
  <c r="CM51" i="27"/>
  <c r="DZ51" i="27" s="1"/>
  <c r="EA51" i="27" s="1"/>
  <c r="CC262" i="27"/>
  <c r="CM46" i="27"/>
  <c r="DZ46" i="27" s="1"/>
  <c r="EA46" i="27" s="1"/>
  <c r="CE262" i="27"/>
  <c r="CA262" i="27"/>
  <c r="CF262" i="27"/>
  <c r="CM63" i="27"/>
  <c r="DZ63" i="27" s="1"/>
  <c r="EA63" i="27" s="1"/>
  <c r="CM83" i="27"/>
  <c r="DZ83" i="27" s="1"/>
  <c r="EA83" i="27" s="1"/>
  <c r="CI262" i="27"/>
  <c r="CM79" i="27"/>
  <c r="DZ79" i="27" s="1"/>
  <c r="EA79" i="27" s="1"/>
  <c r="CM158" i="27"/>
  <c r="DT158" i="27" s="1"/>
  <c r="DV158" i="27" s="1"/>
  <c r="CM47" i="27"/>
  <c r="DZ47" i="27" s="1"/>
  <c r="EA47" i="27" s="1"/>
  <c r="CB262" i="27"/>
  <c r="CM196" i="27"/>
  <c r="DT196" i="27" s="1"/>
  <c r="DV196" i="27" s="1"/>
  <c r="CM112" i="27"/>
  <c r="DT112" i="27" s="1"/>
  <c r="DV112" i="27" s="1"/>
  <c r="CM85" i="27"/>
  <c r="DZ85" i="27" s="1"/>
  <c r="EA85" i="27" s="1"/>
  <c r="CM61" i="27"/>
  <c r="DZ61" i="27" s="1"/>
  <c r="EA61" i="27" s="1"/>
  <c r="CM195" i="27"/>
  <c r="DT195" i="27" s="1"/>
  <c r="DV195" i="27" s="1"/>
  <c r="CM43" i="27"/>
  <c r="DZ43" i="27" s="1"/>
  <c r="EA43" i="27" s="1"/>
  <c r="BR262" i="27"/>
  <c r="BY262" i="27"/>
  <c r="CL245" i="27"/>
  <c r="DO245" i="27" s="1"/>
  <c r="DQ245" i="27" s="1"/>
  <c r="BW262" i="27"/>
  <c r="CM41" i="27"/>
  <c r="DZ41" i="27" s="1"/>
  <c r="EA41" i="27" s="1"/>
  <c r="BU262" i="27"/>
  <c r="CL173" i="27"/>
  <c r="DO173" i="27" s="1"/>
  <c r="DP173" i="27" s="1" a="1"/>
  <c r="DP173" i="27" s="1"/>
  <c r="DR173" i="27" s="1"/>
  <c r="CM239" i="27"/>
  <c r="DT239" i="27" s="1"/>
  <c r="DU239" i="27" s="1" a="1"/>
  <c r="DU239" i="27" s="1"/>
  <c r="DW239" i="27" s="1"/>
  <c r="CL51" i="27"/>
  <c r="CM258" i="27"/>
  <c r="DT258" i="27" s="1"/>
  <c r="DV258" i="27" s="1"/>
  <c r="CM254" i="27"/>
  <c r="DT254" i="27" s="1"/>
  <c r="DV254" i="27" s="1"/>
  <c r="CM156" i="27"/>
  <c r="DT156" i="27" s="1"/>
  <c r="DV156" i="27" s="1"/>
  <c r="CL172" i="27"/>
  <c r="DO172" i="27" s="1"/>
  <c r="DQ172" i="27" s="1"/>
  <c r="CM132" i="27"/>
  <c r="DT132" i="27" s="1"/>
  <c r="DV132" i="27" s="1"/>
  <c r="BS262" i="27"/>
  <c r="BQ262" i="27"/>
  <c r="CM229" i="27"/>
  <c r="DT229" i="27" s="1"/>
  <c r="DV229" i="27" s="1"/>
  <c r="CM202" i="27"/>
  <c r="DT202" i="27" s="1"/>
  <c r="DV202" i="27" s="1"/>
  <c r="CM69" i="27"/>
  <c r="DZ69" i="27" s="1"/>
  <c r="EA69" i="27" s="1"/>
  <c r="BO262" i="27"/>
  <c r="CL140" i="27"/>
  <c r="DO140" i="27" s="1"/>
  <c r="DQ140" i="27" s="1"/>
  <c r="BL262" i="27"/>
  <c r="CL48" i="27"/>
  <c r="CL52" i="27"/>
  <c r="BP262" i="27"/>
  <c r="CL177" i="27"/>
  <c r="DO177" i="27" s="1"/>
  <c r="DQ177" i="27" s="1"/>
  <c r="CL35" i="27"/>
  <c r="CM246" i="27"/>
  <c r="DT246" i="27" s="1"/>
  <c r="DV246" i="27" s="1"/>
  <c r="CL76" i="27"/>
  <c r="BX262" i="27"/>
  <c r="CL126" i="27"/>
  <c r="DO126" i="27" s="1"/>
  <c r="DP126" i="27" s="1" a="1"/>
  <c r="DP126" i="27" s="1"/>
  <c r="DR126" i="27" s="1"/>
  <c r="CL34" i="27"/>
  <c r="CL40" i="27"/>
  <c r="BM262" i="27"/>
  <c r="CL212" i="27"/>
  <c r="DO212" i="27" s="1"/>
  <c r="DQ212" i="27" s="1"/>
  <c r="CL111" i="27"/>
  <c r="DO111" i="27" s="1"/>
  <c r="DQ111" i="27" s="1"/>
  <c r="CM78" i="27"/>
  <c r="DZ78" i="27" s="1"/>
  <c r="EA78" i="27" s="1"/>
  <c r="CL231" i="27"/>
  <c r="DO231" i="27" s="1"/>
  <c r="DQ231" i="27" s="1"/>
  <c r="CL219" i="27"/>
  <c r="DO219" i="27" s="1"/>
  <c r="DQ219" i="27" s="1"/>
  <c r="CM230" i="27"/>
  <c r="DT230" i="27" s="1"/>
  <c r="DV230" i="27" s="1"/>
  <c r="CL44" i="27"/>
  <c r="CM238" i="27"/>
  <c r="DT238" i="27" s="1"/>
  <c r="DV238" i="27" s="1"/>
  <c r="CL128" i="27"/>
  <c r="DO128" i="27" s="1"/>
  <c r="DP128" i="27" s="1" a="1"/>
  <c r="DP128" i="27" s="1"/>
  <c r="DR128" i="27" s="1"/>
  <c r="CL92" i="27"/>
  <c r="CL255" i="27"/>
  <c r="DO255" i="27" s="1"/>
  <c r="CL79" i="27"/>
  <c r="CM73" i="27"/>
  <c r="DZ73" i="27" s="1"/>
  <c r="EA73" i="27" s="1"/>
  <c r="CL32" i="27"/>
  <c r="CM23" i="27"/>
  <c r="DZ23" i="27" s="1"/>
  <c r="EA23" i="27" s="1"/>
  <c r="CL246" i="27"/>
  <c r="DO246" i="27" s="1"/>
  <c r="DP246" i="27" s="1" a="1"/>
  <c r="DP246" i="27" s="1"/>
  <c r="DR246" i="27" s="1"/>
  <c r="CM256" i="27"/>
  <c r="DT256" i="27" s="1"/>
  <c r="DU256" i="27" s="1" a="1"/>
  <c r="DU256" i="27" s="1"/>
  <c r="DW256" i="27" s="1"/>
  <c r="CL224" i="27"/>
  <c r="DO224" i="27" s="1"/>
  <c r="DP224" i="27" s="1" a="1"/>
  <c r="DP224" i="27" s="1"/>
  <c r="DR224" i="27" s="1"/>
  <c r="CL254" i="27"/>
  <c r="DO254" i="27" s="1"/>
  <c r="DQ254" i="27" s="1"/>
  <c r="CL180" i="27"/>
  <c r="DO180" i="27" s="1"/>
  <c r="DQ180" i="27" s="1"/>
  <c r="CM160" i="27"/>
  <c r="DT160" i="27" s="1"/>
  <c r="DV160" i="27" s="1"/>
  <c r="CM21" i="27"/>
  <c r="DZ21" i="27" s="1"/>
  <c r="EA21" i="27" s="1"/>
  <c r="CL169" i="27"/>
  <c r="DO169" i="27" s="1"/>
  <c r="DQ169" i="27" s="1"/>
  <c r="CL153" i="27"/>
  <c r="DO153" i="27" s="1"/>
  <c r="DQ153" i="27" s="1"/>
  <c r="CM191" i="27"/>
  <c r="DT191" i="27" s="1"/>
  <c r="DU191" i="27" s="1" a="1"/>
  <c r="DU191" i="27" s="1"/>
  <c r="DW191" i="27" s="1"/>
  <c r="CL23" i="27"/>
  <c r="CL60" i="27"/>
  <c r="CM24" i="27"/>
  <c r="DZ24" i="27" s="1"/>
  <c r="EA24" i="27" s="1"/>
  <c r="CM205" i="27"/>
  <c r="DT205" i="27" s="1"/>
  <c r="DV205" i="27" s="1"/>
  <c r="CM105" i="27"/>
  <c r="DT105" i="27" s="1"/>
  <c r="DU105" i="27" s="1" a="1"/>
  <c r="DU105" i="27" s="1"/>
  <c r="DW105" i="27" s="1"/>
  <c r="CM90" i="27"/>
  <c r="DZ90" i="27" s="1"/>
  <c r="EA90" i="27" s="1"/>
  <c r="CL36" i="27"/>
  <c r="CM62" i="27"/>
  <c r="DZ62" i="27" s="1"/>
  <c r="EA62" i="27" s="1"/>
  <c r="CM150" i="27"/>
  <c r="DT150" i="27" s="1"/>
  <c r="DV150" i="27" s="1"/>
  <c r="CL187" i="27"/>
  <c r="DO187" i="27" s="1"/>
  <c r="DQ187" i="27" s="1"/>
  <c r="CM119" i="27"/>
  <c r="DT119" i="27" s="1"/>
  <c r="DU119" i="27" s="1" a="1"/>
  <c r="DU119" i="27" s="1"/>
  <c r="DW119" i="27" s="1"/>
  <c r="CL175" i="27"/>
  <c r="DO175" i="27" s="1"/>
  <c r="DP175" i="27" s="1" a="1"/>
  <c r="DP175" i="27" s="1"/>
  <c r="DR175" i="27" s="1"/>
  <c r="CM224" i="27"/>
  <c r="DT224" i="27" s="1"/>
  <c r="DV224" i="27" s="1"/>
  <c r="CL171" i="27"/>
  <c r="DO171" i="27" s="1"/>
  <c r="DQ171" i="27" s="1"/>
  <c r="CL179" i="27"/>
  <c r="DO179" i="27" s="1"/>
  <c r="DQ179" i="27" s="1"/>
  <c r="CL68" i="27"/>
  <c r="CL84" i="27"/>
  <c r="CL53" i="27"/>
  <c r="CM22" i="27"/>
  <c r="DZ22" i="27" s="1"/>
  <c r="EA22" i="27" s="1"/>
  <c r="CM117" i="27"/>
  <c r="DT117" i="27" s="1"/>
  <c r="DV117" i="27" s="1"/>
  <c r="CL151" i="27"/>
  <c r="DO151" i="27" s="1"/>
  <c r="DQ151" i="27" s="1"/>
  <c r="CM242" i="27"/>
  <c r="DT242" i="27" s="1"/>
  <c r="DU242" i="27" s="1" a="1"/>
  <c r="DU242" i="27" s="1"/>
  <c r="DW242" i="27" s="1"/>
  <c r="CM252" i="27"/>
  <c r="DT252" i="27" s="1"/>
  <c r="DV252" i="27" s="1"/>
  <c r="CM212" i="27"/>
  <c r="DT212" i="27" s="1"/>
  <c r="DU212" i="27" s="1" a="1"/>
  <c r="DU212" i="27" s="1"/>
  <c r="DW212" i="27" s="1"/>
  <c r="CL144" i="27"/>
  <c r="DO144" i="27" s="1"/>
  <c r="DP144" i="27" s="1" a="1"/>
  <c r="DP144" i="27" s="1"/>
  <c r="DR144" i="27" s="1"/>
  <c r="CL89" i="27"/>
  <c r="CL39" i="27"/>
  <c r="CL247" i="27"/>
  <c r="DO247" i="27" s="1"/>
  <c r="DQ247" i="27" s="1"/>
  <c r="CL239" i="27"/>
  <c r="DO239" i="27" s="1"/>
  <c r="DP239" i="27" s="1" a="1"/>
  <c r="DP239" i="27" s="1"/>
  <c r="DR239" i="27" s="1"/>
  <c r="CL183" i="27"/>
  <c r="DO183" i="27" s="1"/>
  <c r="DP183" i="27" s="1" a="1"/>
  <c r="DP183" i="27" s="1"/>
  <c r="DR183" i="27" s="1"/>
  <c r="CM220" i="27"/>
  <c r="DT220" i="27" s="1"/>
  <c r="DV220" i="27" s="1"/>
  <c r="CM77" i="27"/>
  <c r="DZ77" i="27" s="1"/>
  <c r="EA77" i="27" s="1"/>
  <c r="CL215" i="27"/>
  <c r="DO215" i="27" s="1"/>
  <c r="DQ215" i="27" s="1"/>
  <c r="CM217" i="27"/>
  <c r="DT217" i="27" s="1"/>
  <c r="DU217" i="27" s="1" a="1"/>
  <c r="DU217" i="27" s="1"/>
  <c r="DW217" i="27" s="1"/>
  <c r="CL88" i="27"/>
  <c r="CL194" i="27"/>
  <c r="DO194" i="27" s="1"/>
  <c r="DQ194" i="27" s="1"/>
  <c r="CM108" i="27"/>
  <c r="DT108" i="27" s="1"/>
  <c r="DU108" i="27" s="1" a="1"/>
  <c r="DU108" i="27" s="1"/>
  <c r="DW108" i="27" s="1"/>
  <c r="CL20" i="27"/>
  <c r="CM211" i="27"/>
  <c r="DT211" i="27" s="1"/>
  <c r="DV211" i="27" s="1"/>
  <c r="CL192" i="27"/>
  <c r="DO192" i="27" s="1"/>
  <c r="DP192" i="27" s="1" a="1"/>
  <c r="DP192" i="27" s="1"/>
  <c r="DR192" i="27" s="1"/>
  <c r="CM206" i="27"/>
  <c r="DT206" i="27" s="1"/>
  <c r="DU206" i="27" s="1" a="1"/>
  <c r="DU206" i="27" s="1"/>
  <c r="DW206" i="27" s="1"/>
  <c r="CM106" i="27"/>
  <c r="DT106" i="27" s="1"/>
  <c r="DU106" i="27" s="1" a="1"/>
  <c r="DU106" i="27" s="1"/>
  <c r="DW106" i="27" s="1"/>
  <c r="CL127" i="27"/>
  <c r="DO127" i="27" s="1"/>
  <c r="DQ127" i="27" s="1"/>
  <c r="CM87" i="27"/>
  <c r="DZ87" i="27" s="1"/>
  <c r="EA87" i="27" s="1"/>
  <c r="CL202" i="27"/>
  <c r="DO202" i="27" s="1"/>
  <c r="DQ202" i="27" s="1"/>
  <c r="CM174" i="27"/>
  <c r="DT174" i="27" s="1"/>
  <c r="DV174" i="27" s="1"/>
  <c r="CM203" i="27"/>
  <c r="DT203" i="27" s="1"/>
  <c r="DV203" i="27" s="1"/>
  <c r="CL145" i="27"/>
  <c r="DO145" i="27" s="1"/>
  <c r="DQ145" i="27" s="1"/>
  <c r="CL181" i="27"/>
  <c r="DO181" i="27" s="1"/>
  <c r="DQ181" i="27" s="1"/>
  <c r="CM70" i="27"/>
  <c r="DZ70" i="27" s="1"/>
  <c r="EA70" i="27" s="1"/>
  <c r="CL71" i="27"/>
  <c r="CL240" i="27"/>
  <c r="DO240" i="27" s="1"/>
  <c r="DP240" i="27" s="1" a="1"/>
  <c r="DP240" i="27" s="1"/>
  <c r="DR240" i="27" s="1"/>
  <c r="CM32" i="27"/>
  <c r="DZ32" i="27" s="1"/>
  <c r="EA32" i="27" s="1"/>
  <c r="CM152" i="27"/>
  <c r="DT152" i="27" s="1"/>
  <c r="DU152" i="27" s="1" a="1"/>
  <c r="DU152" i="27" s="1"/>
  <c r="DW152" i="27" s="1"/>
  <c r="CM30" i="27"/>
  <c r="DZ30" i="27" s="1"/>
  <c r="EA30" i="27" s="1"/>
  <c r="CM102" i="27"/>
  <c r="DZ102" i="27" s="1"/>
  <c r="EA102" i="27" s="1"/>
  <c r="CL95" i="27"/>
  <c r="CM93" i="27"/>
  <c r="DZ93" i="27" s="1"/>
  <c r="EA93" i="27" s="1"/>
  <c r="CL120" i="27"/>
  <c r="DO120" i="27" s="1"/>
  <c r="DQ120" i="27" s="1"/>
  <c r="CL93" i="27"/>
  <c r="CM185" i="27"/>
  <c r="DT185" i="27" s="1"/>
  <c r="DV185" i="27" s="1"/>
  <c r="CM136" i="27"/>
  <c r="DT136" i="27" s="1"/>
  <c r="DV136" i="27" s="1"/>
  <c r="CM98" i="27"/>
  <c r="DZ98" i="27" s="1"/>
  <c r="EA98" i="27" s="1"/>
  <c r="CM71" i="27"/>
  <c r="DZ71" i="27" s="1"/>
  <c r="EA71" i="27" s="1"/>
  <c r="CL31" i="27"/>
  <c r="CM130" i="27"/>
  <c r="DT130" i="27" s="1"/>
  <c r="DV130" i="27" s="1"/>
  <c r="CL117" i="27"/>
  <c r="DO117" i="27" s="1"/>
  <c r="DP117" i="27" s="1" a="1"/>
  <c r="DP117" i="27" s="1"/>
  <c r="DR117" i="27" s="1"/>
  <c r="CM89" i="27"/>
  <c r="DZ89" i="27" s="1"/>
  <c r="EA89" i="27" s="1"/>
  <c r="CM96" i="27"/>
  <c r="DZ96" i="27" s="1"/>
  <c r="EA96" i="27" s="1"/>
  <c r="CL107" i="27"/>
  <c r="DO107" i="27" s="1"/>
  <c r="DQ107" i="27" s="1"/>
  <c r="CL25" i="27"/>
  <c r="CL176" i="27"/>
  <c r="DO176" i="27" s="1"/>
  <c r="DQ176" i="27" s="1"/>
  <c r="CL152" i="27"/>
  <c r="DO152" i="27" s="1"/>
  <c r="DQ152" i="27" s="1"/>
  <c r="CM162" i="27"/>
  <c r="DT162" i="27" s="1"/>
  <c r="DV162" i="27" s="1"/>
  <c r="CM124" i="27"/>
  <c r="DT124" i="27" s="1"/>
  <c r="DV124" i="27" s="1"/>
  <c r="CM134" i="27"/>
  <c r="DT134" i="27" s="1"/>
  <c r="DV134" i="27" s="1"/>
  <c r="CM149" i="27"/>
  <c r="DT149" i="27" s="1"/>
  <c r="DV149" i="27" s="1"/>
  <c r="CL90" i="27"/>
  <c r="CL149" i="27"/>
  <c r="DO149" i="27" s="1"/>
  <c r="DP149" i="27" s="1" a="1"/>
  <c r="DP149" i="27" s="1"/>
  <c r="DR149" i="27" s="1"/>
  <c r="CM184" i="27"/>
  <c r="DT184" i="27" s="1"/>
  <c r="CL261" i="27"/>
  <c r="DO261" i="27" s="1"/>
  <c r="DP261" i="27" s="1" a="1"/>
  <c r="DP261" i="27" s="1"/>
  <c r="DR261" i="27" s="1"/>
  <c r="CL210" i="27"/>
  <c r="DO210" i="27" s="1"/>
  <c r="DQ210" i="27" s="1"/>
  <c r="CM233" i="27"/>
  <c r="DT233" i="27" s="1"/>
  <c r="DV233" i="27" s="1"/>
  <c r="CM216" i="27"/>
  <c r="DT216" i="27" s="1"/>
  <c r="DU216" i="27" s="1" a="1"/>
  <c r="DU216" i="27" s="1"/>
  <c r="DW216" i="27" s="1"/>
  <c r="CM179" i="27"/>
  <c r="DT179" i="27" s="1"/>
  <c r="DV179" i="27" s="1"/>
  <c r="CM100" i="27"/>
  <c r="DZ100" i="27" s="1"/>
  <c r="EA100" i="27" s="1"/>
  <c r="CL78" i="27"/>
  <c r="CL42" i="27"/>
  <c r="CM94" i="27"/>
  <c r="DZ94" i="27" s="1"/>
  <c r="EA94" i="27" s="1"/>
  <c r="CL33" i="27"/>
  <c r="CL209" i="27"/>
  <c r="DO209" i="27" s="1"/>
  <c r="CM65" i="27"/>
  <c r="DZ65" i="27" s="1"/>
  <c r="EA65" i="27" s="1"/>
  <c r="CL91" i="27"/>
  <c r="CL216" i="27"/>
  <c r="DO216" i="27" s="1"/>
  <c r="DP216" i="27" s="1" a="1"/>
  <c r="DP216" i="27" s="1"/>
  <c r="DR216" i="27" s="1"/>
  <c r="CM175" i="27"/>
  <c r="DT175" i="27" s="1"/>
  <c r="CL170" i="27"/>
  <c r="DO170" i="27" s="1"/>
  <c r="DQ170" i="27" s="1"/>
  <c r="CM178" i="27"/>
  <c r="DT178" i="27" s="1"/>
  <c r="DV178" i="27" s="1"/>
  <c r="CM127" i="27"/>
  <c r="DT127" i="27" s="1"/>
  <c r="DV127" i="27" s="1"/>
  <c r="CM109" i="27"/>
  <c r="DT109" i="27" s="1"/>
  <c r="DV109" i="27" s="1"/>
  <c r="CL85" i="27"/>
  <c r="CM76" i="27"/>
  <c r="DZ76" i="27" s="1"/>
  <c r="EA76" i="27" s="1"/>
  <c r="CL185" i="27"/>
  <c r="DO185" i="27" s="1"/>
  <c r="CM180" i="27"/>
  <c r="DT180" i="27" s="1"/>
  <c r="DU180" i="27" s="1" a="1"/>
  <c r="DU180" i="27" s="1"/>
  <c r="DW180" i="27" s="1"/>
  <c r="CL256" i="27"/>
  <c r="DO256" i="27" s="1"/>
  <c r="DQ256" i="27" s="1"/>
  <c r="CL237" i="27"/>
  <c r="DO237" i="27" s="1"/>
  <c r="DQ237" i="27" s="1"/>
  <c r="CL252" i="27"/>
  <c r="DO252" i="27" s="1"/>
  <c r="DQ252" i="27" s="1"/>
  <c r="CL222" i="27"/>
  <c r="DO222" i="27" s="1"/>
  <c r="DQ222" i="27" s="1"/>
  <c r="CL205" i="27"/>
  <c r="DO205" i="27" s="1"/>
  <c r="DQ205" i="27" s="1"/>
  <c r="CL204" i="27"/>
  <c r="DO204" i="27" s="1"/>
  <c r="DQ204" i="27" s="1"/>
  <c r="CM167" i="27"/>
  <c r="DT167" i="27" s="1"/>
  <c r="DV167" i="27" s="1"/>
  <c r="CM107" i="27"/>
  <c r="DT107" i="27" s="1"/>
  <c r="DU107" i="27" s="1" a="1"/>
  <c r="DU107" i="27" s="1"/>
  <c r="DW107" i="27" s="1"/>
  <c r="CL77" i="27"/>
  <c r="CL106" i="27"/>
  <c r="DO106" i="27" s="1"/>
  <c r="DQ106" i="27" s="1"/>
  <c r="CM38" i="27"/>
  <c r="DZ38" i="27" s="1"/>
  <c r="EA38" i="27" s="1"/>
  <c r="CM27" i="27"/>
  <c r="DZ27" i="27" s="1"/>
  <c r="EA27" i="27" s="1"/>
  <c r="CL232" i="27"/>
  <c r="DO232" i="27" s="1"/>
  <c r="CM249" i="27"/>
  <c r="DT249" i="27" s="1"/>
  <c r="DV249" i="27" s="1"/>
  <c r="CL22" i="27"/>
  <c r="CM255" i="27"/>
  <c r="DT255" i="27" s="1"/>
  <c r="DU255" i="27" s="1" a="1"/>
  <c r="DU255" i="27" s="1"/>
  <c r="DW255" i="27" s="1"/>
  <c r="CL238" i="27"/>
  <c r="DO238" i="27" s="1"/>
  <c r="DP238" i="27" s="1" a="1"/>
  <c r="DP238" i="27" s="1"/>
  <c r="DR238" i="27" s="1"/>
  <c r="CL203" i="27"/>
  <c r="DO203" i="27" s="1"/>
  <c r="DP203" i="27" s="1" a="1"/>
  <c r="DP203" i="27" s="1"/>
  <c r="DR203" i="27" s="1"/>
  <c r="CM218" i="27"/>
  <c r="DT218" i="27" s="1"/>
  <c r="DV218" i="27" s="1"/>
  <c r="CM128" i="27"/>
  <c r="DT128" i="27" s="1"/>
  <c r="DU128" i="27" s="1" a="1"/>
  <c r="DU128" i="27" s="1"/>
  <c r="DW128" i="27" s="1"/>
  <c r="CL104" i="27"/>
  <c r="DO104" i="27" s="1"/>
  <c r="DQ104" i="27" s="1"/>
  <c r="CM123" i="27"/>
  <c r="DT123" i="27" s="1"/>
  <c r="DU123" i="27" s="1" a="1"/>
  <c r="DU123" i="27" s="1"/>
  <c r="DW123" i="27" s="1"/>
  <c r="CM55" i="27"/>
  <c r="DZ55" i="27" s="1"/>
  <c r="EA55" i="27" s="1"/>
  <c r="CM68" i="27"/>
  <c r="DZ68" i="27" s="1"/>
  <c r="EA68" i="27" s="1"/>
  <c r="CL37" i="27"/>
  <c r="CL55" i="27"/>
  <c r="CM183" i="27"/>
  <c r="DT183" i="27" s="1"/>
  <c r="DV183" i="27" s="1"/>
  <c r="CM104" i="27"/>
  <c r="DT104" i="27" s="1"/>
  <c r="DU104" i="27" s="1" a="1"/>
  <c r="DU104" i="27" s="1"/>
  <c r="DW104" i="27" s="1"/>
  <c r="CM210" i="27"/>
  <c r="DT210" i="27" s="1"/>
  <c r="DV210" i="27" s="1"/>
  <c r="CM189" i="27"/>
  <c r="DT189" i="27" s="1"/>
  <c r="DV189" i="27" s="1"/>
  <c r="CM182" i="27"/>
  <c r="DT182" i="27" s="1"/>
  <c r="DV182" i="27" s="1"/>
  <c r="CM173" i="27"/>
  <c r="DT173" i="27" s="1"/>
  <c r="DV173" i="27" s="1"/>
  <c r="CM168" i="27"/>
  <c r="DT168" i="27" s="1"/>
  <c r="DV168" i="27" s="1"/>
  <c r="CM143" i="27"/>
  <c r="DT143" i="27" s="1"/>
  <c r="DV143" i="27" s="1"/>
  <c r="CM139" i="27"/>
  <c r="DT139" i="27" s="1"/>
  <c r="DU139" i="27" s="1" a="1"/>
  <c r="DU139" i="27" s="1"/>
  <c r="DW139" i="27" s="1"/>
  <c r="CL102" i="27"/>
  <c r="DO102" i="27" s="1"/>
  <c r="DQ102" i="27" s="1"/>
  <c r="CM82" i="27"/>
  <c r="DZ82" i="27" s="1"/>
  <c r="EA82" i="27" s="1"/>
  <c r="CM53" i="27"/>
  <c r="DZ53" i="27" s="1"/>
  <c r="EA53" i="27" s="1"/>
  <c r="CL38" i="27"/>
  <c r="CL138" i="27"/>
  <c r="DO138" i="27" s="1"/>
  <c r="CM219" i="27"/>
  <c r="DT219" i="27" s="1"/>
  <c r="DV219" i="27" s="1"/>
  <c r="CL165" i="27"/>
  <c r="DO165" i="27" s="1"/>
  <c r="DQ165" i="27" s="1"/>
  <c r="CL148" i="27"/>
  <c r="DO148" i="27" s="1"/>
  <c r="DQ148" i="27" s="1"/>
  <c r="CL67" i="27"/>
  <c r="CL26" i="27"/>
  <c r="CL134" i="27"/>
  <c r="DO134" i="27" s="1"/>
  <c r="CL142" i="27"/>
  <c r="DO142" i="27" s="1"/>
  <c r="CL136" i="27"/>
  <c r="DO136" i="27" s="1"/>
  <c r="CL118" i="27"/>
  <c r="DO118" i="27" s="1"/>
  <c r="DQ118" i="27" s="1"/>
  <c r="CM234" i="27"/>
  <c r="DT234" i="27" s="1"/>
  <c r="DU234" i="27" s="1" a="1"/>
  <c r="DU234" i="27" s="1"/>
  <c r="DW234" i="27" s="1"/>
  <c r="CL244" i="27"/>
  <c r="DO244" i="27" s="1"/>
  <c r="DQ244" i="27" s="1"/>
  <c r="CL163" i="27"/>
  <c r="DO163" i="27" s="1"/>
  <c r="DQ163" i="27" s="1"/>
  <c r="CM122" i="27"/>
  <c r="DT122" i="27" s="1"/>
  <c r="DV122" i="27" s="1"/>
  <c r="CL154" i="27"/>
  <c r="DO154" i="27" s="1"/>
  <c r="DQ154" i="27" s="1"/>
  <c r="CM103" i="27"/>
  <c r="DT103" i="27" s="1"/>
  <c r="CM44" i="27"/>
  <c r="DZ44" i="27" s="1"/>
  <c r="EA44" i="27" s="1"/>
  <c r="CM240" i="27"/>
  <c r="DT240" i="27" s="1"/>
  <c r="DV240" i="27" s="1"/>
  <c r="CM257" i="27"/>
  <c r="DT257" i="27" s="1"/>
  <c r="DV257" i="27" s="1"/>
  <c r="CM140" i="27"/>
  <c r="DT140" i="27" s="1"/>
  <c r="DV140" i="27" s="1"/>
  <c r="CM120" i="27"/>
  <c r="DT120" i="27" s="1"/>
  <c r="DV120" i="27" s="1"/>
  <c r="CL131" i="27"/>
  <c r="DO131" i="27" s="1"/>
  <c r="DP131" i="27" s="1" a="1"/>
  <c r="DP131" i="27" s="1"/>
  <c r="DR131" i="27" s="1"/>
  <c r="CM148" i="27"/>
  <c r="DT148" i="27" s="1"/>
  <c r="DV148" i="27" s="1"/>
  <c r="CL96" i="27"/>
  <c r="DO96" i="27" s="1"/>
  <c r="DP96" i="27" s="1" a="1"/>
  <c r="DP96" i="27" s="1"/>
  <c r="DR96" i="27" s="1"/>
  <c r="CM114" i="27"/>
  <c r="DT114" i="27" s="1"/>
  <c r="DV114" i="27" s="1"/>
  <c r="CL56" i="27"/>
  <c r="CM75" i="27"/>
  <c r="DZ75" i="27" s="1"/>
  <c r="EA75" i="27" s="1"/>
  <c r="CM45" i="27"/>
  <c r="DZ45" i="27" s="1"/>
  <c r="EA45" i="27" s="1"/>
  <c r="CM19" i="27"/>
  <c r="DZ19" i="27" s="1"/>
  <c r="EA19" i="27" s="1"/>
  <c r="CM54" i="27"/>
  <c r="DZ54" i="27" s="1"/>
  <c r="EA54" i="27" s="1"/>
  <c r="CL130" i="27"/>
  <c r="DO130" i="27" s="1"/>
  <c r="CL220" i="27"/>
  <c r="DO220" i="27" s="1"/>
  <c r="DQ220" i="27" s="1"/>
  <c r="CM194" i="27"/>
  <c r="DT194" i="27" s="1"/>
  <c r="DV194" i="27" s="1"/>
  <c r="CL161" i="27"/>
  <c r="DO161" i="27" s="1"/>
  <c r="DQ161" i="27" s="1"/>
  <c r="CM250" i="27"/>
  <c r="DT250" i="27" s="1"/>
  <c r="DV250" i="27" s="1"/>
  <c r="CM232" i="27"/>
  <c r="DT232" i="27" s="1"/>
  <c r="DV232" i="27" s="1"/>
  <c r="CL260" i="27"/>
  <c r="DO260" i="27" s="1"/>
  <c r="DQ260" i="27" s="1"/>
  <c r="CM192" i="27"/>
  <c r="DT192" i="27" s="1"/>
  <c r="DV192" i="27" s="1"/>
  <c r="CL159" i="27"/>
  <c r="DO159" i="27" s="1"/>
  <c r="DQ159" i="27" s="1"/>
  <c r="CM172" i="27"/>
  <c r="DT172" i="27" s="1"/>
  <c r="DU172" i="27" s="1" a="1"/>
  <c r="DU172" i="27" s="1"/>
  <c r="DW172" i="27" s="1"/>
  <c r="CM118" i="27"/>
  <c r="DT118" i="27" s="1"/>
  <c r="DV118" i="27" s="1"/>
  <c r="CL147" i="27"/>
  <c r="DO147" i="27" s="1"/>
  <c r="DQ147" i="27" s="1"/>
  <c r="CM101" i="27"/>
  <c r="DT101" i="27" s="1"/>
  <c r="CL109" i="27"/>
  <c r="DO109" i="27" s="1"/>
  <c r="DP109" i="27" s="1" a="1"/>
  <c r="DP109" i="27" s="1"/>
  <c r="DR109" i="27" s="1"/>
  <c r="CM56" i="27"/>
  <c r="DZ56" i="27" s="1"/>
  <c r="EA56" i="27" s="1"/>
  <c r="CL30" i="27"/>
  <c r="CM36" i="27"/>
  <c r="DZ36" i="27" s="1"/>
  <c r="EA36" i="27" s="1"/>
  <c r="CM50" i="27"/>
  <c r="DZ50" i="27" s="1"/>
  <c r="EA50" i="27" s="1"/>
  <c r="CM248" i="27"/>
  <c r="DT248" i="27" s="1"/>
  <c r="DU248" i="27" s="1" a="1"/>
  <c r="DU248" i="27" s="1"/>
  <c r="DW248" i="27" s="1"/>
  <c r="CM39" i="27"/>
  <c r="DZ39" i="27" s="1"/>
  <c r="EA39" i="27" s="1"/>
  <c r="CL248" i="27"/>
  <c r="DO248" i="27" s="1"/>
  <c r="DP248" i="27" s="1" a="1"/>
  <c r="DP248" i="27" s="1"/>
  <c r="DR248" i="27" s="1"/>
  <c r="CM208" i="27"/>
  <c r="DT208" i="27" s="1"/>
  <c r="DV208" i="27" s="1"/>
  <c r="CM193" i="27"/>
  <c r="DT193" i="27" s="1"/>
  <c r="DV193" i="27" s="1"/>
  <c r="CL157" i="27"/>
  <c r="DO157" i="27" s="1"/>
  <c r="DQ157" i="27" s="1"/>
  <c r="CM170" i="27"/>
  <c r="DT170" i="27" s="1"/>
  <c r="DV170" i="27" s="1"/>
  <c r="CM138" i="27"/>
  <c r="DT138" i="27" s="1"/>
  <c r="DU138" i="27" s="1" a="1"/>
  <c r="DU138" i="27" s="1"/>
  <c r="DW138" i="27" s="1"/>
  <c r="CL124" i="27"/>
  <c r="DO124" i="27" s="1"/>
  <c r="DQ124" i="27" s="1"/>
  <c r="CM144" i="27"/>
  <c r="DT144" i="27" s="1"/>
  <c r="DV144" i="27" s="1"/>
  <c r="CM110" i="27"/>
  <c r="DT110" i="27" s="1"/>
  <c r="DV110" i="27" s="1"/>
  <c r="CM151" i="27"/>
  <c r="DT151" i="27" s="1"/>
  <c r="DV151" i="27" s="1"/>
  <c r="CL58" i="27"/>
  <c r="CL97" i="27"/>
  <c r="DO97" i="27" s="1"/>
  <c r="DQ97" i="27" s="1"/>
  <c r="CM29" i="27"/>
  <c r="DZ29" i="27" s="1"/>
  <c r="EA29" i="27" s="1"/>
  <c r="CL27" i="27"/>
  <c r="CM49" i="27"/>
  <c r="DZ49" i="27" s="1"/>
  <c r="EA49" i="27" s="1"/>
  <c r="CL132" i="27"/>
  <c r="DO132" i="27" s="1"/>
  <c r="CM72" i="27"/>
  <c r="DZ72" i="27" s="1"/>
  <c r="EA72" i="27" s="1"/>
  <c r="CM226" i="27"/>
  <c r="DT226" i="27" s="1"/>
  <c r="DU226" i="27" s="1" a="1"/>
  <c r="DU226" i="27" s="1"/>
  <c r="DW226" i="27" s="1"/>
  <c r="CM245" i="27"/>
  <c r="DT245" i="27" s="1"/>
  <c r="DU245" i="27" s="1" a="1"/>
  <c r="DU245" i="27" s="1"/>
  <c r="DW245" i="27" s="1"/>
  <c r="CM214" i="27"/>
  <c r="DT214" i="27" s="1"/>
  <c r="DV214" i="27" s="1"/>
  <c r="CL199" i="27"/>
  <c r="DO199" i="27" s="1"/>
  <c r="DP199" i="27" s="1" a="1"/>
  <c r="DP199" i="27" s="1"/>
  <c r="DR199" i="27" s="1"/>
  <c r="CL208" i="27"/>
  <c r="DO208" i="27" s="1"/>
  <c r="DQ208" i="27" s="1"/>
  <c r="CL155" i="27"/>
  <c r="DO155" i="27" s="1"/>
  <c r="DP155" i="27" s="1" a="1"/>
  <c r="DP155" i="27" s="1"/>
  <c r="DR155" i="27" s="1"/>
  <c r="CM164" i="27"/>
  <c r="DT164" i="27" s="1"/>
  <c r="DV164" i="27" s="1"/>
  <c r="CL122" i="27"/>
  <c r="DO122" i="27" s="1"/>
  <c r="DP122" i="27" s="1" a="1"/>
  <c r="DP122" i="27" s="1"/>
  <c r="DR122" i="27" s="1"/>
  <c r="CM115" i="27"/>
  <c r="DT115" i="27" s="1"/>
  <c r="DU115" i="27" s="1" a="1"/>
  <c r="DU115" i="27" s="1"/>
  <c r="DW115" i="27" s="1"/>
  <c r="CM99" i="27"/>
  <c r="DT99" i="27" s="1"/>
  <c r="CL69" i="27"/>
  <c r="CM64" i="27"/>
  <c r="DZ64" i="27" s="1"/>
  <c r="EA64" i="27" s="1"/>
  <c r="CL28" i="27"/>
  <c r="CM176" i="27"/>
  <c r="DT176" i="27" s="1"/>
  <c r="CL45" i="27"/>
  <c r="DU233" i="27" a="1"/>
  <c r="DU233" i="27" s="1"/>
  <c r="DW233" i="27" s="1"/>
  <c r="DV116" i="27"/>
  <c r="DU116" i="27" a="1"/>
  <c r="DU116" i="27" s="1"/>
  <c r="DW116" i="27" s="1"/>
  <c r="CM60" i="27"/>
  <c r="DZ60" i="27" s="1"/>
  <c r="EA60" i="27" s="1"/>
  <c r="CM251" i="27"/>
  <c r="DT251" i="27" s="1"/>
  <c r="CL206" i="27"/>
  <c r="DO206" i="27" s="1"/>
  <c r="CM204" i="27"/>
  <c r="DT204" i="27" s="1"/>
  <c r="CM181" i="27"/>
  <c r="DT181" i="27" s="1"/>
  <c r="CL191" i="27"/>
  <c r="DO191" i="27" s="1"/>
  <c r="CM163" i="27"/>
  <c r="DT163" i="27" s="1"/>
  <c r="CM157" i="27"/>
  <c r="DT157" i="27" s="1"/>
  <c r="CL73" i="27"/>
  <c r="CL54" i="27"/>
  <c r="CL72" i="27"/>
  <c r="CL64" i="27"/>
  <c r="CL94" i="27"/>
  <c r="CL41" i="27"/>
  <c r="CM58" i="27"/>
  <c r="DZ58" i="27" s="1"/>
  <c r="EA58" i="27" s="1"/>
  <c r="CL24" i="27"/>
  <c r="CL250" i="27"/>
  <c r="DO250" i="27" s="1"/>
  <c r="CL178" i="27"/>
  <c r="DO178" i="27" s="1"/>
  <c r="CL162" i="27"/>
  <c r="DO162" i="27" s="1"/>
  <c r="CM133" i="27"/>
  <c r="DT133" i="27" s="1"/>
  <c r="CL100" i="27"/>
  <c r="DO100" i="27" s="1"/>
  <c r="CM88" i="27"/>
  <c r="DZ88" i="27" s="1"/>
  <c r="EA88" i="27" s="1"/>
  <c r="CL21" i="27"/>
  <c r="CL59" i="27"/>
  <c r="DU252" i="27" a="1"/>
  <c r="DU252" i="27" s="1"/>
  <c r="DW252" i="27" s="1"/>
  <c r="CL259" i="27"/>
  <c r="DO259" i="27" s="1"/>
  <c r="CL235" i="27"/>
  <c r="DO235" i="27" s="1"/>
  <c r="CM236" i="27"/>
  <c r="DT236" i="27" s="1"/>
  <c r="CM177" i="27"/>
  <c r="DT177" i="27" s="1"/>
  <c r="CM225" i="27"/>
  <c r="DT225" i="27" s="1"/>
  <c r="CM197" i="27"/>
  <c r="DT197" i="27" s="1"/>
  <c r="CL201" i="27"/>
  <c r="DO201" i="27" s="1"/>
  <c r="CL123" i="27"/>
  <c r="DO123" i="27" s="1"/>
  <c r="CM131" i="27"/>
  <c r="DT131" i="27" s="1"/>
  <c r="CL98" i="27"/>
  <c r="DO98" i="27" s="1"/>
  <c r="CL121" i="27"/>
  <c r="DO121" i="27" s="1"/>
  <c r="CL146" i="27"/>
  <c r="DO146" i="27" s="1"/>
  <c r="CL70" i="27"/>
  <c r="CM91" i="27"/>
  <c r="DZ91" i="27" s="1"/>
  <c r="EA91" i="27" s="1"/>
  <c r="CM48" i="27"/>
  <c r="DZ48" i="27" s="1"/>
  <c r="EA48" i="27" s="1"/>
  <c r="CL43" i="27"/>
  <c r="CL19" i="27"/>
  <c r="CL113" i="27"/>
  <c r="DO113" i="27" s="1"/>
  <c r="CM40" i="27"/>
  <c r="DZ40" i="27" s="1"/>
  <c r="EA40" i="27" s="1"/>
  <c r="CM42" i="27"/>
  <c r="DZ42" i="27" s="1"/>
  <c r="EA42" i="27" s="1"/>
  <c r="CL61" i="27"/>
  <c r="CM260" i="27"/>
  <c r="DT260" i="27" s="1"/>
  <c r="CL186" i="27"/>
  <c r="DO186" i="27" s="1"/>
  <c r="CL103" i="27"/>
  <c r="DO103" i="27" s="1"/>
  <c r="CL81" i="27"/>
  <c r="CL74" i="27"/>
  <c r="CL29" i="27"/>
  <c r="CM243" i="27"/>
  <c r="DT243" i="27" s="1"/>
  <c r="CM209" i="27"/>
  <c r="DT209" i="27" s="1"/>
  <c r="CM207" i="27"/>
  <c r="DT207" i="27" s="1"/>
  <c r="CM228" i="27"/>
  <c r="DT228" i="27" s="1"/>
  <c r="CL234" i="27"/>
  <c r="DO234" i="27" s="1"/>
  <c r="CM199" i="27"/>
  <c r="DT199" i="27" s="1"/>
  <c r="CL174" i="27"/>
  <c r="DO174" i="27" s="1"/>
  <c r="CL189" i="27"/>
  <c r="DO189" i="27" s="1"/>
  <c r="CM188" i="27"/>
  <c r="DT188" i="27" s="1"/>
  <c r="CM171" i="27"/>
  <c r="DT171" i="27" s="1"/>
  <c r="CM169" i="27"/>
  <c r="DT169" i="27" s="1"/>
  <c r="CL195" i="27"/>
  <c r="DO195" i="27" s="1"/>
  <c r="CL156" i="27"/>
  <c r="DO156" i="27" s="1"/>
  <c r="CL166" i="27"/>
  <c r="DO166" i="27" s="1"/>
  <c r="CM166" i="27"/>
  <c r="DT166" i="27" s="1"/>
  <c r="CL143" i="27"/>
  <c r="DO143" i="27" s="1"/>
  <c r="CL86" i="27"/>
  <c r="CL105" i="27"/>
  <c r="DO105" i="27" s="1"/>
  <c r="CM35" i="27"/>
  <c r="DZ35" i="27" s="1"/>
  <c r="EA35" i="27" s="1"/>
  <c r="CL188" i="27"/>
  <c r="DO188" i="27" s="1"/>
  <c r="CL129" i="27"/>
  <c r="DO129" i="27" s="1"/>
  <c r="CL242" i="27"/>
  <c r="DO242" i="27" s="1"/>
  <c r="CL230" i="27"/>
  <c r="DO230" i="27" s="1"/>
  <c r="CM223" i="27"/>
  <c r="DT223" i="27" s="1"/>
  <c r="CM221" i="27"/>
  <c r="DT221" i="27" s="1"/>
  <c r="CL225" i="27"/>
  <c r="DO225" i="27" s="1"/>
  <c r="CL182" i="27"/>
  <c r="DO182" i="27" s="1"/>
  <c r="CL158" i="27"/>
  <c r="DO158" i="27" s="1"/>
  <c r="CM125" i="27"/>
  <c r="DT125" i="27" s="1"/>
  <c r="CL99" i="27"/>
  <c r="DO99" i="27" s="1"/>
  <c r="CM67" i="27"/>
  <c r="DZ67" i="27" s="1"/>
  <c r="EA67" i="27" s="1"/>
  <c r="CM57" i="27"/>
  <c r="DZ57" i="27" s="1"/>
  <c r="EA57" i="27" s="1"/>
  <c r="CM34" i="27"/>
  <c r="CL115" i="27"/>
  <c r="DO115" i="27" s="1"/>
  <c r="CM244" i="27"/>
  <c r="DT244" i="27" s="1"/>
  <c r="CL228" i="27"/>
  <c r="DO228" i="27" s="1"/>
  <c r="CL221" i="27"/>
  <c r="DO221" i="27" s="1"/>
  <c r="CM161" i="27"/>
  <c r="DT161" i="27" s="1"/>
  <c r="CM95" i="27"/>
  <c r="DZ95" i="27" s="1"/>
  <c r="EA95" i="27" s="1"/>
  <c r="CM81" i="27"/>
  <c r="DZ81" i="27" s="1"/>
  <c r="EA81" i="27" s="1"/>
  <c r="CL50" i="27"/>
  <c r="CL233" i="27"/>
  <c r="DO233" i="27" s="1"/>
  <c r="CL217" i="27"/>
  <c r="DO217" i="27" s="1"/>
  <c r="CL251" i="27"/>
  <c r="DO251" i="27" s="1"/>
  <c r="CL200" i="27"/>
  <c r="DO200" i="27" s="1"/>
  <c r="CL207" i="27"/>
  <c r="DO207" i="27" s="1"/>
  <c r="CL227" i="27"/>
  <c r="DO227" i="27" s="1"/>
  <c r="CL168" i="27"/>
  <c r="DO168" i="27" s="1"/>
  <c r="CL150" i="27"/>
  <c r="DO150" i="27" s="1"/>
  <c r="CM129" i="27"/>
  <c r="DT129" i="27" s="1"/>
  <c r="CM141" i="27"/>
  <c r="DT141" i="27" s="1"/>
  <c r="CL83" i="27"/>
  <c r="CL65" i="27"/>
  <c r="CL253" i="27"/>
  <c r="DO253" i="27" s="1"/>
  <c r="CM231" i="27"/>
  <c r="DT231" i="27" s="1"/>
  <c r="CL241" i="27"/>
  <c r="DO241" i="27" s="1"/>
  <c r="CM201" i="27"/>
  <c r="DT201" i="27" s="1"/>
  <c r="CL257" i="27"/>
  <c r="DO257" i="27" s="1"/>
  <c r="CL193" i="27"/>
  <c r="DO193" i="27" s="1"/>
  <c r="CM92" i="27"/>
  <c r="DZ92" i="27" s="1"/>
  <c r="EA92" i="27" s="1"/>
  <c r="CM135" i="27"/>
  <c r="DT135" i="27" s="1"/>
  <c r="CM186" i="27"/>
  <c r="DT186" i="27" s="1"/>
  <c r="CL47" i="27"/>
  <c r="CL49" i="27"/>
  <c r="CM28" i="27"/>
  <c r="DZ28" i="27" s="1"/>
  <c r="EA28" i="27" s="1"/>
  <c r="CM25" i="27"/>
  <c r="DZ25" i="27" s="1"/>
  <c r="EA25" i="27" s="1"/>
  <c r="CL229" i="27"/>
  <c r="DO229" i="27" s="1"/>
  <c r="CM241" i="27"/>
  <c r="DT241" i="27" s="1"/>
  <c r="CL196" i="27"/>
  <c r="DO196" i="27" s="1"/>
  <c r="CM165" i="27"/>
  <c r="DT165" i="27" s="1"/>
  <c r="CL141" i="27"/>
  <c r="DO141" i="27" s="1"/>
  <c r="CM121" i="27"/>
  <c r="DT121" i="27" s="1"/>
  <c r="CL116" i="27"/>
  <c r="DO116" i="27" s="1"/>
  <c r="CL80" i="27"/>
  <c r="CM86" i="27"/>
  <c r="DZ86" i="27" s="1"/>
  <c r="EA86" i="27" s="1"/>
  <c r="CL75" i="27"/>
  <c r="CL57" i="27"/>
  <c r="CL236" i="27"/>
  <c r="DO236" i="27" s="1"/>
  <c r="CM200" i="27"/>
  <c r="DT200" i="27" s="1"/>
  <c r="CL218" i="27"/>
  <c r="DO218" i="27" s="1"/>
  <c r="CM215" i="27"/>
  <c r="DT215" i="27" s="1"/>
  <c r="CM147" i="27"/>
  <c r="DT147" i="27" s="1"/>
  <c r="CL164" i="27"/>
  <c r="DO164" i="27" s="1"/>
  <c r="CM146" i="27"/>
  <c r="DT146" i="27" s="1"/>
  <c r="CM153" i="27"/>
  <c r="DT153" i="27" s="1"/>
  <c r="CL139" i="27"/>
  <c r="DO139" i="27" s="1"/>
  <c r="CL114" i="27"/>
  <c r="DO114" i="27" s="1"/>
  <c r="CL82" i="27"/>
  <c r="CM31" i="27"/>
  <c r="DZ31" i="27" s="1"/>
  <c r="EA31" i="27" s="1"/>
  <c r="CM26" i="27"/>
  <c r="DZ26" i="27" s="1"/>
  <c r="EA26" i="27" s="1"/>
  <c r="CM33" i="27"/>
  <c r="CM253" i="27"/>
  <c r="DT253" i="27" s="1"/>
  <c r="CM237" i="27"/>
  <c r="DT237" i="27" s="1"/>
  <c r="CL214" i="27"/>
  <c r="DO214" i="27" s="1"/>
  <c r="CM235" i="27"/>
  <c r="DT235" i="27" s="1"/>
  <c r="CL223" i="27"/>
  <c r="DO223" i="27" s="1"/>
  <c r="CL213" i="27"/>
  <c r="DO213" i="27" s="1"/>
  <c r="CL198" i="27"/>
  <c r="DO198" i="27" s="1"/>
  <c r="CM213" i="27"/>
  <c r="DT213" i="27" s="1"/>
  <c r="CL160" i="27"/>
  <c r="DO160" i="27" s="1"/>
  <c r="CM145" i="27"/>
  <c r="DT145" i="27" s="1"/>
  <c r="CL226" i="27"/>
  <c r="DO226" i="27" s="1"/>
  <c r="CL137" i="27"/>
  <c r="DO137" i="27" s="1"/>
  <c r="CM159" i="27"/>
  <c r="DT159" i="27" s="1"/>
  <c r="CM113" i="27"/>
  <c r="DT113" i="27" s="1"/>
  <c r="CM97" i="27"/>
  <c r="CL87" i="27"/>
  <c r="CL112" i="27"/>
  <c r="DO112" i="27" s="1"/>
  <c r="CL119" i="27"/>
  <c r="DO119" i="27" s="1"/>
  <c r="CM20" i="27"/>
  <c r="DZ20" i="27" s="1"/>
  <c r="EA20" i="27" s="1"/>
  <c r="CL62" i="27"/>
  <c r="CM59" i="27"/>
  <c r="DZ59" i="27" s="1"/>
  <c r="EA59" i="27" s="1"/>
  <c r="CM137" i="27"/>
  <c r="DT137" i="27" s="1"/>
  <c r="CL125" i="27"/>
  <c r="DO125" i="27" s="1"/>
  <c r="CM261" i="27"/>
  <c r="DT261" i="27" s="1"/>
  <c r="DV175" i="27"/>
  <c r="DU175" i="27" a="1"/>
  <c r="DU175" i="27" s="1"/>
  <c r="DW175" i="27" s="1"/>
  <c r="CM190" i="27"/>
  <c r="DT190" i="27" s="1"/>
  <c r="CL258" i="27"/>
  <c r="DO258" i="27" s="1"/>
  <c r="CM259" i="27"/>
  <c r="DT259" i="27" s="1"/>
  <c r="CM222" i="27"/>
  <c r="DT222" i="27" s="1"/>
  <c r="CL249" i="27"/>
  <c r="DO249" i="27" s="1"/>
  <c r="CM198" i="27"/>
  <c r="DT198" i="27" s="1"/>
  <c r="CL190" i="27"/>
  <c r="DO190" i="27" s="1"/>
  <c r="CL211" i="27"/>
  <c r="DO211" i="27" s="1"/>
  <c r="CM126" i="27"/>
  <c r="DT126" i="27" s="1"/>
  <c r="CM154" i="27"/>
  <c r="DT154" i="27" s="1"/>
  <c r="CL167" i="27"/>
  <c r="DO167" i="27" s="1"/>
  <c r="CL135" i="27"/>
  <c r="DO135" i="27" s="1"/>
  <c r="CL110" i="27"/>
  <c r="DO110" i="27" s="1"/>
  <c r="CL184" i="27"/>
  <c r="DO184" i="27" s="1"/>
  <c r="CL63" i="27"/>
  <c r="CL66" i="27"/>
  <c r="CM247" i="27"/>
  <c r="DT247" i="27" s="1"/>
  <c r="CL243" i="27"/>
  <c r="DO243" i="27" s="1"/>
  <c r="CM227" i="27"/>
  <c r="DT227" i="27" s="1"/>
  <c r="CM187" i="27"/>
  <c r="DT187" i="27" s="1"/>
  <c r="CL197" i="27"/>
  <c r="DO197" i="27" s="1"/>
  <c r="CM142" i="27"/>
  <c r="DT142" i="27" s="1"/>
  <c r="CL133" i="27"/>
  <c r="DO133" i="27" s="1"/>
  <c r="CM111" i="27"/>
  <c r="DT111" i="27" s="1"/>
  <c r="CM84" i="27"/>
  <c r="DZ84" i="27" s="1"/>
  <c r="EA84" i="27" s="1"/>
  <c r="CL108" i="27"/>
  <c r="DO108" i="27" s="1"/>
  <c r="CM155" i="27"/>
  <c r="DT155" i="27" s="1"/>
  <c r="CL101" i="27"/>
  <c r="DO101" i="27" s="1"/>
  <c r="CM74" i="27"/>
  <c r="DZ74" i="27" s="1"/>
  <c r="EA74" i="27" s="1"/>
  <c r="CL46" i="27"/>
  <c r="CM52" i="27"/>
  <c r="DZ52" i="27" s="1"/>
  <c r="EA52" i="27" s="1"/>
  <c r="CM37" i="27"/>
  <c r="DZ37" i="27" s="1"/>
  <c r="EA37" i="27" s="1"/>
  <c r="DP170" i="27" l="1" a="1"/>
  <c r="DP170" i="27" s="1"/>
  <c r="DR170" i="27" s="1"/>
  <c r="DV107" i="27"/>
  <c r="DW263" i="27"/>
  <c r="DX264" i="27"/>
  <c r="DV263" i="27"/>
  <c r="DP263" i="27" a="1"/>
  <c r="DP263" i="27" s="1"/>
  <c r="DS264" i="27"/>
  <c r="DQ117" i="27"/>
  <c r="DS117" i="27" s="1"/>
  <c r="DQ149" i="27"/>
  <c r="DS149" i="27" s="1"/>
  <c r="DP215" i="27" a="1"/>
  <c r="DP215" i="27" s="1"/>
  <c r="DR215" i="27" s="1"/>
  <c r="DU132" i="27" a="1"/>
  <c r="DU132" i="27" s="1"/>
  <c r="DW132" i="27" s="1"/>
  <c r="DU109" i="27" a="1"/>
  <c r="DU109" i="27" s="1"/>
  <c r="DW109" i="27" s="1"/>
  <c r="DV104" i="27"/>
  <c r="DX104" i="27" s="1"/>
  <c r="DZ104" i="27" s="1"/>
  <c r="DQ246" i="27"/>
  <c r="DS246" i="27" s="1"/>
  <c r="DP245" i="27" a="1"/>
  <c r="DP245" i="27" s="1"/>
  <c r="DR245" i="27" s="1"/>
  <c r="DP151" i="27" a="1"/>
  <c r="DP151" i="27" s="1"/>
  <c r="DR151" i="27" s="1"/>
  <c r="DV212" i="27"/>
  <c r="DX212" i="27" s="1"/>
  <c r="DZ212" i="27" s="1"/>
  <c r="DP212" i="27" a="1"/>
  <c r="DP212" i="27" s="1"/>
  <c r="DR212" i="27" s="1"/>
  <c r="DU193" i="27" a="1"/>
  <c r="DU193" i="27" s="1"/>
  <c r="DW193" i="27" s="1"/>
  <c r="DV105" i="27"/>
  <c r="DX105" i="27" s="1"/>
  <c r="DZ105" i="27" s="1"/>
  <c r="DV108" i="27"/>
  <c r="DX108" i="27" s="1"/>
  <c r="DZ108" i="27" s="1"/>
  <c r="DV256" i="27"/>
  <c r="DX256" i="27" s="1"/>
  <c r="DZ256" i="27" s="1"/>
  <c r="DU189" i="27" a="1"/>
  <c r="DU189" i="27" s="1"/>
  <c r="DW189" i="27" s="1"/>
  <c r="DU229" i="27" a="1"/>
  <c r="DU229" i="27" s="1"/>
  <c r="DW229" i="27" s="1"/>
  <c r="DU202" i="27" a="1"/>
  <c r="DU202" i="27" s="1"/>
  <c r="DW202" i="27" s="1"/>
  <c r="DU211" i="27" a="1"/>
  <c r="DU211" i="27" s="1"/>
  <c r="DW211" i="27" s="1"/>
  <c r="DV242" i="27"/>
  <c r="DX242" i="27" s="1"/>
  <c r="DZ242" i="27" s="1"/>
  <c r="DU179" i="27" a="1"/>
  <c r="DU179" i="27" s="1"/>
  <c r="DW179" i="27" s="1"/>
  <c r="DP107" i="27" a="1"/>
  <c r="DP107" i="27" s="1"/>
  <c r="DR107" i="27" s="1"/>
  <c r="DP111" i="27" a="1"/>
  <c r="DP111" i="27" s="1"/>
  <c r="DR111" i="27" s="1"/>
  <c r="DQ192" i="27"/>
  <c r="DS192" i="27" s="1"/>
  <c r="DT96" i="27"/>
  <c r="DV96" i="27" s="1"/>
  <c r="DV152" i="27"/>
  <c r="DX152" i="27" s="1"/>
  <c r="DZ152" i="27" s="1"/>
  <c r="DU249" i="27" a="1"/>
  <c r="DU249" i="27" s="1"/>
  <c r="DW249" i="27" s="1"/>
  <c r="DQ203" i="27"/>
  <c r="DS203" i="27" s="1"/>
  <c r="DV234" i="27"/>
  <c r="DX234" i="27" s="1"/>
  <c r="DZ234" i="27" s="1"/>
  <c r="DQ216" i="27"/>
  <c r="DS216" i="27" s="1"/>
  <c r="DQ238" i="27"/>
  <c r="DS238" i="27" s="1"/>
  <c r="DT102" i="27"/>
  <c r="DU102" i="27" s="1" a="1"/>
  <c r="DU102" i="27" s="1"/>
  <c r="DW102" i="27" s="1"/>
  <c r="DQ131" i="27"/>
  <c r="DS131" i="27" s="1"/>
  <c r="DU167" i="27" a="1"/>
  <c r="DU167" i="27" s="1"/>
  <c r="DW167" i="27" s="1"/>
  <c r="DV106" i="27"/>
  <c r="DX106" i="27" s="1"/>
  <c r="DZ106" i="27" s="1"/>
  <c r="DP152" i="27" a="1"/>
  <c r="DP152" i="27" s="1"/>
  <c r="DR152" i="27" s="1"/>
  <c r="DZ101" i="27"/>
  <c r="EA101" i="27" s="1"/>
  <c r="DP237" i="27" a="1"/>
  <c r="DP237" i="27" s="1"/>
  <c r="DR237" i="27" s="1"/>
  <c r="DU143" i="27" a="1"/>
  <c r="DU143" i="27" s="1"/>
  <c r="DW143" i="27" s="1"/>
  <c r="DQ224" i="27"/>
  <c r="DS224" i="27" s="1"/>
  <c r="DV138" i="27"/>
  <c r="DX138" i="27" s="1"/>
  <c r="DZ138" i="27" s="1"/>
  <c r="DP252" i="27" a="1"/>
  <c r="DP252" i="27" s="1"/>
  <c r="DR252" i="27" s="1"/>
  <c r="DU162" i="27" a="1"/>
  <c r="DU162" i="27" s="1"/>
  <c r="DW162" i="27" s="1"/>
  <c r="DQ239" i="27"/>
  <c r="DS239" i="27" s="1"/>
  <c r="DV139" i="27"/>
  <c r="DX139" i="27" s="1"/>
  <c r="DZ139" i="27" s="1"/>
  <c r="DU158" i="27" a="1"/>
  <c r="DU158" i="27" s="1"/>
  <c r="DW158" i="27" s="1"/>
  <c r="DU218" i="27" a="1"/>
  <c r="DU218" i="27" s="1"/>
  <c r="DW218" i="27" s="1"/>
  <c r="DP127" i="27" a="1"/>
  <c r="DP127" i="27" s="1"/>
  <c r="DR127" i="27" s="1"/>
  <c r="CM262" i="27"/>
  <c r="DP205" i="27" a="1"/>
  <c r="DP205" i="27" s="1"/>
  <c r="DR205" i="27" s="1"/>
  <c r="DQ248" i="27"/>
  <c r="DS248" i="27" s="1"/>
  <c r="DP231" i="27" a="1"/>
  <c r="DP231" i="27" s="1"/>
  <c r="DR231" i="27" s="1"/>
  <c r="DV119" i="27"/>
  <c r="DX119" i="27" s="1"/>
  <c r="DZ119" i="27" s="1"/>
  <c r="DU144" i="27" a="1"/>
  <c r="DU144" i="27" s="1"/>
  <c r="DW144" i="27" s="1"/>
  <c r="DU156" i="27" a="1"/>
  <c r="DU156" i="27" s="1"/>
  <c r="DW156" i="27" s="1"/>
  <c r="DU112" i="27" a="1"/>
  <c r="DU112" i="27" s="1"/>
  <c r="DW112" i="27" s="1"/>
  <c r="DQ261" i="27"/>
  <c r="DS261" i="27" s="1"/>
  <c r="DP181" i="27" a="1"/>
  <c r="DP181" i="27" s="1"/>
  <c r="DR181" i="27" s="1"/>
  <c r="DU246" i="27" a="1"/>
  <c r="DU246" i="27" s="1"/>
  <c r="DW246" i="27" s="1"/>
  <c r="DU134" i="27" a="1"/>
  <c r="DU134" i="27" s="1"/>
  <c r="DW134" i="27" s="1"/>
  <c r="DQ173" i="27"/>
  <c r="DS173" i="27" s="1"/>
  <c r="DP219" i="27" a="1"/>
  <c r="DP219" i="27" s="1"/>
  <c r="DR219" i="27" s="1"/>
  <c r="DP104" i="27" a="1"/>
  <c r="DP104" i="27" s="1"/>
  <c r="DR104" i="27" s="1"/>
  <c r="DU122" i="27" a="1"/>
  <c r="DU122" i="27" s="1"/>
  <c r="DW122" i="27" s="1"/>
  <c r="DZ99" i="27"/>
  <c r="EA99" i="27" s="1"/>
  <c r="DQ128" i="27"/>
  <c r="DS128" i="27" s="1"/>
  <c r="DZ103" i="27"/>
  <c r="EA103" i="27" s="1"/>
  <c r="DV248" i="27"/>
  <c r="DX248" i="27" s="1"/>
  <c r="DZ248" i="27" s="1"/>
  <c r="DU196" i="27" a="1"/>
  <c r="DU196" i="27" s="1"/>
  <c r="DW196" i="27" s="1"/>
  <c r="DU254" i="27" a="1"/>
  <c r="DU254" i="27" s="1"/>
  <c r="DW254" i="27" s="1"/>
  <c r="DP220" i="27" a="1"/>
  <c r="DP220" i="27" s="1"/>
  <c r="DR220" i="27" s="1"/>
  <c r="DS220" i="27" s="1"/>
  <c r="DX252" i="27"/>
  <c r="DZ252" i="27" s="1"/>
  <c r="DQ240" i="27"/>
  <c r="DS240" i="27" s="1"/>
  <c r="DP157" i="27" a="1"/>
  <c r="DP157" i="27" s="1"/>
  <c r="DR157" i="27" s="1"/>
  <c r="DV245" i="27"/>
  <c r="DX245" i="27" s="1"/>
  <c r="DZ245" i="27" s="1"/>
  <c r="DP210" i="27" a="1"/>
  <c r="DP210" i="27" s="1"/>
  <c r="DR210" i="27" s="1"/>
  <c r="DP172" i="27" a="1"/>
  <c r="DP172" i="27" s="1"/>
  <c r="DR172" i="27" s="1"/>
  <c r="DU192" i="27" a="1"/>
  <c r="DU192" i="27" s="1"/>
  <c r="DW192" i="27" s="1"/>
  <c r="DP194" i="27" a="1"/>
  <c r="DP194" i="27" s="1"/>
  <c r="DR194" i="27" s="1"/>
  <c r="DU232" i="27" a="1"/>
  <c r="DU232" i="27" s="1"/>
  <c r="DW232" i="27" s="1"/>
  <c r="CL262" i="27"/>
  <c r="DQ126" i="27"/>
  <c r="DS126" i="27" s="1"/>
  <c r="DU117" i="27" a="1"/>
  <c r="DU117" i="27" s="1"/>
  <c r="DW117" i="27" s="1"/>
  <c r="DU194" i="27" a="1"/>
  <c r="DU194" i="27" s="1"/>
  <c r="DW194" i="27" s="1"/>
  <c r="DX194" i="27" s="1"/>
  <c r="DZ194" i="27" s="1"/>
  <c r="DU205" i="27" a="1"/>
  <c r="DU205" i="27" s="1"/>
  <c r="DW205" i="27" s="1"/>
  <c r="DU127" i="27" a="1"/>
  <c r="DU127" i="27" s="1"/>
  <c r="DW127" i="27" s="1"/>
  <c r="DV217" i="27"/>
  <c r="DX217" i="27" s="1"/>
  <c r="DZ217" i="27" s="1"/>
  <c r="DU195" i="27" a="1"/>
  <c r="DU195" i="27" s="1"/>
  <c r="DW195" i="27" s="1"/>
  <c r="DU140" i="27" a="1"/>
  <c r="DU140" i="27" s="1"/>
  <c r="DW140" i="27" s="1"/>
  <c r="DU238" i="27" a="1"/>
  <c r="DU238" i="27" s="1"/>
  <c r="DW238" i="27" s="1"/>
  <c r="DU164" i="27" a="1"/>
  <c r="DU164" i="27" s="1"/>
  <c r="DW164" i="27" s="1"/>
  <c r="DP204" i="27" a="1"/>
  <c r="DP204" i="27" s="1"/>
  <c r="DR204" i="27" s="1"/>
  <c r="DU151" i="27" a="1"/>
  <c r="DU151" i="27" s="1"/>
  <c r="DW151" i="27" s="1"/>
  <c r="DP153" i="27" a="1"/>
  <c r="DP153" i="27" s="1"/>
  <c r="DR153" i="27" s="1"/>
  <c r="DV123" i="27"/>
  <c r="DX123" i="27" s="1"/>
  <c r="DZ123" i="27" s="1"/>
  <c r="DP179" i="27" a="1"/>
  <c r="DP179" i="27" s="1"/>
  <c r="DR179" i="27" s="1"/>
  <c r="DP154" i="27" a="1"/>
  <c r="DP154" i="27" s="1"/>
  <c r="DR154" i="27" s="1"/>
  <c r="DU230" i="27" a="1"/>
  <c r="DU230" i="27" s="1"/>
  <c r="DW230" i="27" s="1"/>
  <c r="DU258" i="27" a="1"/>
  <c r="DU258" i="27" s="1"/>
  <c r="DW258" i="27" s="1"/>
  <c r="DP202" i="27" a="1"/>
  <c r="DP202" i="27" s="1"/>
  <c r="DR202" i="27" s="1"/>
  <c r="DT98" i="27"/>
  <c r="DU98" i="27" s="1" a="1"/>
  <c r="DU98" i="27" s="1"/>
  <c r="DW98" i="27" s="1"/>
  <c r="DP177" i="27" a="1"/>
  <c r="DP177" i="27" s="1"/>
  <c r="DR177" i="27" s="1"/>
  <c r="DU224" i="27" a="1"/>
  <c r="DU224" i="27" s="1"/>
  <c r="DW224" i="27" s="1"/>
  <c r="DU220" i="27" a="1"/>
  <c r="DU220" i="27" s="1"/>
  <c r="DW220" i="27" s="1"/>
  <c r="DU203" i="27" a="1"/>
  <c r="DU203" i="27" s="1"/>
  <c r="DW203" i="27" s="1"/>
  <c r="DP97" i="27" a="1"/>
  <c r="DP97" i="27" s="1"/>
  <c r="DR97" i="27" s="1"/>
  <c r="DV239" i="27"/>
  <c r="DX239" i="27" s="1"/>
  <c r="DZ239" i="27" s="1"/>
  <c r="DV115" i="27"/>
  <c r="DX115" i="27" s="1"/>
  <c r="DZ115" i="27" s="1"/>
  <c r="DP163" i="27" a="1"/>
  <c r="DP163" i="27" s="1"/>
  <c r="DR163" i="27" s="1"/>
  <c r="DU185" i="27" a="1"/>
  <c r="DU185" i="27" s="1"/>
  <c r="DW185" i="27" s="1"/>
  <c r="DP244" i="27" a="1"/>
  <c r="DP244" i="27" s="1"/>
  <c r="DR244" i="27" s="1"/>
  <c r="DU149" i="27" a="1"/>
  <c r="DU149" i="27" s="1"/>
  <c r="DW149" i="27" s="1"/>
  <c r="DP147" i="27" a="1"/>
  <c r="DP147" i="27" s="1"/>
  <c r="DR147" i="27" s="1"/>
  <c r="DX175" i="27"/>
  <c r="DZ175" i="27" s="1"/>
  <c r="DU150" i="27" a="1"/>
  <c r="DU150" i="27" s="1"/>
  <c r="DW150" i="27" s="1"/>
  <c r="DP254" i="27" a="1"/>
  <c r="DP254" i="27" s="1"/>
  <c r="DR254" i="27" s="1"/>
  <c r="DU118" i="27" a="1"/>
  <c r="DU118" i="27" s="1"/>
  <c r="DW118" i="27" s="1"/>
  <c r="DU168" i="27" a="1"/>
  <c r="DU168" i="27" s="1"/>
  <c r="DW168" i="27" s="1"/>
  <c r="DP118" i="27" a="1"/>
  <c r="DP118" i="27" s="1"/>
  <c r="DR118" i="27" s="1"/>
  <c r="DU219" i="27" a="1"/>
  <c r="DU219" i="27" s="1"/>
  <c r="DW219" i="27" s="1"/>
  <c r="DP140" i="27" a="1"/>
  <c r="DP140" i="27" s="1"/>
  <c r="DR140" i="27" s="1"/>
  <c r="DV255" i="27"/>
  <c r="DX255" i="27" s="1"/>
  <c r="DZ255" i="27" s="1"/>
  <c r="DU114" i="27" a="1"/>
  <c r="DU114" i="27" s="1"/>
  <c r="DW114" i="27" s="1"/>
  <c r="DP208" i="27" a="1"/>
  <c r="DP208" i="27" s="1"/>
  <c r="DR208" i="27" s="1"/>
  <c r="DP256" i="27" a="1"/>
  <c r="DP256" i="27" s="1"/>
  <c r="DR256" i="27" s="1"/>
  <c r="DP187" i="27" a="1"/>
  <c r="DP187" i="27" s="1"/>
  <c r="DR187" i="27" s="1"/>
  <c r="DQ155" i="27"/>
  <c r="DS155" i="27" s="1"/>
  <c r="DP176" i="27" a="1"/>
  <c r="DP176" i="27" s="1"/>
  <c r="DR176" i="27" s="1"/>
  <c r="DV206" i="27"/>
  <c r="DX206" i="27" s="1"/>
  <c r="DZ206" i="27" s="1"/>
  <c r="DQ144" i="27"/>
  <c r="DS144" i="27" s="1"/>
  <c r="DU130" i="27" a="1"/>
  <c r="DU130" i="27" s="1"/>
  <c r="DW130" i="27" s="1"/>
  <c r="DQ183" i="27"/>
  <c r="DS183" i="27" s="1"/>
  <c r="DP171" i="27" a="1"/>
  <c r="DP171" i="27" s="1"/>
  <c r="DR171" i="27" s="1"/>
  <c r="DP260" i="27" a="1"/>
  <c r="DP260" i="27" s="1"/>
  <c r="DR260" i="27" s="1"/>
  <c r="DP120" i="27" a="1"/>
  <c r="DP120" i="27" s="1"/>
  <c r="DR120" i="27" s="1"/>
  <c r="DP106" i="27" a="1"/>
  <c r="DP106" i="27" s="1"/>
  <c r="DR106" i="27" s="1"/>
  <c r="DT100" i="27"/>
  <c r="DU100" i="27" s="1" a="1"/>
  <c r="DU100" i="27" s="1"/>
  <c r="DW100" i="27" s="1"/>
  <c r="DP165" i="27" a="1"/>
  <c r="DP165" i="27" s="1"/>
  <c r="DR165" i="27" s="1"/>
  <c r="DQ175" i="27"/>
  <c r="DS175" i="27" s="1"/>
  <c r="DV191" i="27"/>
  <c r="DX191" i="27" s="1"/>
  <c r="DZ191" i="27" s="1"/>
  <c r="DU250" i="27" a="1"/>
  <c r="DU250" i="27" s="1"/>
  <c r="DW250" i="27" s="1"/>
  <c r="DU257" i="27" a="1"/>
  <c r="DU257" i="27" s="1"/>
  <c r="DW257" i="27" s="1"/>
  <c r="DV216" i="27"/>
  <c r="DX216" i="27" s="1"/>
  <c r="DZ216" i="27" s="1"/>
  <c r="DU240" i="27" a="1"/>
  <c r="DU240" i="27" s="1"/>
  <c r="DW240" i="27" s="1"/>
  <c r="DP145" i="27" a="1"/>
  <c r="DP145" i="27" s="1"/>
  <c r="DR145" i="27" s="1"/>
  <c r="DU174" i="27" a="1"/>
  <c r="DU174" i="27" s="1"/>
  <c r="DW174" i="27" s="1"/>
  <c r="DU148" i="27" a="1"/>
  <c r="DU148" i="27" s="1"/>
  <c r="DW148" i="27" s="1"/>
  <c r="DU136" i="27" a="1"/>
  <c r="DU136" i="27" s="1"/>
  <c r="DW136" i="27" s="1"/>
  <c r="DU182" i="27" a="1"/>
  <c r="DU182" i="27" s="1"/>
  <c r="DW182" i="27" s="1"/>
  <c r="DU120" i="27" a="1"/>
  <c r="DU120" i="27" s="1"/>
  <c r="DW120" i="27" s="1"/>
  <c r="DP247" i="27" a="1"/>
  <c r="DP247" i="27" s="1"/>
  <c r="DR247" i="27" s="1"/>
  <c r="DP148" i="27" a="1"/>
  <c r="DP148" i="27" s="1"/>
  <c r="DR148" i="27" s="1"/>
  <c r="DU183" i="27" a="1"/>
  <c r="DU183" i="27" s="1"/>
  <c r="DW183" i="27" s="1"/>
  <c r="DU178" i="27" a="1"/>
  <c r="DU178" i="27" s="1"/>
  <c r="DW178" i="27" s="1"/>
  <c r="DU208" i="27" a="1"/>
  <c r="DU208" i="27" s="1"/>
  <c r="DW208" i="27" s="1"/>
  <c r="DP161" i="27" a="1"/>
  <c r="DP161" i="27" s="1"/>
  <c r="DR161" i="27" s="1"/>
  <c r="DU160" i="27" a="1"/>
  <c r="DU160" i="27" s="1"/>
  <c r="DW160" i="27" s="1"/>
  <c r="DV226" i="27"/>
  <c r="DX226" i="27" s="1"/>
  <c r="DZ226" i="27" s="1"/>
  <c r="DP180" i="27" a="1"/>
  <c r="DP180" i="27" s="1"/>
  <c r="DR180" i="27" s="1"/>
  <c r="DP169" i="27" a="1"/>
  <c r="DP169" i="27" s="1"/>
  <c r="DR169" i="27" s="1"/>
  <c r="DQ255" i="27"/>
  <c r="DP255" i="27" a="1"/>
  <c r="DP255" i="27" s="1"/>
  <c r="DR255" i="27" s="1"/>
  <c r="DV128" i="27"/>
  <c r="DX128" i="27" s="1"/>
  <c r="DZ128" i="27" s="1"/>
  <c r="DP222" i="27" a="1"/>
  <c r="DP222" i="27" s="1"/>
  <c r="DR222" i="27" s="1"/>
  <c r="DQ122" i="27"/>
  <c r="DS122" i="27" s="1"/>
  <c r="DP102" i="27" a="1"/>
  <c r="DP102" i="27" s="1"/>
  <c r="DR102" i="27" s="1"/>
  <c r="DU170" i="27" a="1"/>
  <c r="DU170" i="27" s="1"/>
  <c r="DW170" i="27" s="1"/>
  <c r="DQ109" i="27"/>
  <c r="DS109" i="27" s="1"/>
  <c r="DQ209" i="27"/>
  <c r="DP209" i="27" a="1"/>
  <c r="DP209" i="27" s="1"/>
  <c r="DR209" i="27" s="1"/>
  <c r="DQ199" i="27"/>
  <c r="DS199" i="27" s="1"/>
  <c r="DU124" i="27" a="1"/>
  <c r="DU124" i="27" s="1"/>
  <c r="DW124" i="27" s="1"/>
  <c r="DP142" i="27" a="1"/>
  <c r="DP142" i="27" s="1"/>
  <c r="DR142" i="27" s="1"/>
  <c r="DQ142" i="27"/>
  <c r="DP185" i="27" a="1"/>
  <c r="DP185" i="27" s="1"/>
  <c r="DR185" i="27" s="1"/>
  <c r="DQ185" i="27"/>
  <c r="DQ96" i="27"/>
  <c r="DS96" i="27" s="1"/>
  <c r="DQ134" i="27"/>
  <c r="DP134" i="27" a="1"/>
  <c r="DP134" i="27" s="1"/>
  <c r="DR134" i="27" s="1"/>
  <c r="DU110" i="27" a="1"/>
  <c r="DU110" i="27" s="1"/>
  <c r="DW110" i="27" s="1"/>
  <c r="DV180" i="27"/>
  <c r="DX180" i="27" s="1"/>
  <c r="DZ180" i="27" s="1"/>
  <c r="DP232" i="27" a="1"/>
  <c r="DP232" i="27" s="1"/>
  <c r="DR232" i="27" s="1"/>
  <c r="DQ232" i="27"/>
  <c r="DU214" i="27" a="1"/>
  <c r="DU214" i="27" s="1"/>
  <c r="DW214" i="27" s="1"/>
  <c r="DV172" i="27"/>
  <c r="DX172" i="27" s="1"/>
  <c r="DZ172" i="27" s="1"/>
  <c r="DQ132" i="27"/>
  <c r="DP132" i="27" a="1"/>
  <c r="DP132" i="27" s="1"/>
  <c r="DR132" i="27" s="1"/>
  <c r="DV176" i="27"/>
  <c r="DU176" i="27" a="1"/>
  <c r="DU176" i="27" s="1"/>
  <c r="DW176" i="27" s="1"/>
  <c r="DQ136" i="27"/>
  <c r="DP136" i="27" a="1"/>
  <c r="DP136" i="27" s="1"/>
  <c r="DR136" i="27" s="1"/>
  <c r="DP124" i="27" a="1"/>
  <c r="DP124" i="27" s="1"/>
  <c r="DR124" i="27" s="1"/>
  <c r="DP159" i="27" a="1"/>
  <c r="DP159" i="27" s="1"/>
  <c r="DR159" i="27" s="1"/>
  <c r="DU210" i="27" a="1"/>
  <c r="DU210" i="27" s="1"/>
  <c r="DW210" i="27" s="1"/>
  <c r="DU184" i="27" a="1"/>
  <c r="DU184" i="27" s="1"/>
  <c r="DW184" i="27" s="1"/>
  <c r="DV184" i="27"/>
  <c r="DU173" i="27" a="1"/>
  <c r="DU173" i="27" s="1"/>
  <c r="DW173" i="27" s="1"/>
  <c r="DQ138" i="27"/>
  <c r="DP138" i="27" a="1"/>
  <c r="DP138" i="27" s="1"/>
  <c r="DR138" i="27" s="1"/>
  <c r="DQ130" i="27"/>
  <c r="DP130" i="27" a="1"/>
  <c r="DP130" i="27" s="1"/>
  <c r="DR130" i="27" s="1"/>
  <c r="DV253" i="27"/>
  <c r="DU253" i="27" a="1"/>
  <c r="DU253" i="27" s="1"/>
  <c r="DW253" i="27" s="1"/>
  <c r="DV204" i="27"/>
  <c r="DU204" i="27" a="1"/>
  <c r="DU204" i="27" s="1"/>
  <c r="DW204" i="27" s="1"/>
  <c r="DQ135" i="27"/>
  <c r="DP135" i="27" a="1"/>
  <c r="DP135" i="27" s="1"/>
  <c r="DR135" i="27" s="1"/>
  <c r="DV153" i="27"/>
  <c r="DU153" i="27" a="1"/>
  <c r="DU153" i="27" s="1"/>
  <c r="DW153" i="27" s="1"/>
  <c r="DP116" i="27" a="1"/>
  <c r="DP116" i="27" s="1"/>
  <c r="DR116" i="27" s="1"/>
  <c r="DQ116" i="27"/>
  <c r="DV129" i="27"/>
  <c r="DU129" i="27" a="1"/>
  <c r="DU129" i="27" s="1"/>
  <c r="DW129" i="27" s="1"/>
  <c r="DQ221" i="27"/>
  <c r="DP221" i="27" a="1"/>
  <c r="DP221" i="27" s="1"/>
  <c r="DR221" i="27" s="1"/>
  <c r="DV223" i="27"/>
  <c r="DU223" i="27" a="1"/>
  <c r="DU223" i="27" s="1"/>
  <c r="DW223" i="27" s="1"/>
  <c r="DV199" i="27"/>
  <c r="DU199" i="27" a="1"/>
  <c r="DU199" i="27" s="1"/>
  <c r="DW199" i="27" s="1"/>
  <c r="DX107" i="27"/>
  <c r="DZ107" i="27" s="1"/>
  <c r="DQ206" i="27"/>
  <c r="DP206" i="27" a="1"/>
  <c r="DP206" i="27" s="1"/>
  <c r="DR206" i="27" s="1"/>
  <c r="DQ110" i="27"/>
  <c r="DP110" i="27" a="1"/>
  <c r="DP110" i="27" s="1"/>
  <c r="DR110" i="27" s="1"/>
  <c r="DP167" i="27" a="1"/>
  <c r="DP167" i="27" s="1"/>
  <c r="DR167" i="27" s="1"/>
  <c r="DQ167" i="27"/>
  <c r="DU227" i="27" a="1"/>
  <c r="DU227" i="27" s="1"/>
  <c r="DW227" i="27" s="1"/>
  <c r="DV227" i="27"/>
  <c r="DV154" i="27"/>
  <c r="DU154" i="27" a="1"/>
  <c r="DU154" i="27" s="1"/>
  <c r="DW154" i="27" s="1"/>
  <c r="DV261" i="27"/>
  <c r="DU261" i="27" a="1"/>
  <c r="DU261" i="27" s="1"/>
  <c r="DW261" i="27" s="1"/>
  <c r="DU113" i="27" a="1"/>
  <c r="DU113" i="27" s="1"/>
  <c r="DW113" i="27" s="1"/>
  <c r="DV113" i="27"/>
  <c r="DQ164" i="27"/>
  <c r="DP164" i="27" a="1"/>
  <c r="DP164" i="27" s="1"/>
  <c r="DR164" i="27" s="1"/>
  <c r="DP196" i="27" a="1"/>
  <c r="DP196" i="27" s="1"/>
  <c r="DR196" i="27" s="1"/>
  <c r="DQ196" i="27"/>
  <c r="DU135" i="27" a="1"/>
  <c r="DU135" i="27" s="1"/>
  <c r="DW135" i="27" s="1"/>
  <c r="DV135" i="27"/>
  <c r="DU101" i="27" a="1"/>
  <c r="DU101" i="27" s="1"/>
  <c r="DW101" i="27" s="1"/>
  <c r="DV101" i="27"/>
  <c r="DQ233" i="27"/>
  <c r="DP233" i="27" a="1"/>
  <c r="DP233" i="27" s="1"/>
  <c r="DR233" i="27" s="1"/>
  <c r="DU197" i="27" a="1"/>
  <c r="DU197" i="27" s="1"/>
  <c r="DW197" i="27" s="1"/>
  <c r="DV197" i="27"/>
  <c r="DX233" i="27"/>
  <c r="DZ233" i="27" s="1"/>
  <c r="DQ112" i="27"/>
  <c r="DP112" i="27" a="1"/>
  <c r="DP112" i="27" s="1"/>
  <c r="DR112" i="27" s="1"/>
  <c r="DQ186" i="27"/>
  <c r="DP186" i="27" a="1"/>
  <c r="DP186" i="27" s="1"/>
  <c r="DR186" i="27" s="1"/>
  <c r="DV126" i="27"/>
  <c r="DU126" i="27" a="1"/>
  <c r="DU126" i="27" s="1"/>
  <c r="DW126" i="27" s="1"/>
  <c r="DV147" i="27"/>
  <c r="DU147" i="27" a="1"/>
  <c r="DU147" i="27" s="1"/>
  <c r="DW147" i="27" s="1"/>
  <c r="DU99" i="27" a="1"/>
  <c r="DU99" i="27" s="1"/>
  <c r="DW99" i="27" s="1"/>
  <c r="DV99" i="27"/>
  <c r="DV241" i="27"/>
  <c r="DU241" i="27" a="1"/>
  <c r="DU241" i="27" s="1"/>
  <c r="DW241" i="27" s="1"/>
  <c r="DP150" i="27" a="1"/>
  <c r="DP150" i="27" s="1"/>
  <c r="DR150" i="27" s="1"/>
  <c r="DQ150" i="27"/>
  <c r="DZ34" i="27"/>
  <c r="EA34" i="27" s="1"/>
  <c r="EF34" i="27"/>
  <c r="EE37" i="27" s="1"/>
  <c r="DQ143" i="27"/>
  <c r="DP143" i="27" a="1"/>
  <c r="DP143" i="27" s="1"/>
  <c r="DR143" i="27" s="1"/>
  <c r="DP234" i="27" a="1"/>
  <c r="DP234" i="27" s="1"/>
  <c r="DR234" i="27" s="1"/>
  <c r="DQ234" i="27"/>
  <c r="DQ250" i="27"/>
  <c r="DP250" i="27" a="1"/>
  <c r="DP250" i="27" s="1"/>
  <c r="DR250" i="27" s="1"/>
  <c r="DV146" i="27"/>
  <c r="DU146" i="27" a="1"/>
  <c r="DU146" i="27" s="1"/>
  <c r="DW146" i="27" s="1"/>
  <c r="DQ113" i="27"/>
  <c r="DP113" i="27" a="1"/>
  <c r="DP113" i="27" s="1"/>
  <c r="DR113" i="27" s="1"/>
  <c r="DQ101" i="27"/>
  <c r="DP101" i="27" a="1"/>
  <c r="DP101" i="27" s="1"/>
  <c r="DR101" i="27" s="1"/>
  <c r="DQ125" i="27"/>
  <c r="DP125" i="27" a="1"/>
  <c r="DP125" i="27" s="1"/>
  <c r="DR125" i="27" s="1"/>
  <c r="DV247" i="27"/>
  <c r="DU247" i="27" a="1"/>
  <c r="DU247" i="27" s="1"/>
  <c r="DW247" i="27" s="1"/>
  <c r="DQ211" i="27"/>
  <c r="DP211" i="27" a="1"/>
  <c r="DP211" i="27" s="1"/>
  <c r="DR211" i="27" s="1"/>
  <c r="DQ137" i="27"/>
  <c r="DP137" i="27" a="1"/>
  <c r="DP137" i="27" s="1"/>
  <c r="DR137" i="27" s="1"/>
  <c r="DV215" i="27"/>
  <c r="DU215" i="27" a="1"/>
  <c r="DU215" i="27" s="1"/>
  <c r="DW215" i="27" s="1"/>
  <c r="DQ229" i="27"/>
  <c r="DP229" i="27" a="1"/>
  <c r="DP229" i="27" s="1"/>
  <c r="DR229" i="27" s="1"/>
  <c r="DU244" i="27" a="1"/>
  <c r="DU244" i="27" s="1"/>
  <c r="DW244" i="27" s="1"/>
  <c r="DV244" i="27"/>
  <c r="DU166" i="27" a="1"/>
  <c r="DU166" i="27" s="1"/>
  <c r="DW166" i="27" s="1"/>
  <c r="DV166" i="27"/>
  <c r="DV228" i="27"/>
  <c r="DU228" i="27" a="1"/>
  <c r="DU228" i="27" s="1"/>
  <c r="DW228" i="27" s="1"/>
  <c r="DV225" i="27"/>
  <c r="DU225" i="27" a="1"/>
  <c r="DU225" i="27" s="1"/>
  <c r="DW225" i="27" s="1"/>
  <c r="DX116" i="27"/>
  <c r="DZ116" i="27" s="1"/>
  <c r="DV159" i="27"/>
  <c r="DU159" i="27" a="1"/>
  <c r="DU159" i="27" s="1"/>
  <c r="DW159" i="27" s="1"/>
  <c r="DQ190" i="27"/>
  <c r="DP190" i="27" a="1"/>
  <c r="DP190" i="27" s="1"/>
  <c r="DR190" i="27" s="1"/>
  <c r="DP226" i="27" a="1"/>
  <c r="DP226" i="27" s="1"/>
  <c r="DR226" i="27" s="1"/>
  <c r="DQ226" i="27"/>
  <c r="DQ218" i="27"/>
  <c r="DP218" i="27" a="1"/>
  <c r="DP218" i="27" s="1"/>
  <c r="DR218" i="27" s="1"/>
  <c r="DQ166" i="27"/>
  <c r="DP166" i="27" a="1"/>
  <c r="DP166" i="27" s="1"/>
  <c r="DR166" i="27" s="1"/>
  <c r="DV177" i="27"/>
  <c r="DU177" i="27" a="1"/>
  <c r="DU177" i="27" s="1"/>
  <c r="DW177" i="27" s="1"/>
  <c r="DQ139" i="27"/>
  <c r="DP139" i="27" a="1"/>
  <c r="DP139" i="27" s="1"/>
  <c r="DR139" i="27" s="1"/>
  <c r="DV121" i="27"/>
  <c r="DU121" i="27" a="1"/>
  <c r="DU121" i="27" s="1"/>
  <c r="DW121" i="27" s="1"/>
  <c r="DQ201" i="27"/>
  <c r="DP201" i="27" a="1"/>
  <c r="DP201" i="27" s="1"/>
  <c r="DR201" i="27" s="1"/>
  <c r="DP243" i="27" a="1"/>
  <c r="DP243" i="27" s="1"/>
  <c r="DR243" i="27" s="1"/>
  <c r="DQ243" i="27"/>
  <c r="DV155" i="27"/>
  <c r="DU155" i="27" a="1"/>
  <c r="DU155" i="27" s="1"/>
  <c r="DW155" i="27" s="1"/>
  <c r="DV198" i="27"/>
  <c r="DU198" i="27" a="1"/>
  <c r="DU198" i="27" s="1"/>
  <c r="DW198" i="27" s="1"/>
  <c r="DV145" i="27"/>
  <c r="DU145" i="27" a="1"/>
  <c r="DU145" i="27" s="1"/>
  <c r="DW145" i="27" s="1"/>
  <c r="DU200" i="27" a="1"/>
  <c r="DU200" i="27" s="1"/>
  <c r="DW200" i="27" s="1"/>
  <c r="DV200" i="27"/>
  <c r="DQ168" i="27"/>
  <c r="DP168" i="27" a="1"/>
  <c r="DP168" i="27" s="1"/>
  <c r="DR168" i="27" s="1"/>
  <c r="DQ99" i="27"/>
  <c r="DP99" i="27" a="1"/>
  <c r="DP99" i="27" s="1"/>
  <c r="DR99" i="27" s="1"/>
  <c r="DQ242" i="27"/>
  <c r="DP242" i="27" a="1"/>
  <c r="DP242" i="27" s="1"/>
  <c r="DR242" i="27" s="1"/>
  <c r="DQ156" i="27"/>
  <c r="DP156" i="27" a="1"/>
  <c r="DP156" i="27" s="1"/>
  <c r="DR156" i="27" s="1"/>
  <c r="DU236" i="27" a="1"/>
  <c r="DU236" i="27" s="1"/>
  <c r="DW236" i="27" s="1"/>
  <c r="DV236" i="27"/>
  <c r="DV187" i="27"/>
  <c r="DU187" i="27" a="1"/>
  <c r="DU187" i="27" s="1"/>
  <c r="DW187" i="27" s="1"/>
  <c r="DV221" i="27"/>
  <c r="DU221" i="27" a="1"/>
  <c r="DU221" i="27" s="1"/>
  <c r="DW221" i="27" s="1"/>
  <c r="DU186" i="27" a="1"/>
  <c r="DU186" i="27" s="1"/>
  <c r="DW186" i="27" s="1"/>
  <c r="DV186" i="27"/>
  <c r="DQ108" i="27"/>
  <c r="DP108" i="27" a="1"/>
  <c r="DP108" i="27" s="1"/>
  <c r="DR108" i="27" s="1"/>
  <c r="DQ249" i="27"/>
  <c r="DP249" i="27" a="1"/>
  <c r="DP249" i="27" s="1"/>
  <c r="DR249" i="27" s="1"/>
  <c r="DQ160" i="27"/>
  <c r="DP160" i="27" a="1"/>
  <c r="DP160" i="27" s="1"/>
  <c r="DR160" i="27" s="1"/>
  <c r="DQ236" i="27"/>
  <c r="DP236" i="27" a="1"/>
  <c r="DP236" i="27" s="1"/>
  <c r="DR236" i="27" s="1"/>
  <c r="DQ193" i="27"/>
  <c r="DP193" i="27" a="1"/>
  <c r="DP193" i="27" s="1"/>
  <c r="DR193" i="27" s="1"/>
  <c r="DQ227" i="27"/>
  <c r="DP227" i="27" a="1"/>
  <c r="DP227" i="27" s="1"/>
  <c r="DR227" i="27" s="1"/>
  <c r="DV125" i="27"/>
  <c r="DU125" i="27" a="1"/>
  <c r="DU125" i="27" s="1"/>
  <c r="DW125" i="27" s="1"/>
  <c r="DQ195" i="27"/>
  <c r="DP195" i="27" a="1"/>
  <c r="DP195" i="27" s="1"/>
  <c r="DR195" i="27" s="1"/>
  <c r="DV207" i="27"/>
  <c r="DU207" i="27" a="1"/>
  <c r="DU207" i="27" s="1"/>
  <c r="DW207" i="27" s="1"/>
  <c r="DQ146" i="27"/>
  <c r="DP146" i="27" a="1"/>
  <c r="DP146" i="27" s="1"/>
  <c r="DR146" i="27" s="1"/>
  <c r="DQ162" i="27"/>
  <c r="DP162" i="27" a="1"/>
  <c r="DP162" i="27" s="1"/>
  <c r="DR162" i="27" s="1"/>
  <c r="DQ105" i="27"/>
  <c r="DP105" i="27" a="1"/>
  <c r="DP105" i="27" s="1"/>
  <c r="DR105" i="27" s="1"/>
  <c r="DV213" i="27"/>
  <c r="DU213" i="27" a="1"/>
  <c r="DU213" i="27" s="1"/>
  <c r="DW213" i="27" s="1"/>
  <c r="DQ257" i="27"/>
  <c r="DP257" i="27" a="1"/>
  <c r="DP257" i="27" s="1"/>
  <c r="DR257" i="27" s="1"/>
  <c r="DU169" i="27" a="1"/>
  <c r="DU169" i="27" s="1"/>
  <c r="DW169" i="27" s="1"/>
  <c r="DV169" i="27"/>
  <c r="DV209" i="27"/>
  <c r="DU209" i="27" a="1"/>
  <c r="DU209" i="27" s="1"/>
  <c r="DW209" i="27" s="1"/>
  <c r="DQ121" i="27"/>
  <c r="DP121" i="27" a="1"/>
  <c r="DP121" i="27" s="1"/>
  <c r="DR121" i="27" s="1"/>
  <c r="DV157" i="27"/>
  <c r="DU157" i="27" a="1"/>
  <c r="DU157" i="27" s="1"/>
  <c r="DW157" i="27" s="1"/>
  <c r="DV141" i="27"/>
  <c r="DU141" i="27" a="1"/>
  <c r="DU141" i="27" s="1"/>
  <c r="DW141" i="27" s="1"/>
  <c r="DQ228" i="27"/>
  <c r="DP228" i="27" a="1"/>
  <c r="DP228" i="27" s="1"/>
  <c r="DR228" i="27" s="1"/>
  <c r="DU111" i="27" a="1"/>
  <c r="DU111" i="27" s="1"/>
  <c r="DW111" i="27" s="1"/>
  <c r="DV111" i="27"/>
  <c r="DQ198" i="27"/>
  <c r="DP198" i="27" a="1"/>
  <c r="DP198" i="27" s="1"/>
  <c r="DR198" i="27" s="1"/>
  <c r="DV201" i="27"/>
  <c r="DU201" i="27" a="1"/>
  <c r="DU201" i="27" s="1"/>
  <c r="DW201" i="27" s="1"/>
  <c r="DU103" i="27" a="1"/>
  <c r="DU103" i="27" s="1"/>
  <c r="DW103" i="27" s="1"/>
  <c r="DV103" i="27"/>
  <c r="DQ129" i="27"/>
  <c r="DP129" i="27" a="1"/>
  <c r="DP129" i="27" s="1"/>
  <c r="DR129" i="27" s="1"/>
  <c r="DU171" i="27" a="1"/>
  <c r="DU171" i="27" s="1"/>
  <c r="DW171" i="27" s="1"/>
  <c r="DV171" i="27"/>
  <c r="DV243" i="27"/>
  <c r="DU243" i="27" a="1"/>
  <c r="DU243" i="27" s="1"/>
  <c r="DW243" i="27" s="1"/>
  <c r="DQ103" i="27"/>
  <c r="DP103" i="27" a="1"/>
  <c r="DP103" i="27" s="1"/>
  <c r="DR103" i="27" s="1"/>
  <c r="DU260" i="27" a="1"/>
  <c r="DU260" i="27" s="1"/>
  <c r="DW260" i="27" s="1"/>
  <c r="DV260" i="27"/>
  <c r="DQ98" i="27"/>
  <c r="DP98" i="27" a="1"/>
  <c r="DP98" i="27" s="1"/>
  <c r="DR98" i="27" s="1"/>
  <c r="DV163" i="27"/>
  <c r="DU163" i="27" a="1"/>
  <c r="DU163" i="27" s="1"/>
  <c r="DW163" i="27" s="1"/>
  <c r="DQ217" i="27"/>
  <c r="DP217" i="27" a="1"/>
  <c r="DP217" i="27" s="1"/>
  <c r="DR217" i="27" s="1"/>
  <c r="DV137" i="27"/>
  <c r="DU137" i="27" a="1"/>
  <c r="DU137" i="27" s="1"/>
  <c r="DW137" i="27" s="1"/>
  <c r="DQ213" i="27"/>
  <c r="DP213" i="27" a="1"/>
  <c r="DP213" i="27" s="1"/>
  <c r="DR213" i="27" s="1"/>
  <c r="DZ33" i="27"/>
  <c r="EA33" i="27" s="1"/>
  <c r="EF33" i="27"/>
  <c r="DQ141" i="27"/>
  <c r="DP141" i="27" a="1"/>
  <c r="DP141" i="27" s="1"/>
  <c r="DR141" i="27" s="1"/>
  <c r="DQ241" i="27"/>
  <c r="DP241" i="27" a="1"/>
  <c r="DP241" i="27" s="1"/>
  <c r="DR241" i="27" s="1"/>
  <c r="DQ207" i="27"/>
  <c r="DP207" i="27" a="1"/>
  <c r="DP207" i="27" s="1"/>
  <c r="DR207" i="27" s="1"/>
  <c r="DQ188" i="27"/>
  <c r="DP188" i="27" a="1"/>
  <c r="DP188" i="27" s="1"/>
  <c r="DR188" i="27" s="1"/>
  <c r="DU188" i="27" a="1"/>
  <c r="DU188" i="27" s="1"/>
  <c r="DW188" i="27" s="1"/>
  <c r="DV188" i="27"/>
  <c r="DV131" i="27"/>
  <c r="DU131" i="27" a="1"/>
  <c r="DU131" i="27" s="1"/>
  <c r="DW131" i="27" s="1"/>
  <c r="DQ178" i="27"/>
  <c r="DP178" i="27" a="1"/>
  <c r="DP178" i="27" s="1"/>
  <c r="DR178" i="27" s="1"/>
  <c r="DS170" i="27"/>
  <c r="DV190" i="27"/>
  <c r="DU190" i="27" a="1"/>
  <c r="DU190" i="27" s="1"/>
  <c r="DW190" i="27" s="1"/>
  <c r="DQ115" i="27"/>
  <c r="DP115" i="27" a="1"/>
  <c r="DP115" i="27" s="1"/>
  <c r="DR115" i="27" s="1"/>
  <c r="DV259" i="27"/>
  <c r="DU259" i="27" a="1"/>
  <c r="DU259" i="27" s="1"/>
  <c r="DW259" i="27" s="1"/>
  <c r="DP223" i="27" a="1"/>
  <c r="DP223" i="27" s="1"/>
  <c r="DR223" i="27" s="1"/>
  <c r="DQ223" i="27"/>
  <c r="DV165" i="27"/>
  <c r="DU165" i="27" a="1"/>
  <c r="DU165" i="27" s="1"/>
  <c r="DW165" i="27" s="1"/>
  <c r="DV231" i="27"/>
  <c r="DU231" i="27" a="1"/>
  <c r="DU231" i="27" s="1"/>
  <c r="DW231" i="27" s="1"/>
  <c r="DQ200" i="27"/>
  <c r="DP200" i="27" a="1"/>
  <c r="DP200" i="27" s="1"/>
  <c r="DR200" i="27" s="1"/>
  <c r="DV161" i="27"/>
  <c r="DU161" i="27" a="1"/>
  <c r="DU161" i="27" s="1"/>
  <c r="DW161" i="27" s="1"/>
  <c r="DQ189" i="27"/>
  <c r="DP189" i="27" a="1"/>
  <c r="DP189" i="27" s="1"/>
  <c r="DR189" i="27" s="1"/>
  <c r="DP235" i="27" a="1"/>
  <c r="DP235" i="27" s="1"/>
  <c r="DR235" i="27" s="1"/>
  <c r="DQ235" i="27"/>
  <c r="DV133" i="27"/>
  <c r="DU133" i="27" a="1"/>
  <c r="DU133" i="27" s="1"/>
  <c r="DW133" i="27" s="1"/>
  <c r="DT97" i="27"/>
  <c r="DZ97" i="27"/>
  <c r="EA97" i="27" s="1"/>
  <c r="DV251" i="27"/>
  <c r="DU251" i="27" a="1"/>
  <c r="DU251" i="27" s="1"/>
  <c r="DW251" i="27" s="1"/>
  <c r="DQ133" i="27"/>
  <c r="DP133" i="27" a="1"/>
  <c r="DP133" i="27" s="1"/>
  <c r="DR133" i="27" s="1"/>
  <c r="DU235" i="27" a="1"/>
  <c r="DU235" i="27" s="1"/>
  <c r="DW235" i="27" s="1"/>
  <c r="DV235" i="27"/>
  <c r="DQ253" i="27"/>
  <c r="DP253" i="27" a="1"/>
  <c r="DP253" i="27" s="1"/>
  <c r="DR253" i="27" s="1"/>
  <c r="DP251" i="27" a="1"/>
  <c r="DP251" i="27" s="1"/>
  <c r="DR251" i="27" s="1"/>
  <c r="DQ251" i="27"/>
  <c r="DQ158" i="27"/>
  <c r="DP158" i="27" a="1"/>
  <c r="DP158" i="27" s="1"/>
  <c r="DR158" i="27" s="1"/>
  <c r="DQ174" i="27"/>
  <c r="DP174" i="27" a="1"/>
  <c r="DP174" i="27" s="1"/>
  <c r="DR174" i="27" s="1"/>
  <c r="DQ123" i="27"/>
  <c r="DP123" i="27" a="1"/>
  <c r="DP123" i="27" s="1"/>
  <c r="DR123" i="27" s="1"/>
  <c r="DP259" i="27" a="1"/>
  <c r="DP259" i="27" s="1"/>
  <c r="DR259" i="27" s="1"/>
  <c r="DQ259" i="27"/>
  <c r="DV142" i="27"/>
  <c r="DU142" i="27" a="1"/>
  <c r="DU142" i="27" s="1"/>
  <c r="DW142" i="27" s="1"/>
  <c r="DQ214" i="27"/>
  <c r="DP214" i="27" a="1"/>
  <c r="DP214" i="27" s="1"/>
  <c r="DR214" i="27" s="1"/>
  <c r="DQ182" i="27"/>
  <c r="DP182" i="27" a="1"/>
  <c r="DP182" i="27" s="1"/>
  <c r="DR182" i="27" s="1"/>
  <c r="DQ191" i="27"/>
  <c r="DP191" i="27" a="1"/>
  <c r="DP191" i="27" s="1"/>
  <c r="DR191" i="27" s="1"/>
  <c r="DP230" i="27" a="1"/>
  <c r="DP230" i="27" s="1"/>
  <c r="DR230" i="27" s="1"/>
  <c r="DQ230" i="27"/>
  <c r="DV222" i="27"/>
  <c r="DU222" i="27" a="1"/>
  <c r="DU222" i="27" s="1"/>
  <c r="DW222" i="27" s="1"/>
  <c r="DQ197" i="27"/>
  <c r="DP197" i="27" a="1"/>
  <c r="DP197" i="27" s="1"/>
  <c r="DR197" i="27" s="1"/>
  <c r="DQ184" i="27"/>
  <c r="DP184" i="27" a="1"/>
  <c r="DP184" i="27" s="1"/>
  <c r="DR184" i="27" s="1"/>
  <c r="DQ258" i="27"/>
  <c r="DP258" i="27" a="1"/>
  <c r="DP258" i="27" s="1"/>
  <c r="DR258" i="27" s="1"/>
  <c r="DQ119" i="27"/>
  <c r="DP119" i="27" a="1"/>
  <c r="DP119" i="27" s="1"/>
  <c r="DR119" i="27" s="1"/>
  <c r="DV237" i="27"/>
  <c r="DU237" i="27" a="1"/>
  <c r="DU237" i="27" s="1"/>
  <c r="DW237" i="27" s="1"/>
  <c r="DQ114" i="27"/>
  <c r="DP114" i="27" a="1"/>
  <c r="DP114" i="27" s="1"/>
  <c r="DR114" i="27" s="1"/>
  <c r="DQ225" i="27"/>
  <c r="DP225" i="27" a="1"/>
  <c r="DP225" i="27" s="1"/>
  <c r="DR225" i="27" s="1"/>
  <c r="DP100" i="27" a="1"/>
  <c r="DP100" i="27" s="1"/>
  <c r="DR100" i="27" s="1"/>
  <c r="DQ100" i="27"/>
  <c r="DV181" i="27"/>
  <c r="DU181" i="27" a="1"/>
  <c r="DU181" i="27" s="1"/>
  <c r="DW181" i="27" s="1"/>
  <c r="DX132" i="27" l="1"/>
  <c r="DZ132" i="27" s="1"/>
  <c r="DX109" i="27"/>
  <c r="DZ109" i="27" s="1"/>
  <c r="DO262" i="27"/>
  <c r="DQ262" i="27" s="1"/>
  <c r="DR263" i="27"/>
  <c r="DZ264" i="27"/>
  <c r="DT262" i="27"/>
  <c r="DX263" i="27"/>
  <c r="DS215" i="27"/>
  <c r="DS245" i="27"/>
  <c r="EA245" i="27" s="1"/>
  <c r="DS151" i="27"/>
  <c r="DS111" i="27"/>
  <c r="DX229" i="27"/>
  <c r="DZ229" i="27" s="1"/>
  <c r="DX189" i="27"/>
  <c r="DZ189" i="27" s="1"/>
  <c r="DX211" i="27"/>
  <c r="DZ211" i="27" s="1"/>
  <c r="DS172" i="27"/>
  <c r="EA172" i="27" s="1"/>
  <c r="DX179" i="27"/>
  <c r="DZ179" i="27" s="1"/>
  <c r="DV102" i="27"/>
  <c r="DS219" i="27"/>
  <c r="DX193" i="27"/>
  <c r="DZ193" i="27" s="1"/>
  <c r="DS212" i="27"/>
  <c r="EA212" i="27" s="1"/>
  <c r="DX167" i="27"/>
  <c r="DZ167" i="27" s="1"/>
  <c r="DX218" i="27"/>
  <c r="DZ218" i="27" s="1"/>
  <c r="DS147" i="27"/>
  <c r="DX202" i="27"/>
  <c r="DZ202" i="27" s="1"/>
  <c r="DS152" i="27"/>
  <c r="EA152" i="27" s="1"/>
  <c r="DS205" i="27"/>
  <c r="DS204" i="27"/>
  <c r="DX249" i="27"/>
  <c r="DZ249" i="27" s="1"/>
  <c r="DU96" i="27" a="1"/>
  <c r="DU96" i="27" s="1"/>
  <c r="DW96" i="27" s="1"/>
  <c r="DX158" i="27"/>
  <c r="DZ158" i="27" s="1"/>
  <c r="DS107" i="27"/>
  <c r="EA107" i="27" s="1"/>
  <c r="DS237" i="27"/>
  <c r="DS202" i="27"/>
  <c r="DX143" i="27"/>
  <c r="DZ143" i="27" s="1"/>
  <c r="DX134" i="27"/>
  <c r="DZ134" i="27" s="1"/>
  <c r="DS252" i="27"/>
  <c r="EA252" i="27" s="1"/>
  <c r="DS140" i="27"/>
  <c r="DX238" i="27"/>
  <c r="DZ238" i="27" s="1"/>
  <c r="EA238" i="27" s="1"/>
  <c r="DS181" i="27"/>
  <c r="DX162" i="27"/>
  <c r="DZ162" i="27" s="1"/>
  <c r="DS97" i="27"/>
  <c r="DS127" i="27"/>
  <c r="DX149" i="27"/>
  <c r="DZ149" i="27" s="1"/>
  <c r="EA149" i="27" s="1"/>
  <c r="DS187" i="27"/>
  <c r="DX195" i="27"/>
  <c r="DZ195" i="27" s="1"/>
  <c r="DX112" i="27"/>
  <c r="DZ112" i="27" s="1"/>
  <c r="DX156" i="27"/>
  <c r="DZ156" i="27" s="1"/>
  <c r="DS169" i="27"/>
  <c r="DX144" i="27"/>
  <c r="DZ144" i="27" s="1"/>
  <c r="EA144" i="27" s="1"/>
  <c r="DV98" i="27"/>
  <c r="DX98" i="27" s="1"/>
  <c r="DS231" i="27"/>
  <c r="DX205" i="27"/>
  <c r="DZ205" i="27" s="1"/>
  <c r="DX148" i="27"/>
  <c r="DZ148" i="27" s="1"/>
  <c r="DX254" i="27"/>
  <c r="DZ254" i="27" s="1"/>
  <c r="DS153" i="27"/>
  <c r="DX122" i="27"/>
  <c r="DZ122" i="27" s="1"/>
  <c r="EA122" i="27" s="1"/>
  <c r="DX120" i="27"/>
  <c r="DZ120" i="27" s="1"/>
  <c r="DX246" i="27"/>
  <c r="DZ246" i="27" s="1"/>
  <c r="EA246" i="27" s="1"/>
  <c r="DX258" i="27"/>
  <c r="DZ258" i="27" s="1"/>
  <c r="DX232" i="27"/>
  <c r="DZ232" i="27" s="1"/>
  <c r="EA248" i="27"/>
  <c r="DX208" i="27"/>
  <c r="DZ208" i="27" s="1"/>
  <c r="DS121" i="27"/>
  <c r="DS154" i="27"/>
  <c r="DS179" i="27"/>
  <c r="DS104" i="27"/>
  <c r="EA104" i="27" s="1"/>
  <c r="DX196" i="27"/>
  <c r="DZ196" i="27" s="1"/>
  <c r="DX210" i="27"/>
  <c r="DZ210" i="27" s="1"/>
  <c r="DX219" i="27"/>
  <c r="DZ219" i="27" s="1"/>
  <c r="DS260" i="27"/>
  <c r="DX136" i="27"/>
  <c r="DZ136" i="27" s="1"/>
  <c r="DS157" i="27"/>
  <c r="DX140" i="27"/>
  <c r="DZ140" i="27" s="1"/>
  <c r="DS120" i="27"/>
  <c r="DX182" i="27"/>
  <c r="DZ182" i="27" s="1"/>
  <c r="DS194" i="27"/>
  <c r="EA194" i="27" s="1"/>
  <c r="DX183" i="27"/>
  <c r="DZ183" i="27" s="1"/>
  <c r="EA183" i="27" s="1"/>
  <c r="DS247" i="27"/>
  <c r="DS208" i="27"/>
  <c r="DX151" i="27"/>
  <c r="DZ151" i="27" s="1"/>
  <c r="DS244" i="27"/>
  <c r="DV100" i="27"/>
  <c r="DX100" i="27" s="1"/>
  <c r="DS256" i="27"/>
  <c r="EA256" i="27" s="1"/>
  <c r="DX185" i="27"/>
  <c r="DZ185" i="27" s="1"/>
  <c r="DX164" i="27"/>
  <c r="DZ164" i="27" s="1"/>
  <c r="DX124" i="27"/>
  <c r="DZ124" i="27" s="1"/>
  <c r="DS163" i="27"/>
  <c r="DS210" i="27"/>
  <c r="DX192" i="27"/>
  <c r="DZ192" i="27" s="1"/>
  <c r="EA192" i="27" s="1"/>
  <c r="DS226" i="27"/>
  <c r="EA226" i="27" s="1"/>
  <c r="DX150" i="27"/>
  <c r="DZ150" i="27" s="1"/>
  <c r="DX166" i="27"/>
  <c r="DZ166" i="27" s="1"/>
  <c r="DS150" i="27"/>
  <c r="EA175" i="27"/>
  <c r="DX103" i="27"/>
  <c r="DX200" i="27"/>
  <c r="DZ200" i="27" s="1"/>
  <c r="DS254" i="27"/>
  <c r="EA128" i="27"/>
  <c r="DX127" i="27"/>
  <c r="DZ127" i="27" s="1"/>
  <c r="DX117" i="27"/>
  <c r="DZ117" i="27" s="1"/>
  <c r="EA117" i="27" s="1"/>
  <c r="DX160" i="27"/>
  <c r="DZ160" i="27" s="1"/>
  <c r="DX203" i="27"/>
  <c r="DZ203" i="27" s="1"/>
  <c r="EA203" i="27" s="1"/>
  <c r="DX168" i="27"/>
  <c r="DZ168" i="27" s="1"/>
  <c r="DX220" i="27"/>
  <c r="DZ220" i="27" s="1"/>
  <c r="EA220" i="27" s="1"/>
  <c r="DS177" i="27"/>
  <c r="DS118" i="27"/>
  <c r="DS145" i="27"/>
  <c r="DX130" i="27"/>
  <c r="DZ130" i="27" s="1"/>
  <c r="DX224" i="27"/>
  <c r="DZ224" i="27" s="1"/>
  <c r="EA224" i="27" s="1"/>
  <c r="DX118" i="27"/>
  <c r="DZ118" i="27" s="1"/>
  <c r="DX240" i="27"/>
  <c r="DZ240" i="27" s="1"/>
  <c r="EA240" i="27" s="1"/>
  <c r="DX178" i="27"/>
  <c r="DZ178" i="27" s="1"/>
  <c r="DX111" i="27"/>
  <c r="DZ111" i="27" s="1"/>
  <c r="DS176" i="27"/>
  <c r="DS185" i="27"/>
  <c r="DX230" i="27"/>
  <c r="DZ230" i="27" s="1"/>
  <c r="DX135" i="27"/>
  <c r="DZ135" i="27" s="1"/>
  <c r="DS180" i="27"/>
  <c r="EA180" i="27" s="1"/>
  <c r="EA239" i="27"/>
  <c r="DX236" i="27"/>
  <c r="DZ236" i="27" s="1"/>
  <c r="DS230" i="27"/>
  <c r="DX174" i="27"/>
  <c r="DZ174" i="27" s="1"/>
  <c r="DX169" i="27"/>
  <c r="DZ169" i="27" s="1"/>
  <c r="DS116" i="27"/>
  <c r="EA116" i="27" s="1"/>
  <c r="DS198" i="27"/>
  <c r="EA109" i="27"/>
  <c r="DX213" i="27"/>
  <c r="DZ213" i="27" s="1"/>
  <c r="DS251" i="27"/>
  <c r="DS165" i="27"/>
  <c r="DS148" i="27"/>
  <c r="DS197" i="27"/>
  <c r="DX114" i="27"/>
  <c r="DZ114" i="27" s="1"/>
  <c r="DX101" i="27"/>
  <c r="DS167" i="27"/>
  <c r="DS232" i="27"/>
  <c r="DX163" i="27"/>
  <c r="DZ163" i="27" s="1"/>
  <c r="DX176" i="27"/>
  <c r="DZ176" i="27" s="1"/>
  <c r="DX247" i="27"/>
  <c r="DZ247" i="27" s="1"/>
  <c r="EA216" i="27"/>
  <c r="DX260" i="27"/>
  <c r="DZ260" i="27" s="1"/>
  <c r="DS161" i="27"/>
  <c r="DX257" i="27"/>
  <c r="DZ257" i="27" s="1"/>
  <c r="DS106" i="27"/>
  <c r="EA106" i="27" s="1"/>
  <c r="DS255" i="27"/>
  <c r="EA255" i="27" s="1"/>
  <c r="DX110" i="27"/>
  <c r="DZ110" i="27" s="1"/>
  <c r="DX228" i="27"/>
  <c r="DZ228" i="27" s="1"/>
  <c r="DX235" i="27"/>
  <c r="DZ235" i="27" s="1"/>
  <c r="DX243" i="27"/>
  <c r="DZ243" i="27" s="1"/>
  <c r="DX214" i="27"/>
  <c r="DZ214" i="27" s="1"/>
  <c r="DX250" i="27"/>
  <c r="DZ250" i="27" s="1"/>
  <c r="DS234" i="27"/>
  <c r="EA234" i="27" s="1"/>
  <c r="DX227" i="27"/>
  <c r="DZ227" i="27" s="1"/>
  <c r="DS171" i="27"/>
  <c r="DS201" i="27"/>
  <c r="DS190" i="27"/>
  <c r="DX153" i="27"/>
  <c r="DZ153" i="27" s="1"/>
  <c r="DX133" i="27"/>
  <c r="DZ133" i="27" s="1"/>
  <c r="DS139" i="27"/>
  <c r="EA139" i="27" s="1"/>
  <c r="DS136" i="27"/>
  <c r="DS119" i="27"/>
  <c r="EA119" i="27" s="1"/>
  <c r="DS182" i="27"/>
  <c r="DX186" i="27"/>
  <c r="DZ186" i="27" s="1"/>
  <c r="DX244" i="27"/>
  <c r="DZ244" i="27" s="1"/>
  <c r="DS209" i="27"/>
  <c r="DS130" i="27"/>
  <c r="DX125" i="27"/>
  <c r="DZ125" i="27" s="1"/>
  <c r="DX221" i="27"/>
  <c r="DZ221" i="27" s="1"/>
  <c r="DS156" i="27"/>
  <c r="DX198" i="27"/>
  <c r="DZ198" i="27" s="1"/>
  <c r="DS159" i="27"/>
  <c r="DS134" i="27"/>
  <c r="DS124" i="27"/>
  <c r="DS132" i="27"/>
  <c r="EA132" i="27" s="1"/>
  <c r="DX142" i="27"/>
  <c r="DZ142" i="27" s="1"/>
  <c r="DS259" i="27"/>
  <c r="DX129" i="27"/>
  <c r="DZ129" i="27" s="1"/>
  <c r="DS138" i="27"/>
  <c r="EA138" i="27" s="1"/>
  <c r="DX170" i="27"/>
  <c r="DZ170" i="27" s="1"/>
  <c r="EA170" i="27" s="1"/>
  <c r="DS222" i="27"/>
  <c r="DX188" i="27"/>
  <c r="DZ188" i="27" s="1"/>
  <c r="DX137" i="27"/>
  <c r="DZ137" i="27" s="1"/>
  <c r="DX171" i="27"/>
  <c r="DZ171" i="27" s="1"/>
  <c r="DX173" i="27"/>
  <c r="DZ173" i="27" s="1"/>
  <c r="EA173" i="27" s="1"/>
  <c r="DS258" i="27"/>
  <c r="DX126" i="27"/>
  <c r="DZ126" i="27" s="1"/>
  <c r="EA126" i="27" s="1"/>
  <c r="DX197" i="27"/>
  <c r="DZ197" i="27" s="1"/>
  <c r="DX184" i="27"/>
  <c r="DZ184" i="27" s="1"/>
  <c r="DS142" i="27"/>
  <c r="DS102" i="27"/>
  <c r="DX209" i="27"/>
  <c r="DZ209" i="27" s="1"/>
  <c r="DS221" i="27"/>
  <c r="DX102" i="27"/>
  <c r="DS235" i="27"/>
  <c r="DS223" i="27"/>
  <c r="DS141" i="27"/>
  <c r="DS98" i="27"/>
  <c r="DX201" i="27"/>
  <c r="DZ201" i="27" s="1"/>
  <c r="DS146" i="27"/>
  <c r="DS249" i="27"/>
  <c r="DX215" i="27"/>
  <c r="DZ215" i="27" s="1"/>
  <c r="EA215" i="27" s="1"/>
  <c r="DS250" i="27"/>
  <c r="DX113" i="27"/>
  <c r="DZ113" i="27" s="1"/>
  <c r="DS160" i="27"/>
  <c r="DS241" i="27"/>
  <c r="DS178" i="27"/>
  <c r="DX207" i="27"/>
  <c r="DZ207" i="27" s="1"/>
  <c r="DS108" i="27"/>
  <c r="EA108" i="27" s="1"/>
  <c r="DS137" i="27"/>
  <c r="DS253" i="27"/>
  <c r="DX222" i="27"/>
  <c r="DZ222" i="27" s="1"/>
  <c r="DX259" i="27"/>
  <c r="DZ259" i="27" s="1"/>
  <c r="DS257" i="27"/>
  <c r="DX225" i="27"/>
  <c r="DZ225" i="27" s="1"/>
  <c r="DS186" i="27"/>
  <c r="DX261" i="27"/>
  <c r="DZ261" i="27" s="1"/>
  <c r="EA261" i="27" s="1"/>
  <c r="DX147" i="27"/>
  <c r="DZ147" i="27" s="1"/>
  <c r="DS213" i="27"/>
  <c r="DS103" i="27"/>
  <c r="DS195" i="27"/>
  <c r="DX145" i="27"/>
  <c r="DZ145" i="27" s="1"/>
  <c r="DX159" i="27"/>
  <c r="DZ159" i="27" s="1"/>
  <c r="DS211" i="27"/>
  <c r="DS206" i="27"/>
  <c r="EA206" i="27" s="1"/>
  <c r="DS214" i="27"/>
  <c r="DX141" i="27"/>
  <c r="DZ141" i="27" s="1"/>
  <c r="DS229" i="27"/>
  <c r="DS225" i="27"/>
  <c r="DS123" i="27"/>
  <c r="EA123" i="27" s="1"/>
  <c r="DS133" i="27"/>
  <c r="DS189" i="27"/>
  <c r="DS115" i="27"/>
  <c r="EA115" i="27" s="1"/>
  <c r="DX131" i="27"/>
  <c r="DZ131" i="27" s="1"/>
  <c r="EA131" i="27" s="1"/>
  <c r="DX177" i="27"/>
  <c r="DZ177" i="27" s="1"/>
  <c r="DS143" i="27"/>
  <c r="DS112" i="27"/>
  <c r="DX154" i="27"/>
  <c r="DZ154" i="27" s="1"/>
  <c r="DX146" i="27"/>
  <c r="DZ146" i="27" s="1"/>
  <c r="DX251" i="27"/>
  <c r="DZ251" i="27" s="1"/>
  <c r="DX190" i="27"/>
  <c r="DZ190" i="27" s="1"/>
  <c r="DS166" i="27"/>
  <c r="DS233" i="27"/>
  <c r="EA233" i="27" s="1"/>
  <c r="DS168" i="27"/>
  <c r="DS164" i="27"/>
  <c r="DS174" i="27"/>
  <c r="DX161" i="27"/>
  <c r="DZ161" i="27" s="1"/>
  <c r="DX157" i="27"/>
  <c r="DZ157" i="27" s="1"/>
  <c r="DS227" i="27"/>
  <c r="DX187" i="27"/>
  <c r="DZ187" i="27" s="1"/>
  <c r="DS242" i="27"/>
  <c r="EA242" i="27" s="1"/>
  <c r="DS125" i="27"/>
  <c r="DS135" i="27"/>
  <c r="DS191" i="27"/>
  <c r="EA191" i="27" s="1"/>
  <c r="DU97" i="27" a="1"/>
  <c r="DU97" i="27" s="1"/>
  <c r="DW97" i="27" s="1"/>
  <c r="DV97" i="27"/>
  <c r="DS188" i="27"/>
  <c r="DS217" i="27"/>
  <c r="EA217" i="27" s="1"/>
  <c r="DX155" i="27"/>
  <c r="DZ155" i="27" s="1"/>
  <c r="EA155" i="27" s="1"/>
  <c r="DS184" i="27"/>
  <c r="DX237" i="27"/>
  <c r="DZ237" i="27" s="1"/>
  <c r="DX181" i="27"/>
  <c r="DZ181" i="27" s="1"/>
  <c r="DS158" i="27"/>
  <c r="DS200" i="27"/>
  <c r="DS129" i="27"/>
  <c r="DS105" i="27"/>
  <c r="EA105" i="27" s="1"/>
  <c r="DS193" i="27"/>
  <c r="EA193" i="27" s="1"/>
  <c r="DS99" i="27"/>
  <c r="DS243" i="27"/>
  <c r="DS101" i="27"/>
  <c r="DX199" i="27"/>
  <c r="DZ199" i="27" s="1"/>
  <c r="EA199" i="27" s="1"/>
  <c r="DX204" i="27"/>
  <c r="DZ204" i="27" s="1"/>
  <c r="DS162" i="27"/>
  <c r="DS218" i="27"/>
  <c r="DX241" i="27"/>
  <c r="DZ241" i="27" s="1"/>
  <c r="DS110" i="27"/>
  <c r="DX165" i="27"/>
  <c r="DZ165" i="27" s="1"/>
  <c r="DX121" i="27"/>
  <c r="DZ121" i="27" s="1"/>
  <c r="DS114" i="27"/>
  <c r="DS100" i="27"/>
  <c r="DX231" i="27"/>
  <c r="DZ231" i="27" s="1"/>
  <c r="DS207" i="27"/>
  <c r="DS228" i="27"/>
  <c r="DS236" i="27"/>
  <c r="DS113" i="27"/>
  <c r="DX99" i="27"/>
  <c r="DS196" i="27"/>
  <c r="DX223" i="27"/>
  <c r="DZ223" i="27" s="1"/>
  <c r="DX253" i="27"/>
  <c r="DZ253" i="27" s="1"/>
  <c r="EA151" i="27" l="1"/>
  <c r="EA229" i="27"/>
  <c r="EA111" i="27"/>
  <c r="DS263" i="27"/>
  <c r="DZ263" i="27"/>
  <c r="DU262" i="27" a="1"/>
  <c r="DU262" i="27" s="1"/>
  <c r="DV262" i="27"/>
  <c r="DP262" i="27" a="1"/>
  <c r="DP262" i="27" s="1"/>
  <c r="EA264" i="27"/>
  <c r="EA211" i="27"/>
  <c r="EA189" i="27"/>
  <c r="EA179" i="27"/>
  <c r="EA219" i="27"/>
  <c r="EA205" i="27"/>
  <c r="EA218" i="27"/>
  <c r="EA143" i="27"/>
  <c r="EA231" i="27"/>
  <c r="EA204" i="27"/>
  <c r="EA134" i="27"/>
  <c r="EA202" i="27"/>
  <c r="EA200" i="27"/>
  <c r="EA167" i="27"/>
  <c r="EA195" i="27"/>
  <c r="EA187" i="27"/>
  <c r="EA158" i="27"/>
  <c r="EA147" i="27"/>
  <c r="EA249" i="27"/>
  <c r="EA112" i="27"/>
  <c r="EA237" i="27"/>
  <c r="DX96" i="27"/>
  <c r="EA181" i="27"/>
  <c r="EA120" i="27"/>
  <c r="EA121" i="27"/>
  <c r="EA162" i="27"/>
  <c r="EA140" i="27"/>
  <c r="EA185" i="27"/>
  <c r="EA154" i="27"/>
  <c r="EA254" i="27"/>
  <c r="EA232" i="27"/>
  <c r="EA127" i="27"/>
  <c r="EA258" i="27"/>
  <c r="EA236" i="27"/>
  <c r="EA156" i="27"/>
  <c r="EA145" i="27"/>
  <c r="EA169" i="27"/>
  <c r="EA148" i="27"/>
  <c r="EA182" i="27"/>
  <c r="EA153" i="27"/>
  <c r="EA124" i="27"/>
  <c r="EA136" i="27"/>
  <c r="EA196" i="27"/>
  <c r="EA210" i="27"/>
  <c r="EA260" i="27"/>
  <c r="EA125" i="27"/>
  <c r="EA208" i="27"/>
  <c r="EA244" i="27"/>
  <c r="EA228" i="27"/>
  <c r="EA114" i="27"/>
  <c r="EA157" i="27"/>
  <c r="EA247" i="27"/>
  <c r="EA130" i="27"/>
  <c r="EA176" i="27"/>
  <c r="EA166" i="27"/>
  <c r="EA160" i="27"/>
  <c r="EA177" i="27"/>
  <c r="EA163" i="27"/>
  <c r="EA150" i="27"/>
  <c r="EA164" i="27"/>
  <c r="EA135" i="27"/>
  <c r="EA230" i="27"/>
  <c r="EA118" i="27"/>
  <c r="EA168" i="27"/>
  <c r="EA197" i="27"/>
  <c r="EA188" i="27"/>
  <c r="EA214" i="27"/>
  <c r="EA137" i="27"/>
  <c r="EA235" i="27"/>
  <c r="EA198" i="27"/>
  <c r="EA251" i="27"/>
  <c r="EA178" i="27"/>
  <c r="EA113" i="27"/>
  <c r="EA129" i="27"/>
  <c r="EA110" i="27"/>
  <c r="EA174" i="27"/>
  <c r="EA201" i="27"/>
  <c r="EA184" i="27"/>
  <c r="EA142" i="27"/>
  <c r="EA165" i="27"/>
  <c r="EA159" i="27"/>
  <c r="EA133" i="27"/>
  <c r="EA213" i="27"/>
  <c r="EA161" i="27"/>
  <c r="EA221" i="27"/>
  <c r="EA241" i="27"/>
  <c r="EA227" i="27"/>
  <c r="EA250" i="27"/>
  <c r="EA171" i="27"/>
  <c r="EA190" i="27"/>
  <c r="EA243" i="27"/>
  <c r="EA257" i="27"/>
  <c r="EA209" i="27"/>
  <c r="EA186" i="27"/>
  <c r="EA146" i="27"/>
  <c r="EA259" i="27"/>
  <c r="EA207" i="27"/>
  <c r="EA222" i="27"/>
  <c r="EA141" i="27"/>
  <c r="EA253" i="27"/>
  <c r="EA223" i="27"/>
  <c r="EA225" i="27"/>
  <c r="DX97" i="27"/>
  <c r="DR262" i="27" l="1"/>
  <c r="EA263" i="27"/>
  <c r="DW262" i="27"/>
  <c r="A3" i="1"/>
  <c r="G3" i="1"/>
  <c r="AJ3" i="1" s="1"/>
  <c r="J3" i="1"/>
  <c r="K3" i="1"/>
  <c r="V3" i="1"/>
  <c r="AB3" i="1" s="1"/>
  <c r="A2" i="1"/>
  <c r="G2" i="1"/>
  <c r="J2" i="1"/>
  <c r="K2" i="1"/>
  <c r="V2" i="1"/>
  <c r="AB2" i="1" s="1"/>
  <c r="DX262" i="27" l="1"/>
  <c r="DZ262" i="27" s="1"/>
  <c r="DS262" i="27"/>
  <c r="T2" i="1"/>
  <c r="AG2" i="1"/>
  <c r="T3" i="1"/>
  <c r="AG3" i="1"/>
  <c r="N3" i="1"/>
  <c r="O3" i="1" s="1"/>
  <c r="P3" i="1" s="1"/>
  <c r="AE3" i="1" s="1"/>
  <c r="AD3" i="1"/>
  <c r="Q3" i="1"/>
  <c r="R3" i="1" s="1"/>
  <c r="U3" i="1" s="1"/>
  <c r="W3" i="1"/>
  <c r="X3" i="1" s="1"/>
  <c r="W2" i="1"/>
  <c r="X2" i="1" s="1"/>
  <c r="N2" i="1"/>
  <c r="O2" i="1" s="1"/>
  <c r="P2" i="1" s="1"/>
  <c r="AE2" i="1" s="1"/>
  <c r="Q2" i="1"/>
  <c r="AD2" i="1" s="1"/>
  <c r="EA262" i="27" l="1"/>
  <c r="AF3" i="1"/>
  <c r="R2" i="1"/>
  <c r="U2" i="1" s="1"/>
  <c r="AJ2" i="1"/>
  <c r="AF2" i="1"/>
  <c r="AM307" i="2" l="1"/>
  <c r="AN307" i="2"/>
  <c r="AO307" i="2"/>
  <c r="A308" i="2"/>
  <c r="E308" i="2"/>
  <c r="G308" i="2"/>
  <c r="H308" i="2"/>
  <c r="I308" i="2"/>
  <c r="J308" i="2"/>
  <c r="L308" i="2"/>
  <c r="N308" i="2"/>
  <c r="AD308" i="2"/>
  <c r="AE308" i="2"/>
  <c r="AM308" i="2"/>
  <c r="AN308" i="2"/>
  <c r="AO308" i="2"/>
  <c r="A309" i="2"/>
  <c r="E309" i="2"/>
  <c r="G309" i="2"/>
  <c r="H309" i="2"/>
  <c r="I309" i="2"/>
  <c r="J309" i="2"/>
  <c r="L309" i="2"/>
  <c r="N309" i="2"/>
  <c r="AD309" i="2"/>
  <c r="AE309" i="2"/>
  <c r="AM309" i="2"/>
  <c r="AN309" i="2"/>
  <c r="AO309" i="2"/>
  <c r="A310" i="2"/>
  <c r="E310" i="2"/>
  <c r="G310" i="2"/>
  <c r="H310" i="2"/>
  <c r="I310" i="2"/>
  <c r="J310" i="2"/>
  <c r="L310" i="2"/>
  <c r="N310" i="2"/>
  <c r="AD310" i="2"/>
  <c r="AE310" i="2"/>
  <c r="AM310" i="2"/>
  <c r="AN310" i="2"/>
  <c r="AO310" i="2"/>
  <c r="A311" i="2"/>
  <c r="E311" i="2"/>
  <c r="G311" i="2"/>
  <c r="H311" i="2"/>
  <c r="I311" i="2"/>
  <c r="J311" i="2"/>
  <c r="L311" i="2"/>
  <c r="N311" i="2"/>
  <c r="W311" i="2"/>
  <c r="AD311" i="2"/>
  <c r="AE311" i="2"/>
  <c r="AM311" i="2"/>
  <c r="AN311" i="2"/>
  <c r="AO311" i="2"/>
  <c r="A312" i="2"/>
  <c r="E312" i="2"/>
  <c r="G312" i="2"/>
  <c r="H312" i="2"/>
  <c r="I312" i="2"/>
  <c r="J312" i="2"/>
  <c r="L312" i="2"/>
  <c r="N312" i="2"/>
  <c r="AD312" i="2"/>
  <c r="AE312" i="2"/>
  <c r="AM312" i="2"/>
  <c r="AN312" i="2"/>
  <c r="AO312" i="2"/>
  <c r="A313" i="2"/>
  <c r="E313" i="2"/>
  <c r="G313" i="2"/>
  <c r="H313" i="2"/>
  <c r="I313" i="2"/>
  <c r="J313" i="2"/>
  <c r="L313" i="2"/>
  <c r="N313" i="2"/>
  <c r="AD313" i="2"/>
  <c r="AE313" i="2"/>
  <c r="AM313" i="2"/>
  <c r="AN313" i="2"/>
  <c r="AO313" i="2"/>
  <c r="A314" i="2"/>
  <c r="E314" i="2"/>
  <c r="G314" i="2"/>
  <c r="H314" i="2"/>
  <c r="I314" i="2"/>
  <c r="J314" i="2"/>
  <c r="L314" i="2"/>
  <c r="N314" i="2"/>
  <c r="AB314" i="2"/>
  <c r="AD314" i="2"/>
  <c r="AE314" i="2"/>
  <c r="AM314" i="2"/>
  <c r="AN314" i="2"/>
  <c r="AO314" i="2"/>
  <c r="A315" i="2"/>
  <c r="E315" i="2"/>
  <c r="G315" i="2"/>
  <c r="H315" i="2"/>
  <c r="I315" i="2"/>
  <c r="J315" i="2"/>
  <c r="L315" i="2"/>
  <c r="N315" i="2"/>
  <c r="AD315" i="2"/>
  <c r="AE315" i="2"/>
  <c r="AM315" i="2"/>
  <c r="AN315" i="2"/>
  <c r="AO315" i="2"/>
  <c r="A316" i="2"/>
  <c r="E316" i="2"/>
  <c r="G316" i="2"/>
  <c r="H316" i="2"/>
  <c r="I316" i="2"/>
  <c r="J316" i="2"/>
  <c r="L316" i="2"/>
  <c r="N316" i="2"/>
  <c r="AB316" i="2"/>
  <c r="AD316" i="2"/>
  <c r="AE316" i="2"/>
  <c r="AM316" i="2"/>
  <c r="AN316" i="2"/>
  <c r="AO316" i="2"/>
  <c r="A317" i="2"/>
  <c r="E317" i="2"/>
  <c r="G317" i="2"/>
  <c r="H317" i="2"/>
  <c r="I317" i="2"/>
  <c r="J317" i="2"/>
  <c r="L317" i="2"/>
  <c r="N317" i="2"/>
  <c r="AB317" i="2"/>
  <c r="AD317" i="2"/>
  <c r="AE317" i="2"/>
  <c r="AM317" i="2"/>
  <c r="AN317" i="2"/>
  <c r="AO317" i="2"/>
  <c r="H365" i="2" l="1"/>
  <c r="K317" i="2"/>
  <c r="P317" i="2" s="1"/>
  <c r="M317" i="2"/>
  <c r="Q317" i="2" s="1"/>
  <c r="X317" i="2"/>
  <c r="U317" i="2"/>
  <c r="X316" i="2"/>
  <c r="K316" i="2"/>
  <c r="P316" i="2" s="1"/>
  <c r="M316" i="2"/>
  <c r="Q316" i="2" s="1"/>
  <c r="U316" i="2"/>
  <c r="M315" i="2"/>
  <c r="Q315" i="2" s="1"/>
  <c r="K315" i="2"/>
  <c r="P315" i="2" s="1"/>
  <c r="U315" i="2"/>
  <c r="X315" i="2"/>
  <c r="M314" i="2"/>
  <c r="Q314" i="2" s="1"/>
  <c r="U313" i="2"/>
  <c r="W313" i="2" s="1"/>
  <c r="K314" i="2"/>
  <c r="P314" i="2" s="1"/>
  <c r="U314" i="2"/>
  <c r="X314" i="2"/>
  <c r="M313" i="2"/>
  <c r="Q313" i="2" s="1"/>
  <c r="K313" i="2"/>
  <c r="P313" i="2" s="1"/>
  <c r="X313" i="2"/>
  <c r="U312" i="2"/>
  <c r="W312" i="2" s="1"/>
  <c r="M312" i="2"/>
  <c r="Q312" i="2" s="1"/>
  <c r="K312" i="2"/>
  <c r="P312" i="2" s="1"/>
  <c r="X312" i="2"/>
  <c r="X311" i="2"/>
  <c r="U311" i="2"/>
  <c r="V311" i="2" s="1"/>
  <c r="K311" i="2"/>
  <c r="P311" i="2" s="1"/>
  <c r="M311" i="2"/>
  <c r="Q311" i="2" s="1"/>
  <c r="K310" i="2"/>
  <c r="P310" i="2" s="1"/>
  <c r="M310" i="2"/>
  <c r="Q310" i="2" s="1"/>
  <c r="X310" i="2"/>
  <c r="U310" i="2"/>
  <c r="U309" i="2"/>
  <c r="W309" i="2" s="1"/>
  <c r="K309" i="2"/>
  <c r="P309" i="2" s="1"/>
  <c r="M309" i="2"/>
  <c r="Q309" i="2" s="1"/>
  <c r="X309" i="2"/>
  <c r="M308" i="2"/>
  <c r="Q308" i="2" s="1"/>
  <c r="K308" i="2"/>
  <c r="P308" i="2" s="1"/>
  <c r="X308" i="2"/>
  <c r="U308" i="2"/>
  <c r="AC316" i="2"/>
  <c r="AC314" i="2"/>
  <c r="AC312" i="2"/>
  <c r="AC310" i="2"/>
  <c r="AC308" i="2"/>
  <c r="AC317" i="2"/>
  <c r="AC315" i="2"/>
  <c r="AC313" i="2"/>
  <c r="AC311" i="2"/>
  <c r="AC309" i="2"/>
  <c r="AC307" i="2"/>
  <c r="O317" i="2" l="1"/>
  <c r="O315" i="2"/>
  <c r="V313" i="2"/>
  <c r="W317" i="2"/>
  <c r="V317" i="2"/>
  <c r="O314" i="2"/>
  <c r="W316" i="2"/>
  <c r="V316" i="2"/>
  <c r="O316" i="2"/>
  <c r="W315" i="2"/>
  <c r="V315" i="2"/>
  <c r="W314" i="2"/>
  <c r="V314" i="2"/>
  <c r="O313" i="2"/>
  <c r="O311" i="2"/>
  <c r="V312" i="2"/>
  <c r="O312" i="2"/>
  <c r="W310" i="2"/>
  <c r="V310" i="2"/>
  <c r="O310" i="2"/>
  <c r="V309" i="2"/>
  <c r="O309" i="2"/>
  <c r="O308" i="2"/>
  <c r="W308" i="2"/>
  <c r="V308" i="2"/>
  <c r="AD337" i="2"/>
  <c r="AE337" i="2"/>
  <c r="L365" i="2" l="1"/>
  <c r="N365" i="2"/>
  <c r="AB337" i="2"/>
  <c r="AM337" i="2"/>
  <c r="AN337" i="2"/>
  <c r="AO337" i="2"/>
  <c r="U337" i="2" l="1"/>
  <c r="C10" i="25" s="1" a="1"/>
  <c r="C10" i="25" s="1"/>
  <c r="X337" i="2"/>
  <c r="C11" i="25" s="1" a="1"/>
  <c r="C11" i="25" s="1"/>
  <c r="C13" i="25" s="1"/>
  <c r="J365" i="2"/>
  <c r="I363" i="2"/>
  <c r="J364" i="2"/>
  <c r="J363" i="2"/>
  <c r="I364" i="2"/>
  <c r="I365" i="2"/>
  <c r="H363" i="2"/>
  <c r="H364" i="2"/>
  <c r="AC337" i="2"/>
  <c r="R360" i="2" l="1"/>
  <c r="R359" i="2"/>
  <c r="R362" i="2"/>
  <c r="R361" i="2"/>
  <c r="R358" i="2"/>
  <c r="R357" i="2"/>
  <c r="R356" i="2"/>
  <c r="R355" i="2"/>
  <c r="R354" i="2"/>
  <c r="R352" i="2"/>
  <c r="R353" i="2"/>
  <c r="R350" i="2"/>
  <c r="R351" i="2"/>
  <c r="R348" i="2"/>
  <c r="R349" i="2"/>
  <c r="R346" i="2"/>
  <c r="R347" i="2"/>
  <c r="R344" i="2"/>
  <c r="R345" i="2"/>
  <c r="R340" i="2"/>
  <c r="R343" i="2"/>
  <c r="R341" i="2"/>
  <c r="R342" i="2"/>
  <c r="R338" i="2"/>
  <c r="R339" i="2"/>
  <c r="R336" i="2"/>
  <c r="R337" i="2"/>
  <c r="W337" i="2"/>
  <c r="V337" i="2"/>
  <c r="R334" i="2"/>
  <c r="R335" i="2"/>
  <c r="M365" i="2"/>
  <c r="O365" i="2" s="1"/>
  <c r="K363" i="2"/>
  <c r="K365" i="2"/>
  <c r="P365" i="2" s="1"/>
  <c r="K364" i="2"/>
  <c r="Q365" i="2" l="1"/>
  <c r="D127" i="24" a="1"/>
  <c r="D127" i="24" s="1"/>
  <c r="D125" i="24" a="1"/>
  <c r="D125" i="24" s="1"/>
  <c r="D120" i="24" a="1"/>
  <c r="D120" i="24" s="1"/>
  <c r="D119" i="24" a="1"/>
  <c r="D119" i="24" s="1"/>
  <c r="D118" i="24" a="1"/>
  <c r="D118" i="24" s="1"/>
  <c r="D117" i="24" a="1"/>
  <c r="D117" i="24" s="1"/>
  <c r="D116" i="24" a="1"/>
  <c r="D116" i="24" s="1"/>
  <c r="D115" i="24" a="1"/>
  <c r="D115" i="24" s="1"/>
  <c r="D114" i="24" a="1"/>
  <c r="D114" i="24" s="1"/>
  <c r="D113" i="24" a="1"/>
  <c r="D113" i="24" s="1"/>
  <c r="L25" i="12"/>
  <c r="J25" i="12"/>
  <c r="L24" i="12"/>
  <c r="J24" i="12"/>
  <c r="L23" i="12"/>
  <c r="J23" i="12"/>
  <c r="L22" i="12"/>
  <c r="J22" i="12"/>
  <c r="L21" i="12"/>
  <c r="J21" i="12"/>
  <c r="L20" i="12"/>
  <c r="J20" i="12"/>
  <c r="L19" i="12"/>
  <c r="J19" i="12"/>
  <c r="L18" i="12"/>
  <c r="J18" i="12"/>
  <c r="L17" i="12"/>
  <c r="J17" i="12"/>
  <c r="L16" i="12"/>
  <c r="J16" i="12"/>
  <c r="L15" i="12"/>
  <c r="J15" i="12"/>
  <c r="L14" i="12"/>
  <c r="J14" i="12"/>
  <c r="L13" i="12"/>
  <c r="J13" i="12"/>
  <c r="L12" i="12"/>
  <c r="J12" i="12"/>
  <c r="L11" i="12"/>
  <c r="J11" i="12"/>
  <c r="L10" i="12"/>
  <c r="J10" i="12"/>
  <c r="L9" i="12"/>
  <c r="J9" i="12"/>
  <c r="L8" i="12"/>
  <c r="J8" i="12"/>
  <c r="L7" i="12"/>
  <c r="J7" i="12"/>
  <c r="L6" i="12"/>
  <c r="J6" i="12"/>
  <c r="L5" i="12"/>
  <c r="J5" i="12"/>
  <c r="L4" i="12"/>
  <c r="J4" i="12"/>
  <c r="L3" i="12"/>
  <c r="J3" i="12"/>
  <c r="L2" i="12"/>
  <c r="J2" i="12"/>
  <c r="D111" i="24" a="1"/>
  <c r="D111" i="24" s="1"/>
  <c r="D109" i="24" a="1"/>
  <c r="D109" i="24" s="1"/>
  <c r="D107" i="24" a="1"/>
  <c r="D107" i="24" s="1"/>
  <c r="D104" i="24" a="1"/>
  <c r="D104" i="24" s="1"/>
  <c r="D100" i="24" a="1"/>
  <c r="D100" i="24" s="1"/>
  <c r="D98" i="24" a="1"/>
  <c r="D98" i="24" s="1"/>
  <c r="D94" i="24" a="1"/>
  <c r="D94" i="24" s="1"/>
  <c r="D93" i="24" a="1"/>
  <c r="D93" i="24" s="1"/>
  <c r="D92" i="24" a="1"/>
  <c r="D92" i="24" s="1"/>
  <c r="D90" i="24" a="1"/>
  <c r="D90" i="24" s="1"/>
  <c r="D87" i="24" a="1"/>
  <c r="D87" i="24" s="1"/>
  <c r="D86" i="24" a="1"/>
  <c r="D86" i="24" s="1"/>
  <c r="D85" i="24" a="1"/>
  <c r="D85" i="24" s="1"/>
  <c r="D80" i="24" a="1"/>
  <c r="D80" i="24" s="1"/>
  <c r="D79" i="24" a="1"/>
  <c r="D79" i="24" s="1"/>
  <c r="D78" i="24" a="1"/>
  <c r="D78" i="24" s="1"/>
  <c r="D74" i="24" a="1"/>
  <c r="D74" i="24" s="1"/>
  <c r="D73" i="24" a="1"/>
  <c r="D73" i="24" s="1"/>
  <c r="D72" i="24" a="1"/>
  <c r="D72" i="24" s="1"/>
  <c r="D67" i="24" a="1"/>
  <c r="D67" i="24" s="1"/>
  <c r="D66" i="24" a="1"/>
  <c r="D66" i="24" s="1"/>
  <c r="D65" i="24" a="1"/>
  <c r="D65" i="24" s="1"/>
  <c r="D64" i="24" a="1"/>
  <c r="D64" i="24" s="1"/>
  <c r="D63" i="24" a="1"/>
  <c r="D63" i="24" s="1"/>
  <c r="D62" i="24" a="1"/>
  <c r="D62" i="24" s="1"/>
  <c r="D61" i="24" a="1"/>
  <c r="D61" i="24" s="1"/>
  <c r="D60" i="24" a="1"/>
  <c r="D60" i="24" s="1"/>
  <c r="D59" i="24" a="1"/>
  <c r="D59" i="24" s="1"/>
  <c r="D58" i="24" a="1"/>
  <c r="D58" i="24" s="1"/>
  <c r="D57" i="24" a="1"/>
  <c r="D57" i="24" s="1"/>
  <c r="D56" i="24" a="1"/>
  <c r="D56" i="24" s="1"/>
  <c r="D55" i="24" a="1"/>
  <c r="D55" i="24" s="1"/>
  <c r="D54" i="24" a="1"/>
  <c r="D54" i="24" s="1"/>
  <c r="D53" i="24" a="1"/>
  <c r="D53" i="24" s="1"/>
  <c r="D52" i="24" a="1"/>
  <c r="D52" i="24" s="1"/>
  <c r="D51" i="24" a="1"/>
  <c r="D51" i="24" s="1"/>
  <c r="D49" i="24" a="1"/>
  <c r="D49" i="24" s="1"/>
  <c r="D45" i="24" a="1"/>
  <c r="D45" i="24" s="1"/>
  <c r="D44" i="24" a="1"/>
  <c r="D44" i="24" s="1"/>
  <c r="D43" i="24" a="1"/>
  <c r="D43" i="24" s="1"/>
  <c r="D42" i="24" a="1"/>
  <c r="D42" i="24" s="1"/>
  <c r="D41" i="24" a="1"/>
  <c r="D41" i="24" s="1"/>
  <c r="D40" i="24" a="1"/>
  <c r="D40" i="24" s="1"/>
  <c r="D39" i="24" a="1"/>
  <c r="D39" i="24" s="1"/>
  <c r="D38" i="24" a="1"/>
  <c r="D38" i="24" s="1"/>
  <c r="D37" i="24" a="1"/>
  <c r="D37" i="24" s="1"/>
  <c r="D36" i="24" a="1"/>
  <c r="D36" i="24" s="1"/>
  <c r="D35" i="24" a="1"/>
  <c r="D35" i="24" s="1"/>
  <c r="D34" i="24" a="1"/>
  <c r="D34" i="24" s="1"/>
  <c r="D33" i="24" a="1"/>
  <c r="D33" i="24" s="1"/>
  <c r="D32" i="24" a="1"/>
  <c r="D32" i="24" s="1"/>
  <c r="D31" i="24" a="1"/>
  <c r="D31" i="24" s="1"/>
  <c r="D30" i="24" a="1"/>
  <c r="D30" i="24" s="1"/>
  <c r="D29" i="24" a="1"/>
  <c r="D29" i="24" s="1"/>
  <c r="D28" i="24" a="1"/>
  <c r="D28" i="24" s="1"/>
  <c r="D27" i="24" a="1"/>
  <c r="D27" i="24" s="1"/>
  <c r="D26" i="24" a="1"/>
  <c r="D26" i="24" s="1"/>
  <c r="D25" i="24" a="1"/>
  <c r="D25" i="24" s="1"/>
  <c r="D24" i="24" a="1"/>
  <c r="D24" i="24" s="1"/>
  <c r="D23" i="24" a="1"/>
  <c r="D23" i="24" s="1"/>
  <c r="D21" i="24" a="1"/>
  <c r="D21" i="24" s="1"/>
  <c r="D19" i="24" a="1"/>
  <c r="D19" i="24" s="1"/>
  <c r="D18" i="24" a="1"/>
  <c r="D18" i="24" s="1"/>
  <c r="D17" i="24" a="1"/>
  <c r="D17" i="24" s="1"/>
  <c r="D16" i="24" a="1"/>
  <c r="D16" i="24" s="1"/>
  <c r="D15" i="24" a="1"/>
  <c r="D15" i="24" s="1"/>
  <c r="D14" i="24" a="1"/>
  <c r="D14" i="24" s="1"/>
  <c r="D13" i="24" a="1"/>
  <c r="D13" i="24" s="1"/>
  <c r="D12" i="24" a="1"/>
  <c r="D12" i="24" s="1"/>
  <c r="D11" i="24" a="1"/>
  <c r="D11" i="24" s="1"/>
  <c r="D10" i="24" a="1"/>
  <c r="D10" i="24" s="1"/>
  <c r="D9" i="24" a="1"/>
  <c r="D9" i="24" s="1"/>
  <c r="D8" i="24" a="1"/>
  <c r="D8" i="24" s="1"/>
  <c r="D7" i="24" a="1"/>
  <c r="D7" i="24" s="1"/>
  <c r="D6" i="24" a="1"/>
  <c r="D6" i="24" s="1"/>
  <c r="D5" i="24" a="1"/>
  <c r="D5" i="24" s="1"/>
  <c r="D4" i="24" a="1"/>
  <c r="D4" i="24" s="1"/>
  <c r="E4" i="24" s="1"/>
  <c r="F3" i="24"/>
  <c r="D3" i="24" a="1"/>
  <c r="D3" i="24" s="1"/>
  <c r="V113" i="20"/>
  <c r="S113" i="20"/>
  <c r="V112" i="20"/>
  <c r="S112" i="20"/>
  <c r="V111" i="20"/>
  <c r="S111" i="20"/>
  <c r="V110" i="20"/>
  <c r="S110" i="20"/>
  <c r="V109" i="20"/>
  <c r="S109" i="20"/>
  <c r="V108" i="20"/>
  <c r="S108" i="20"/>
  <c r="V107" i="20"/>
  <c r="S107" i="20"/>
  <c r="V106" i="20"/>
  <c r="S106" i="20"/>
  <c r="V105" i="20"/>
  <c r="S105" i="20"/>
  <c r="V104" i="20"/>
  <c r="S104" i="20"/>
  <c r="V103" i="20"/>
  <c r="S103" i="20"/>
  <c r="V102" i="20"/>
  <c r="S102" i="20"/>
  <c r="V101" i="20"/>
  <c r="S101" i="20"/>
  <c r="V100" i="20"/>
  <c r="S100" i="20"/>
  <c r="V99" i="20"/>
  <c r="S99" i="20"/>
  <c r="V98" i="20"/>
  <c r="S98" i="20"/>
  <c r="V97" i="20"/>
  <c r="S97" i="20"/>
  <c r="V96" i="20"/>
  <c r="S96" i="20"/>
  <c r="V95" i="20"/>
  <c r="S95" i="20"/>
  <c r="V94" i="20"/>
  <c r="S94" i="20"/>
  <c r="V93" i="20"/>
  <c r="S93" i="20"/>
  <c r="V92" i="20"/>
  <c r="S92" i="20"/>
  <c r="V91" i="20"/>
  <c r="S91" i="20"/>
  <c r="V90" i="20"/>
  <c r="S90" i="20"/>
  <c r="V89" i="20"/>
  <c r="S89" i="20"/>
  <c r="V88" i="20"/>
  <c r="S88" i="20"/>
  <c r="V87" i="20"/>
  <c r="S87" i="20"/>
  <c r="V86" i="20"/>
  <c r="S86" i="20"/>
  <c r="V85" i="20"/>
  <c r="S85" i="20"/>
  <c r="V84" i="20"/>
  <c r="S84" i="20"/>
  <c r="V83" i="20"/>
  <c r="S83" i="20"/>
  <c r="V82" i="20"/>
  <c r="S82" i="20"/>
  <c r="V81" i="20"/>
  <c r="S81" i="20"/>
  <c r="V80" i="20"/>
  <c r="S80" i="20"/>
  <c r="V79" i="20"/>
  <c r="S79" i="20"/>
  <c r="V78" i="20"/>
  <c r="S78" i="20"/>
  <c r="V77" i="20"/>
  <c r="S77" i="20"/>
  <c r="V76" i="20"/>
  <c r="S76" i="20"/>
  <c r="V75" i="20"/>
  <c r="S75" i="20"/>
  <c r="V74" i="20"/>
  <c r="S74" i="20"/>
  <c r="V73" i="20"/>
  <c r="S73" i="20"/>
  <c r="V72" i="20"/>
  <c r="S72" i="20"/>
  <c r="V71" i="20"/>
  <c r="S71" i="20"/>
  <c r="V70" i="20"/>
  <c r="S70" i="20"/>
  <c r="V69" i="20"/>
  <c r="S69" i="20"/>
  <c r="V68" i="20"/>
  <c r="S68" i="20"/>
  <c r="V67" i="20"/>
  <c r="S67" i="20"/>
  <c r="V66" i="20"/>
  <c r="S66" i="20"/>
  <c r="V65" i="20"/>
  <c r="S65" i="20"/>
  <c r="V64" i="20"/>
  <c r="S64" i="20"/>
  <c r="V63" i="20"/>
  <c r="S63" i="20"/>
  <c r="V62" i="20"/>
  <c r="S62" i="20"/>
  <c r="V61" i="20"/>
  <c r="S61" i="20"/>
  <c r="V60" i="20"/>
  <c r="S60" i="20"/>
  <c r="V59" i="20"/>
  <c r="S59" i="20"/>
  <c r="V58" i="20"/>
  <c r="S58" i="20"/>
  <c r="V57" i="20"/>
  <c r="S57" i="20"/>
  <c r="V56" i="20"/>
  <c r="S56" i="20"/>
  <c r="V55" i="20"/>
  <c r="S55" i="20"/>
  <c r="V54" i="20"/>
  <c r="S54" i="20"/>
  <c r="V53" i="20"/>
  <c r="S53" i="20"/>
  <c r="V52" i="20"/>
  <c r="S52" i="20"/>
  <c r="V51" i="20"/>
  <c r="S51" i="20"/>
  <c r="V50" i="20"/>
  <c r="S50" i="20"/>
  <c r="V49" i="20"/>
  <c r="S49" i="20"/>
  <c r="V48" i="20"/>
  <c r="S48" i="20"/>
  <c r="V47" i="20"/>
  <c r="S47" i="20"/>
  <c r="V46" i="20"/>
  <c r="S46" i="20"/>
  <c r="V45" i="20"/>
  <c r="S45" i="20"/>
  <c r="U44" i="20"/>
  <c r="S44" i="20"/>
  <c r="V43" i="20"/>
  <c r="S43" i="20"/>
  <c r="V42" i="20"/>
  <c r="S42" i="20"/>
  <c r="V41" i="20"/>
  <c r="S41" i="20"/>
  <c r="V40" i="20"/>
  <c r="S40" i="20"/>
  <c r="V39" i="20"/>
  <c r="S39" i="20"/>
  <c r="V38" i="20"/>
  <c r="S38" i="20"/>
  <c r="V37" i="20"/>
  <c r="S37" i="20"/>
  <c r="V36" i="20"/>
  <c r="S36" i="20"/>
  <c r="V35" i="20"/>
  <c r="S35" i="20"/>
  <c r="V34" i="20"/>
  <c r="S34" i="20"/>
  <c r="V33" i="20"/>
  <c r="S33" i="20"/>
  <c r="D33" i="20"/>
  <c r="V32" i="20"/>
  <c r="S32" i="20"/>
  <c r="D32" i="20"/>
  <c r="V31" i="20"/>
  <c r="S31" i="20"/>
  <c r="D31" i="20"/>
  <c r="V30" i="20"/>
  <c r="S30" i="20"/>
  <c r="D30" i="20"/>
  <c r="V29" i="20"/>
  <c r="S29" i="20"/>
  <c r="D29" i="20"/>
  <c r="V28" i="20"/>
  <c r="S28" i="20"/>
  <c r="D28" i="20"/>
  <c r="S27" i="20"/>
  <c r="D27" i="20"/>
  <c r="B27" i="20"/>
  <c r="U27" i="20" s="1"/>
  <c r="S26" i="20"/>
  <c r="D26" i="20"/>
  <c r="B26" i="20"/>
  <c r="V26" i="20" s="1"/>
  <c r="S25" i="20"/>
  <c r="D25" i="20"/>
  <c r="B25" i="20"/>
  <c r="V25" i="20" s="1"/>
  <c r="S24" i="20"/>
  <c r="D24" i="20"/>
  <c r="B24" i="20"/>
  <c r="V24" i="20" s="1"/>
  <c r="S23" i="20"/>
  <c r="D23" i="20"/>
  <c r="B23" i="20"/>
  <c r="U23" i="20" s="1"/>
  <c r="S22" i="20"/>
  <c r="D22" i="20"/>
  <c r="B22" i="20"/>
  <c r="V22" i="20" s="1"/>
  <c r="S21" i="20"/>
  <c r="D21" i="20"/>
  <c r="B21" i="20"/>
  <c r="V21" i="20" s="1"/>
  <c r="S20" i="20"/>
  <c r="D20" i="20"/>
  <c r="B20" i="20"/>
  <c r="U20" i="20" s="1"/>
  <c r="S19" i="20"/>
  <c r="D19" i="20"/>
  <c r="B19" i="20"/>
  <c r="V19" i="20" s="1"/>
  <c r="S18" i="20"/>
  <c r="D18" i="20"/>
  <c r="B18" i="20"/>
  <c r="V18" i="20" s="1"/>
  <c r="S17" i="20"/>
  <c r="D17" i="20"/>
  <c r="B17" i="20"/>
  <c r="U17" i="20" s="1"/>
  <c r="S16" i="20"/>
  <c r="D16" i="20"/>
  <c r="B16" i="20"/>
  <c r="S15" i="20"/>
  <c r="D15" i="20"/>
  <c r="B15" i="20"/>
  <c r="V15" i="20" s="1"/>
  <c r="S14" i="20"/>
  <c r="D14" i="20"/>
  <c r="B14" i="20"/>
  <c r="U14" i="20" s="1"/>
  <c r="S13" i="20"/>
  <c r="D13" i="20"/>
  <c r="B13" i="20"/>
  <c r="V13" i="20" s="1"/>
  <c r="S12" i="20"/>
  <c r="D12" i="20"/>
  <c r="B12" i="20"/>
  <c r="V12" i="20" s="1"/>
  <c r="U11" i="20"/>
  <c r="S11" i="20"/>
  <c r="D11" i="20"/>
  <c r="U10" i="20"/>
  <c r="S10" i="20"/>
  <c r="D10" i="20"/>
  <c r="S9" i="20"/>
  <c r="D9" i="20"/>
  <c r="B9" i="20"/>
  <c r="V9" i="20" s="1"/>
  <c r="V8" i="20"/>
  <c r="S8" i="20"/>
  <c r="D8" i="20"/>
  <c r="U7" i="20"/>
  <c r="S7" i="20"/>
  <c r="D7" i="20"/>
  <c r="U6" i="20"/>
  <c r="S6" i="20"/>
  <c r="D6" i="20"/>
  <c r="D34" i="20" l="1"/>
  <c r="D153" i="24"/>
  <c r="E137" i="24"/>
  <c r="V16" i="20"/>
  <c r="E5" i="24"/>
  <c r="F4" i="24"/>
  <c r="F5" i="24" l="1"/>
  <c r="E6" i="24"/>
  <c r="E7" i="24" l="1"/>
  <c r="F6" i="24"/>
  <c r="F7" i="24" l="1"/>
  <c r="E8" i="24"/>
  <c r="D35" i="20" l="1"/>
  <c r="F8" i="24"/>
  <c r="E9" i="24"/>
  <c r="E10" i="24" l="1"/>
  <c r="F9" i="24"/>
  <c r="F10" i="24" l="1"/>
  <c r="E11" i="24"/>
  <c r="E12" i="24" l="1"/>
  <c r="F11" i="24"/>
  <c r="D36" i="20" l="1"/>
  <c r="E13" i="24"/>
  <c r="F12" i="24"/>
  <c r="F13" i="24" l="1"/>
  <c r="E14" i="24"/>
  <c r="E15" i="24" l="1"/>
  <c r="F14" i="24"/>
  <c r="E16" i="24" l="1"/>
  <c r="F15" i="24"/>
  <c r="F16" i="24" l="1"/>
  <c r="E17" i="24"/>
  <c r="E18" i="24" l="1"/>
  <c r="F17" i="24"/>
  <c r="E19" i="24" l="1"/>
  <c r="F18" i="24"/>
  <c r="F19" i="24" l="1"/>
  <c r="L24" i="20" l="1"/>
  <c r="L9" i="20"/>
  <c r="L7" i="20"/>
  <c r="L33" i="20"/>
  <c r="L11" i="20"/>
  <c r="L22" i="20"/>
  <c r="L34" i="20"/>
  <c r="L35" i="20"/>
  <c r="L25" i="20"/>
  <c r="L38" i="20"/>
  <c r="L21" i="20"/>
  <c r="L14" i="20"/>
  <c r="L8" i="20"/>
  <c r="L10" i="20"/>
  <c r="L26" i="20"/>
  <c r="L20" i="20"/>
  <c r="L17" i="20"/>
  <c r="L27" i="20"/>
  <c r="L18" i="20"/>
  <c r="L16" i="20"/>
  <c r="L29" i="20"/>
  <c r="L13" i="20"/>
  <c r="L12" i="20"/>
  <c r="L30" i="20"/>
  <c r="L40" i="20"/>
  <c r="L37" i="20"/>
  <c r="L41" i="20"/>
  <c r="L32" i="20"/>
  <c r="L28" i="20"/>
  <c r="L23" i="20"/>
  <c r="L31" i="20"/>
  <c r="L19" i="20"/>
  <c r="L15" i="20"/>
  <c r="L42" i="20"/>
  <c r="L6" i="20"/>
  <c r="L36" i="20"/>
  <c r="L39" i="20"/>
  <c r="D130" i="24" l="1" a="1"/>
  <c r="D130" i="24" s="1"/>
  <c r="D122" i="24" a="1"/>
  <c r="D122" i="24" s="1"/>
  <c r="D124" i="24" a="1"/>
  <c r="D124" i="24" s="1"/>
  <c r="D129" i="24" a="1"/>
  <c r="D129" i="24" s="1"/>
  <c r="D121" i="24" a="1"/>
  <c r="D121" i="24" s="1"/>
  <c r="D128" i="24" a="1"/>
  <c r="D128" i="24" s="1"/>
  <c r="D123" i="24" a="1"/>
  <c r="D123" i="24" s="1"/>
  <c r="D126" i="24" a="1"/>
  <c r="D126" i="24" s="1"/>
  <c r="H16" i="20"/>
  <c r="Z76" i="20"/>
  <c r="J28" i="20"/>
  <c r="AA83" i="20"/>
  <c r="L85" i="20"/>
  <c r="E81" i="20"/>
  <c r="F102" i="20"/>
  <c r="AA89" i="20"/>
  <c r="D99" i="20"/>
  <c r="Y16" i="20"/>
  <c r="G85" i="20"/>
  <c r="G32" i="20"/>
  <c r="Z85" i="20"/>
  <c r="Y109" i="20"/>
  <c r="F57" i="20"/>
  <c r="H27" i="20"/>
  <c r="D77" i="20"/>
  <c r="F79" i="20"/>
  <c r="L80" i="20"/>
  <c r="F54" i="20"/>
  <c r="X85" i="20"/>
  <c r="H63" i="20"/>
  <c r="X27" i="20"/>
  <c r="E55" i="20"/>
  <c r="H66" i="20"/>
  <c r="AA47" i="20"/>
  <c r="H48" i="20"/>
  <c r="Z6" i="20"/>
  <c r="F53" i="20"/>
  <c r="D91" i="20"/>
  <c r="D37" i="20"/>
  <c r="F92" i="20"/>
  <c r="Z75" i="20"/>
  <c r="X7" i="20"/>
  <c r="D72" i="20"/>
  <c r="G98" i="20"/>
  <c r="G49" i="20"/>
  <c r="G70" i="20"/>
  <c r="F104" i="20"/>
  <c r="G21" i="20"/>
  <c r="G104" i="20"/>
  <c r="Z49" i="20"/>
  <c r="G96" i="20"/>
  <c r="Y62" i="20"/>
  <c r="Z41" i="20"/>
  <c r="G102" i="20"/>
  <c r="F111" i="20"/>
  <c r="AA73" i="20"/>
  <c r="F16" i="20"/>
  <c r="Y76" i="20"/>
  <c r="L105" i="20"/>
  <c r="D85" i="20"/>
  <c r="F13" i="20"/>
  <c r="L90" i="20"/>
  <c r="Z28" i="20"/>
  <c r="Y22" i="20"/>
  <c r="G24" i="20"/>
  <c r="Z24" i="20"/>
  <c r="D39" i="20"/>
  <c r="Y78" i="20"/>
  <c r="F23" i="20"/>
  <c r="L57" i="20"/>
  <c r="L63" i="20"/>
  <c r="E89" i="20"/>
  <c r="H23" i="20"/>
  <c r="H71" i="20"/>
  <c r="F9" i="20"/>
  <c r="D81" i="20"/>
  <c r="G28" i="20"/>
  <c r="E51" i="20"/>
  <c r="Z102" i="20"/>
  <c r="Y90" i="20"/>
  <c r="G23" i="20"/>
  <c r="G6" i="20"/>
  <c r="AA19" i="20"/>
  <c r="E78" i="20"/>
  <c r="J6" i="20"/>
  <c r="F39" i="20"/>
  <c r="Z44" i="20"/>
  <c r="X53" i="20"/>
  <c r="X91" i="20"/>
  <c r="H104" i="20"/>
  <c r="F51" i="20"/>
  <c r="D43" i="20"/>
  <c r="AA63" i="20"/>
  <c r="J110" i="20"/>
  <c r="D66" i="20"/>
  <c r="AA85" i="20"/>
  <c r="L45" i="20"/>
  <c r="Z81" i="20"/>
  <c r="D87" i="20"/>
  <c r="D69" i="20"/>
  <c r="E96" i="20"/>
  <c r="Y10" i="20"/>
  <c r="J100" i="20"/>
  <c r="G86" i="20"/>
  <c r="D65" i="20"/>
  <c r="Z42" i="20"/>
  <c r="G34" i="20"/>
  <c r="Y97" i="20"/>
  <c r="Z16" i="20"/>
  <c r="E56" i="20"/>
  <c r="D73" i="20"/>
  <c r="Z20" i="20"/>
  <c r="G79" i="20"/>
  <c r="Y69" i="20"/>
  <c r="F11" i="20"/>
  <c r="AA31" i="20"/>
  <c r="L92" i="20"/>
  <c r="F6" i="20"/>
  <c r="L72" i="20"/>
  <c r="AA74" i="20"/>
  <c r="F107" i="20"/>
  <c r="F44" i="20"/>
  <c r="AA93" i="20"/>
  <c r="G16" i="20"/>
  <c r="H29" i="20"/>
  <c r="H74" i="20"/>
  <c r="D47" i="20"/>
  <c r="F113" i="20"/>
  <c r="F7" i="20"/>
  <c r="G112" i="20"/>
  <c r="E46" i="20"/>
  <c r="F91" i="20"/>
  <c r="G80" i="20"/>
  <c r="F105" i="20"/>
  <c r="Z88" i="20"/>
  <c r="X75" i="20"/>
  <c r="G108" i="20"/>
  <c r="H64" i="20"/>
  <c r="Y91" i="20"/>
  <c r="G84" i="20"/>
  <c r="L93" i="20"/>
  <c r="F34" i="20"/>
  <c r="L99" i="20"/>
  <c r="X17" i="20"/>
  <c r="E69" i="20"/>
  <c r="F65" i="20"/>
  <c r="AA18" i="20"/>
  <c r="AA52" i="20"/>
  <c r="G106" i="20"/>
  <c r="G71" i="20"/>
  <c r="Z77" i="20"/>
  <c r="AA87" i="20"/>
  <c r="F43" i="20"/>
  <c r="G65" i="20"/>
  <c r="G27" i="20"/>
  <c r="X88" i="20"/>
  <c r="F98" i="20"/>
  <c r="AA104" i="20"/>
  <c r="L56" i="20"/>
  <c r="F89" i="20"/>
  <c r="G43" i="20"/>
  <c r="F108" i="20"/>
  <c r="Z82" i="20"/>
  <c r="L91" i="20"/>
  <c r="F112" i="20"/>
  <c r="G110" i="20"/>
  <c r="L43" i="20"/>
  <c r="G29" i="20"/>
  <c r="E93" i="20"/>
  <c r="X37" i="20"/>
  <c r="L66" i="20"/>
  <c r="H87" i="20"/>
  <c r="Y13" i="20"/>
  <c r="D97" i="20"/>
  <c r="F110" i="20"/>
  <c r="Z63" i="20"/>
  <c r="L76" i="20"/>
  <c r="X72" i="20"/>
  <c r="Y74" i="20"/>
  <c r="Z62" i="20"/>
  <c r="E52" i="20"/>
  <c r="E79" i="20"/>
  <c r="G55" i="20"/>
  <c r="X22" i="20"/>
  <c r="AA44" i="20"/>
  <c r="AA90" i="20"/>
  <c r="L48" i="20"/>
  <c r="AA62" i="20"/>
  <c r="Y46" i="20"/>
  <c r="H6" i="20"/>
  <c r="L51" i="20"/>
  <c r="G7" i="20"/>
  <c r="F97" i="20"/>
  <c r="F8" i="20"/>
  <c r="AA38" i="20"/>
  <c r="G13" i="20"/>
  <c r="F106" i="20"/>
  <c r="E98" i="20"/>
  <c r="Z65" i="20"/>
  <c r="F36" i="20"/>
  <c r="E59" i="20"/>
  <c r="Y70" i="20"/>
  <c r="Z69" i="20"/>
  <c r="E75" i="20"/>
  <c r="Z11" i="20"/>
  <c r="X97" i="20"/>
  <c r="D79" i="20"/>
  <c r="G19" i="20"/>
  <c r="G61" i="20"/>
  <c r="J102" i="20"/>
  <c r="H67" i="20"/>
  <c r="D59" i="20"/>
  <c r="Y23" i="20"/>
  <c r="AA72" i="20"/>
  <c r="AA66" i="20"/>
  <c r="F88" i="20"/>
  <c r="F25" i="20"/>
  <c r="AA6" i="20"/>
  <c r="E64" i="20"/>
  <c r="L62" i="20"/>
  <c r="G101" i="20"/>
  <c r="G88" i="20"/>
  <c r="Z21" i="20"/>
  <c r="J106" i="20"/>
  <c r="AA88" i="20"/>
  <c r="G59" i="20"/>
  <c r="F19" i="20"/>
  <c r="F100" i="20"/>
  <c r="G95" i="20"/>
  <c r="Z27" i="20"/>
  <c r="E77" i="20"/>
  <c r="G52" i="20"/>
  <c r="G93" i="20"/>
  <c r="F12" i="20"/>
  <c r="D56" i="20"/>
  <c r="Z64" i="20"/>
  <c r="Z53" i="20"/>
  <c r="Z87" i="20"/>
  <c r="H21" i="20"/>
  <c r="X79" i="20"/>
  <c r="F40" i="20"/>
  <c r="H31" i="20"/>
  <c r="Z93" i="20"/>
  <c r="F33" i="20"/>
  <c r="F14" i="20"/>
  <c r="AA13" i="20"/>
  <c r="G9" i="20"/>
  <c r="G37" i="20"/>
  <c r="X81" i="20"/>
  <c r="H77" i="20"/>
  <c r="L113" i="20"/>
  <c r="Z73" i="20"/>
  <c r="G89" i="20"/>
  <c r="AA103" i="20"/>
  <c r="AA22" i="20"/>
  <c r="F77" i="20"/>
  <c r="D40" i="20"/>
  <c r="Z57" i="20"/>
  <c r="E57" i="20"/>
  <c r="AA82" i="20"/>
  <c r="E72" i="20"/>
  <c r="H84" i="20"/>
  <c r="AA101" i="20"/>
  <c r="G83" i="20"/>
  <c r="D96" i="20"/>
  <c r="F86" i="20"/>
  <c r="G18" i="20"/>
  <c r="E92" i="20"/>
  <c r="G15" i="20"/>
  <c r="F30" i="20"/>
  <c r="E48" i="20"/>
  <c r="F60" i="20"/>
  <c r="F67" i="20"/>
  <c r="F15" i="20"/>
  <c r="X80" i="20"/>
  <c r="Z23" i="20"/>
  <c r="D62" i="20"/>
  <c r="F69" i="20"/>
  <c r="L75" i="20"/>
  <c r="G81" i="20"/>
  <c r="L101" i="20"/>
  <c r="AA78" i="20"/>
  <c r="H90" i="20"/>
  <c r="Y107" i="20"/>
  <c r="E91" i="20"/>
  <c r="Z79" i="20"/>
  <c r="E95" i="20"/>
  <c r="D63" i="20"/>
  <c r="AA105" i="20"/>
  <c r="G31" i="20"/>
  <c r="D78" i="20"/>
  <c r="AA106" i="20"/>
  <c r="G53" i="20"/>
  <c r="AA27" i="20"/>
  <c r="G26" i="20"/>
  <c r="Z25" i="20"/>
  <c r="E58" i="20"/>
  <c r="X36" i="20"/>
  <c r="D82" i="20"/>
  <c r="Z100" i="20"/>
  <c r="Z17" i="20"/>
  <c r="E85" i="20"/>
  <c r="F55" i="20"/>
  <c r="F10" i="20"/>
  <c r="E73" i="20"/>
  <c r="G87" i="20"/>
  <c r="G8" i="20"/>
  <c r="G60" i="20"/>
  <c r="Z19" i="20"/>
  <c r="G22" i="20"/>
  <c r="F50" i="20"/>
  <c r="F52" i="20"/>
  <c r="L70" i="20"/>
  <c r="D84" i="20"/>
  <c r="D68" i="20"/>
  <c r="AA28" i="20"/>
  <c r="F24" i="20"/>
  <c r="H94" i="20"/>
  <c r="Y45" i="20"/>
  <c r="F21" i="20"/>
  <c r="F85" i="20"/>
  <c r="D75" i="20"/>
  <c r="G78" i="20"/>
  <c r="G10" i="20"/>
  <c r="X13" i="20"/>
  <c r="X103" i="20"/>
  <c r="E65" i="20"/>
  <c r="F66" i="20"/>
  <c r="L107" i="20"/>
  <c r="Y80" i="20"/>
  <c r="L97" i="20"/>
  <c r="H22" i="20"/>
  <c r="X83" i="20"/>
  <c r="Z91" i="20"/>
  <c r="L81" i="20"/>
  <c r="X8" i="20"/>
  <c r="L89" i="20"/>
  <c r="F45" i="20"/>
  <c r="Z74" i="20"/>
  <c r="F71" i="20"/>
  <c r="G40" i="20"/>
  <c r="H10" i="20"/>
  <c r="H72" i="20"/>
  <c r="L94" i="20"/>
  <c r="H89" i="20"/>
  <c r="F27" i="20"/>
  <c r="H92" i="20"/>
  <c r="D94" i="20"/>
  <c r="G82" i="20"/>
  <c r="F17" i="20"/>
  <c r="AA95" i="20"/>
  <c r="L79" i="20"/>
  <c r="Y88" i="20"/>
  <c r="AA81" i="20"/>
  <c r="AA69" i="20"/>
  <c r="F99" i="20"/>
  <c r="Z56" i="20"/>
  <c r="AA65" i="20"/>
  <c r="X90" i="20"/>
  <c r="D51" i="20"/>
  <c r="D48" i="20"/>
  <c r="F62" i="20"/>
  <c r="X10" i="20"/>
  <c r="X31" i="20"/>
  <c r="F58" i="20"/>
  <c r="AA68" i="20"/>
  <c r="G107" i="20"/>
  <c r="J8" i="20"/>
  <c r="Z67" i="20"/>
  <c r="F42" i="20"/>
  <c r="Z18" i="20"/>
  <c r="Z38" i="20"/>
  <c r="G62" i="20"/>
  <c r="AA15" i="20"/>
  <c r="H61" i="20"/>
  <c r="G48" i="20"/>
  <c r="G105" i="20"/>
  <c r="Y75" i="20"/>
  <c r="Z50" i="20"/>
  <c r="Y27" i="20"/>
  <c r="X74" i="20"/>
  <c r="Y73" i="20"/>
  <c r="Z89" i="20"/>
  <c r="Z70" i="20"/>
  <c r="E50" i="20"/>
  <c r="X15" i="20"/>
  <c r="Y106" i="20"/>
  <c r="Z97" i="20"/>
  <c r="Y18" i="20"/>
  <c r="E67" i="20"/>
  <c r="D50" i="20"/>
  <c r="G30" i="20"/>
  <c r="F29" i="20"/>
  <c r="D74" i="20"/>
  <c r="E47" i="20"/>
  <c r="E71" i="20"/>
  <c r="L110" i="20"/>
  <c r="H17" i="20"/>
  <c r="X106" i="20"/>
  <c r="F61" i="20"/>
  <c r="G39" i="20"/>
  <c r="H95" i="20"/>
  <c r="Z36" i="20"/>
  <c r="Y71" i="20"/>
  <c r="L82" i="20"/>
  <c r="G74" i="20"/>
  <c r="F109" i="20"/>
  <c r="F49" i="20"/>
  <c r="H36" i="20"/>
  <c r="Z8" i="20"/>
  <c r="H68" i="20"/>
  <c r="Z72" i="20"/>
  <c r="H30" i="20"/>
  <c r="E80" i="20"/>
  <c r="AA70" i="20"/>
  <c r="F31" i="20"/>
  <c r="Z96" i="20"/>
  <c r="AA12" i="20"/>
  <c r="H39" i="20"/>
  <c r="J19" i="20"/>
  <c r="Y108" i="20"/>
  <c r="AA109" i="20"/>
  <c r="D61" i="20"/>
  <c r="F38" i="20"/>
  <c r="E90" i="20"/>
  <c r="Z66" i="20"/>
  <c r="G25" i="20"/>
  <c r="D58" i="20"/>
  <c r="J53" i="20"/>
  <c r="G64" i="20"/>
  <c r="L73" i="20"/>
  <c r="Y95" i="20"/>
  <c r="H108" i="20"/>
  <c r="Y28" i="20"/>
  <c r="D92" i="20"/>
  <c r="L68" i="20"/>
  <c r="X63" i="20"/>
  <c r="Z80" i="20"/>
  <c r="F20" i="20"/>
  <c r="AA80" i="20"/>
  <c r="D67" i="20"/>
  <c r="Z99" i="20"/>
  <c r="AA57" i="20"/>
  <c r="F96" i="20"/>
  <c r="E70" i="20"/>
  <c r="Y72" i="20"/>
  <c r="G109" i="20"/>
  <c r="AA67" i="20"/>
  <c r="E44" i="20"/>
  <c r="X28" i="20"/>
  <c r="H76" i="20"/>
  <c r="X93" i="20"/>
  <c r="Z98" i="20"/>
  <c r="Y31" i="20"/>
  <c r="G35" i="20"/>
  <c r="G33" i="20"/>
  <c r="G17" i="20"/>
  <c r="F41" i="20"/>
  <c r="H79" i="20"/>
  <c r="E53" i="20"/>
  <c r="Y85" i="20"/>
  <c r="AA64" i="20"/>
  <c r="L87" i="20"/>
  <c r="G41" i="20"/>
  <c r="L98" i="20"/>
  <c r="F74" i="20"/>
  <c r="G76" i="20"/>
  <c r="F26" i="20"/>
  <c r="F46" i="20"/>
  <c r="E84" i="20"/>
  <c r="E63" i="20"/>
  <c r="E87" i="20"/>
  <c r="Z95" i="20"/>
  <c r="Y77" i="20"/>
  <c r="X96" i="20"/>
  <c r="Y6" i="20"/>
  <c r="F63" i="20"/>
  <c r="Y24" i="20"/>
  <c r="AA75" i="20"/>
  <c r="G11" i="20"/>
  <c r="H44" i="20"/>
  <c r="H88" i="20"/>
  <c r="G20" i="20"/>
  <c r="G58" i="20"/>
  <c r="H91" i="20"/>
  <c r="G14" i="20"/>
  <c r="F68" i="20"/>
  <c r="E61" i="20"/>
  <c r="AA112" i="20"/>
  <c r="AA30" i="20"/>
  <c r="D49" i="20"/>
  <c r="E83" i="20"/>
  <c r="Z101" i="20"/>
  <c r="F28" i="20"/>
  <c r="H70" i="20"/>
  <c r="L46" i="20"/>
  <c r="Y63" i="20"/>
  <c r="AA35" i="20"/>
  <c r="G36" i="20"/>
  <c r="Z60" i="20"/>
  <c r="L103" i="20"/>
  <c r="D44" i="20"/>
  <c r="D83" i="20"/>
  <c r="Y81" i="20"/>
  <c r="X62" i="20"/>
  <c r="L53" i="20"/>
  <c r="Z51" i="20"/>
  <c r="Z92" i="20"/>
  <c r="L55" i="20"/>
  <c r="AA92" i="20"/>
  <c r="AA71" i="20"/>
  <c r="Y64" i="20"/>
  <c r="E94" i="20"/>
  <c r="L44" i="20"/>
  <c r="D42" i="20"/>
  <c r="H51" i="20"/>
  <c r="D60" i="20"/>
  <c r="H78" i="20"/>
  <c r="G44" i="20"/>
  <c r="AA97" i="20"/>
  <c r="F18" i="20"/>
  <c r="AA86" i="20"/>
  <c r="X47" i="20"/>
  <c r="Z86" i="20"/>
  <c r="F32" i="20"/>
  <c r="X73" i="20"/>
  <c r="Z59" i="20"/>
  <c r="G45" i="20"/>
  <c r="L54" i="20"/>
  <c r="AA10" i="20"/>
  <c r="Y82" i="20"/>
  <c r="L60" i="20"/>
  <c r="L88" i="20"/>
  <c r="Z78" i="20"/>
  <c r="Z71" i="20"/>
  <c r="AA84" i="20"/>
  <c r="X46" i="20"/>
  <c r="J48" i="20"/>
  <c r="Y48" i="20"/>
  <c r="G72" i="20"/>
  <c r="AA50" i="20"/>
  <c r="H8" i="20"/>
  <c r="H25" i="20"/>
  <c r="J97" i="20"/>
  <c r="H107" i="20"/>
  <c r="H73" i="20"/>
  <c r="J23" i="20"/>
  <c r="Y51" i="20"/>
  <c r="Y32" i="20"/>
  <c r="L96" i="20"/>
  <c r="X45" i="20"/>
  <c r="AA102" i="20"/>
  <c r="Y87" i="20"/>
  <c r="J68" i="20"/>
  <c r="J98" i="20"/>
  <c r="Z58" i="20"/>
  <c r="Y52" i="20"/>
  <c r="J50" i="20"/>
  <c r="J92" i="20"/>
  <c r="Y105" i="20"/>
  <c r="AA42" i="20"/>
  <c r="F101" i="20"/>
  <c r="Y35" i="20"/>
  <c r="J10" i="20"/>
  <c r="G99" i="20"/>
  <c r="AA32" i="20"/>
  <c r="AA110" i="20"/>
  <c r="X6" i="20"/>
  <c r="D86" i="20"/>
  <c r="AA8" i="20"/>
  <c r="E74" i="20"/>
  <c r="J25" i="20"/>
  <c r="D55" i="20"/>
  <c r="AA60" i="20"/>
  <c r="E62" i="20"/>
  <c r="X41" i="20"/>
  <c r="L86" i="20"/>
  <c r="X105" i="20"/>
  <c r="F95" i="20"/>
  <c r="L78" i="20"/>
  <c r="X23" i="20"/>
  <c r="G69" i="20"/>
  <c r="E97" i="20"/>
  <c r="AA94" i="20"/>
  <c r="J16" i="20"/>
  <c r="AA49" i="20"/>
  <c r="J75" i="20"/>
  <c r="H50" i="20"/>
  <c r="Z68" i="20"/>
  <c r="AA29" i="20"/>
  <c r="G63" i="20"/>
  <c r="G38" i="20"/>
  <c r="Y83" i="20"/>
  <c r="Z39" i="20"/>
  <c r="F70" i="20"/>
  <c r="J67" i="20"/>
  <c r="F87" i="20"/>
  <c r="Z55" i="20"/>
  <c r="J95" i="20"/>
  <c r="L74" i="20"/>
  <c r="E86" i="20"/>
  <c r="E99" i="20"/>
  <c r="X70" i="20"/>
  <c r="H99" i="20"/>
  <c r="Y57" i="20"/>
  <c r="Z107" i="20"/>
  <c r="AA9" i="20"/>
  <c r="L64" i="20"/>
  <c r="F103" i="20"/>
  <c r="G54" i="20"/>
  <c r="Z45" i="20"/>
  <c r="D53" i="20"/>
  <c r="F22" i="20"/>
  <c r="L112" i="20"/>
  <c r="J105" i="20"/>
  <c r="G103" i="20"/>
  <c r="X16" i="20"/>
  <c r="J26" i="20"/>
  <c r="AA17" i="20"/>
  <c r="Y61" i="20"/>
  <c r="F80" i="20"/>
  <c r="Y44" i="20"/>
  <c r="Z84" i="20"/>
  <c r="J20" i="20"/>
  <c r="AA61" i="20"/>
  <c r="F90" i="20"/>
  <c r="J49" i="20"/>
  <c r="Z103" i="20"/>
  <c r="AA54" i="20"/>
  <c r="Y99" i="20"/>
  <c r="L104" i="20"/>
  <c r="Y47" i="20"/>
  <c r="F72" i="20"/>
  <c r="Z94" i="20"/>
  <c r="Z54" i="20"/>
  <c r="G12" i="20"/>
  <c r="X94" i="20"/>
  <c r="L49" i="20"/>
  <c r="G47" i="20"/>
  <c r="H24" i="20"/>
  <c r="J71" i="20"/>
  <c r="E49" i="20"/>
  <c r="Y8" i="20"/>
  <c r="L77" i="20"/>
  <c r="D95" i="20"/>
  <c r="Y102" i="20"/>
  <c r="G92" i="20"/>
  <c r="J103" i="20"/>
  <c r="J30" i="20"/>
  <c r="L52" i="20"/>
  <c r="Y30" i="20"/>
  <c r="X77" i="20"/>
  <c r="F56" i="20"/>
  <c r="Z32" i="20"/>
  <c r="L84" i="20"/>
  <c r="J107" i="20"/>
  <c r="D89" i="20"/>
  <c r="D52" i="20"/>
  <c r="X29" i="20"/>
  <c r="J94" i="20"/>
  <c r="L111" i="20"/>
  <c r="X61" i="20"/>
  <c r="E60" i="20"/>
  <c r="G68" i="20"/>
  <c r="J32" i="20"/>
  <c r="F48" i="20"/>
  <c r="AA16" i="20"/>
  <c r="H33" i="20"/>
  <c r="H101" i="20"/>
  <c r="Z40" i="20"/>
  <c r="D57" i="20"/>
  <c r="J78" i="20"/>
  <c r="G97" i="20"/>
  <c r="H65" i="20"/>
  <c r="F93" i="20"/>
  <c r="H11" i="20"/>
  <c r="D93" i="20"/>
  <c r="D64" i="20"/>
  <c r="L102" i="20"/>
  <c r="J84" i="20"/>
  <c r="J108" i="20"/>
  <c r="Z12" i="20"/>
  <c r="H38" i="20"/>
  <c r="AA14" i="20"/>
  <c r="X109" i="20"/>
  <c r="Y29" i="20"/>
  <c r="H49" i="20"/>
  <c r="AA23" i="20"/>
  <c r="D41" i="20"/>
  <c r="Y65" i="20"/>
  <c r="J65" i="20"/>
  <c r="J11" i="20"/>
  <c r="G90" i="20"/>
  <c r="J15" i="20"/>
  <c r="H53" i="20"/>
  <c r="Z110" i="20"/>
  <c r="X57" i="20"/>
  <c r="AA113" i="20"/>
  <c r="X54" i="20"/>
  <c r="X108" i="20"/>
  <c r="H100" i="20"/>
  <c r="G75" i="20"/>
  <c r="E45" i="20"/>
  <c r="AA37" i="20"/>
  <c r="Z22" i="20"/>
  <c r="H110" i="20"/>
  <c r="F82" i="20"/>
  <c r="Y79" i="20"/>
  <c r="F47" i="20"/>
  <c r="Y21" i="20"/>
  <c r="L69" i="20"/>
  <c r="X18" i="20"/>
  <c r="Z33" i="20"/>
  <c r="J113" i="20"/>
  <c r="AA21" i="20"/>
  <c r="H18" i="20"/>
  <c r="H98" i="20"/>
  <c r="Z83" i="20"/>
  <c r="J27" i="20"/>
  <c r="H80" i="20"/>
  <c r="J13" i="20"/>
  <c r="H69" i="20"/>
  <c r="Y98" i="20"/>
  <c r="X44" i="20"/>
  <c r="AA76" i="20"/>
  <c r="Y84" i="20"/>
  <c r="G51" i="20"/>
  <c r="Z26" i="20"/>
  <c r="H41" i="20"/>
  <c r="D38" i="20"/>
  <c r="L108" i="20"/>
  <c r="Z43" i="20"/>
  <c r="H15" i="20"/>
  <c r="Z14" i="20"/>
  <c r="H93" i="20"/>
  <c r="G56" i="20"/>
  <c r="F73" i="20"/>
  <c r="J82" i="20"/>
  <c r="J51" i="20"/>
  <c r="X19" i="20"/>
  <c r="J79" i="20"/>
  <c r="H9" i="20"/>
  <c r="E54" i="20"/>
  <c r="L109" i="20"/>
  <c r="AA39" i="20"/>
  <c r="H113" i="20"/>
  <c r="J14" i="20"/>
  <c r="J109" i="20"/>
  <c r="J39" i="20"/>
  <c r="X84" i="20"/>
  <c r="F59" i="20"/>
  <c r="Z9" i="20"/>
  <c r="D71" i="20"/>
  <c r="L95" i="20"/>
  <c r="D70" i="20"/>
  <c r="L50" i="20"/>
  <c r="J112" i="20"/>
  <c r="F75" i="20"/>
  <c r="J76" i="20"/>
  <c r="J22" i="20"/>
  <c r="H83" i="20"/>
  <c r="AA56" i="20"/>
  <c r="F35" i="20"/>
  <c r="G67" i="20"/>
  <c r="G77" i="20"/>
  <c r="J46" i="20"/>
  <c r="J18" i="20"/>
  <c r="L67" i="20"/>
  <c r="J88" i="20"/>
  <c r="D98" i="20"/>
  <c r="E82" i="20"/>
  <c r="L83" i="20"/>
  <c r="H19" i="20"/>
  <c r="J77" i="20"/>
  <c r="L58" i="20"/>
  <c r="J70" i="20"/>
  <c r="Z52" i="20"/>
  <c r="AA99" i="20"/>
  <c r="J72" i="20"/>
  <c r="J52" i="20"/>
  <c r="H26" i="20"/>
  <c r="L106" i="20"/>
  <c r="X35" i="20"/>
  <c r="L47" i="20"/>
  <c r="J62" i="20"/>
  <c r="F64" i="20"/>
  <c r="Z34" i="20"/>
  <c r="Z90" i="20"/>
  <c r="D88" i="20"/>
  <c r="AA40" i="20"/>
  <c r="X111" i="20"/>
  <c r="J96" i="20"/>
  <c r="D46" i="20"/>
  <c r="G57" i="20"/>
  <c r="Z13" i="20"/>
  <c r="AA77" i="20"/>
  <c r="AA46" i="20"/>
  <c r="F81" i="20"/>
  <c r="H103" i="20"/>
  <c r="G94" i="20"/>
  <c r="Y58" i="20"/>
  <c r="Y7" i="20"/>
  <c r="E88" i="20"/>
  <c r="H40" i="20"/>
  <c r="F84" i="20"/>
  <c r="Y86" i="20"/>
  <c r="X89" i="20"/>
  <c r="G46" i="20"/>
  <c r="AA33" i="20"/>
  <c r="D76" i="20"/>
  <c r="G73" i="20"/>
  <c r="J38" i="20"/>
  <c r="X95" i="20"/>
  <c r="H105" i="20"/>
  <c r="H112" i="20"/>
  <c r="J55" i="20"/>
  <c r="J86" i="20"/>
  <c r="G111" i="20"/>
  <c r="J29" i="20"/>
  <c r="H20" i="20"/>
  <c r="X48" i="20"/>
  <c r="E76" i="20"/>
  <c r="AA34" i="20"/>
  <c r="J93" i="20"/>
  <c r="Y103" i="20"/>
  <c r="D90" i="20"/>
  <c r="X69" i="20"/>
  <c r="Y94" i="20"/>
  <c r="Y96" i="20"/>
  <c r="G42" i="20"/>
  <c r="J104" i="20"/>
  <c r="AA24" i="20"/>
  <c r="H75" i="20"/>
  <c r="G50" i="20"/>
  <c r="Y19" i="20"/>
  <c r="AA98" i="20"/>
  <c r="J89" i="20"/>
  <c r="X86" i="20"/>
  <c r="AA91" i="20"/>
  <c r="J21" i="20"/>
  <c r="J47" i="20"/>
  <c r="AA59" i="20"/>
  <c r="Z104" i="20"/>
  <c r="AA107" i="20"/>
  <c r="X68" i="20"/>
  <c r="Y68" i="20"/>
  <c r="H97" i="20"/>
  <c r="E66" i="20"/>
  <c r="G91" i="20"/>
  <c r="G100" i="20"/>
  <c r="H59" i="20"/>
  <c r="D45" i="20"/>
  <c r="J101" i="20"/>
  <c r="Z108" i="20"/>
  <c r="H96" i="20"/>
  <c r="X87" i="20"/>
  <c r="J37" i="20"/>
  <c r="AA11" i="20"/>
  <c r="AA53" i="20"/>
  <c r="J85" i="20"/>
  <c r="Y17" i="20"/>
  <c r="AA111" i="20"/>
  <c r="J63" i="20"/>
  <c r="H14" i="20"/>
  <c r="X78" i="20"/>
  <c r="H12" i="20"/>
  <c r="J90" i="20"/>
  <c r="F76" i="20"/>
  <c r="G113" i="20"/>
  <c r="AA25" i="20"/>
  <c r="X82" i="20"/>
  <c r="Y67" i="20"/>
  <c r="Z15" i="20"/>
  <c r="X65" i="20"/>
  <c r="J61" i="20"/>
  <c r="H62" i="20"/>
  <c r="H85" i="20"/>
  <c r="Z105" i="20"/>
  <c r="H106" i="20"/>
  <c r="J69" i="20"/>
  <c r="F94" i="20"/>
  <c r="Z48" i="20"/>
  <c r="H81" i="20"/>
  <c r="H57" i="20"/>
  <c r="D54" i="20"/>
  <c r="J80" i="20"/>
  <c r="Z46" i="20"/>
  <c r="X99" i="20"/>
  <c r="F37" i="20"/>
  <c r="AA7" i="20"/>
  <c r="J99" i="20"/>
  <c r="E68" i="20"/>
  <c r="X98" i="20"/>
  <c r="L100" i="20"/>
  <c r="AA79" i="20"/>
  <c r="J45" i="20"/>
  <c r="J111" i="20"/>
  <c r="L61" i="20"/>
  <c r="D80" i="20"/>
  <c r="J81" i="20"/>
  <c r="F83" i="20"/>
  <c r="X67" i="20"/>
  <c r="H13" i="20"/>
  <c r="Y56" i="20"/>
  <c r="Y93" i="20"/>
  <c r="J44" i="20"/>
  <c r="L59" i="20"/>
  <c r="Y60" i="20"/>
  <c r="F78" i="20"/>
  <c r="Z7" i="20"/>
  <c r="J66" i="20"/>
  <c r="Y53" i="20"/>
  <c r="H82" i="20"/>
  <c r="H46" i="20"/>
  <c r="H52" i="20"/>
  <c r="G66" i="20"/>
  <c r="X24" i="20"/>
  <c r="Z29" i="20"/>
  <c r="J9" i="20"/>
  <c r="L65" i="20"/>
  <c r="X107" i="20"/>
  <c r="X51" i="20"/>
  <c r="AA55" i="20"/>
  <c r="AA51" i="20"/>
  <c r="AA58" i="20"/>
  <c r="Y89" i="20"/>
  <c r="AA26" i="20"/>
  <c r="J87" i="20"/>
  <c r="H28" i="20"/>
  <c r="Z10" i="20"/>
  <c r="X102" i="20"/>
  <c r="AA100" i="20"/>
  <c r="L71" i="20"/>
  <c r="X21" i="20"/>
  <c r="Y111" i="20"/>
  <c r="J74" i="20"/>
  <c r="Z31" i="20"/>
  <c r="AA45" i="20"/>
  <c r="X59" i="20"/>
  <c r="H54" i="20"/>
  <c r="X92" i="20"/>
  <c r="Y26" i="20"/>
  <c r="X26" i="20"/>
  <c r="X113" i="20"/>
  <c r="Y112" i="20"/>
  <c r="Y42" i="20"/>
  <c r="H43" i="20"/>
  <c r="X40" i="20"/>
  <c r="J35" i="20"/>
  <c r="X34" i="20"/>
  <c r="H111" i="20"/>
  <c r="X49" i="20"/>
  <c r="X38" i="20"/>
  <c r="H34" i="20"/>
  <c r="X110" i="20"/>
  <c r="Z106" i="20"/>
  <c r="Y11" i="20"/>
  <c r="Y20" i="20"/>
  <c r="Y36" i="20"/>
  <c r="J43" i="20"/>
  <c r="J54" i="20"/>
  <c r="H86" i="20"/>
  <c r="H47" i="20"/>
  <c r="J24" i="20"/>
  <c r="J17" i="20"/>
  <c r="J31" i="20"/>
  <c r="X101" i="20"/>
  <c r="X66" i="20"/>
  <c r="Y41" i="20"/>
  <c r="X76" i="20"/>
  <c r="X50" i="20"/>
  <c r="J73" i="20"/>
  <c r="J40" i="20"/>
  <c r="X42" i="20"/>
  <c r="Z30" i="20"/>
  <c r="X58" i="20"/>
  <c r="X12" i="20"/>
  <c r="Y33" i="20"/>
  <c r="X33" i="20"/>
  <c r="H55" i="20"/>
  <c r="Z109" i="20"/>
  <c r="J36" i="20"/>
  <c r="Z112" i="20"/>
  <c r="Y50" i="20"/>
  <c r="AA36" i="20"/>
  <c r="J41" i="20"/>
  <c r="X56" i="20"/>
  <c r="J57" i="20"/>
  <c r="Z111" i="20"/>
  <c r="Z47" i="20"/>
  <c r="Y40" i="20"/>
  <c r="X30" i="20"/>
  <c r="H58" i="20"/>
  <c r="Y66" i="20"/>
  <c r="J12" i="20"/>
  <c r="Z113" i="20"/>
  <c r="Y34" i="20"/>
  <c r="Y110" i="20"/>
  <c r="J42" i="20"/>
  <c r="Y37" i="20"/>
  <c r="Y49" i="20"/>
  <c r="Y104" i="20"/>
  <c r="H45" i="20"/>
  <c r="X39" i="20"/>
  <c r="X60" i="20"/>
  <c r="Y100" i="20"/>
  <c r="J91" i="20"/>
  <c r="X71" i="20"/>
  <c r="Y59" i="20"/>
  <c r="Y9" i="20"/>
  <c r="Y101" i="20"/>
  <c r="J83" i="20"/>
  <c r="H60" i="20"/>
  <c r="AA20" i="20"/>
  <c r="Y15" i="20"/>
  <c r="H35" i="20"/>
  <c r="J33" i="20"/>
  <c r="J58" i="20"/>
  <c r="Z37" i="20"/>
  <c r="H32" i="20"/>
  <c r="H37" i="20"/>
  <c r="H102" i="20"/>
  <c r="Y14" i="20"/>
  <c r="H56" i="20"/>
  <c r="Y38" i="20"/>
  <c r="Y39" i="20"/>
  <c r="X32" i="20"/>
  <c r="X25" i="20"/>
  <c r="H109" i="20"/>
  <c r="J7" i="20"/>
  <c r="AA48" i="20"/>
  <c r="X9" i="20"/>
  <c r="H7" i="20"/>
  <c r="Z61" i="20"/>
  <c r="Y92" i="20"/>
  <c r="AA96" i="20"/>
  <c r="J59" i="20"/>
  <c r="X52" i="20"/>
  <c r="J64" i="20"/>
  <c r="Z35" i="20"/>
  <c r="J34" i="20"/>
  <c r="X64" i="20"/>
  <c r="AA108" i="20"/>
  <c r="X20" i="20"/>
  <c r="Y55" i="20"/>
  <c r="J60" i="20"/>
  <c r="Y12" i="20"/>
  <c r="H42" i="20"/>
  <c r="Y43" i="20"/>
  <c r="Y25" i="20"/>
  <c r="Y54" i="20"/>
  <c r="X55" i="20"/>
  <c r="X112" i="20"/>
  <c r="AA41" i="20"/>
  <c r="X14" i="20"/>
  <c r="Y113" i="20"/>
  <c r="X104" i="20"/>
  <c r="X100" i="20"/>
  <c r="AA43" i="20"/>
  <c r="X11" i="20"/>
  <c r="J56" i="20"/>
  <c r="X43" i="20"/>
  <c r="L363" i="2" l="1"/>
  <c r="N364" i="2"/>
  <c r="N363" i="2"/>
  <c r="L364" i="2"/>
  <c r="H370" i="2"/>
  <c r="L370" i="2"/>
  <c r="I370" i="2"/>
  <c r="N370" i="2"/>
  <c r="I32" i="20"/>
  <c r="N32" i="20" s="1"/>
  <c r="I85" i="20"/>
  <c r="N85" i="20" s="1"/>
  <c r="I111" i="20"/>
  <c r="N111" i="20" s="1"/>
  <c r="I41" i="20"/>
  <c r="N41" i="20" s="1"/>
  <c r="I80" i="20"/>
  <c r="N80" i="20" s="1"/>
  <c r="I95" i="20"/>
  <c r="N95" i="20" s="1"/>
  <c r="I112" i="20"/>
  <c r="N112" i="20" s="1"/>
  <c r="I93" i="20"/>
  <c r="N93" i="20" s="1"/>
  <c r="I49" i="20"/>
  <c r="N49" i="20" s="1"/>
  <c r="I21" i="20"/>
  <c r="N21" i="20" s="1"/>
  <c r="D154" i="24"/>
  <c r="E138" i="24"/>
  <c r="D155" i="24"/>
  <c r="E139" i="24"/>
  <c r="I34" i="20"/>
  <c r="N34" i="20" s="1"/>
  <c r="I81" i="20"/>
  <c r="N81" i="20" s="1"/>
  <c r="I96" i="20"/>
  <c r="N96" i="20" s="1"/>
  <c r="K23" i="20"/>
  <c r="O23" i="20" s="1"/>
  <c r="I59" i="20"/>
  <c r="N59" i="20" s="1"/>
  <c r="I35" i="20"/>
  <c r="N35" i="20" s="1"/>
  <c r="K41" i="20"/>
  <c r="O41" i="20" s="1"/>
  <c r="I102" i="20"/>
  <c r="N102" i="20" s="1"/>
  <c r="I97" i="20"/>
  <c r="N97" i="20" s="1"/>
  <c r="K73" i="20"/>
  <c r="O73" i="20" s="1"/>
  <c r="I84" i="20"/>
  <c r="N84" i="20" s="1"/>
  <c r="I98" i="20"/>
  <c r="N98" i="20" s="1"/>
  <c r="K29" i="20"/>
  <c r="M29" i="20" s="1"/>
  <c r="I83" i="20"/>
  <c r="N83" i="20" s="1"/>
  <c r="I107" i="20"/>
  <c r="N107" i="20" s="1"/>
  <c r="I106" i="20"/>
  <c r="N106" i="20" s="1"/>
  <c r="K72" i="20"/>
  <c r="O72" i="20" s="1"/>
  <c r="I110" i="20"/>
  <c r="N110" i="20" s="1"/>
  <c r="I108" i="20"/>
  <c r="N108" i="20" s="1"/>
  <c r="I55" i="20"/>
  <c r="N55" i="20" s="1"/>
  <c r="K108" i="20"/>
  <c r="O108" i="20" s="1"/>
  <c r="K48" i="20"/>
  <c r="O48" i="20" s="1"/>
  <c r="I30" i="20"/>
  <c r="N30" i="20" s="1"/>
  <c r="K21" i="20"/>
  <c r="O21" i="20" s="1"/>
  <c r="K27" i="20"/>
  <c r="O27" i="20" s="1"/>
  <c r="I54" i="20"/>
  <c r="N54" i="20" s="1"/>
  <c r="K99" i="20"/>
  <c r="O99" i="20" s="1"/>
  <c r="I76" i="20"/>
  <c r="N76" i="20" s="1"/>
  <c r="K59" i="20"/>
  <c r="O59" i="20" s="1"/>
  <c r="I105" i="20"/>
  <c r="N105" i="20" s="1"/>
  <c r="K63" i="20"/>
  <c r="O63" i="20" s="1"/>
  <c r="K69" i="20"/>
  <c r="O69" i="20" s="1"/>
  <c r="I82" i="20"/>
  <c r="N82" i="20" s="1"/>
  <c r="K83" i="20"/>
  <c r="O83" i="20" s="1"/>
  <c r="K66" i="20"/>
  <c r="O66" i="20" s="1"/>
  <c r="K111" i="20"/>
  <c r="O111" i="20" s="1"/>
  <c r="K38" i="20"/>
  <c r="O38" i="20" s="1"/>
  <c r="K11" i="20"/>
  <c r="O11" i="20" s="1"/>
  <c r="K25" i="20"/>
  <c r="O25" i="20" s="1"/>
  <c r="K31" i="20"/>
  <c r="O31" i="20" s="1"/>
  <c r="K34" i="20"/>
  <c r="O34" i="20" s="1"/>
  <c r="I69" i="20"/>
  <c r="N69" i="20" s="1"/>
  <c r="I86" i="20"/>
  <c r="N86" i="20" s="1"/>
  <c r="I52" i="20"/>
  <c r="N52" i="20" s="1"/>
  <c r="I33" i="20"/>
  <c r="N33" i="20" s="1"/>
  <c r="I60" i="20"/>
  <c r="N60" i="20" s="1"/>
  <c r="I45" i="20"/>
  <c r="N45" i="20" s="1"/>
  <c r="I103" i="20"/>
  <c r="N103" i="20" s="1"/>
  <c r="K52" i="20"/>
  <c r="O52" i="20" s="1"/>
  <c r="K95" i="20"/>
  <c r="O95" i="20" s="1"/>
  <c r="K50" i="20"/>
  <c r="O50" i="20" s="1"/>
  <c r="I22" i="20"/>
  <c r="N22" i="20" s="1"/>
  <c r="I64" i="20"/>
  <c r="N64" i="20" s="1"/>
  <c r="I104" i="20"/>
  <c r="N104" i="20" s="1"/>
  <c r="K56" i="20"/>
  <c r="O56" i="20" s="1"/>
  <c r="K40" i="20"/>
  <c r="O40" i="20" s="1"/>
  <c r="K24" i="20"/>
  <c r="M24" i="20" s="1"/>
  <c r="K80" i="20"/>
  <c r="O80" i="20" s="1"/>
  <c r="K89" i="20"/>
  <c r="O89" i="20" s="1"/>
  <c r="K78" i="20"/>
  <c r="O78" i="20" s="1"/>
  <c r="K26" i="20"/>
  <c r="O26" i="20" s="1"/>
  <c r="I88" i="20"/>
  <c r="N88" i="20" s="1"/>
  <c r="K36" i="20"/>
  <c r="O36" i="20" s="1"/>
  <c r="I47" i="20"/>
  <c r="N47" i="20" s="1"/>
  <c r="I43" i="20"/>
  <c r="N43" i="20" s="1"/>
  <c r="K9" i="20"/>
  <c r="O9" i="20" s="1"/>
  <c r="I40" i="20"/>
  <c r="N40" i="20" s="1"/>
  <c r="K10" i="20"/>
  <c r="K68" i="20"/>
  <c r="M68" i="20" s="1"/>
  <c r="I78" i="20"/>
  <c r="N78" i="20" s="1"/>
  <c r="I89" i="20"/>
  <c r="N89" i="20" s="1"/>
  <c r="K61" i="20"/>
  <c r="O61" i="20" s="1"/>
  <c r="K70" i="20"/>
  <c r="O70" i="20" s="1"/>
  <c r="K91" i="20"/>
  <c r="M91" i="20" s="1"/>
  <c r="K43" i="20"/>
  <c r="O43" i="20" s="1"/>
  <c r="K57" i="20"/>
  <c r="M57" i="20" s="1"/>
  <c r="K81" i="20"/>
  <c r="O81" i="20" s="1"/>
  <c r="K85" i="20"/>
  <c r="O85" i="20" s="1"/>
  <c r="K55" i="20"/>
  <c r="O55" i="20" s="1"/>
  <c r="K77" i="20"/>
  <c r="O77" i="20" s="1"/>
  <c r="I38" i="20"/>
  <c r="N38" i="20" s="1"/>
  <c r="I24" i="20"/>
  <c r="N24" i="20" s="1"/>
  <c r="I56" i="20"/>
  <c r="N56" i="20" s="1"/>
  <c r="T100" i="20"/>
  <c r="U100" i="20" s="1"/>
  <c r="I70" i="20"/>
  <c r="N70" i="20" s="1"/>
  <c r="I61" i="20"/>
  <c r="N61" i="20" s="1"/>
  <c r="L119" i="20"/>
  <c r="D103" i="24" a="1"/>
  <c r="D103" i="24" s="1"/>
  <c r="D105" i="24" a="1"/>
  <c r="D105" i="24" s="1"/>
  <c r="D76" i="24" a="1"/>
  <c r="D76" i="24" s="1"/>
  <c r="I37" i="20"/>
  <c r="H119" i="20"/>
  <c r="K17" i="20"/>
  <c r="K35" i="20"/>
  <c r="K37" i="20"/>
  <c r="J119" i="20"/>
  <c r="I113" i="20"/>
  <c r="N113" i="20" s="1"/>
  <c r="L367" i="2"/>
  <c r="W100" i="20"/>
  <c r="I100" i="20"/>
  <c r="K32" i="20"/>
  <c r="H369" i="2"/>
  <c r="G367" i="2" s="1"/>
  <c r="T20" i="20"/>
  <c r="V20" i="20" s="1"/>
  <c r="W20" i="20"/>
  <c r="I20" i="20"/>
  <c r="N20" i="20" s="1"/>
  <c r="W33" i="20"/>
  <c r="T55" i="20"/>
  <c r="U55" i="20" s="1"/>
  <c r="W55" i="20"/>
  <c r="W110" i="20"/>
  <c r="T110" i="20"/>
  <c r="U110" i="20" s="1"/>
  <c r="I27" i="20"/>
  <c r="N27" i="20" s="1"/>
  <c r="W27" i="20"/>
  <c r="T27" i="20"/>
  <c r="V27" i="20" s="1"/>
  <c r="W106" i="20"/>
  <c r="T106" i="20"/>
  <c r="U106" i="20" s="1"/>
  <c r="C5" i="10"/>
  <c r="L369" i="2"/>
  <c r="W42" i="20"/>
  <c r="T42" i="20"/>
  <c r="U42" i="20" s="1"/>
  <c r="J367" i="2"/>
  <c r="J369" i="2"/>
  <c r="D20" i="24" a="1"/>
  <c r="D20" i="24" s="1"/>
  <c r="D70" i="24" a="1"/>
  <c r="D70" i="24" s="1"/>
  <c r="K87" i="20"/>
  <c r="O87" i="20" s="1"/>
  <c r="K45" i="20"/>
  <c r="O45" i="20" s="1"/>
  <c r="T73" i="20"/>
  <c r="U73" i="20" s="1"/>
  <c r="W73" i="20"/>
  <c r="K88" i="20"/>
  <c r="O88" i="20" s="1"/>
  <c r="T54" i="20"/>
  <c r="U54" i="20" s="1"/>
  <c r="W54" i="20"/>
  <c r="I99" i="20"/>
  <c r="N99" i="20" s="1"/>
  <c r="K98" i="20"/>
  <c r="O98" i="20" s="1"/>
  <c r="I73" i="20"/>
  <c r="N73" i="20" s="1"/>
  <c r="W72" i="20"/>
  <c r="T72" i="20"/>
  <c r="U72" i="20" s="1"/>
  <c r="W76" i="20"/>
  <c r="T76" i="20"/>
  <c r="U76" i="20" s="1"/>
  <c r="W109" i="20"/>
  <c r="T109" i="20"/>
  <c r="U109" i="20" s="1"/>
  <c r="T64" i="20"/>
  <c r="U64" i="20" s="1"/>
  <c r="W64" i="20"/>
  <c r="I68" i="20"/>
  <c r="N68" i="20" s="1"/>
  <c r="W30" i="20"/>
  <c r="T30" i="20"/>
  <c r="U30" i="20" s="1"/>
  <c r="N367" i="2"/>
  <c r="W81" i="20"/>
  <c r="T81" i="20"/>
  <c r="U81" i="20" s="1"/>
  <c r="I74" i="20"/>
  <c r="N74" i="20" s="1"/>
  <c r="W34" i="20"/>
  <c r="T34" i="20"/>
  <c r="U34" i="20" s="1"/>
  <c r="K110" i="20"/>
  <c r="O110" i="20" s="1"/>
  <c r="I6" i="20"/>
  <c r="T6" i="20"/>
  <c r="V6" i="20" s="1"/>
  <c r="I71" i="20"/>
  <c r="N71" i="20" s="1"/>
  <c r="W96" i="20"/>
  <c r="T96" i="20"/>
  <c r="U96" i="20" s="1"/>
  <c r="D6" i="10"/>
  <c r="C6" i="10"/>
  <c r="D22" i="24" a="1"/>
  <c r="D22" i="24" s="1"/>
  <c r="K75" i="20"/>
  <c r="O75" i="20" s="1"/>
  <c r="W101" i="20"/>
  <c r="T101" i="20"/>
  <c r="U101" i="20" s="1"/>
  <c r="K79" i="20"/>
  <c r="O79" i="20" s="1"/>
  <c r="T12" i="20"/>
  <c r="U12" i="20" s="1"/>
  <c r="W12" i="20"/>
  <c r="I12" i="20"/>
  <c r="N12" i="20" s="1"/>
  <c r="W22" i="20"/>
  <c r="T22" i="20"/>
  <c r="U22" i="20" s="1"/>
  <c r="I16" i="20"/>
  <c r="N16" i="20" s="1"/>
  <c r="W16" i="20"/>
  <c r="T16" i="20"/>
  <c r="U16" i="20" s="1"/>
  <c r="D99" i="24" a="1"/>
  <c r="D99" i="24" s="1"/>
  <c r="D95" i="24" a="1"/>
  <c r="D95" i="24" s="1"/>
  <c r="I42" i="20"/>
  <c r="N42" i="20" s="1"/>
  <c r="K109" i="20"/>
  <c r="O109" i="20" s="1"/>
  <c r="I109" i="20"/>
  <c r="N109" i="20" s="1"/>
  <c r="K42" i="20"/>
  <c r="I57" i="20"/>
  <c r="N57" i="20" s="1"/>
  <c r="K49" i="20"/>
  <c r="O49" i="20" s="1"/>
  <c r="W36" i="20"/>
  <c r="T36" i="20"/>
  <c r="U36" i="20" s="1"/>
  <c r="I44" i="20"/>
  <c r="N44" i="20" s="1"/>
  <c r="H117" i="20"/>
  <c r="F119" i="20"/>
  <c r="F117" i="20" s="1"/>
  <c r="W31" i="20"/>
  <c r="T31" i="20"/>
  <c r="U31" i="20" s="1"/>
  <c r="W59" i="20"/>
  <c r="T59" i="20"/>
  <c r="U59" i="20" s="1"/>
  <c r="I67" i="20"/>
  <c r="N67" i="20" s="1"/>
  <c r="T13" i="20"/>
  <c r="U13" i="20" s="1"/>
  <c r="I13" i="20"/>
  <c r="N13" i="20" s="1"/>
  <c r="W13" i="20"/>
  <c r="W29" i="20"/>
  <c r="T29" i="20"/>
  <c r="U29" i="20" s="1"/>
  <c r="I23" i="20"/>
  <c r="N23" i="20" s="1"/>
  <c r="T23" i="20"/>
  <c r="V23" i="20" s="1"/>
  <c r="W23" i="20"/>
  <c r="W49" i="20"/>
  <c r="T49" i="20"/>
  <c r="U49" i="20" s="1"/>
  <c r="I48" i="20"/>
  <c r="N48" i="20" s="1"/>
  <c r="W6" i="20"/>
  <c r="D108" i="24" a="1"/>
  <c r="D108" i="24" s="1"/>
  <c r="W92" i="20"/>
  <c r="T92" i="20"/>
  <c r="U92" i="20" s="1"/>
  <c r="W79" i="20"/>
  <c r="T79" i="20"/>
  <c r="U79" i="20" s="1"/>
  <c r="D47" i="24" a="1"/>
  <c r="D47" i="24" s="1"/>
  <c r="D84" i="24" a="1"/>
  <c r="D84" i="24" s="1"/>
  <c r="D102" i="24" a="1"/>
  <c r="D102" i="24" s="1"/>
  <c r="K64" i="20"/>
  <c r="O64" i="20" s="1"/>
  <c r="T33" i="20"/>
  <c r="U33" i="20" s="1"/>
  <c r="K33" i="20"/>
  <c r="K74" i="20"/>
  <c r="O74" i="20" s="1"/>
  <c r="I62" i="20"/>
  <c r="N62" i="20" s="1"/>
  <c r="K18" i="20"/>
  <c r="K22" i="20"/>
  <c r="I101" i="20"/>
  <c r="N101" i="20" s="1"/>
  <c r="T68" i="20"/>
  <c r="U68" i="20" s="1"/>
  <c r="W68" i="20"/>
  <c r="K107" i="20"/>
  <c r="O107" i="20" s="1"/>
  <c r="W103" i="20"/>
  <c r="T103" i="20"/>
  <c r="U103" i="20" s="1"/>
  <c r="T38" i="20"/>
  <c r="U38" i="20" s="1"/>
  <c r="W38" i="20"/>
  <c r="K16" i="20"/>
  <c r="K97" i="20"/>
  <c r="O97" i="20" s="1"/>
  <c r="K53" i="20"/>
  <c r="O53" i="20" s="1"/>
  <c r="T105" i="20"/>
  <c r="U105" i="20" s="1"/>
  <c r="W105" i="20"/>
  <c r="I77" i="20"/>
  <c r="N77" i="20" s="1"/>
  <c r="T93" i="20"/>
  <c r="U93" i="20" s="1"/>
  <c r="W93" i="20"/>
  <c r="T95" i="20"/>
  <c r="U95" i="20" s="1"/>
  <c r="W95" i="20"/>
  <c r="T108" i="20"/>
  <c r="U108" i="20" s="1"/>
  <c r="W108" i="20"/>
  <c r="T112" i="20"/>
  <c r="U112" i="20" s="1"/>
  <c r="W112" i="20"/>
  <c r="I29" i="20"/>
  <c r="N29" i="20" s="1"/>
  <c r="W98" i="20"/>
  <c r="T98" i="20"/>
  <c r="U98" i="20" s="1"/>
  <c r="I63" i="20"/>
  <c r="N63" i="20" s="1"/>
  <c r="C7" i="10"/>
  <c r="N369" i="2"/>
  <c r="C8" i="10"/>
  <c r="D69" i="24" a="1"/>
  <c r="D69" i="24" s="1"/>
  <c r="T99" i="20"/>
  <c r="U99" i="20" s="1"/>
  <c r="W99" i="20"/>
  <c r="D9" i="10"/>
  <c r="T19" i="20"/>
  <c r="U19" i="20" s="1"/>
  <c r="I19" i="20"/>
  <c r="N19" i="20" s="1"/>
  <c r="W19" i="20"/>
  <c r="T71" i="20"/>
  <c r="U71" i="20" s="1"/>
  <c r="W71" i="20"/>
  <c r="D106" i="24" a="1"/>
  <c r="D106" i="24" s="1"/>
  <c r="K54" i="20"/>
  <c r="T66" i="20"/>
  <c r="U66" i="20" s="1"/>
  <c r="W66" i="20"/>
  <c r="K101" i="20"/>
  <c r="O101" i="20" s="1"/>
  <c r="W50" i="20"/>
  <c r="T50" i="20"/>
  <c r="U50" i="20" s="1"/>
  <c r="T111" i="20"/>
  <c r="U111" i="20" s="1"/>
  <c r="W111" i="20"/>
  <c r="G117" i="20"/>
  <c r="T57" i="20"/>
  <c r="U57" i="20" s="1"/>
  <c r="W57" i="20"/>
  <c r="K46" i="20"/>
  <c r="O46" i="20" s="1"/>
  <c r="K76" i="20"/>
  <c r="O76" i="20" s="1"/>
  <c r="K65" i="20"/>
  <c r="O65" i="20" s="1"/>
  <c r="T63" i="20"/>
  <c r="U63" i="20" s="1"/>
  <c r="W63" i="20"/>
  <c r="F115" i="20"/>
  <c r="P110" i="20" s="1"/>
  <c r="I51" i="20"/>
  <c r="N51" i="20" s="1"/>
  <c r="W14" i="20"/>
  <c r="I14" i="20"/>
  <c r="N14" i="20" s="1"/>
  <c r="T14" i="20"/>
  <c r="V14" i="20" s="1"/>
  <c r="T48" i="20"/>
  <c r="U48" i="20" s="1"/>
  <c r="W48" i="20"/>
  <c r="T104" i="20"/>
  <c r="U104" i="20" s="1"/>
  <c r="W104" i="20"/>
  <c r="D8" i="10"/>
  <c r="D5" i="10"/>
  <c r="D89" i="24" a="1"/>
  <c r="D89" i="24" s="1"/>
  <c r="F114" i="20"/>
  <c r="P97" i="20" s="1"/>
  <c r="W74" i="20"/>
  <c r="T74" i="20"/>
  <c r="U74" i="20" s="1"/>
  <c r="D83" i="24" a="1"/>
  <c r="D83" i="24" s="1"/>
  <c r="D82" i="24" a="1"/>
  <c r="D82" i="24" s="1"/>
  <c r="K60" i="20"/>
  <c r="O60" i="20" s="1"/>
  <c r="I75" i="20"/>
  <c r="N75" i="20" s="1"/>
  <c r="K86" i="20"/>
  <c r="O86" i="20" s="1"/>
  <c r="K62" i="20"/>
  <c r="O62" i="20" s="1"/>
  <c r="K51" i="20"/>
  <c r="O51" i="20" s="1"/>
  <c r="K113" i="20"/>
  <c r="O113" i="20" s="1"/>
  <c r="K71" i="20"/>
  <c r="O71" i="20" s="1"/>
  <c r="K20" i="20"/>
  <c r="K105" i="20"/>
  <c r="O105" i="20" s="1"/>
  <c r="I91" i="20"/>
  <c r="N91" i="20" s="1"/>
  <c r="T41" i="20"/>
  <c r="U41" i="20" s="1"/>
  <c r="W41" i="20"/>
  <c r="T25" i="20"/>
  <c r="U25" i="20" s="1"/>
  <c r="I25" i="20"/>
  <c r="N25" i="20" s="1"/>
  <c r="W25" i="20"/>
  <c r="T107" i="20"/>
  <c r="U107" i="20" s="1"/>
  <c r="W107" i="20"/>
  <c r="I72" i="20"/>
  <c r="N72" i="20" s="1"/>
  <c r="T10" i="20"/>
  <c r="V10" i="20" s="1"/>
  <c r="W10" i="20"/>
  <c r="W83" i="20"/>
  <c r="T83" i="20"/>
  <c r="U83" i="20" s="1"/>
  <c r="K106" i="20"/>
  <c r="O106" i="20" s="1"/>
  <c r="W84" i="20"/>
  <c r="T84" i="20"/>
  <c r="U84" i="20" s="1"/>
  <c r="W21" i="20"/>
  <c r="T21" i="20"/>
  <c r="U21" i="20" s="1"/>
  <c r="W32" i="20"/>
  <c r="T32" i="20"/>
  <c r="U32" i="20" s="1"/>
  <c r="W90" i="20"/>
  <c r="T90" i="20"/>
  <c r="U90" i="20" s="1"/>
  <c r="W39" i="20"/>
  <c r="T39" i="20"/>
  <c r="U39" i="20" s="1"/>
  <c r="I92" i="20"/>
  <c r="N92" i="20" s="1"/>
  <c r="T53" i="20"/>
  <c r="U53" i="20" s="1"/>
  <c r="W53" i="20"/>
  <c r="T18" i="20"/>
  <c r="U18" i="20" s="1"/>
  <c r="I18" i="20"/>
  <c r="N18" i="20" s="1"/>
  <c r="W18" i="20"/>
  <c r="D48" i="24" a="1"/>
  <c r="D48" i="24" s="1"/>
  <c r="K12" i="20"/>
  <c r="W46" i="20"/>
  <c r="T46" i="20"/>
  <c r="U46" i="20" s="1"/>
  <c r="K13" i="20"/>
  <c r="K30" i="20"/>
  <c r="I79" i="20"/>
  <c r="N79" i="20" s="1"/>
  <c r="W35" i="20"/>
  <c r="T35" i="20"/>
  <c r="U35" i="20" s="1"/>
  <c r="T26" i="20"/>
  <c r="U26" i="20" s="1"/>
  <c r="I26" i="20"/>
  <c r="N26" i="20" s="1"/>
  <c r="W26" i="20"/>
  <c r="I15" i="20"/>
  <c r="N15" i="20" s="1"/>
  <c r="T15" i="20"/>
  <c r="U15" i="20" s="1"/>
  <c r="W7" i="20"/>
  <c r="I7" i="20"/>
  <c r="T7" i="20"/>
  <c r="V7" i="20" s="1"/>
  <c r="C9" i="10"/>
  <c r="I66" i="20"/>
  <c r="N66" i="20" s="1"/>
  <c r="T85" i="20"/>
  <c r="U85" i="20" s="1"/>
  <c r="W85" i="20"/>
  <c r="D81" i="24" a="1"/>
  <c r="D81" i="24" s="1"/>
  <c r="D46" i="24" a="1"/>
  <c r="D46" i="24" s="1"/>
  <c r="K90" i="20"/>
  <c r="O90" i="20" s="1"/>
  <c r="K47" i="20"/>
  <c r="O47" i="20" s="1"/>
  <c r="K93" i="20"/>
  <c r="O93" i="20" s="1"/>
  <c r="K96" i="20"/>
  <c r="O96" i="20" s="1"/>
  <c r="K39" i="20"/>
  <c r="K82" i="20"/>
  <c r="O82" i="20" s="1"/>
  <c r="I53" i="20"/>
  <c r="N53" i="20" s="1"/>
  <c r="T69" i="20"/>
  <c r="U69" i="20" s="1"/>
  <c r="W69" i="20"/>
  <c r="T11" i="20"/>
  <c r="V11" i="20" s="1"/>
  <c r="W11" i="20"/>
  <c r="I11" i="20"/>
  <c r="N11" i="20" s="1"/>
  <c r="T82" i="20"/>
  <c r="U82" i="20" s="1"/>
  <c r="W82" i="20"/>
  <c r="I94" i="20"/>
  <c r="N94" i="20" s="1"/>
  <c r="I31" i="20"/>
  <c r="N31" i="20" s="1"/>
  <c r="W52" i="20"/>
  <c r="T52" i="20"/>
  <c r="U52" i="20" s="1"/>
  <c r="I87" i="20"/>
  <c r="N87" i="20" s="1"/>
  <c r="T86" i="20"/>
  <c r="U86" i="20" s="1"/>
  <c r="W86" i="20"/>
  <c r="I28" i="20"/>
  <c r="N28" i="20" s="1"/>
  <c r="T28" i="20"/>
  <c r="U28" i="20" s="1"/>
  <c r="W28" i="20"/>
  <c r="D75" i="24" a="1"/>
  <c r="D75" i="24" s="1"/>
  <c r="T75" i="20"/>
  <c r="U75" i="20" s="1"/>
  <c r="W75" i="20"/>
  <c r="T97" i="20"/>
  <c r="U97" i="20" s="1"/>
  <c r="W97" i="20"/>
  <c r="W113" i="20"/>
  <c r="T113" i="20"/>
  <c r="U113" i="20" s="1"/>
  <c r="T87" i="20"/>
  <c r="U87" i="20" s="1"/>
  <c r="W87" i="20"/>
  <c r="D88" i="24" a="1"/>
  <c r="D88" i="24" s="1"/>
  <c r="D77" i="24" a="1"/>
  <c r="D77" i="24" s="1"/>
  <c r="D71" i="24" a="1"/>
  <c r="D71" i="24" s="1"/>
  <c r="D50" i="24" a="1"/>
  <c r="D50" i="24" s="1"/>
  <c r="I46" i="20"/>
  <c r="N46" i="20" s="1"/>
  <c r="K44" i="20"/>
  <c r="J117" i="20"/>
  <c r="W91" i="20"/>
  <c r="T91" i="20"/>
  <c r="U91" i="20" s="1"/>
  <c r="K104" i="20"/>
  <c r="O104" i="20" s="1"/>
  <c r="W77" i="20"/>
  <c r="T77" i="20"/>
  <c r="U77" i="20" s="1"/>
  <c r="I65" i="20"/>
  <c r="N65" i="20" s="1"/>
  <c r="K103" i="20"/>
  <c r="O103" i="20" s="1"/>
  <c r="W47" i="20"/>
  <c r="T47" i="20"/>
  <c r="U47" i="20" s="1"/>
  <c r="T44" i="20"/>
  <c r="V44" i="20" s="1"/>
  <c r="W44" i="20"/>
  <c r="K19" i="20"/>
  <c r="I36" i="20"/>
  <c r="N36" i="20" s="1"/>
  <c r="I10" i="20"/>
  <c r="N10" i="20" s="1"/>
  <c r="T60" i="20"/>
  <c r="U60" i="20" s="1"/>
  <c r="W60" i="20"/>
  <c r="T37" i="20"/>
  <c r="U37" i="20" s="1"/>
  <c r="W37" i="20"/>
  <c r="K102" i="20"/>
  <c r="O102" i="20" s="1"/>
  <c r="W43" i="20"/>
  <c r="T43" i="20"/>
  <c r="U43" i="20" s="1"/>
  <c r="W80" i="20"/>
  <c r="T80" i="20"/>
  <c r="U80" i="20" s="1"/>
  <c r="K100" i="20"/>
  <c r="O100" i="20" s="1"/>
  <c r="W24" i="20"/>
  <c r="T24" i="20"/>
  <c r="U24" i="20" s="1"/>
  <c r="W70" i="20"/>
  <c r="T70" i="20"/>
  <c r="U70" i="20" s="1"/>
  <c r="D7" i="10"/>
  <c r="W51" i="20"/>
  <c r="T51" i="20"/>
  <c r="U51" i="20" s="1"/>
  <c r="I17" i="20"/>
  <c r="N17" i="20" s="1"/>
  <c r="T17" i="20"/>
  <c r="V17" i="20" s="1"/>
  <c r="W17" i="20"/>
  <c r="T62" i="20"/>
  <c r="U62" i="20" s="1"/>
  <c r="W62" i="20"/>
  <c r="D101" i="24" a="1"/>
  <c r="D101" i="24" s="1"/>
  <c r="T65" i="20"/>
  <c r="U65" i="20" s="1"/>
  <c r="W65" i="20"/>
  <c r="D96" i="24" a="1"/>
  <c r="D96" i="24" s="1"/>
  <c r="D110" i="24" a="1"/>
  <c r="D110" i="24" s="1"/>
  <c r="D112" i="24" a="1"/>
  <c r="D112" i="24" s="1"/>
  <c r="D97" i="24" a="1"/>
  <c r="D97" i="24" s="1"/>
  <c r="D68" i="24" a="1"/>
  <c r="D68" i="24" s="1"/>
  <c r="D91" i="24" a="1"/>
  <c r="D91" i="24" s="1"/>
  <c r="K58" i="20"/>
  <c r="O58" i="20" s="1"/>
  <c r="I58" i="20"/>
  <c r="N58" i="20" s="1"/>
  <c r="W94" i="20"/>
  <c r="T94" i="20"/>
  <c r="U94" i="20" s="1"/>
  <c r="W67" i="20"/>
  <c r="T67" i="20"/>
  <c r="U67" i="20" s="1"/>
  <c r="K112" i="20"/>
  <c r="O112" i="20" s="1"/>
  <c r="K14" i="20"/>
  <c r="T56" i="20"/>
  <c r="U56" i="20" s="1"/>
  <c r="W56" i="20"/>
  <c r="W15" i="20"/>
  <c r="K15" i="20"/>
  <c r="K84" i="20"/>
  <c r="O84" i="20" s="1"/>
  <c r="K94" i="20"/>
  <c r="O94" i="20" s="1"/>
  <c r="K67" i="20"/>
  <c r="O67" i="20" s="1"/>
  <c r="I50" i="20"/>
  <c r="N50" i="20" s="1"/>
  <c r="K92" i="20"/>
  <c r="O92" i="20" s="1"/>
  <c r="T45" i="20"/>
  <c r="U45" i="20" s="1"/>
  <c r="W45" i="20"/>
  <c r="L117" i="20"/>
  <c r="T58" i="20"/>
  <c r="U58" i="20" s="1"/>
  <c r="W58" i="20"/>
  <c r="I39" i="20"/>
  <c r="N39" i="20" s="1"/>
  <c r="W40" i="20"/>
  <c r="T40" i="20"/>
  <c r="U40" i="20" s="1"/>
  <c r="W78" i="20"/>
  <c r="T78" i="20"/>
  <c r="U78" i="20" s="1"/>
  <c r="W8" i="20"/>
  <c r="T8" i="20"/>
  <c r="U8" i="20" s="1"/>
  <c r="I8" i="20"/>
  <c r="I90" i="20"/>
  <c r="N90" i="20" s="1"/>
  <c r="W89" i="20"/>
  <c r="T89" i="20"/>
  <c r="U89" i="20" s="1"/>
  <c r="I9" i="20"/>
  <c r="N9" i="20" s="1"/>
  <c r="W9" i="20"/>
  <c r="T9" i="20"/>
  <c r="U9" i="20" s="1"/>
  <c r="I367" i="2"/>
  <c r="W88" i="20"/>
  <c r="T88" i="20"/>
  <c r="U88" i="20" s="1"/>
  <c r="W61" i="20"/>
  <c r="T61" i="20"/>
  <c r="U61" i="20" s="1"/>
  <c r="T102" i="20"/>
  <c r="U102" i="20" s="1"/>
  <c r="W102" i="20"/>
  <c r="K28" i="20"/>
  <c r="R333" i="2" l="1"/>
  <c r="R331" i="2"/>
  <c r="R332" i="2"/>
  <c r="R329" i="2"/>
  <c r="R330" i="2"/>
  <c r="R328" i="2"/>
  <c r="R326" i="2"/>
  <c r="R327" i="2"/>
  <c r="R324" i="2"/>
  <c r="R325" i="2"/>
  <c r="R322" i="2"/>
  <c r="R323" i="2"/>
  <c r="R320" i="2"/>
  <c r="R321" i="2"/>
  <c r="R318" i="2"/>
  <c r="R319" i="2"/>
  <c r="R316" i="2"/>
  <c r="R317" i="2"/>
  <c r="R314" i="2"/>
  <c r="R315" i="2"/>
  <c r="R312" i="2"/>
  <c r="R313" i="2"/>
  <c r="R310" i="2"/>
  <c r="R311" i="2"/>
  <c r="R308" i="2"/>
  <c r="R309" i="2"/>
  <c r="M364" i="2"/>
  <c r="X364" i="2"/>
  <c r="M363" i="2"/>
  <c r="P364" i="2"/>
  <c r="X365" i="2"/>
  <c r="P363" i="2"/>
  <c r="M41" i="20"/>
  <c r="M370" i="2"/>
  <c r="Q370" i="2" s="1"/>
  <c r="X371" i="2"/>
  <c r="P370" i="2"/>
  <c r="K370" i="2"/>
  <c r="E117" i="20"/>
  <c r="P12" i="20"/>
  <c r="P51" i="20"/>
  <c r="P60" i="20"/>
  <c r="P79" i="20"/>
  <c r="P20" i="20"/>
  <c r="P37" i="20"/>
  <c r="M48" i="20"/>
  <c r="O29" i="20"/>
  <c r="M21" i="20"/>
  <c r="M23" i="20"/>
  <c r="M40" i="20"/>
  <c r="O57" i="20"/>
  <c r="M27" i="20"/>
  <c r="M72" i="20"/>
  <c r="M89" i="20"/>
  <c r="M83" i="20"/>
  <c r="M73" i="20"/>
  <c r="AB362" i="2"/>
  <c r="H367" i="2"/>
  <c r="AH370" i="2" a="1"/>
  <c r="AH370" i="2" s="1"/>
  <c r="M108" i="20"/>
  <c r="M59" i="20"/>
  <c r="M87" i="20"/>
  <c r="M66" i="20"/>
  <c r="D150" i="24"/>
  <c r="M25" i="20"/>
  <c r="P96" i="20"/>
  <c r="P82" i="20"/>
  <c r="AH369" i="2" a="1"/>
  <c r="AH369" i="2" s="1"/>
  <c r="D152" i="24"/>
  <c r="D16" i="10"/>
  <c r="D149" i="24"/>
  <c r="AH371" i="2" a="1"/>
  <c r="AH371" i="2" s="1"/>
  <c r="D15" i="10"/>
  <c r="D151" i="24"/>
  <c r="M65" i="20"/>
  <c r="M99" i="20"/>
  <c r="M36" i="20"/>
  <c r="M111" i="20"/>
  <c r="M85" i="20"/>
  <c r="O68" i="20"/>
  <c r="M63" i="20"/>
  <c r="M80" i="20"/>
  <c r="M69" i="20"/>
  <c r="M31" i="20"/>
  <c r="M70" i="20"/>
  <c r="M61" i="20"/>
  <c r="M56" i="20"/>
  <c r="M78" i="20"/>
  <c r="M109" i="20"/>
  <c r="M53" i="20"/>
  <c r="O24" i="20"/>
  <c r="M79" i="20"/>
  <c r="O91" i="20"/>
  <c r="M9" i="20"/>
  <c r="M95" i="20"/>
  <c r="M38" i="20"/>
  <c r="M45" i="20"/>
  <c r="M81" i="20"/>
  <c r="M26" i="20"/>
  <c r="M51" i="20"/>
  <c r="M11" i="20"/>
  <c r="M103" i="20"/>
  <c r="M105" i="20"/>
  <c r="M46" i="20"/>
  <c r="M75" i="20"/>
  <c r="M98" i="20"/>
  <c r="E136" i="24"/>
  <c r="M86" i="20"/>
  <c r="M88" i="20"/>
  <c r="M104" i="20"/>
  <c r="M74" i="20"/>
  <c r="M64" i="20"/>
  <c r="AH372" i="2" a="1"/>
  <c r="AH372" i="2" s="1"/>
  <c r="M43" i="20"/>
  <c r="M100" i="20"/>
  <c r="M55" i="20"/>
  <c r="M90" i="20"/>
  <c r="M97" i="20"/>
  <c r="M34" i="20"/>
  <c r="M112" i="20"/>
  <c r="M77" i="20"/>
  <c r="M93" i="20"/>
  <c r="M49" i="20"/>
  <c r="M52" i="20"/>
  <c r="M50" i="20"/>
  <c r="O10" i="20"/>
  <c r="M10" i="20"/>
  <c r="P93" i="20"/>
  <c r="D18" i="10"/>
  <c r="C10" i="10"/>
  <c r="P98" i="20"/>
  <c r="P42" i="20"/>
  <c r="M92" i="20"/>
  <c r="M94" i="20"/>
  <c r="P64" i="20"/>
  <c r="E135" i="24"/>
  <c r="M82" i="20"/>
  <c r="P26" i="20"/>
  <c r="P11" i="20"/>
  <c r="M106" i="20"/>
  <c r="O14" i="20"/>
  <c r="M14" i="20"/>
  <c r="M102" i="20"/>
  <c r="P111" i="20"/>
  <c r="P107" i="20"/>
  <c r="P32" i="20"/>
  <c r="M60" i="20"/>
  <c r="P44" i="20"/>
  <c r="M84" i="20"/>
  <c r="M54" i="20"/>
  <c r="O54" i="20"/>
  <c r="M67" i="20"/>
  <c r="P58" i="20"/>
  <c r="P47" i="20"/>
  <c r="M369" i="2"/>
  <c r="P84" i="20"/>
  <c r="P109" i="20"/>
  <c r="P16" i="20"/>
  <c r="P61" i="20"/>
  <c r="P75" i="20"/>
  <c r="P108" i="20"/>
  <c r="P30" i="20"/>
  <c r="P39" i="20"/>
  <c r="M96" i="20"/>
  <c r="O12" i="20"/>
  <c r="M12" i="20"/>
  <c r="P88" i="20"/>
  <c r="P65" i="20"/>
  <c r="O22" i="20"/>
  <c r="M22" i="20"/>
  <c r="O33" i="20"/>
  <c r="M33" i="20"/>
  <c r="P33" i="20"/>
  <c r="P95" i="20"/>
  <c r="P55" i="20"/>
  <c r="O35" i="20"/>
  <c r="M35" i="20"/>
  <c r="P13" i="20"/>
  <c r="D10" i="10"/>
  <c r="P78" i="20"/>
  <c r="N8" i="20"/>
  <c r="K8" i="20"/>
  <c r="M71" i="20"/>
  <c r="M107" i="20"/>
  <c r="E134" i="24"/>
  <c r="P106" i="20"/>
  <c r="P76" i="20"/>
  <c r="P103" i="20"/>
  <c r="P59" i="20"/>
  <c r="O18" i="20"/>
  <c r="M18" i="20"/>
  <c r="M113" i="20"/>
  <c r="M42" i="20"/>
  <c r="O42" i="20"/>
  <c r="P50" i="20"/>
  <c r="O17" i="20"/>
  <c r="M17" i="20"/>
  <c r="N114" i="20"/>
  <c r="P104" i="20"/>
  <c r="P105" i="20"/>
  <c r="O13" i="20"/>
  <c r="M13" i="20"/>
  <c r="P113" i="20"/>
  <c r="P46" i="20"/>
  <c r="P92" i="20"/>
  <c r="M44" i="20"/>
  <c r="O44" i="20"/>
  <c r="P49" i="20"/>
  <c r="P89" i="20"/>
  <c r="P52" i="20"/>
  <c r="P94" i="20"/>
  <c r="P10" i="20"/>
  <c r="P72" i="20"/>
  <c r="P77" i="20"/>
  <c r="P17" i="20"/>
  <c r="P56" i="20"/>
  <c r="P67" i="20"/>
  <c r="P101" i="20"/>
  <c r="P22" i="20"/>
  <c r="O16" i="20"/>
  <c r="M16" i="20"/>
  <c r="P66" i="20"/>
  <c r="P74" i="20"/>
  <c r="P57" i="20"/>
  <c r="P28" i="20"/>
  <c r="P69" i="20"/>
  <c r="P68" i="20"/>
  <c r="P45" i="20"/>
  <c r="P63" i="20"/>
  <c r="M101" i="20"/>
  <c r="P19" i="20"/>
  <c r="P38" i="20"/>
  <c r="P48" i="20"/>
  <c r="P35" i="20"/>
  <c r="O20" i="20"/>
  <c r="M20" i="20"/>
  <c r="M58" i="20"/>
  <c r="O19" i="20"/>
  <c r="M19" i="20"/>
  <c r="O30" i="20"/>
  <c r="M30" i="20"/>
  <c r="P100" i="20"/>
  <c r="K369" i="2"/>
  <c r="M76" i="20"/>
  <c r="N37" i="20"/>
  <c r="I119" i="20"/>
  <c r="P112" i="20"/>
  <c r="D17" i="10"/>
  <c r="P14" i="20"/>
  <c r="P18" i="20"/>
  <c r="D131" i="24"/>
  <c r="E20" i="24"/>
  <c r="P23" i="20"/>
  <c r="P29" i="20"/>
  <c r="P91" i="20"/>
  <c r="P81" i="20"/>
  <c r="O39" i="20"/>
  <c r="M39" i="20"/>
  <c r="P31" i="20"/>
  <c r="O28" i="20"/>
  <c r="M28" i="20"/>
  <c r="P41" i="20"/>
  <c r="O15" i="20"/>
  <c r="M15" i="20"/>
  <c r="P40" i="20"/>
  <c r="P87" i="20"/>
  <c r="P73" i="20"/>
  <c r="P24" i="20"/>
  <c r="P21" i="20"/>
  <c r="P36" i="20"/>
  <c r="P99" i="20"/>
  <c r="E133" i="24"/>
  <c r="P71" i="20"/>
  <c r="N6" i="20"/>
  <c r="K6" i="20"/>
  <c r="P43" i="20"/>
  <c r="P86" i="20"/>
  <c r="P27" i="20"/>
  <c r="O32" i="20"/>
  <c r="M32" i="20"/>
  <c r="P62" i="20"/>
  <c r="P70" i="20"/>
  <c r="P83" i="20"/>
  <c r="P90" i="20"/>
  <c r="P53" i="20"/>
  <c r="P34" i="20"/>
  <c r="P25" i="20"/>
  <c r="P15" i="20"/>
  <c r="P85" i="20"/>
  <c r="P54" i="20"/>
  <c r="P80" i="20"/>
  <c r="N7" i="20"/>
  <c r="K7" i="20"/>
  <c r="M47" i="20"/>
  <c r="P102" i="20"/>
  <c r="M62" i="20"/>
  <c r="D14" i="10"/>
  <c r="M110" i="20"/>
  <c r="N100" i="20"/>
  <c r="I115" i="20"/>
  <c r="G119" i="20" s="1"/>
  <c r="O37" i="20"/>
  <c r="K119" i="20"/>
  <c r="M37" i="20"/>
  <c r="Q363" i="2" l="1"/>
  <c r="O363" i="2"/>
  <c r="Q364" i="2"/>
  <c r="O364" i="2"/>
  <c r="I369" i="2"/>
  <c r="O370" i="2"/>
  <c r="D157" i="24"/>
  <c r="E140" i="24"/>
  <c r="O8" i="20"/>
  <c r="M8" i="20"/>
  <c r="F20" i="24"/>
  <c r="E21" i="24"/>
  <c r="O6" i="20"/>
  <c r="M6" i="20"/>
  <c r="D19" i="10"/>
  <c r="O7" i="20"/>
  <c r="M7" i="20"/>
  <c r="D161" i="24" l="1"/>
  <c r="D162" i="24" s="1"/>
  <c r="F159" i="24"/>
  <c r="E22" i="24"/>
  <c r="F21" i="24"/>
  <c r="E23" i="24" l="1"/>
  <c r="F22" i="24"/>
  <c r="E24" i="24" l="1"/>
  <c r="F23" i="24"/>
  <c r="E25" i="24" l="1"/>
  <c r="F24" i="24"/>
  <c r="E26" i="24" l="1"/>
  <c r="F25" i="24"/>
  <c r="E27" i="24" l="1"/>
  <c r="F26" i="24"/>
  <c r="E28" i="24" l="1"/>
  <c r="F27" i="24"/>
  <c r="F28" i="24" l="1"/>
  <c r="E29" i="24"/>
  <c r="F29" i="24" l="1"/>
  <c r="E30" i="24"/>
  <c r="E31" i="24" l="1"/>
  <c r="F30" i="24"/>
  <c r="E32" i="24" l="1"/>
  <c r="F31" i="24"/>
  <c r="E33" i="24" l="1"/>
  <c r="F32" i="24"/>
  <c r="E34" i="24" l="1"/>
  <c r="F33" i="24"/>
  <c r="F34" i="24" l="1"/>
  <c r="E35" i="24"/>
  <c r="F35" i="24" l="1"/>
  <c r="E36" i="24"/>
  <c r="E37" i="24" l="1"/>
  <c r="F36" i="24"/>
  <c r="E38" i="24" l="1"/>
  <c r="F37" i="24"/>
  <c r="E39" i="24" l="1"/>
  <c r="F38" i="24"/>
  <c r="E40" i="24" l="1"/>
  <c r="F39" i="24"/>
  <c r="E41" i="24" l="1"/>
  <c r="F40" i="24"/>
  <c r="F41" i="24" l="1"/>
  <c r="E42" i="24"/>
  <c r="E43" i="24" l="1"/>
  <c r="F42" i="24"/>
  <c r="E44" i="24" l="1"/>
  <c r="F43" i="24"/>
  <c r="E45" i="24" l="1"/>
  <c r="F44" i="24"/>
  <c r="E46" i="24" l="1"/>
  <c r="F45" i="24"/>
  <c r="E47" i="24" l="1"/>
  <c r="F46" i="24"/>
  <c r="E48" i="24" l="1"/>
  <c r="F47" i="24"/>
  <c r="E49" i="24" l="1"/>
  <c r="F48" i="24"/>
  <c r="E50" i="24" l="1"/>
  <c r="F49" i="24"/>
  <c r="F50" i="24" l="1"/>
  <c r="E51" i="24"/>
  <c r="E52" i="24" l="1"/>
  <c r="F51" i="24"/>
  <c r="E53" i="24" l="1"/>
  <c r="F52" i="24"/>
  <c r="E54" i="24" l="1"/>
  <c r="F53" i="24"/>
  <c r="E55" i="24" l="1"/>
  <c r="F54" i="24"/>
  <c r="E56" i="24" l="1"/>
  <c r="F55" i="24"/>
  <c r="E57" i="24" l="1"/>
  <c r="F56" i="24"/>
  <c r="E58" i="24" l="1"/>
  <c r="F57" i="24"/>
  <c r="F58" i="24" l="1"/>
  <c r="E59" i="24"/>
  <c r="E60" i="24" l="1"/>
  <c r="F59" i="24"/>
  <c r="E61" i="24" l="1"/>
  <c r="F60" i="24"/>
  <c r="F61" i="24" l="1"/>
  <c r="E62" i="24"/>
  <c r="E63" i="24" l="1"/>
  <c r="F62" i="24"/>
  <c r="E64" i="24" l="1"/>
  <c r="F63" i="24"/>
  <c r="E65" i="24" l="1"/>
  <c r="F64" i="24"/>
  <c r="E66" i="24" l="1"/>
  <c r="F65" i="24"/>
  <c r="E67" i="24" l="1"/>
  <c r="F66" i="24"/>
  <c r="E68" i="24" l="1"/>
  <c r="F67" i="24"/>
  <c r="E69" i="24" l="1"/>
  <c r="F68" i="24"/>
  <c r="E70" i="24" l="1"/>
  <c r="F69" i="24"/>
  <c r="F70" i="24" l="1"/>
  <c r="E71" i="24"/>
  <c r="E72" i="24" l="1"/>
  <c r="F71" i="24"/>
  <c r="E73" i="24" l="1"/>
  <c r="F72" i="24"/>
  <c r="E74" i="24" l="1"/>
  <c r="F73" i="24"/>
  <c r="E75" i="24" l="1"/>
  <c r="F74" i="24"/>
  <c r="E76" i="24" l="1"/>
  <c r="F75" i="24"/>
  <c r="E77" i="24" l="1"/>
  <c r="F76" i="24"/>
  <c r="E78" i="24" l="1"/>
  <c r="F77" i="24"/>
  <c r="E79" i="24" l="1"/>
  <c r="F78" i="24"/>
  <c r="F79" i="24" l="1"/>
  <c r="E80" i="24"/>
  <c r="E81" i="24" l="1"/>
  <c r="F80" i="24"/>
  <c r="E82" i="24" l="1"/>
  <c r="F81" i="24"/>
  <c r="E83" i="24" l="1"/>
  <c r="F82" i="24"/>
  <c r="E84" i="24" l="1"/>
  <c r="F83" i="24"/>
  <c r="E85" i="24" l="1"/>
  <c r="F84" i="24"/>
  <c r="E86" i="24" l="1"/>
  <c r="F85" i="24"/>
  <c r="E87" i="24" l="1"/>
  <c r="F86" i="24"/>
  <c r="E88" i="24" l="1"/>
  <c r="F87" i="24"/>
  <c r="E89" i="24" l="1"/>
  <c r="F88" i="24"/>
  <c r="E90" i="24" l="1"/>
  <c r="F89" i="24"/>
  <c r="E91" i="24" l="1"/>
  <c r="F90" i="24"/>
  <c r="E92" i="24" l="1"/>
  <c r="F91" i="24"/>
  <c r="E93" i="24" l="1"/>
  <c r="F92" i="24"/>
  <c r="E94" i="24" l="1"/>
  <c r="F93" i="24"/>
  <c r="E95" i="24" l="1"/>
  <c r="F94" i="24"/>
  <c r="D133" i="24" s="1"/>
  <c r="D134" i="24" l="1"/>
  <c r="F133" i="24"/>
  <c r="E96" i="24"/>
  <c r="F95" i="24"/>
  <c r="E97" i="24" l="1"/>
  <c r="F96" i="24"/>
  <c r="D135" i="24"/>
  <c r="F134" i="24"/>
  <c r="D136" i="24" l="1"/>
  <c r="F135" i="24"/>
  <c r="E98" i="24"/>
  <c r="F97" i="24"/>
  <c r="E99" i="24" l="1"/>
  <c r="F98" i="24"/>
  <c r="F136" i="24"/>
  <c r="D137" i="24"/>
  <c r="D138" i="24" l="1"/>
  <c r="F137" i="24"/>
  <c r="F99" i="24"/>
  <c r="E100" i="24"/>
  <c r="E101" i="24" l="1"/>
  <c r="F100" i="24"/>
  <c r="D139" i="24"/>
  <c r="F138" i="24"/>
  <c r="F139" i="24" l="1"/>
  <c r="F140" i="24" s="1"/>
  <c r="D140" i="24"/>
  <c r="E142" i="24" s="1"/>
  <c r="E143" i="24" s="1"/>
  <c r="F101" i="24"/>
  <c r="E102" i="24"/>
  <c r="E103" i="24" l="1"/>
  <c r="F102" i="24"/>
  <c r="E104" i="24" l="1"/>
  <c r="F103" i="24"/>
  <c r="F104" i="24" l="1"/>
  <c r="E105" i="24"/>
  <c r="F105" i="24" l="1"/>
  <c r="E106" i="24"/>
  <c r="E107" i="24" l="1"/>
  <c r="F106" i="24"/>
  <c r="E108" i="24" l="1"/>
  <c r="F107" i="24"/>
  <c r="E109" i="24" l="1"/>
  <c r="F108" i="24"/>
  <c r="E110" i="24" l="1"/>
  <c r="F109" i="24"/>
  <c r="E111" i="24" l="1"/>
  <c r="F110" i="24"/>
  <c r="F111" i="24" l="1"/>
  <c r="E112" i="24"/>
  <c r="F112" i="24" l="1"/>
  <c r="E113" i="24"/>
  <c r="E114" i="24" l="1"/>
  <c r="F113" i="24"/>
  <c r="E115" i="24" l="1"/>
  <c r="F114" i="24"/>
  <c r="F115" i="24" l="1"/>
  <c r="E116" i="24"/>
  <c r="F116" i="24" l="1"/>
  <c r="E117" i="24"/>
  <c r="F117" i="24" l="1"/>
  <c r="E118" i="24"/>
  <c r="F118" i="24" l="1"/>
  <c r="E119" i="24"/>
  <c r="F119" i="24" l="1"/>
  <c r="E120" i="24"/>
  <c r="F120" i="24" l="1"/>
  <c r="E121" i="24"/>
  <c r="F121" i="24" l="1"/>
  <c r="E122" i="24"/>
  <c r="F122" i="24" l="1"/>
  <c r="E123" i="24"/>
  <c r="F123" i="24" l="1"/>
  <c r="E124" i="24"/>
  <c r="F124" i="24" l="1"/>
  <c r="E125" i="24"/>
  <c r="F125" i="24" l="1"/>
  <c r="E126" i="24"/>
  <c r="F126" i="24" l="1"/>
  <c r="E127" i="24"/>
  <c r="F127" i="24" l="1"/>
  <c r="E128" i="24"/>
  <c r="F128" i="24" l="1"/>
  <c r="E129" i="24"/>
  <c r="F129" i="24" l="1"/>
  <c r="E130" i="24"/>
  <c r="F130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tc={14E496CD-CFA0-4AD7-8EBF-2FB0C18CC63A}</author>
  </authors>
  <commentList>
    <comment ref="C110" authorId="0" shapeId="0" xr:uid="{14E496CD-CFA0-4AD7-8EBF-2FB0C18CC6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Agregado
Respuesta:
    Allí agregue la operación de hoy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tc={744F7DC4-8935-49EE-B7F4-364D62772388}</author>
  </authors>
  <commentList>
    <comment ref="F114" authorId="0" shapeId="0" xr:uid="{744F7DC4-8935-49EE-B7F4-364D627723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están teniendo en cuenta la OP de MERCADO - verificar eso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E106A6-51D0-493B-AB9C-5F9E35ECCD4C}" keepAlive="1" name="Consulta - pond" description="Conexión a la consulta 'pond' en el libro." type="5" refreshedVersion="8" background="1" saveData="1">
    <dbPr connection="Provider=Microsoft.Mashup.OleDb.1;Data Source=$Workbook$;Location=pond;Extended Properties=&quot;&quot;" command="SELECT * FROM [pon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<sst xmlns="http://schemas.openxmlformats.org/spreadsheetml/2006/main" count="3095" uniqueCount="576">
  <si>
    <t>Año</t>
  </si>
  <si>
    <t>Valor de giro</t>
  </si>
  <si>
    <t>Efecto cupón</t>
  </si>
  <si>
    <t>Indexaciones</t>
  </si>
  <si>
    <t>COP</t>
  </si>
  <si>
    <t>TUVT17230223</t>
  </si>
  <si>
    <t>UVR</t>
  </si>
  <si>
    <t>TFIT16240724</t>
  </si>
  <si>
    <t>Macro Canjes</t>
  </si>
  <si>
    <t>Efecto fiscal neto como % del monto canjeado</t>
  </si>
  <si>
    <t>Micro Canjes</t>
  </si>
  <si>
    <t>DGCPTN</t>
  </si>
  <si>
    <t>Mercado</t>
  </si>
  <si>
    <t>año</t>
  </si>
  <si>
    <t>Operación</t>
  </si>
  <si>
    <t>Canje</t>
  </si>
  <si>
    <t>Etiqueta</t>
  </si>
  <si>
    <t>Denomicación canjeada 2022</t>
  </si>
  <si>
    <t>Fecha</t>
  </si>
  <si>
    <t>Monto Canejado (MC)</t>
  </si>
  <si>
    <t>Valor de giro (Eje Izquierdo)</t>
  </si>
  <si>
    <t>Efecto cupones (Eje Izquierdo)</t>
  </si>
  <si>
    <t>Costo Fiscal Neto (CFN)</t>
  </si>
  <si>
    <t>Indexaciones (Eje Izquierdo)</t>
  </si>
  <si>
    <t>CFN+IND</t>
  </si>
  <si>
    <t>Saldo de la deuda (Eje izquierdo)</t>
  </si>
  <si>
    <t>Resultado General</t>
  </si>
  <si>
    <t>CFN/MC</t>
  </si>
  <si>
    <t>CFN+INX/mc</t>
  </si>
  <si>
    <t>Ponderación</t>
  </si>
  <si>
    <t>CFN Riesgo</t>
  </si>
  <si>
    <t>Costo Oportunidad Riesgo</t>
  </si>
  <si>
    <t>Suma de efectos</t>
  </si>
  <si>
    <t>Efecto fiscal neto (tesorería)</t>
  </si>
  <si>
    <t>Efecto fiscal neto (mercado)</t>
  </si>
  <si>
    <t>Efecto fiscal neto como % del monto canjeado (eje derecho)</t>
  </si>
  <si>
    <t>Max</t>
  </si>
  <si>
    <t>Min</t>
  </si>
  <si>
    <t>Maduración</t>
  </si>
  <si>
    <t>Valor a girar % MC</t>
  </si>
  <si>
    <t>20-sep-11</t>
  </si>
  <si>
    <t>2-oct-14</t>
  </si>
  <si>
    <t>Tesorería</t>
  </si>
  <si>
    <t>17-may-16</t>
  </si>
  <si>
    <t>4-oct-18</t>
  </si>
  <si>
    <t>Mercado/mix</t>
  </si>
  <si>
    <t>19-mar-19</t>
  </si>
  <si>
    <t>22-oct-19</t>
  </si>
  <si>
    <t>23-abr-20</t>
  </si>
  <si>
    <t>12-may-20</t>
  </si>
  <si>
    <t>14-may-20</t>
  </si>
  <si>
    <t>20-may-20</t>
  </si>
  <si>
    <t>21-jul-20</t>
  </si>
  <si>
    <t>4-sep-20</t>
  </si>
  <si>
    <t>22-oct-20</t>
  </si>
  <si>
    <t>16-dic-20</t>
  </si>
  <si>
    <t>12-mar-21</t>
  </si>
  <si>
    <t>13-ago-21</t>
  </si>
  <si>
    <t>26-ago-21</t>
  </si>
  <si>
    <t>21-sep-21</t>
  </si>
  <si>
    <t>1-oct-21</t>
  </si>
  <si>
    <t>22-oct-21</t>
  </si>
  <si>
    <t>13-dic-21</t>
  </si>
  <si>
    <t>14-mar-22</t>
  </si>
  <si>
    <t>15-mar-22</t>
  </si>
  <si>
    <t>16-mar-22</t>
  </si>
  <si>
    <t>17-mar-22</t>
  </si>
  <si>
    <t>18-mar-22</t>
  </si>
  <si>
    <t>29-mar-22</t>
  </si>
  <si>
    <t>30-mar-22</t>
  </si>
  <si>
    <t>31-mar-22</t>
  </si>
  <si>
    <t>1-abr-22</t>
  </si>
  <si>
    <t>4-abr-22</t>
  </si>
  <si>
    <t>5-abr-22</t>
  </si>
  <si>
    <t>6-abr-22</t>
  </si>
  <si>
    <t>7-abr-22</t>
  </si>
  <si>
    <t>8-abr-22</t>
  </si>
  <si>
    <t>19-abr-22</t>
  </si>
  <si>
    <t>16-may-22</t>
  </si>
  <si>
    <t>17-may-22</t>
  </si>
  <si>
    <t>18-may-22</t>
  </si>
  <si>
    <t>19-may-22</t>
  </si>
  <si>
    <t>23-may-22</t>
  </si>
  <si>
    <t>24-may-22</t>
  </si>
  <si>
    <t>25-may-22</t>
  </si>
  <si>
    <t>26-may-22</t>
  </si>
  <si>
    <t>27-may-22</t>
  </si>
  <si>
    <t>31-may-22</t>
  </si>
  <si>
    <t>1-jun-22</t>
  </si>
  <si>
    <t>2-jun-22</t>
  </si>
  <si>
    <t>3-jun-22</t>
  </si>
  <si>
    <t>7-jun-22</t>
  </si>
  <si>
    <t>8-jun-22</t>
  </si>
  <si>
    <t>9-jun-22</t>
  </si>
  <si>
    <t>5-jul-22</t>
  </si>
  <si>
    <t>7-jul-22</t>
  </si>
  <si>
    <t>7-sep-22</t>
  </si>
  <si>
    <t>8-sep-22</t>
  </si>
  <si>
    <t>9-sep-22</t>
  </si>
  <si>
    <t>12-sep-22</t>
  </si>
  <si>
    <t>14-sep-22</t>
  </si>
  <si>
    <t>15-sep-22</t>
  </si>
  <si>
    <t>16-sep-22</t>
  </si>
  <si>
    <t>19-sep-22</t>
  </si>
  <si>
    <t>20-sep-22</t>
  </si>
  <si>
    <t>21-sep-22</t>
  </si>
  <si>
    <t>22-sep-22</t>
  </si>
  <si>
    <t>23-sep-22</t>
  </si>
  <si>
    <t>27-sep-22</t>
  </si>
  <si>
    <t>28-sep-22</t>
  </si>
  <si>
    <t>29-sep-22</t>
  </si>
  <si>
    <t>3-oct-22</t>
  </si>
  <si>
    <t>4-oct-22</t>
  </si>
  <si>
    <t>5-oct-22</t>
  </si>
  <si>
    <t>12-oct-22</t>
  </si>
  <si>
    <t>13-oct-22</t>
  </si>
  <si>
    <t>18-oct-22</t>
  </si>
  <si>
    <t>10-nov-22</t>
  </si>
  <si>
    <t>15-nov-22</t>
  </si>
  <si>
    <t>16-nov-22</t>
  </si>
  <si>
    <t>22-nov-22</t>
  </si>
  <si>
    <t>23-nov-22</t>
  </si>
  <si>
    <t>24-nov-22</t>
  </si>
  <si>
    <t>25-nov-22</t>
  </si>
  <si>
    <t>29-nov-22</t>
  </si>
  <si>
    <t>1-dic-22</t>
  </si>
  <si>
    <t>2-dic-22</t>
  </si>
  <si>
    <t>5-nov-22</t>
  </si>
  <si>
    <t>6-nov-22</t>
  </si>
  <si>
    <t>7-dic-22</t>
  </si>
  <si>
    <t>12-dic-22</t>
  </si>
  <si>
    <t>13-dic-22</t>
  </si>
  <si>
    <t>22-dic-22</t>
  </si>
  <si>
    <t>24-mar-23</t>
  </si>
  <si>
    <t>27-mar-23</t>
  </si>
  <si>
    <t>28-mar-23</t>
  </si>
  <si>
    <t>29-mar-23</t>
  </si>
  <si>
    <t>30-mar-23</t>
  </si>
  <si>
    <t>31-mar-23</t>
  </si>
  <si>
    <t>3-abr-23</t>
  </si>
  <si>
    <t>4-abr-23</t>
  </si>
  <si>
    <t>10-abr-23</t>
  </si>
  <si>
    <t>11-abr-23</t>
  </si>
  <si>
    <t>12-abr-23</t>
  </si>
  <si>
    <t>14-abr-23</t>
  </si>
  <si>
    <t>PROMEDIO</t>
  </si>
  <si>
    <t>Correlación</t>
  </si>
  <si>
    <t>Se cumple, pero las magnitudes son pequeñas</t>
  </si>
  <si>
    <t>Sin embargo, aumento de tasas generalizado</t>
  </si>
  <si>
    <t>Valor a girar aumentado por FONCONTIN</t>
  </si>
  <si>
    <t>Causación</t>
  </si>
  <si>
    <t>Caja</t>
  </si>
  <si>
    <t>Efecto cupones 2.0 (Eje Izquierdo)</t>
  </si>
  <si>
    <t>Costo OP I+D</t>
  </si>
  <si>
    <t>CPD año en curso</t>
  </si>
  <si>
    <t>CPD siguiente año</t>
  </si>
  <si>
    <t>*19-mar-19</t>
  </si>
  <si>
    <t>11-sep-20 (1)</t>
  </si>
  <si>
    <t>11-sep-20 (2)</t>
  </si>
  <si>
    <t>19-abr-23</t>
  </si>
  <si>
    <t>20-abr-23</t>
  </si>
  <si>
    <t>Fecha Cumplimiento y/ liquidacion</t>
  </si>
  <si>
    <t>Concepto</t>
  </si>
  <si>
    <t>Nemotécnico</t>
  </si>
  <si>
    <t>Denom</t>
  </si>
  <si>
    <t>Plazo</t>
  </si>
  <si>
    <t>Fecha Emision</t>
  </si>
  <si>
    <t>Fecha Vto</t>
  </si>
  <si>
    <t>Cupon</t>
  </si>
  <si>
    <t>Tasa de Corte (%)</t>
  </si>
  <si>
    <t>Precio Sucio</t>
  </si>
  <si>
    <t>Precio Limpio</t>
  </si>
  <si>
    <t>Intereses acumulados</t>
  </si>
  <si>
    <t>Intereses por devengar</t>
  </si>
  <si>
    <t>Valor Nominal</t>
  </si>
  <si>
    <t>Valor Costo</t>
  </si>
  <si>
    <t>Nominal COP</t>
  </si>
  <si>
    <t>Verificador fecha y nemotécnico</t>
  </si>
  <si>
    <t>Costo COP</t>
  </si>
  <si>
    <t>Efectos cupón</t>
  </si>
  <si>
    <t>Efecto Cupón (Signo)</t>
  </si>
  <si>
    <t>Costo Fiscal</t>
  </si>
  <si>
    <t>Saldo de la deuda</t>
  </si>
  <si>
    <t xml:space="preserve">Inflación </t>
  </si>
  <si>
    <t>UVR (Fin de periodo)</t>
  </si>
  <si>
    <t>Delta_UVR</t>
  </si>
  <si>
    <t>% de cupón x devengar</t>
  </si>
  <si>
    <t>Nuevo efecto cupón</t>
  </si>
  <si>
    <t>Maduración signo</t>
  </si>
  <si>
    <t>Próximo cupón</t>
  </si>
  <si>
    <t>% de cupón x devengar a 31 de diciembre</t>
  </si>
  <si>
    <t>% de cupón x devengar a vencimiento del próximo año</t>
  </si>
  <si>
    <t>Cupón en año en curso</t>
  </si>
  <si>
    <t>Cupón en siguiente año</t>
  </si>
  <si>
    <t>Títulos Recogidos por la Nación</t>
  </si>
  <si>
    <t>Títulos Entregados por la Nación</t>
  </si>
  <si>
    <t>TFIT16181034</t>
  </si>
  <si>
    <t>TFIT16300632</t>
  </si>
  <si>
    <t>TUVT18250237</t>
  </si>
  <si>
    <t>TFIT16180930</t>
  </si>
  <si>
    <t>Banco República</t>
  </si>
  <si>
    <t>TUVT20040435</t>
  </si>
  <si>
    <t>Caja Honor</t>
  </si>
  <si>
    <t>TFIT08031127</t>
  </si>
  <si>
    <t>TUVT10180429</t>
  </si>
  <si>
    <t>TUVT11170327</t>
  </si>
  <si>
    <t>TUVT20250333</t>
  </si>
  <si>
    <t>TFIT10260331</t>
  </si>
  <si>
    <t>TUVT11070525</t>
  </si>
  <si>
    <t>TFIT21280542</t>
  </si>
  <si>
    <t xml:space="preserve"> </t>
  </si>
  <si>
    <t>TFIT15260826</t>
  </si>
  <si>
    <t>TFIT16280428</t>
  </si>
  <si>
    <t>TFIT11090233</t>
  </si>
  <si>
    <t>Valor Nominal Inicio Día (Interna)</t>
  </si>
  <si>
    <t>OMDs</t>
  </si>
  <si>
    <t>Valor Nominal Estimado</t>
  </si>
  <si>
    <t>Faltante para cumpli nominal de  $12,157,000 millones</t>
  </si>
  <si>
    <t xml:space="preserve"> Total OMD </t>
  </si>
  <si>
    <t>Semana</t>
  </si>
  <si>
    <t>Presupuestado</t>
  </si>
  <si>
    <t>Ejecutado</t>
  </si>
  <si>
    <t>Diferencia</t>
  </si>
  <si>
    <t>Semana 11-15 de sep</t>
  </si>
  <si>
    <t>Semana 18-22 de sep</t>
  </si>
  <si>
    <t>Semana 25-29 de sep</t>
  </si>
  <si>
    <t>Semana 02-06 de oct</t>
  </si>
  <si>
    <t>Semana 09-13 de oct</t>
  </si>
  <si>
    <t>Semana 16-20 de oct</t>
  </si>
  <si>
    <t>Semana 23-27 de oct</t>
  </si>
  <si>
    <t>Minimo monto OMD</t>
  </si>
  <si>
    <t>Porcentaje Ejecutado</t>
  </si>
  <si>
    <t>Porcentaje por Ejecutar</t>
  </si>
  <si>
    <t>Semana 30 de oct - 3 de sep</t>
  </si>
  <si>
    <t>Monto Ejecutado</t>
  </si>
  <si>
    <t>https://www.banrep.gov.co/es/estadisticas/inflacion-total-y-meta</t>
  </si>
  <si>
    <t>Inflación</t>
  </si>
  <si>
    <t>Precio sucio</t>
  </si>
  <si>
    <t>Tesoreria</t>
  </si>
  <si>
    <t>338,000,000,000</t>
  </si>
  <si>
    <t>358,601,100,000</t>
  </si>
  <si>
    <t>40,000,000,000</t>
  </si>
  <si>
    <t>34,205,600,000</t>
  </si>
  <si>
    <t>258,000,000,000</t>
  </si>
  <si>
    <t>279,950,640,000</t>
  </si>
  <si>
    <t>33,853,200,000</t>
  </si>
  <si>
    <t>306,000,000,000</t>
  </si>
  <si>
    <t>324,479,340,000</t>
  </si>
  <si>
    <t>34,092,400,000</t>
  </si>
  <si>
    <t>29,830,850,000</t>
  </si>
  <si>
    <t>279,875,820,000</t>
  </si>
  <si>
    <t>256,010,440,000</t>
  </si>
  <si>
    <t>33,995,200,000</t>
  </si>
  <si>
    <t>29,745,800,000</t>
  </si>
  <si>
    <t>299,000,000,000</t>
  </si>
  <si>
    <t>317,352,620,000</t>
  </si>
  <si>
    <t>34,097,200,000</t>
  </si>
  <si>
    <t>21,310,750,000</t>
  </si>
  <si>
    <t>279,491,400,000</t>
  </si>
  <si>
    <t>269,741,700,000</t>
  </si>
  <si>
    <t>34,020,400,000</t>
  </si>
  <si>
    <t>21,262,750,000</t>
  </si>
  <si>
    <t>301,500,000,000</t>
  </si>
  <si>
    <t>320,376,915,000</t>
  </si>
  <si>
    <t>34,128,000,000</t>
  </si>
  <si>
    <t>17,064,000,000</t>
  </si>
  <si>
    <t>280,446,000,000</t>
  </si>
  <si>
    <t>283,707,000,000</t>
  </si>
  <si>
    <t>34,146,400,000</t>
  </si>
  <si>
    <t>17,500,030,000</t>
  </si>
  <si>
    <t>535,000,000,000</t>
  </si>
  <si>
    <t>567,886,450,000</t>
  </si>
  <si>
    <t>34,150,800,000</t>
  </si>
  <si>
    <t>280,487,280,000</t>
  </si>
  <si>
    <t>494,657,800,000</t>
  </si>
  <si>
    <t>34,230,400,000</t>
  </si>
  <si>
    <t>246,000,000,000</t>
  </si>
  <si>
    <t>261,431,580,000</t>
  </si>
  <si>
    <t>15,000,000,000</t>
  </si>
  <si>
    <t>12,858,750,000</t>
  </si>
  <si>
    <t>216,000,000,000</t>
  </si>
  <si>
    <t>235,040,400,000</t>
  </si>
  <si>
    <t>12,983,850,000</t>
  </si>
  <si>
    <t>Efecto cupones</t>
  </si>
  <si>
    <t>Titulo</t>
  </si>
  <si>
    <t>Tipo Plazo</t>
  </si>
  <si>
    <t>Moneda</t>
  </si>
  <si>
    <t>Emisión</t>
  </si>
  <si>
    <t>Mnemotécnico SEN</t>
  </si>
  <si>
    <t>Fecha Inicio Vigencia</t>
  </si>
  <si>
    <t>Fecha Vencim.</t>
  </si>
  <si>
    <t>Tasa de Interés</t>
  </si>
  <si>
    <t>Tasa Spread</t>
  </si>
  <si>
    <t>Signo</t>
  </si>
  <si>
    <t>Periodo Interés</t>
  </si>
  <si>
    <t>Tipo</t>
  </si>
  <si>
    <t>Código ISIN</t>
  </si>
  <si>
    <t>Código CFI</t>
  </si>
  <si>
    <t>Saldo en Circulación</t>
  </si>
  <si>
    <t xml:space="preserve">Base de Ponderación  </t>
  </si>
  <si>
    <t>Conteo de Plazo</t>
  </si>
  <si>
    <t>Modo de Pago</t>
  </si>
  <si>
    <t>DBFTFR</t>
  </si>
  <si>
    <t>A</t>
  </si>
  <si>
    <t xml:space="preserve">FIJA </t>
  </si>
  <si>
    <t xml:space="preserve">COL17CT02385        </t>
  </si>
  <si>
    <t>DMFTFR</t>
  </si>
  <si>
    <t xml:space="preserve">Comercial </t>
  </si>
  <si>
    <t xml:space="preserve">Vencido   </t>
  </si>
  <si>
    <t>TFIT08261125</t>
  </si>
  <si>
    <t xml:space="preserve">COL17CT03557        </t>
  </si>
  <si>
    <t xml:space="preserve">COL17CT02625        </t>
  </si>
  <si>
    <t xml:space="preserve">COL17CT03672        </t>
  </si>
  <si>
    <t xml:space="preserve">COL17CT02914        </t>
  </si>
  <si>
    <t xml:space="preserve">COL17CT03342        </t>
  </si>
  <si>
    <t xml:space="preserve">COL17CT03771        </t>
  </si>
  <si>
    <t>TFVT10260331</t>
  </si>
  <si>
    <t xml:space="preserve">COL17CT03797        </t>
  </si>
  <si>
    <t xml:space="preserve">COL17CT03490        </t>
  </si>
  <si>
    <t xml:space="preserve">COL17CT03862        </t>
  </si>
  <si>
    <t xml:space="preserve">COL17CT03615        </t>
  </si>
  <si>
    <t>TFIT16090736</t>
  </si>
  <si>
    <t xml:space="preserve">COL17CT03748        </t>
  </si>
  <si>
    <t xml:space="preserve">COL17CT03813        </t>
  </si>
  <si>
    <t>TFIT31261050</t>
  </si>
  <si>
    <t xml:space="preserve">COL17CT03722        </t>
  </si>
  <si>
    <t xml:space="preserve">COL17CT02088        </t>
  </si>
  <si>
    <t xml:space="preserve">COL17CT03359        </t>
  </si>
  <si>
    <t xml:space="preserve">COL17CT03508        </t>
  </si>
  <si>
    <t xml:space="preserve">COL17CT03680        </t>
  </si>
  <si>
    <t xml:space="preserve">COL17CT02963        </t>
  </si>
  <si>
    <t xml:space="preserve">COL17CT03441        </t>
  </si>
  <si>
    <t xml:space="preserve">COL17CT03623        </t>
  </si>
  <si>
    <t>TUVT32160649</t>
  </si>
  <si>
    <t xml:space="preserve">COL17CT03565        </t>
  </si>
  <si>
    <t>Fecha (dd/mm/aaaa)</t>
  </si>
  <si>
    <t>Pesos colombianos por UVR</t>
  </si>
  <si>
    <t>Variación anual porcentual %</t>
  </si>
  <si>
    <t>Composición</t>
  </si>
  <si>
    <t>Resumen de las operaciones por canasta 2022</t>
  </si>
  <si>
    <t>Recibidos</t>
  </si>
  <si>
    <t>Criterio</t>
  </si>
  <si>
    <t>COP-22</t>
  </si>
  <si>
    <t>UVR-23</t>
  </si>
  <si>
    <t>Entregados</t>
  </si>
  <si>
    <t>UVR-35</t>
  </si>
  <si>
    <t>UVR-37</t>
  </si>
  <si>
    <t>Indexación</t>
  </si>
  <si>
    <t>COP-42</t>
  </si>
  <si>
    <t>Monto Canjeado</t>
  </si>
  <si>
    <t>EFN/MC</t>
  </si>
  <si>
    <t>Datos hasta el 19 de abril del 2022</t>
  </si>
  <si>
    <t>Todo el año</t>
  </si>
  <si>
    <t>Semana 17-20 de oct</t>
  </si>
  <si>
    <t>Cifras en Millones</t>
  </si>
  <si>
    <t>Operación2</t>
  </si>
  <si>
    <t>Costo Fiscal Neto</t>
  </si>
  <si>
    <t>Efecto Fiscal Neto (EFN)</t>
  </si>
  <si>
    <t>VERIFICADOR</t>
  </si>
  <si>
    <t>PESOS</t>
  </si>
  <si>
    <t>TFIT23250746</t>
  </si>
  <si>
    <t>COL17CT03938</t>
  </si>
  <si>
    <t>COP/UVR</t>
  </si>
  <si>
    <t>UVR (Fin de periodo)2</t>
  </si>
  <si>
    <t>Indexaciones2</t>
  </si>
  <si>
    <t>Monto Canejado (COP)</t>
  </si>
  <si>
    <t>Monto Canejado (UVR)</t>
  </si>
  <si>
    <t/>
  </si>
  <si>
    <t>CORRECTO</t>
  </si>
  <si>
    <t>ALERTA</t>
  </si>
  <si>
    <t>Fecha Publicación</t>
  </si>
  <si>
    <t>TUVT17200341</t>
  </si>
  <si>
    <t>COL17CT03961</t>
  </si>
  <si>
    <t>TUVT31190555</t>
  </si>
  <si>
    <t>COL17CT03979</t>
  </si>
  <si>
    <t>tasa cop</t>
  </si>
  <si>
    <t>PLAZO UVR</t>
  </si>
  <si>
    <t>Tasa ponder uvr</t>
  </si>
  <si>
    <t>=+G3+((H3-G3)*((I4-$E$3)/(F3-E3)))</t>
  </si>
  <si>
    <t>Parti</t>
  </si>
  <si>
    <t>COP-2026</t>
  </si>
  <si>
    <t>COP-2027</t>
  </si>
  <si>
    <t>COP-2028</t>
  </si>
  <si>
    <t>COP-2030</t>
  </si>
  <si>
    <t>COP-2031</t>
  </si>
  <si>
    <t>COP-2032</t>
  </si>
  <si>
    <t>COP-2033</t>
  </si>
  <si>
    <t>COP-2034</t>
  </si>
  <si>
    <t>COP-2036</t>
  </si>
  <si>
    <t>COP-2042</t>
  </si>
  <si>
    <t>COP-2046</t>
  </si>
  <si>
    <t>COP-2050</t>
  </si>
  <si>
    <t>UVR-2025</t>
  </si>
  <si>
    <t>UVR-2027</t>
  </si>
  <si>
    <t>UVR-2029</t>
  </si>
  <si>
    <t>UVR-2033</t>
  </si>
  <si>
    <t>UVR-2035</t>
  </si>
  <si>
    <t>UVR-2037</t>
  </si>
  <si>
    <t>UVR-2049</t>
  </si>
  <si>
    <t>Diás H. V-COP-2026</t>
  </si>
  <si>
    <t>Diás H. V-COP-2027</t>
  </si>
  <si>
    <t>Diás H. V-COP-2028</t>
  </si>
  <si>
    <t>Diás H. V-COP-2030</t>
  </si>
  <si>
    <t>Diás H. V-COP-2031</t>
  </si>
  <si>
    <t>Diás H. V-COP-2032</t>
  </si>
  <si>
    <t>Diás H. V-COP-2033</t>
  </si>
  <si>
    <t>Diás H. V-COP-2034</t>
  </si>
  <si>
    <t>Diás H. V-COP-2036</t>
  </si>
  <si>
    <t>Diás H. V-COP-2042</t>
  </si>
  <si>
    <t>Diás H. V-COP-2046</t>
  </si>
  <si>
    <t>Diás H. V-COP-2050</t>
  </si>
  <si>
    <t>Diás H. V-UVR-2025</t>
  </si>
  <si>
    <t>Diás H. V-UVR-2027</t>
  </si>
  <si>
    <t>Diás H. V-UVR-2029</t>
  </si>
  <si>
    <t>Diás H. V-UVR-2033</t>
  </si>
  <si>
    <t>Diás H. V-UVR-2035</t>
  </si>
  <si>
    <t>Diás H. V-UVR-2037</t>
  </si>
  <si>
    <t>Diás H. V-UVR-2049</t>
  </si>
  <si>
    <t>Pon-UVR</t>
  </si>
  <si>
    <t>Pon - COP</t>
  </si>
  <si>
    <t>Plazo COP</t>
  </si>
  <si>
    <t>Plazo UVR</t>
  </si>
  <si>
    <t>Yield-COP-2026</t>
  </si>
  <si>
    <t>Yield-COP-2027</t>
  </si>
  <si>
    <t>Yield-COP-2028</t>
  </si>
  <si>
    <t>Yield-COP-2030</t>
  </si>
  <si>
    <t>Yield-COP-2031</t>
  </si>
  <si>
    <t>Yield-COP-2032</t>
  </si>
  <si>
    <t>Yield-COP-2033</t>
  </si>
  <si>
    <t>Yield-COP-2034</t>
  </si>
  <si>
    <t>Yield-COP-2036</t>
  </si>
  <si>
    <t>Yield-COP-2042</t>
  </si>
  <si>
    <t>Yield-COP-2046</t>
  </si>
  <si>
    <t>Yield-COP-2050</t>
  </si>
  <si>
    <t>Yield-UVR-2027</t>
  </si>
  <si>
    <t>Yield-UVR-2029</t>
  </si>
  <si>
    <t>Yield-UVR-2033</t>
  </si>
  <si>
    <t>Yield-UVR-2035</t>
  </si>
  <si>
    <t>Yield-UVR-2037</t>
  </si>
  <si>
    <t>Yield-UVR-2049</t>
  </si>
  <si>
    <t>Tasa ponderada UVR</t>
  </si>
  <si>
    <t>Costo de Oportunidad</t>
  </si>
  <si>
    <t>¿calcular fechas de vencimientos</t>
  </si>
  <si>
    <t>is UVR = POR SU PONB</t>
  </si>
  <si>
    <t>Mes</t>
  </si>
  <si>
    <t xml:space="preserve">Supuesto 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</si>
  <si>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</si>
  <si>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</si>
  <si>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</si>
  <si>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</si>
  <si>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</si>
  <si>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</si>
  <si>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</si>
  <si>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</si>
  <si>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</si>
  <si>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</si>
  <si>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</si>
  <si>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</si>
  <si>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Yield-UVR-2041</t>
  </si>
  <si>
    <t>Yield-UVR-2055</t>
  </si>
  <si>
    <t>UVR-2041</t>
  </si>
  <si>
    <t>UVR-2055</t>
  </si>
  <si>
    <t>Diás H. V-UVR-2041</t>
  </si>
  <si>
    <t>Diás H. V-UVR-2055</t>
  </si>
  <si>
    <t>Fecha:</t>
  </si>
  <si>
    <t>Vencimiento</t>
  </si>
  <si>
    <t>Tasa Cupón</t>
  </si>
  <si>
    <t>Valor Nominal*</t>
  </si>
  <si>
    <t>Precio Sucio Mes Anterior</t>
  </si>
  <si>
    <t>Precio Sucio Ayer</t>
  </si>
  <si>
    <t>Precio Sucio Hoy</t>
  </si>
  <si>
    <t>Tasa SEN Mes anterior (1)</t>
  </si>
  <si>
    <t>Tasa SEN Ayer (2)</t>
  </si>
  <si>
    <t>Tasa 
SEN 
Hoy (3)</t>
  </si>
  <si>
    <t>Variación Tasa Pbs (3) - (2)</t>
  </si>
  <si>
    <t>Porcentaje</t>
  </si>
  <si>
    <t>SOLO PESOS</t>
  </si>
  <si>
    <t>Tasa</t>
  </si>
  <si>
    <t>Ayer</t>
  </si>
  <si>
    <t>Hoy</t>
  </si>
  <si>
    <t>Total Tasa Fija COP</t>
  </si>
  <si>
    <t>Promedio</t>
  </si>
  <si>
    <t>Total Tasa Fija UVR</t>
  </si>
  <si>
    <t>Total Tasa Fija</t>
  </si>
  <si>
    <t>TFIT05220829</t>
  </si>
  <si>
    <t>COL17CT03995</t>
  </si>
  <si>
    <t>TFIT16281140</t>
  </si>
  <si>
    <t>COL17CT04001</t>
  </si>
  <si>
    <t>COP-2029</t>
  </si>
  <si>
    <t>Diás H. V-COP-2029</t>
  </si>
  <si>
    <t>Yield-COP-2029</t>
  </si>
  <si>
    <t>Yield-COP-2040</t>
  </si>
  <si>
    <t>COP-2040</t>
  </si>
  <si>
    <t>Diás H. V-COP-2040</t>
  </si>
  <si>
    <t>26-mar-31 V</t>
  </si>
  <si>
    <t>Monto Canjeado (MC)</t>
  </si>
  <si>
    <t>TUVT20220331</t>
  </si>
  <si>
    <t>TUVT38010262</t>
  </si>
  <si>
    <t>FALTA</t>
  </si>
  <si>
    <t>TUVT07220131</t>
  </si>
  <si>
    <t>UVR-2062</t>
  </si>
  <si>
    <t>UVR-2031</t>
  </si>
  <si>
    <t>Diás H. V-UVR-2031</t>
  </si>
  <si>
    <t>Diás H. V-UVR-2062</t>
  </si>
  <si>
    <t>Denomicación canjeada 2025</t>
  </si>
  <si>
    <t>Indicador</t>
  </si>
  <si>
    <t>Valor</t>
  </si>
  <si>
    <t>Monto Canjeado (Valor nominal recibido)</t>
  </si>
  <si>
    <t>Valor nominal entregado</t>
  </si>
  <si>
    <t>Diferencia nominal (reducción de deuda)</t>
  </si>
  <si>
    <t>Costo total entregado</t>
  </si>
  <si>
    <t>Diferencia en costo</t>
  </si>
  <si>
    <t>Precio promedio recibido (coste/nominal)</t>
  </si>
  <si>
    <t>Precio promedio entregado (coste/nominal)</t>
  </si>
  <si>
    <t>Tasa de cupón ponderada (Recibidos)</t>
  </si>
  <si>
    <t>Tasa de cupón ponderada (Entregados)</t>
  </si>
  <si>
    <t>Rendimiento promedio ponderado recibido</t>
  </si>
  <si>
    <t>Rendimiento promedio ponderado entregado</t>
  </si>
  <si>
    <t>Madurez promedio ponderada recibida (años)</t>
  </si>
  <si>
    <t>Madurez promedio ponderada entregada (años)</t>
  </si>
  <si>
    <t>Impacto en la vida media VPP en años</t>
  </si>
  <si>
    <t>Madurez</t>
  </si>
  <si>
    <t>% DE PESO</t>
  </si>
  <si>
    <t>E.F.N  - C.O</t>
  </si>
  <si>
    <t>nom_abs</t>
  </si>
  <si>
    <t>Total</t>
  </si>
  <si>
    <t>cost_abs2</t>
  </si>
  <si>
    <t>VPP TES Principal</t>
  </si>
  <si>
    <t>VPP Total</t>
  </si>
  <si>
    <t>VPP - Antes de OMD</t>
  </si>
  <si>
    <t>VPP - DESPUES de OMD</t>
  </si>
  <si>
    <t>IMPACTO</t>
  </si>
  <si>
    <t>TES-OMD</t>
  </si>
  <si>
    <t>TOTAL</t>
  </si>
  <si>
    <t>TOTAL - OMD</t>
  </si>
  <si>
    <t>AÑO</t>
  </si>
  <si>
    <t>Yield-UVR-2062</t>
  </si>
  <si>
    <t>COP-2058</t>
  </si>
  <si>
    <t>Diás H. V-COP-2058</t>
  </si>
  <si>
    <t>Yield-COP-2058</t>
  </si>
  <si>
    <t>TFIT31130358</t>
  </si>
  <si>
    <t>Yield-COP-2035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</si>
  <si>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</si>
  <si>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</si>
  <si>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</si>
  <si>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</si>
  <si>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</si>
  <si>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</si>
  <si>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</si>
  <si>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</si>
  <si>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</si>
  <si>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COP-2035</t>
  </si>
  <si>
    <t>COL17CT04084</t>
  </si>
  <si>
    <t>COL17CT03987</t>
  </si>
  <si>
    <t>COL17CT04027</t>
  </si>
  <si>
    <t>TCO_COP-2026</t>
  </si>
  <si>
    <t>TCO_COP-6_2</t>
  </si>
  <si>
    <t>12.195%</t>
  </si>
  <si>
    <t>9.240%</t>
  </si>
  <si>
    <t>10.640%</t>
  </si>
  <si>
    <t>11.320%</t>
  </si>
  <si>
    <t>11.942%</t>
  </si>
  <si>
    <t>12.030%</t>
  </si>
  <si>
    <t>12.125%</t>
  </si>
  <si>
    <t>12.317%</t>
  </si>
  <si>
    <t>12.300%</t>
  </si>
  <si>
    <t>12.430%</t>
  </si>
  <si>
    <t>12.306%</t>
  </si>
  <si>
    <t>12.320%</t>
  </si>
  <si>
    <t>12.359%</t>
  </si>
  <si>
    <t>12.520%</t>
  </si>
  <si>
    <t>12.528%</t>
  </si>
  <si>
    <t>COL17CT03953</t>
  </si>
  <si>
    <t>Diás H. V-COP-2035</t>
  </si>
  <si>
    <t>COP-20422</t>
  </si>
  <si>
    <t>Yield-UVR-2030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</si>
</sst>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00"/>
    <numFmt numFmtId="169" formatCode="#,##0_ ;[Red]\-#,##0\ "/>
    <numFmt numFmtId="170" formatCode="#,##0.00_ ;[Red]\-#,##0.00\ "/>
    <numFmt numFmtId="171" formatCode="_-* #,##0_-;\-* #,##0_-;_-* &quot;-&quot;??_-;_-@_-"/>
    <numFmt numFmtId="172" formatCode="0.0%"/>
    <numFmt numFmtId="173" formatCode="#,##0.000_ ;[Red]\-#,##0.000\ "/>
    <numFmt numFmtId="174" formatCode="&quot;$&quot;\ #,##0.00"/>
    <numFmt numFmtId="175" formatCode="_-&quot;$&quot;\ * #,##0_-;\-&quot;$&quot;\ * #,##0_-;_-&quot;$&quot;\ * &quot;-&quot;??_-;_-@_-"/>
    <numFmt numFmtId="176" formatCode="0.0"/>
    <numFmt numFmtId="177" formatCode="0.00000000000%"/>
    <numFmt numFmtId="178" formatCode="0.000%"/>
    <numFmt numFmtId="179" formatCode="m/d/yyyy"/>
    <numFmt numFmtId="180" formatCode="yyyy\-mm\-dd;@"/>
    <numFmt numFmtId="181" formatCode="#,##0.000"/>
    <numFmt numFmtId="182" formatCode="#,##0.0"/>
    <numFmt numFmtId="183" formatCode="h:mm:ss;@"/>
    <numFmt numFmtId="184" formatCode="#,##0.0000"/>
    <numFmt numFmtId="185" formatCode="0.000000%"/>
    <numFmt numFmtId="186" formatCode="###,##0.0000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name val="Arial Narrow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F2F2F2"/>
      <name val="Arial"/>
      <family val="2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sz val="16"/>
      <name val="Calibri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Gill Sans MT"/>
      <family val="2"/>
    </font>
    <font>
      <b/>
      <sz val="12"/>
      <color theme="0"/>
      <name val="Gill Sans MT"/>
      <family val="2"/>
    </font>
    <font>
      <sz val="12"/>
      <color theme="1"/>
      <name val="Gill Sans MT"/>
      <family val="2"/>
    </font>
    <font>
      <b/>
      <sz val="11"/>
      <name val="Calibri"/>
      <family val="2"/>
      <scheme val="minor"/>
    </font>
    <font>
      <b/>
      <sz val="12"/>
      <color theme="1" tint="0.249977111117893"/>
      <name val="Gill Sans MT"/>
      <family val="2"/>
    </font>
    <font>
      <sz val="11"/>
      <color theme="1" tint="0.249977111117893"/>
      <name val="Gill Sans MT"/>
      <family val="2"/>
    </font>
    <font>
      <sz val="12"/>
      <color theme="1" tint="0.249977111117893"/>
      <name val="Gill Sans MT"/>
      <family val="2"/>
    </font>
    <font>
      <b/>
      <sz val="14"/>
      <color rgb="FFFF0000"/>
      <name val="Gill Sans MT"/>
      <family val="2"/>
    </font>
    <font>
      <b/>
      <sz val="14"/>
      <color rgb="FF00B050"/>
      <name val="Gill Sans MT"/>
      <family val="2"/>
    </font>
    <font>
      <sz val="14"/>
      <color theme="1" tint="0.249977111117893"/>
      <name val="Gill Sans MT"/>
      <family val="2"/>
    </font>
    <font>
      <b/>
      <sz val="14"/>
      <color theme="0"/>
      <name val="Gill Sans MT"/>
      <family val="2"/>
    </font>
    <font>
      <b/>
      <sz val="12"/>
      <color theme="0"/>
      <name val="Avenir Next LT Pro"/>
      <family val="2"/>
    </font>
    <font>
      <sz val="12"/>
      <color theme="1"/>
      <name val="Avenir Next LT Pro"/>
      <family val="2"/>
    </font>
    <font>
      <b/>
      <sz val="12"/>
      <color theme="1"/>
      <name val="Avenir Next LT Pro"/>
      <family val="2"/>
    </font>
    <font>
      <sz val="11"/>
      <color theme="1"/>
      <name val="Avenir Next LT Pro"/>
      <family val="2"/>
    </font>
    <font>
      <sz val="16"/>
      <color theme="1"/>
      <name val="Avenir Next LT Pro"/>
      <family val="2"/>
    </font>
    <font>
      <b/>
      <sz val="11"/>
      <color theme="0"/>
      <name val="Avenir Next LT Pro"/>
      <family val="2"/>
    </font>
    <font>
      <b/>
      <sz val="16"/>
      <name val="Avenir Next LT Pro"/>
      <family val="2"/>
    </font>
    <font>
      <sz val="12"/>
      <color rgb="FF404040"/>
      <name val="Avenir Next LT Pro"/>
      <family val="2"/>
    </font>
    <font>
      <b/>
      <sz val="12"/>
      <name val="Avenir Next LT Pro"/>
      <family val="2"/>
    </font>
    <font>
      <u/>
      <sz val="12"/>
      <color theme="1"/>
      <name val="Avenir Next LT Pro"/>
      <family val="2"/>
    </font>
    <font>
      <b/>
      <sz val="16"/>
      <color theme="0" tint="-4.9989318521683403E-2"/>
      <name val="Avenir Next LT Pro"/>
      <family val="2"/>
    </font>
    <font>
      <sz val="16"/>
      <name val="Avenir Next LT Pro"/>
      <family val="2"/>
    </font>
    <font>
      <b/>
      <sz val="16"/>
      <color theme="1"/>
      <name val="Avenir Next LT Pro"/>
      <family val="2"/>
    </font>
    <font>
      <b/>
      <sz val="11"/>
      <color theme="1"/>
      <name val="Avenir Next LT Pro"/>
      <family val="2"/>
    </font>
    <font>
      <b/>
      <sz val="14"/>
      <color theme="1"/>
      <name val="Avenir Next LT Pro"/>
      <family val="2"/>
    </font>
    <font>
      <sz val="14"/>
      <color theme="1"/>
      <name val="Avenir Next LT Pro"/>
      <family val="2"/>
    </font>
    <font>
      <u/>
      <sz val="11"/>
      <color theme="10"/>
      <name val="Avenir Next LT Pro"/>
      <family val="2"/>
    </font>
    <font>
      <sz val="11"/>
      <color rgb="FFFF0000"/>
      <name val="Avenir Next LT Pro"/>
      <family val="2"/>
    </font>
    <font>
      <sz val="11"/>
      <color theme="0"/>
      <name val="Avenir Next LT Pro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2"/>
      <name val="Avenir Next LT Pro"/>
      <family val="2"/>
    </font>
    <font>
      <sz val="10"/>
      <name val="Arial Tur"/>
    </font>
  </fonts>
  <fills count="4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58ED5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BD5CF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48C4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1"/>
      </patternFill>
    </fill>
    <fill>
      <patternFill patternType="solid">
        <fgColor theme="9"/>
        <bgColor theme="1"/>
      </patternFill>
    </fill>
    <fill>
      <patternFill patternType="solid">
        <fgColor theme="5"/>
        <bgColor theme="1"/>
      </patternFill>
    </fill>
    <fill>
      <patternFill patternType="solid">
        <fgColor theme="2"/>
        <bgColor theme="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theme="1"/>
      </patternFill>
    </fill>
    <fill>
      <patternFill patternType="solid">
        <fgColor theme="6" tint="-0.499984740745262"/>
        <bgColor theme="1"/>
      </patternFill>
    </fill>
  </fills>
  <borders count="6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7" tint="-0.249977111117893"/>
      </top>
      <bottom/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0" tint="-0.34998626667073579"/>
      </left>
      <right/>
      <top style="medium">
        <color theme="8" tint="0.39997558519241921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8" tint="0.39997558519241921"/>
      </bottom>
      <diagonal/>
    </border>
    <border>
      <left/>
      <right/>
      <top style="thin">
        <color theme="7" tint="-0.249977111117893"/>
      </top>
      <bottom style="thin">
        <color theme="7" tint="-0.249977111117893"/>
      </bottom>
      <diagonal/>
    </border>
    <border>
      <left style="medium">
        <color theme="8" tint="0.39994506668294322"/>
      </left>
      <right/>
      <top style="thin">
        <color theme="7" tint="-0.249977111117893"/>
      </top>
      <bottom style="thin">
        <color theme="7" tint="-0.249977111117893"/>
      </bottom>
      <diagonal/>
    </border>
    <border>
      <left/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/>
      <right/>
      <top style="medium">
        <color theme="8" tint="0.39997558519241921"/>
      </top>
      <bottom/>
      <diagonal/>
    </border>
    <border>
      <left/>
      <right/>
      <top/>
      <bottom style="thin">
        <color theme="7" tint="-0.249977111117893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8">
    <xf numFmtId="0" fontId="0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3" fillId="0" borderId="0"/>
    <xf numFmtId="43" fontId="1" fillId="0" borderId="0" applyFont="0" applyFill="0" applyBorder="0" applyAlignment="0" applyProtection="0"/>
    <xf numFmtId="0" fontId="20" fillId="0" borderId="0"/>
    <xf numFmtId="9" fontId="54" fillId="0" borderId="0" applyFont="0" applyFill="0" applyBorder="0" applyAlignment="0" applyProtection="0"/>
  </cellStyleXfs>
  <cellXfs count="541">
    <xf numFmtId="0" fontId="0" fillId="0" borderId="0" xfId="0"/>
    <xf numFmtId="0" fontId="2" fillId="6" borderId="0" xfId="0" applyFont="1" applyFill="1" applyAlignment="1">
      <alignment horizontal="center"/>
    </xf>
    <xf numFmtId="15" fontId="2" fillId="6" borderId="0" xfId="0" applyNumberFormat="1" applyFont="1" applyFill="1" applyAlignment="1">
      <alignment horizontal="center"/>
    </xf>
    <xf numFmtId="165" fontId="2" fillId="6" borderId="0" xfId="2" applyFont="1" applyFill="1" applyAlignment="1">
      <alignment horizontal="center"/>
    </xf>
    <xf numFmtId="10" fontId="2" fillId="6" borderId="0" xfId="3" applyNumberFormat="1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2" applyFont="1" applyAlignment="1">
      <alignment horizontal="center"/>
    </xf>
    <xf numFmtId="0" fontId="0" fillId="7" borderId="0" xfId="1" applyNumberFormat="1" applyFont="1" applyFill="1" applyAlignment="1">
      <alignment horizontal="center"/>
    </xf>
    <xf numFmtId="15" fontId="0" fillId="7" borderId="0" xfId="0" applyNumberFormat="1" applyFill="1" applyAlignment="1">
      <alignment horizontal="center"/>
    </xf>
    <xf numFmtId="169" fontId="0" fillId="3" borderId="0" xfId="1" applyNumberFormat="1" applyFont="1" applyFill="1" applyAlignment="1">
      <alignment horizontal="right"/>
    </xf>
    <xf numFmtId="169" fontId="0" fillId="7" borderId="0" xfId="1" applyNumberFormat="1" applyFont="1" applyFill="1" applyAlignment="1">
      <alignment horizontal="right"/>
    </xf>
    <xf numFmtId="10" fontId="3" fillId="7" borderId="0" xfId="3" applyNumberFormat="1" applyFont="1" applyFill="1" applyAlignment="1">
      <alignment horizontal="center"/>
    </xf>
    <xf numFmtId="167" fontId="0" fillId="0" borderId="0" xfId="1" applyFont="1" applyAlignment="1">
      <alignment horizontal="center"/>
    </xf>
    <xf numFmtId="0" fontId="0" fillId="5" borderId="0" xfId="1" applyNumberFormat="1" applyFont="1" applyFill="1" applyAlignment="1">
      <alignment horizontal="center"/>
    </xf>
    <xf numFmtId="15" fontId="0" fillId="5" borderId="0" xfId="0" applyNumberFormat="1" applyFill="1" applyAlignment="1">
      <alignment horizontal="center"/>
    </xf>
    <xf numFmtId="169" fontId="1" fillId="5" borderId="0" xfId="1" applyNumberFormat="1" applyFont="1" applyFill="1" applyAlignment="1">
      <alignment horizontal="right"/>
    </xf>
    <xf numFmtId="169" fontId="0" fillId="5" borderId="0" xfId="1" applyNumberFormat="1" applyFont="1" applyFill="1" applyAlignment="1">
      <alignment horizontal="right"/>
    </xf>
    <xf numFmtId="10" fontId="3" fillId="5" borderId="0" xfId="3" applyNumberFormat="1" applyFont="1" applyFill="1" applyAlignment="1">
      <alignment horizontal="center"/>
    </xf>
    <xf numFmtId="169" fontId="2" fillId="6" borderId="0" xfId="1" applyNumberFormat="1" applyFont="1" applyFill="1" applyAlignment="1">
      <alignment horizontal="right"/>
    </xf>
    <xf numFmtId="172" fontId="2" fillId="6" borderId="0" xfId="3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15" fontId="0" fillId="8" borderId="0" xfId="0" applyNumberFormat="1" applyFill="1" applyAlignment="1">
      <alignment horizontal="center"/>
    </xf>
    <xf numFmtId="165" fontId="1" fillId="8" borderId="0" xfId="2" applyFont="1" applyFill="1" applyAlignment="1">
      <alignment horizontal="center"/>
    </xf>
    <xf numFmtId="165" fontId="0" fillId="8" borderId="0" xfId="2" applyFont="1" applyFill="1" applyAlignment="1">
      <alignment horizontal="center"/>
    </xf>
    <xf numFmtId="165" fontId="3" fillId="9" borderId="0" xfId="2" applyFont="1" applyFill="1" applyAlignment="1">
      <alignment horizontal="center"/>
    </xf>
    <xf numFmtId="172" fontId="3" fillId="9" borderId="0" xfId="2" applyNumberFormat="1" applyFont="1" applyFill="1" applyAlignment="1">
      <alignment horizontal="center"/>
    </xf>
    <xf numFmtId="10" fontId="3" fillId="8" borderId="0" xfId="3" applyNumberFormat="1" applyFont="1" applyFill="1" applyAlignment="1">
      <alignment horizontal="center"/>
    </xf>
    <xf numFmtId="10" fontId="0" fillId="8" borderId="0" xfId="2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0" fontId="6" fillId="7" borderId="0" xfId="8" applyNumberFormat="1" applyFill="1" applyAlignment="1">
      <alignment horizontal="center"/>
    </xf>
    <xf numFmtId="0" fontId="6" fillId="7" borderId="1" xfId="8" applyNumberFormat="1" applyFill="1" applyBorder="1" applyAlignment="1">
      <alignment horizontal="center"/>
    </xf>
    <xf numFmtId="0" fontId="0" fillId="7" borderId="1" xfId="1" applyNumberFormat="1" applyFont="1" applyFill="1" applyBorder="1" applyAlignment="1">
      <alignment horizontal="center"/>
    </xf>
    <xf numFmtId="15" fontId="0" fillId="7" borderId="1" xfId="0" applyNumberFormat="1" applyFill="1" applyBorder="1" applyAlignment="1">
      <alignment horizontal="center"/>
    </xf>
    <xf numFmtId="169" fontId="0" fillId="7" borderId="1" xfId="1" applyNumberFormat="1" applyFont="1" applyFill="1" applyBorder="1" applyAlignment="1">
      <alignment horizontal="right"/>
    </xf>
    <xf numFmtId="10" fontId="3" fillId="7" borderId="1" xfId="3" applyNumberFormat="1" applyFont="1" applyFill="1" applyBorder="1" applyAlignment="1">
      <alignment horizontal="center"/>
    </xf>
    <xf numFmtId="169" fontId="0" fillId="7" borderId="0" xfId="1" quotePrefix="1" applyNumberFormat="1" applyFont="1" applyFill="1" applyAlignment="1">
      <alignment horizontal="right"/>
    </xf>
    <xf numFmtId="165" fontId="2" fillId="11" borderId="0" xfId="2" applyFont="1" applyFill="1" applyAlignment="1">
      <alignment horizontal="center"/>
    </xf>
    <xf numFmtId="10" fontId="2" fillId="10" borderId="0" xfId="3" applyNumberFormat="1" applyFont="1" applyFill="1" applyAlignment="1">
      <alignment horizontal="center"/>
    </xf>
    <xf numFmtId="165" fontId="0" fillId="0" borderId="0" xfId="2" quotePrefix="1" applyFont="1" applyAlignment="1">
      <alignment horizontal="center"/>
    </xf>
    <xf numFmtId="0" fontId="0" fillId="7" borderId="0" xfId="1" quotePrefix="1" applyNumberFormat="1" applyFont="1" applyFill="1" applyAlignment="1">
      <alignment horizontal="center"/>
    </xf>
    <xf numFmtId="172" fontId="0" fillId="0" borderId="0" xfId="3" applyNumberFormat="1" applyFont="1" applyAlignment="1">
      <alignment horizontal="center"/>
    </xf>
    <xf numFmtId="164" fontId="3" fillId="7" borderId="0" xfId="11" applyFont="1" applyFill="1" applyAlignment="1">
      <alignment horizontal="center"/>
    </xf>
    <xf numFmtId="172" fontId="3" fillId="7" borderId="0" xfId="3" applyNumberFormat="1" applyFont="1" applyFill="1" applyAlignment="1">
      <alignment horizontal="center"/>
    </xf>
    <xf numFmtId="172" fontId="0" fillId="8" borderId="0" xfId="0" applyNumberFormat="1" applyFill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4" fontId="0" fillId="0" borderId="0" xfId="0" applyNumberFormat="1"/>
    <xf numFmtId="10" fontId="0" fillId="0" borderId="0" xfId="3" applyNumberFormat="1" applyFont="1"/>
    <xf numFmtId="174" fontId="0" fillId="12" borderId="0" xfId="0" applyNumberFormat="1" applyFill="1"/>
    <xf numFmtId="169" fontId="3" fillId="8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4" fontId="10" fillId="0" borderId="0" xfId="9" applyNumberFormat="1" applyFont="1" applyBorder="1" applyAlignment="1">
      <alignment horizontal="center" vertical="center"/>
    </xf>
    <xf numFmtId="174" fontId="10" fillId="0" borderId="9" xfId="9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0" fontId="10" fillId="0" borderId="8" xfId="3" applyNumberFormat="1" applyFont="1" applyBorder="1" applyAlignment="1">
      <alignment horizontal="center" vertical="center"/>
    </xf>
    <xf numFmtId="10" fontId="10" fillId="0" borderId="0" xfId="3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10" xfId="0" applyFont="1" applyBorder="1" applyAlignment="1">
      <alignment horizontal="center" vertical="center"/>
    </xf>
    <xf numFmtId="9" fontId="11" fillId="0" borderId="0" xfId="0" applyNumberFormat="1" applyFont="1" applyAlignment="1">
      <alignment horizontal="center"/>
    </xf>
    <xf numFmtId="9" fontId="11" fillId="0" borderId="11" xfId="0" applyNumberFormat="1" applyFont="1" applyBorder="1" applyAlignment="1">
      <alignment horizontal="center" vertical="center"/>
    </xf>
    <xf numFmtId="9" fontId="11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5" fontId="0" fillId="13" borderId="0" xfId="0" quotePrefix="1" applyNumberFormat="1" applyFill="1" applyAlignment="1">
      <alignment horizontal="center"/>
    </xf>
    <xf numFmtId="15" fontId="0" fillId="13" borderId="0" xfId="1" quotePrefix="1" applyNumberFormat="1" applyFont="1" applyFill="1" applyAlignment="1">
      <alignment horizontal="center"/>
    </xf>
    <xf numFmtId="0" fontId="0" fillId="10" borderId="0" xfId="1" quotePrefix="1" applyNumberFormat="1" applyFont="1" applyFill="1" applyAlignment="1">
      <alignment horizontal="center"/>
    </xf>
    <xf numFmtId="0" fontId="0" fillId="10" borderId="1" xfId="1" quotePrefix="1" applyNumberFormat="1" applyFont="1" applyFill="1" applyBorder="1" applyAlignment="1">
      <alignment horizontal="center"/>
    </xf>
    <xf numFmtId="0" fontId="0" fillId="10" borderId="0" xfId="1" applyNumberFormat="1" applyFont="1" applyFill="1" applyAlignment="1">
      <alignment horizontal="center"/>
    </xf>
    <xf numFmtId="15" fontId="0" fillId="10" borderId="0" xfId="1" quotePrefix="1" applyNumberFormat="1" applyFont="1" applyFill="1" applyAlignment="1">
      <alignment horizontal="center"/>
    </xf>
    <xf numFmtId="0" fontId="4" fillId="10" borderId="7" xfId="0" applyFont="1" applyFill="1" applyBorder="1" applyAlignment="1">
      <alignment horizontal="center"/>
    </xf>
    <xf numFmtId="0" fontId="4" fillId="13" borderId="7" xfId="0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0" fillId="5" borderId="9" xfId="1" applyNumberFormat="1" applyFont="1" applyFill="1" applyBorder="1" applyAlignment="1">
      <alignment horizontal="center"/>
    </xf>
    <xf numFmtId="0" fontId="0" fillId="7" borderId="9" xfId="1" applyNumberFormat="1" applyFont="1" applyFill="1" applyBorder="1" applyAlignment="1">
      <alignment horizontal="center"/>
    </xf>
    <xf numFmtId="15" fontId="0" fillId="10" borderId="9" xfId="1" quotePrefix="1" applyNumberFormat="1" applyFont="1" applyFill="1" applyBorder="1" applyAlignment="1">
      <alignment horizontal="center"/>
    </xf>
    <xf numFmtId="15" fontId="0" fillId="5" borderId="9" xfId="0" applyNumberFormat="1" applyFill="1" applyBorder="1" applyAlignment="1">
      <alignment horizontal="center"/>
    </xf>
    <xf numFmtId="169" fontId="0" fillId="5" borderId="9" xfId="1" applyNumberFormat="1" applyFont="1" applyFill="1" applyBorder="1" applyAlignment="1">
      <alignment horizontal="right"/>
    </xf>
    <xf numFmtId="169" fontId="0" fillId="7" borderId="9" xfId="1" applyNumberFormat="1" applyFont="1" applyFill="1" applyBorder="1" applyAlignment="1">
      <alignment horizontal="right"/>
    </xf>
    <xf numFmtId="10" fontId="3" fillId="7" borderId="9" xfId="3" applyNumberFormat="1" applyFont="1" applyFill="1" applyBorder="1" applyAlignment="1">
      <alignment horizontal="center"/>
    </xf>
    <xf numFmtId="10" fontId="3" fillId="5" borderId="9" xfId="3" applyNumberFormat="1" applyFont="1" applyFill="1" applyBorder="1" applyAlignment="1">
      <alignment horizontal="center"/>
    </xf>
    <xf numFmtId="164" fontId="3" fillId="7" borderId="9" xfId="11" applyFont="1" applyFill="1" applyBorder="1" applyAlignment="1">
      <alignment horizontal="center"/>
    </xf>
    <xf numFmtId="172" fontId="3" fillId="7" borderId="9" xfId="3" applyNumberFormat="1" applyFont="1" applyFill="1" applyBorder="1" applyAlignment="1">
      <alignment horizontal="center"/>
    </xf>
    <xf numFmtId="10" fontId="2" fillId="13" borderId="0" xfId="3" applyNumberFormat="1" applyFont="1" applyFill="1" applyAlignment="1">
      <alignment horizontal="center"/>
    </xf>
    <xf numFmtId="9" fontId="1" fillId="8" borderId="0" xfId="3" applyFont="1" applyFill="1" applyAlignment="1">
      <alignment horizontal="center"/>
    </xf>
    <xf numFmtId="9" fontId="0" fillId="8" borderId="0" xfId="3" applyFont="1" applyFill="1" applyAlignment="1">
      <alignment horizontal="center"/>
    </xf>
    <xf numFmtId="165" fontId="2" fillId="14" borderId="0" xfId="2" applyFont="1" applyFill="1" applyAlignment="1">
      <alignment horizontal="center"/>
    </xf>
    <xf numFmtId="165" fontId="0" fillId="15" borderId="0" xfId="2" applyFont="1" applyFill="1" applyAlignment="1">
      <alignment horizontal="center"/>
    </xf>
    <xf numFmtId="0" fontId="0" fillId="10" borderId="9" xfId="1" quotePrefix="1" applyNumberFormat="1" applyFont="1" applyFill="1" applyBorder="1" applyAlignment="1">
      <alignment horizontal="center"/>
    </xf>
    <xf numFmtId="169" fontId="0" fillId="15" borderId="0" xfId="1" applyNumberFormat="1" applyFont="1" applyFill="1" applyAlignment="1">
      <alignment horizontal="right"/>
    </xf>
    <xf numFmtId="0" fontId="13" fillId="0" borderId="0" xfId="14"/>
    <xf numFmtId="14" fontId="13" fillId="0" borderId="0" xfId="14" applyNumberFormat="1"/>
    <xf numFmtId="0" fontId="14" fillId="17" borderId="0" xfId="0" applyFont="1" applyFill="1" applyAlignment="1">
      <alignment wrapText="1"/>
    </xf>
    <xf numFmtId="0" fontId="14" fillId="18" borderId="0" xfId="0" applyFont="1" applyFill="1" applyAlignment="1">
      <alignment wrapText="1"/>
    </xf>
    <xf numFmtId="0" fontId="15" fillId="0" borderId="0" xfId="0" applyFont="1"/>
    <xf numFmtId="15" fontId="16" fillId="0" borderId="0" xfId="0" applyNumberFormat="1" applyFont="1"/>
    <xf numFmtId="15" fontId="15" fillId="0" borderId="0" xfId="0" applyNumberFormat="1" applyFont="1"/>
    <xf numFmtId="0" fontId="17" fillId="21" borderId="16" xfId="0" applyFont="1" applyFill="1" applyBorder="1"/>
    <xf numFmtId="0" fontId="17" fillId="21" borderId="17" xfId="0" applyFont="1" applyFill="1" applyBorder="1"/>
    <xf numFmtId="0" fontId="17" fillId="21" borderId="18" xfId="0" applyFont="1" applyFill="1" applyBorder="1"/>
    <xf numFmtId="0" fontId="17" fillId="21" borderId="19" xfId="0" applyFont="1" applyFill="1" applyBorder="1"/>
    <xf numFmtId="4" fontId="15" fillId="0" borderId="0" xfId="0" applyNumberFormat="1" applyFont="1"/>
    <xf numFmtId="2" fontId="15" fillId="0" borderId="0" xfId="0" applyNumberFormat="1" applyFont="1"/>
    <xf numFmtId="1" fontId="2" fillId="6" borderId="0" xfId="0" applyNumberFormat="1" applyFont="1" applyFill="1" applyAlignment="1">
      <alignment horizontal="center"/>
    </xf>
    <xf numFmtId="10" fontId="3" fillId="7" borderId="0" xfId="3" applyNumberFormat="1" applyFont="1" applyFill="1" applyBorder="1" applyAlignment="1">
      <alignment horizontal="center"/>
    </xf>
    <xf numFmtId="10" fontId="0" fillId="8" borderId="0" xfId="3" applyNumberFormat="1" applyFont="1" applyFill="1" applyAlignment="1">
      <alignment horizontal="center"/>
    </xf>
    <xf numFmtId="10" fontId="0" fillId="0" borderId="0" xfId="0" applyNumberFormat="1"/>
    <xf numFmtId="14" fontId="0" fillId="0" borderId="0" xfId="0" applyNumberFormat="1"/>
    <xf numFmtId="170" fontId="0" fillId="7" borderId="0" xfId="1" applyNumberFormat="1" applyFont="1" applyFill="1" applyAlignment="1">
      <alignment horizontal="right"/>
    </xf>
    <xf numFmtId="0" fontId="5" fillId="19" borderId="0" xfId="0" applyFont="1" applyFill="1"/>
    <xf numFmtId="0" fontId="5" fillId="20" borderId="0" xfId="0" applyFont="1" applyFill="1"/>
    <xf numFmtId="0" fontId="5" fillId="22" borderId="0" xfId="0" applyFont="1" applyFill="1"/>
    <xf numFmtId="0" fontId="0" fillId="0" borderId="7" xfId="0" applyBorder="1" applyAlignment="1">
      <alignment horizontal="center"/>
    </xf>
    <xf numFmtId="166" fontId="0" fillId="0" borderId="0" xfId="0" applyNumberFormat="1"/>
    <xf numFmtId="175" fontId="0" fillId="0" borderId="0" xfId="9" applyNumberFormat="1" applyFont="1" applyAlignment="1">
      <alignment horizontal="center"/>
    </xf>
    <xf numFmtId="175" fontId="0" fillId="0" borderId="0" xfId="9" applyNumberFormat="1" applyFont="1"/>
    <xf numFmtId="175" fontId="0" fillId="0" borderId="0" xfId="3" applyNumberFormat="1" applyFont="1" applyAlignment="1">
      <alignment horizontal="center"/>
    </xf>
    <xf numFmtId="0" fontId="0" fillId="0" borderId="7" xfId="0" applyBorder="1"/>
    <xf numFmtId="166" fontId="0" fillId="0" borderId="7" xfId="0" applyNumberFormat="1" applyBorder="1"/>
    <xf numFmtId="167" fontId="0" fillId="0" borderId="7" xfId="1" applyFont="1" applyBorder="1"/>
    <xf numFmtId="166" fontId="0" fillId="0" borderId="7" xfId="9" applyFont="1" applyBorder="1"/>
    <xf numFmtId="0" fontId="0" fillId="0" borderId="22" xfId="0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right"/>
    </xf>
    <xf numFmtId="10" fontId="0" fillId="8" borderId="0" xfId="3" applyNumberFormat="1" applyFont="1" applyFill="1"/>
    <xf numFmtId="10" fontId="0" fillId="8" borderId="0" xfId="0" applyNumberFormat="1" applyFill="1"/>
    <xf numFmtId="0" fontId="0" fillId="8" borderId="7" xfId="0" applyFill="1" applyBorder="1"/>
    <xf numFmtId="0" fontId="0" fillId="8" borderId="7" xfId="0" applyFill="1" applyBorder="1" applyAlignment="1">
      <alignment horizontal="center"/>
    </xf>
    <xf numFmtId="167" fontId="0" fillId="8" borderId="7" xfId="1" applyFont="1" applyFill="1" applyBorder="1"/>
    <xf numFmtId="0" fontId="19" fillId="8" borderId="0" xfId="0" applyFont="1" applyFill="1" applyAlignment="1">
      <alignment horizontal="right"/>
    </xf>
    <xf numFmtId="167" fontId="0" fillId="0" borderId="0" xfId="0" applyNumberFormat="1"/>
    <xf numFmtId="9" fontId="0" fillId="0" borderId="0" xfId="3" applyFont="1"/>
    <xf numFmtId="179" fontId="0" fillId="0" borderId="0" xfId="0" applyNumberFormat="1"/>
    <xf numFmtId="179" fontId="13" fillId="0" borderId="0" xfId="14" applyNumberFormat="1"/>
    <xf numFmtId="0" fontId="0" fillId="9" borderId="0" xfId="0" applyFill="1"/>
    <xf numFmtId="0" fontId="21" fillId="8" borderId="0" xfId="0" applyFont="1" applyFill="1"/>
    <xf numFmtId="14" fontId="0" fillId="27" borderId="0" xfId="0" applyNumberFormat="1" applyFill="1"/>
    <xf numFmtId="0" fontId="23" fillId="8" borderId="0" xfId="0" applyFont="1" applyFill="1"/>
    <xf numFmtId="0" fontId="24" fillId="9" borderId="0" xfId="0" applyFont="1" applyFill="1" applyAlignment="1">
      <alignment horizontal="center" vertical="center"/>
    </xf>
    <xf numFmtId="15" fontId="26" fillId="34" borderId="0" xfId="0" applyNumberFormat="1" applyFont="1" applyFill="1" applyAlignment="1" applyProtection="1">
      <alignment horizontal="center"/>
      <protection hidden="1"/>
    </xf>
    <xf numFmtId="178" fontId="27" fillId="34" borderId="0" xfId="3" applyNumberFormat="1" applyFont="1" applyFill="1" applyBorder="1" applyAlignment="1" applyProtection="1">
      <alignment horizontal="center"/>
      <protection hidden="1"/>
    </xf>
    <xf numFmtId="3" fontId="27" fillId="34" borderId="33" xfId="2" applyNumberFormat="1" applyFont="1" applyFill="1" applyBorder="1" applyAlignment="1">
      <alignment horizontal="center" vertical="center"/>
    </xf>
    <xf numFmtId="181" fontId="27" fillId="34" borderId="34" xfId="0" applyNumberFormat="1" applyFont="1" applyFill="1" applyBorder="1" applyAlignment="1">
      <alignment horizontal="center"/>
    </xf>
    <xf numFmtId="181" fontId="27" fillId="34" borderId="0" xfId="0" applyNumberFormat="1" applyFont="1" applyFill="1" applyAlignment="1">
      <alignment horizontal="center"/>
    </xf>
    <xf numFmtId="182" fontId="28" fillId="34" borderId="33" xfId="0" applyNumberFormat="1" applyFont="1" applyFill="1" applyBorder="1" applyAlignment="1">
      <alignment horizontal="center"/>
    </xf>
    <xf numFmtId="181" fontId="0" fillId="9" borderId="0" xfId="0" applyNumberFormat="1" applyFill="1"/>
    <xf numFmtId="15" fontId="26" fillId="27" borderId="0" xfId="0" applyNumberFormat="1" applyFont="1" applyFill="1" applyAlignment="1" applyProtection="1">
      <alignment horizontal="center"/>
      <protection hidden="1"/>
    </xf>
    <xf numFmtId="178" fontId="27" fillId="27" borderId="0" xfId="3" applyNumberFormat="1" applyFont="1" applyFill="1" applyBorder="1" applyAlignment="1" applyProtection="1">
      <alignment horizontal="center"/>
      <protection hidden="1"/>
    </xf>
    <xf numFmtId="3" fontId="27" fillId="27" borderId="33" xfId="2" applyNumberFormat="1" applyFont="1" applyFill="1" applyBorder="1" applyAlignment="1">
      <alignment horizontal="center" vertical="center"/>
    </xf>
    <xf numFmtId="181" fontId="27" fillId="27" borderId="34" xfId="0" applyNumberFormat="1" applyFont="1" applyFill="1" applyBorder="1" applyAlignment="1">
      <alignment horizontal="center"/>
    </xf>
    <xf numFmtId="181" fontId="27" fillId="27" borderId="0" xfId="0" applyNumberFormat="1" applyFont="1" applyFill="1" applyAlignment="1">
      <alignment horizontal="center"/>
    </xf>
    <xf numFmtId="182" fontId="29" fillId="27" borderId="33" xfId="0" applyNumberFormat="1" applyFont="1" applyFill="1" applyBorder="1" applyAlignment="1">
      <alignment horizontal="center"/>
    </xf>
    <xf numFmtId="9" fontId="27" fillId="27" borderId="33" xfId="3" applyFont="1" applyFill="1" applyBorder="1" applyAlignment="1">
      <alignment horizontal="center" vertical="center"/>
    </xf>
    <xf numFmtId="3" fontId="25" fillId="27" borderId="33" xfId="2" applyNumberFormat="1" applyFont="1" applyFill="1" applyBorder="1" applyAlignment="1">
      <alignment horizontal="center" vertical="center"/>
    </xf>
    <xf numFmtId="172" fontId="30" fillId="27" borderId="33" xfId="3" applyNumberFormat="1" applyFont="1" applyFill="1" applyBorder="1" applyAlignment="1">
      <alignment horizontal="center" vertical="center"/>
    </xf>
    <xf numFmtId="15" fontId="26" fillId="35" borderId="0" xfId="0" applyNumberFormat="1" applyFont="1" applyFill="1" applyAlignment="1" applyProtection="1">
      <alignment horizontal="center"/>
      <protection hidden="1"/>
    </xf>
    <xf numFmtId="178" fontId="27" fillId="35" borderId="0" xfId="3" applyNumberFormat="1" applyFont="1" applyFill="1" applyBorder="1" applyAlignment="1" applyProtection="1">
      <alignment horizontal="center"/>
      <protection hidden="1"/>
    </xf>
    <xf numFmtId="3" fontId="27" fillId="35" borderId="33" xfId="2" applyNumberFormat="1" applyFont="1" applyFill="1" applyBorder="1" applyAlignment="1">
      <alignment horizontal="center" vertical="center"/>
    </xf>
    <xf numFmtId="0" fontId="23" fillId="35" borderId="0" xfId="0" applyFont="1" applyFill="1"/>
    <xf numFmtId="181" fontId="27" fillId="35" borderId="34" xfId="0" applyNumberFormat="1" applyFont="1" applyFill="1" applyBorder="1" applyAlignment="1">
      <alignment horizontal="center"/>
    </xf>
    <xf numFmtId="181" fontId="27" fillId="35" borderId="0" xfId="0" applyNumberFormat="1" applyFont="1" applyFill="1" applyAlignment="1">
      <alignment horizontal="center"/>
    </xf>
    <xf numFmtId="15" fontId="26" fillId="36" borderId="0" xfId="0" applyNumberFormat="1" applyFont="1" applyFill="1" applyAlignment="1" applyProtection="1">
      <alignment horizontal="center"/>
      <protection hidden="1"/>
    </xf>
    <xf numFmtId="178" fontId="27" fillId="36" borderId="0" xfId="3" applyNumberFormat="1" applyFont="1" applyFill="1" applyBorder="1" applyAlignment="1" applyProtection="1">
      <alignment horizontal="center"/>
      <protection hidden="1"/>
    </xf>
    <xf numFmtId="3" fontId="27" fillId="36" borderId="33" xfId="2" applyNumberFormat="1" applyFont="1" applyFill="1" applyBorder="1" applyAlignment="1">
      <alignment horizontal="center" vertical="center"/>
    </xf>
    <xf numFmtId="0" fontId="23" fillId="36" borderId="0" xfId="0" applyFont="1" applyFill="1"/>
    <xf numFmtId="181" fontId="27" fillId="36" borderId="34" xfId="0" applyNumberFormat="1" applyFont="1" applyFill="1" applyBorder="1" applyAlignment="1">
      <alignment horizontal="center"/>
    </xf>
    <xf numFmtId="181" fontId="27" fillId="36" borderId="0" xfId="0" applyNumberFormat="1" applyFont="1" applyFill="1" applyAlignment="1">
      <alignment horizontal="center"/>
    </xf>
    <xf numFmtId="0" fontId="22" fillId="14" borderId="36" xfId="0" applyFont="1" applyFill="1" applyBorder="1" applyAlignment="1">
      <alignment vertical="center"/>
    </xf>
    <xf numFmtId="171" fontId="22" fillId="14" borderId="36" xfId="1" applyNumberFormat="1" applyFont="1" applyFill="1" applyBorder="1" applyAlignment="1">
      <alignment vertical="center"/>
    </xf>
    <xf numFmtId="0" fontId="23" fillId="8" borderId="0" xfId="0" applyFont="1" applyFill="1" applyAlignment="1">
      <alignment vertical="center"/>
    </xf>
    <xf numFmtId="0" fontId="23" fillId="14" borderId="37" xfId="0" applyFont="1" applyFill="1" applyBorder="1" applyAlignment="1">
      <alignment vertical="center"/>
    </xf>
    <xf numFmtId="0" fontId="23" fillId="14" borderId="36" xfId="0" applyFont="1" applyFill="1" applyBorder="1" applyAlignment="1">
      <alignment vertical="center"/>
    </xf>
    <xf numFmtId="183" fontId="23" fillId="14" borderId="36" xfId="0" applyNumberFormat="1" applyFont="1" applyFill="1" applyBorder="1" applyAlignment="1">
      <alignment horizontal="center" vertical="center"/>
    </xf>
    <xf numFmtId="182" fontId="31" fillId="14" borderId="38" xfId="0" applyNumberFormat="1" applyFont="1" applyFill="1" applyBorder="1" applyAlignment="1">
      <alignment horizontal="center" vertical="center"/>
    </xf>
    <xf numFmtId="0" fontId="22" fillId="14" borderId="36" xfId="0" applyFont="1" applyFill="1" applyBorder="1"/>
    <xf numFmtId="0" fontId="23" fillId="14" borderId="36" xfId="0" applyFont="1" applyFill="1" applyBorder="1"/>
    <xf numFmtId="182" fontId="31" fillId="14" borderId="38" xfId="0" applyNumberFormat="1" applyFont="1" applyFill="1" applyBorder="1" applyAlignment="1">
      <alignment horizontal="center"/>
    </xf>
    <xf numFmtId="184" fontId="0" fillId="0" borderId="0" xfId="0" applyNumberFormat="1"/>
    <xf numFmtId="0" fontId="25" fillId="27" borderId="40" xfId="0" applyFont="1" applyFill="1" applyBorder="1" applyAlignment="1">
      <alignment horizontal="center" vertical="center" textRotation="90"/>
    </xf>
    <xf numFmtId="14" fontId="33" fillId="0" borderId="41" xfId="0" applyNumberFormat="1" applyFont="1" applyBorder="1"/>
    <xf numFmtId="44" fontId="33" fillId="0" borderId="41" xfId="9" applyNumberFormat="1" applyFont="1" applyBorder="1"/>
    <xf numFmtId="10" fontId="33" fillId="0" borderId="42" xfId="3" applyNumberFormat="1" applyFont="1" applyBorder="1"/>
    <xf numFmtId="178" fontId="32" fillId="30" borderId="43" xfId="3" applyNumberFormat="1" applyFont="1" applyFill="1" applyBorder="1" applyAlignment="1">
      <alignment horizontal="center" vertical="center"/>
    </xf>
    <xf numFmtId="178" fontId="32" fillId="30" borderId="44" xfId="3" applyNumberFormat="1" applyFont="1" applyFill="1" applyBorder="1" applyAlignment="1">
      <alignment horizontal="center" vertical="center"/>
    </xf>
    <xf numFmtId="178" fontId="32" fillId="30" borderId="45" xfId="3" applyNumberFormat="1" applyFont="1" applyFill="1" applyBorder="1" applyAlignment="1">
      <alignment horizontal="center" vertical="center"/>
    </xf>
    <xf numFmtId="178" fontId="32" fillId="30" borderId="29" xfId="3" applyNumberFormat="1" applyFont="1" applyFill="1" applyBorder="1" applyAlignment="1">
      <alignment horizontal="center" vertical="center"/>
    </xf>
    <xf numFmtId="1" fontId="34" fillId="0" borderId="15" xfId="0" applyNumberFormat="1" applyFont="1" applyBorder="1" applyAlignment="1">
      <alignment horizontal="right"/>
    </xf>
    <xf numFmtId="3" fontId="27" fillId="27" borderId="0" xfId="2" applyNumberFormat="1" applyFont="1" applyFill="1" applyBorder="1" applyAlignment="1">
      <alignment horizontal="center" vertical="center"/>
    </xf>
    <xf numFmtId="182" fontId="29" fillId="27" borderId="0" xfId="0" applyNumberFormat="1" applyFont="1" applyFill="1" applyAlignment="1">
      <alignment horizontal="center"/>
    </xf>
    <xf numFmtId="9" fontId="27" fillId="27" borderId="0" xfId="3" applyFont="1" applyFill="1" applyBorder="1" applyAlignment="1">
      <alignment horizontal="center" vertical="center"/>
    </xf>
    <xf numFmtId="0" fontId="35" fillId="0" borderId="0" xfId="0" applyFont="1"/>
    <xf numFmtId="0" fontId="35" fillId="0" borderId="0" xfId="0" applyFont="1" applyAlignment="1">
      <alignment horizontal="center"/>
    </xf>
    <xf numFmtId="2" fontId="35" fillId="0" borderId="0" xfId="0" applyNumberFormat="1" applyFont="1"/>
    <xf numFmtId="0" fontId="33" fillId="0" borderId="0" xfId="0" applyFont="1"/>
    <xf numFmtId="171" fontId="33" fillId="0" borderId="0" xfId="15" applyNumberFormat="1" applyFont="1"/>
    <xf numFmtId="178" fontId="33" fillId="0" borderId="0" xfId="3" applyNumberFormat="1" applyFont="1"/>
    <xf numFmtId="9" fontId="33" fillId="0" borderId="0" xfId="0" applyNumberFormat="1" applyFont="1"/>
    <xf numFmtId="0" fontId="33" fillId="0" borderId="0" xfId="0" quotePrefix="1" applyFont="1"/>
    <xf numFmtId="0" fontId="33" fillId="0" borderId="0" xfId="0" applyFont="1" applyAlignment="1">
      <alignment horizontal="center"/>
    </xf>
    <xf numFmtId="171" fontId="33" fillId="0" borderId="0" xfId="15" applyNumberFormat="1" applyFont="1" applyAlignment="1">
      <alignment horizontal="center"/>
    </xf>
    <xf numFmtId="0" fontId="33" fillId="0" borderId="0" xfId="16" quotePrefix="1" applyFont="1"/>
    <xf numFmtId="2" fontId="33" fillId="0" borderId="0" xfId="0" applyNumberFormat="1" applyFont="1"/>
    <xf numFmtId="172" fontId="33" fillId="0" borderId="0" xfId="3" applyNumberFormat="1" applyFont="1"/>
    <xf numFmtId="10" fontId="33" fillId="0" borderId="0" xfId="0" applyNumberFormat="1" applyFont="1"/>
    <xf numFmtId="0" fontId="33" fillId="9" borderId="0" xfId="0" applyFont="1" applyFill="1"/>
    <xf numFmtId="0" fontId="41" fillId="9" borderId="0" xfId="0" applyFont="1" applyFill="1"/>
    <xf numFmtId="10" fontId="33" fillId="0" borderId="0" xfId="3" applyNumberFormat="1" applyFont="1"/>
    <xf numFmtId="10" fontId="33" fillId="9" borderId="0" xfId="0" applyNumberFormat="1" applyFont="1" applyFill="1"/>
    <xf numFmtId="10" fontId="41" fillId="9" borderId="0" xfId="0" applyNumberFormat="1" applyFont="1" applyFill="1"/>
    <xf numFmtId="0" fontId="33" fillId="0" borderId="9" xfId="0" applyFont="1" applyBorder="1"/>
    <xf numFmtId="14" fontId="33" fillId="0" borderId="9" xfId="0" applyNumberFormat="1" applyFont="1" applyBorder="1"/>
    <xf numFmtId="16" fontId="33" fillId="0" borderId="0" xfId="0" applyNumberFormat="1" applyFont="1"/>
    <xf numFmtId="0" fontId="42" fillId="2" borderId="28" xfId="4" applyFont="1" applyFill="1" applyBorder="1" applyAlignment="1">
      <alignment horizontal="center" vertical="center" wrapText="1"/>
    </xf>
    <xf numFmtId="0" fontId="42" fillId="2" borderId="0" xfId="4" applyFont="1" applyFill="1" applyAlignment="1">
      <alignment horizontal="center" vertical="center" wrapText="1"/>
    </xf>
    <xf numFmtId="0" fontId="42" fillId="10" borderId="0" xfId="4" applyFont="1" applyFill="1" applyAlignment="1">
      <alignment horizontal="center" vertical="center" wrapText="1"/>
    </xf>
    <xf numFmtId="0" fontId="42" fillId="0" borderId="0" xfId="4" applyFont="1" applyAlignment="1">
      <alignment horizontal="center" vertical="center" wrapText="1"/>
    </xf>
    <xf numFmtId="0" fontId="36" fillId="0" borderId="0" xfId="4" applyFont="1"/>
    <xf numFmtId="1" fontId="38" fillId="23" borderId="26" xfId="4" applyNumberFormat="1" applyFont="1" applyFill="1" applyBorder="1" applyAlignment="1">
      <alignment horizontal="center"/>
    </xf>
    <xf numFmtId="1" fontId="38" fillId="23" borderId="27" xfId="4" applyNumberFormat="1" applyFont="1" applyFill="1" applyBorder="1" applyAlignment="1">
      <alignment horizontal="center"/>
    </xf>
    <xf numFmtId="15" fontId="38" fillId="23" borderId="27" xfId="4" applyNumberFormat="1" applyFont="1" applyFill="1" applyBorder="1" applyAlignment="1">
      <alignment horizontal="center"/>
    </xf>
    <xf numFmtId="1" fontId="43" fillId="5" borderId="27" xfId="4" applyNumberFormat="1" applyFont="1" applyFill="1" applyBorder="1" applyAlignment="1">
      <alignment horizontal="center"/>
    </xf>
    <xf numFmtId="0" fontId="43" fillId="5" borderId="27" xfId="4" applyFont="1" applyFill="1" applyBorder="1" applyAlignment="1">
      <alignment horizontal="center"/>
    </xf>
    <xf numFmtId="2" fontId="43" fillId="23" borderId="27" xfId="4" applyNumberFormat="1" applyFont="1" applyFill="1" applyBorder="1" applyAlignment="1">
      <alignment horizontal="center"/>
    </xf>
    <xf numFmtId="1" fontId="43" fillId="23" borderId="27" xfId="4" applyNumberFormat="1" applyFont="1" applyFill="1" applyBorder="1" applyAlignment="1">
      <alignment horizontal="center"/>
    </xf>
    <xf numFmtId="15" fontId="43" fillId="23" borderId="27" xfId="4" applyNumberFormat="1" applyFont="1" applyFill="1" applyBorder="1" applyAlignment="1">
      <alignment horizontal="center"/>
    </xf>
    <xf numFmtId="168" fontId="43" fillId="23" borderId="27" xfId="4" applyNumberFormat="1" applyFont="1" applyFill="1" applyBorder="1" applyAlignment="1">
      <alignment horizontal="center"/>
    </xf>
    <xf numFmtId="169" fontId="43" fillId="23" borderId="27" xfId="5" applyNumberFormat="1" applyFont="1" applyFill="1" applyBorder="1"/>
    <xf numFmtId="0" fontId="43" fillId="23" borderId="27" xfId="4" applyFont="1" applyFill="1" applyBorder="1"/>
    <xf numFmtId="0" fontId="36" fillId="0" borderId="27" xfId="4" applyFont="1" applyBorder="1"/>
    <xf numFmtId="173" fontId="43" fillId="23" borderId="27" xfId="5" applyNumberFormat="1" applyFont="1" applyFill="1" applyBorder="1"/>
    <xf numFmtId="170" fontId="43" fillId="23" borderId="27" xfId="5" applyNumberFormat="1" applyFont="1" applyFill="1" applyBorder="1"/>
    <xf numFmtId="9" fontId="43" fillId="23" borderId="27" xfId="3" applyFont="1" applyFill="1" applyBorder="1"/>
    <xf numFmtId="2" fontId="43" fillId="5" borderId="27" xfId="4" applyNumberFormat="1" applyFont="1" applyFill="1" applyBorder="1" applyAlignment="1">
      <alignment horizontal="center"/>
    </xf>
    <xf numFmtId="2" fontId="43" fillId="5" borderId="0" xfId="4" applyNumberFormat="1" applyFont="1" applyFill="1" applyAlignment="1">
      <alignment horizontal="center"/>
    </xf>
    <xf numFmtId="167" fontId="43" fillId="5" borderId="0" xfId="1" applyFont="1" applyFill="1" applyAlignment="1">
      <alignment horizontal="center"/>
    </xf>
    <xf numFmtId="1" fontId="43" fillId="5" borderId="0" xfId="4" applyNumberFormat="1" applyFont="1" applyFill="1" applyAlignment="1">
      <alignment horizontal="center"/>
    </xf>
    <xf numFmtId="0" fontId="43" fillId="5" borderId="0" xfId="4" applyFont="1" applyFill="1" applyAlignment="1">
      <alignment horizontal="center"/>
    </xf>
    <xf numFmtId="1" fontId="38" fillId="23" borderId="28" xfId="4" applyNumberFormat="1" applyFont="1" applyFill="1" applyBorder="1" applyAlignment="1">
      <alignment horizontal="center"/>
    </xf>
    <xf numFmtId="1" fontId="38" fillId="23" borderId="0" xfId="4" applyNumberFormat="1" applyFont="1" applyFill="1" applyAlignment="1">
      <alignment horizontal="center"/>
    </xf>
    <xf numFmtId="15" fontId="38" fillId="23" borderId="0" xfId="4" applyNumberFormat="1" applyFont="1" applyFill="1" applyAlignment="1">
      <alignment horizontal="center"/>
    </xf>
    <xf numFmtId="2" fontId="43" fillId="23" borderId="0" xfId="4" applyNumberFormat="1" applyFont="1" applyFill="1" applyAlignment="1">
      <alignment horizontal="center"/>
    </xf>
    <xf numFmtId="1" fontId="43" fillId="23" borderId="0" xfId="4" applyNumberFormat="1" applyFont="1" applyFill="1" applyAlignment="1">
      <alignment horizontal="center"/>
    </xf>
    <xf numFmtId="15" fontId="43" fillId="23" borderId="0" xfId="4" applyNumberFormat="1" applyFont="1" applyFill="1" applyAlignment="1">
      <alignment horizontal="center"/>
    </xf>
    <xf numFmtId="168" fontId="43" fillId="23" borderId="0" xfId="4" applyNumberFormat="1" applyFont="1" applyFill="1" applyAlignment="1">
      <alignment horizontal="center"/>
    </xf>
    <xf numFmtId="169" fontId="43" fillId="23" borderId="0" xfId="5" applyNumberFormat="1" applyFont="1" applyFill="1" applyBorder="1"/>
    <xf numFmtId="0" fontId="43" fillId="23" borderId="0" xfId="4" applyFont="1" applyFill="1"/>
    <xf numFmtId="170" fontId="43" fillId="23" borderId="0" xfId="5" applyNumberFormat="1" applyFont="1" applyFill="1" applyBorder="1"/>
    <xf numFmtId="9" fontId="43" fillId="23" borderId="0" xfId="3" applyFont="1" applyFill="1" applyBorder="1"/>
    <xf numFmtId="173" fontId="43" fillId="23" borderId="0" xfId="5" applyNumberFormat="1" applyFont="1" applyFill="1" applyBorder="1"/>
    <xf numFmtId="0" fontId="44" fillId="0" borderId="0" xfId="4" applyFont="1"/>
    <xf numFmtId="14" fontId="35" fillId="0" borderId="0" xfId="0" applyNumberFormat="1" applyFont="1"/>
    <xf numFmtId="171" fontId="35" fillId="0" borderId="0" xfId="1" applyNumberFormat="1" applyFont="1"/>
    <xf numFmtId="179" fontId="35" fillId="0" borderId="0" xfId="0" applyNumberFormat="1" applyFont="1"/>
    <xf numFmtId="0" fontId="45" fillId="26" borderId="0" xfId="0" applyFont="1" applyFill="1"/>
    <xf numFmtId="15" fontId="39" fillId="31" borderId="0" xfId="0" applyNumberFormat="1" applyFont="1" applyFill="1" applyAlignment="1">
      <alignment horizontal="center"/>
    </xf>
    <xf numFmtId="15" fontId="39" fillId="32" borderId="0" xfId="0" applyNumberFormat="1" applyFont="1" applyFill="1" applyAlignment="1">
      <alignment horizontal="center"/>
    </xf>
    <xf numFmtId="0" fontId="32" fillId="33" borderId="0" xfId="0" applyFont="1" applyFill="1" applyAlignment="1">
      <alignment horizontal="center"/>
    </xf>
    <xf numFmtId="0" fontId="33" fillId="37" borderId="0" xfId="0" applyFont="1" applyFill="1"/>
    <xf numFmtId="9" fontId="33" fillId="37" borderId="0" xfId="0" applyNumberFormat="1" applyFont="1" applyFill="1"/>
    <xf numFmtId="0" fontId="32" fillId="0" borderId="0" xfId="16" applyFont="1"/>
    <xf numFmtId="0" fontId="33" fillId="0" borderId="0" xfId="16" applyFont="1"/>
    <xf numFmtId="9" fontId="33" fillId="0" borderId="0" xfId="16" applyNumberFormat="1" applyFont="1"/>
    <xf numFmtId="171" fontId="33" fillId="0" borderId="0" xfId="15" applyNumberFormat="1" applyFont="1" applyFill="1" applyBorder="1"/>
    <xf numFmtId="178" fontId="33" fillId="0" borderId="0" xfId="3" applyNumberFormat="1" applyFont="1" applyFill="1" applyBorder="1"/>
    <xf numFmtId="9" fontId="33" fillId="0" borderId="0" xfId="3" applyFont="1" applyFill="1" applyBorder="1"/>
    <xf numFmtId="10" fontId="33" fillId="0" borderId="0" xfId="3" applyNumberFormat="1" applyFont="1" applyFill="1" applyBorder="1"/>
    <xf numFmtId="43" fontId="33" fillId="0" borderId="0" xfId="15" applyFont="1" applyFill="1" applyBorder="1"/>
    <xf numFmtId="0" fontId="32" fillId="38" borderId="0" xfId="16" applyFont="1" applyFill="1"/>
    <xf numFmtId="0" fontId="32" fillId="39" borderId="0" xfId="16" applyFont="1" applyFill="1"/>
    <xf numFmtId="15" fontId="33" fillId="0" borderId="0" xfId="0" applyNumberFormat="1" applyFont="1" applyAlignment="1">
      <alignment horizontal="center"/>
    </xf>
    <xf numFmtId="180" fontId="40" fillId="0" borderId="0" xfId="16" applyNumberFormat="1" applyFont="1" applyAlignment="1">
      <alignment horizontal="center"/>
    </xf>
    <xf numFmtId="2" fontId="34" fillId="7" borderId="0" xfId="16" applyNumberFormat="1" applyFont="1" applyFill="1"/>
    <xf numFmtId="1" fontId="33" fillId="0" borderId="0" xfId="16" applyNumberFormat="1" applyFont="1"/>
    <xf numFmtId="0" fontId="46" fillId="0" borderId="7" xfId="0" applyFont="1" applyBorder="1" applyAlignment="1">
      <alignment horizontal="center"/>
    </xf>
    <xf numFmtId="0" fontId="47" fillId="10" borderId="7" xfId="0" applyFont="1" applyFill="1" applyBorder="1" applyAlignment="1">
      <alignment horizontal="center"/>
    </xf>
    <xf numFmtId="0" fontId="47" fillId="10" borderId="0" xfId="0" applyFont="1" applyFill="1" applyAlignment="1">
      <alignment horizontal="center"/>
    </xf>
    <xf numFmtId="165" fontId="35" fillId="0" borderId="0" xfId="2" applyFont="1" applyAlignment="1">
      <alignment horizontal="center"/>
    </xf>
    <xf numFmtId="10" fontId="37" fillId="6" borderId="0" xfId="3" applyNumberFormat="1" applyFont="1" applyFill="1" applyAlignment="1">
      <alignment horizontal="center"/>
    </xf>
    <xf numFmtId="0" fontId="47" fillId="13" borderId="7" xfId="0" applyFont="1" applyFill="1" applyBorder="1" applyAlignment="1">
      <alignment horizontal="center"/>
    </xf>
    <xf numFmtId="0" fontId="47" fillId="13" borderId="0" xfId="0" applyFont="1" applyFill="1" applyAlignment="1">
      <alignment horizontal="center"/>
    </xf>
    <xf numFmtId="165" fontId="35" fillId="0" borderId="0" xfId="2" quotePrefix="1" applyFont="1" applyAlignment="1">
      <alignment horizontal="center"/>
    </xf>
    <xf numFmtId="0" fontId="45" fillId="0" borderId="0" xfId="0" applyFont="1" applyAlignment="1">
      <alignment horizontal="center"/>
    </xf>
    <xf numFmtId="0" fontId="37" fillId="6" borderId="0" xfId="0" applyFont="1" applyFill="1" applyAlignment="1">
      <alignment horizontal="center" vertical="center" wrapText="1"/>
    </xf>
    <xf numFmtId="15" fontId="37" fillId="6" borderId="0" xfId="0" applyNumberFormat="1" applyFont="1" applyFill="1" applyAlignment="1">
      <alignment horizontal="center" vertical="center" wrapText="1"/>
    </xf>
    <xf numFmtId="165" fontId="37" fillId="14" borderId="0" xfId="2" applyFont="1" applyFill="1" applyAlignment="1">
      <alignment horizontal="center" vertical="center" wrapText="1"/>
    </xf>
    <xf numFmtId="165" fontId="37" fillId="11" borderId="0" xfId="2" applyFont="1" applyFill="1" applyAlignment="1">
      <alignment horizontal="center" vertical="center" wrapText="1"/>
    </xf>
    <xf numFmtId="165" fontId="37" fillId="6" borderId="0" xfId="2" applyFont="1" applyFill="1" applyAlignment="1">
      <alignment horizontal="center" vertical="center" wrapText="1"/>
    </xf>
    <xf numFmtId="10" fontId="37" fillId="10" borderId="0" xfId="3" applyNumberFormat="1" applyFont="1" applyFill="1" applyAlignment="1">
      <alignment horizontal="center" vertical="center" wrapText="1"/>
    </xf>
    <xf numFmtId="10" fontId="37" fillId="6" borderId="0" xfId="3" applyNumberFormat="1" applyFont="1" applyFill="1" applyAlignment="1">
      <alignment horizontal="center" vertical="center" wrapText="1"/>
    </xf>
    <xf numFmtId="10" fontId="37" fillId="13" borderId="0" xfId="3" applyNumberFormat="1" applyFont="1" applyFill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165" fontId="35" fillId="0" borderId="0" xfId="2" applyFont="1" applyAlignment="1">
      <alignment horizontal="center" vertical="center" wrapText="1"/>
    </xf>
    <xf numFmtId="0" fontId="35" fillId="0" borderId="0" xfId="0" applyFont="1" applyAlignment="1">
      <alignment horizontal="center" wrapText="1"/>
    </xf>
    <xf numFmtId="0" fontId="35" fillId="7" borderId="0" xfId="1" applyNumberFormat="1" applyFont="1" applyFill="1" applyBorder="1" applyAlignment="1">
      <alignment horizontal="center"/>
    </xf>
    <xf numFmtId="0" fontId="35" fillId="4" borderId="0" xfId="1" quotePrefix="1" applyNumberFormat="1" applyFont="1" applyFill="1" applyBorder="1" applyAlignment="1">
      <alignment horizontal="center"/>
    </xf>
    <xf numFmtId="0" fontId="35" fillId="10" borderId="0" xfId="1" quotePrefix="1" applyNumberFormat="1" applyFont="1" applyFill="1" applyBorder="1" applyAlignment="1">
      <alignment horizontal="center"/>
    </xf>
    <xf numFmtId="0" fontId="35" fillId="7" borderId="0" xfId="1" quotePrefix="1" applyNumberFormat="1" applyFont="1" applyFill="1" applyBorder="1" applyAlignment="1">
      <alignment horizontal="center"/>
    </xf>
    <xf numFmtId="15" fontId="35" fillId="7" borderId="0" xfId="0" applyNumberFormat="1" applyFont="1" applyFill="1" applyAlignment="1">
      <alignment horizontal="center"/>
    </xf>
    <xf numFmtId="169" fontId="35" fillId="7" borderId="0" xfId="1" applyNumberFormat="1" applyFont="1" applyFill="1" applyBorder="1" applyAlignment="1">
      <alignment horizontal="right"/>
    </xf>
    <xf numFmtId="169" fontId="35" fillId="3" borderId="0" xfId="1" applyNumberFormat="1" applyFont="1" applyFill="1" applyBorder="1" applyAlignment="1">
      <alignment horizontal="right"/>
    </xf>
    <xf numFmtId="10" fontId="45" fillId="7" borderId="0" xfId="3" applyNumberFormat="1" applyFont="1" applyFill="1" applyBorder="1" applyAlignment="1">
      <alignment horizontal="center"/>
    </xf>
    <xf numFmtId="164" fontId="45" fillId="7" borderId="0" xfId="11" applyFont="1" applyFill="1" applyBorder="1" applyAlignment="1">
      <alignment horizontal="center"/>
    </xf>
    <xf numFmtId="167" fontId="35" fillId="0" borderId="0" xfId="1" applyFont="1" applyAlignment="1">
      <alignment horizontal="center"/>
    </xf>
    <xf numFmtId="10" fontId="35" fillId="0" borderId="0" xfId="2" applyNumberFormat="1" applyFont="1" applyAlignment="1">
      <alignment horizontal="center"/>
    </xf>
    <xf numFmtId="172" fontId="35" fillId="0" borderId="0" xfId="3" applyNumberFormat="1" applyFont="1" applyAlignment="1">
      <alignment horizontal="center"/>
    </xf>
    <xf numFmtId="0" fontId="35" fillId="7" borderId="20" xfId="1" applyNumberFormat="1" applyFont="1" applyFill="1" applyBorder="1" applyAlignment="1">
      <alignment horizontal="center"/>
    </xf>
    <xf numFmtId="0" fontId="35" fillId="7" borderId="24" xfId="1" applyNumberFormat="1" applyFont="1" applyFill="1" applyBorder="1" applyAlignment="1">
      <alignment horizontal="center"/>
    </xf>
    <xf numFmtId="0" fontId="35" fillId="27" borderId="20" xfId="1" quotePrefix="1" applyNumberFormat="1" applyFont="1" applyFill="1" applyBorder="1" applyAlignment="1">
      <alignment horizontal="center"/>
    </xf>
    <xf numFmtId="0" fontId="35" fillId="10" borderId="20" xfId="1" quotePrefix="1" applyNumberFormat="1" applyFont="1" applyFill="1" applyBorder="1" applyAlignment="1">
      <alignment horizontal="center"/>
    </xf>
    <xf numFmtId="0" fontId="35" fillId="7" borderId="20" xfId="1" quotePrefix="1" applyNumberFormat="1" applyFont="1" applyFill="1" applyBorder="1" applyAlignment="1">
      <alignment horizontal="center"/>
    </xf>
    <xf numFmtId="15" fontId="35" fillId="7" borderId="20" xfId="0" applyNumberFormat="1" applyFont="1" applyFill="1" applyBorder="1" applyAlignment="1">
      <alignment horizontal="center"/>
    </xf>
    <xf numFmtId="169" fontId="35" fillId="7" borderId="20" xfId="1" applyNumberFormat="1" applyFont="1" applyFill="1" applyBorder="1" applyAlignment="1">
      <alignment horizontal="right"/>
    </xf>
    <xf numFmtId="169" fontId="35" fillId="3" borderId="20" xfId="1" applyNumberFormat="1" applyFont="1" applyFill="1" applyBorder="1" applyAlignment="1">
      <alignment horizontal="right"/>
    </xf>
    <xf numFmtId="10" fontId="45" fillId="7" borderId="20" xfId="3" applyNumberFormat="1" applyFont="1" applyFill="1" applyBorder="1" applyAlignment="1">
      <alignment horizontal="center"/>
    </xf>
    <xf numFmtId="164" fontId="45" fillId="7" borderId="20" xfId="11" applyFont="1" applyFill="1" applyBorder="1" applyAlignment="1">
      <alignment horizontal="center"/>
    </xf>
    <xf numFmtId="167" fontId="35" fillId="0" borderId="20" xfId="1" applyFont="1" applyBorder="1" applyAlignment="1">
      <alignment horizontal="center"/>
    </xf>
    <xf numFmtId="10" fontId="35" fillId="0" borderId="20" xfId="2" applyNumberFormat="1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172" fontId="35" fillId="0" borderId="25" xfId="3" applyNumberFormat="1" applyFont="1" applyBorder="1" applyAlignment="1">
      <alignment horizontal="center"/>
    </xf>
    <xf numFmtId="0" fontId="35" fillId="12" borderId="20" xfId="1" quotePrefix="1" applyNumberFormat="1" applyFont="1" applyFill="1" applyBorder="1" applyAlignment="1">
      <alignment horizontal="center"/>
    </xf>
    <xf numFmtId="0" fontId="48" fillId="7" borderId="0" xfId="8" applyNumberFormat="1" applyFont="1" applyFill="1" applyBorder="1" applyAlignment="1">
      <alignment horizontal="center"/>
    </xf>
    <xf numFmtId="0" fontId="35" fillId="23" borderId="0" xfId="1" quotePrefix="1" applyNumberFormat="1" applyFont="1" applyFill="1" applyBorder="1" applyAlignment="1">
      <alignment horizontal="center"/>
    </xf>
    <xf numFmtId="169" fontId="35" fillId="7" borderId="0" xfId="1" quotePrefix="1" applyNumberFormat="1" applyFont="1" applyFill="1" applyBorder="1" applyAlignment="1">
      <alignment horizontal="right"/>
    </xf>
    <xf numFmtId="167" fontId="35" fillId="7" borderId="0" xfId="1" applyFont="1" applyFill="1" applyAlignment="1">
      <alignment horizontal="center"/>
    </xf>
    <xf numFmtId="0" fontId="35" fillId="7" borderId="4" xfId="1" applyNumberFormat="1" applyFont="1" applyFill="1" applyBorder="1" applyAlignment="1">
      <alignment horizontal="center"/>
    </xf>
    <xf numFmtId="0" fontId="48" fillId="7" borderId="3" xfId="8" applyNumberFormat="1" applyFont="1" applyFill="1" applyBorder="1" applyAlignment="1">
      <alignment horizontal="center"/>
    </xf>
    <xf numFmtId="0" fontId="35" fillId="26" borderId="4" xfId="1" quotePrefix="1" applyNumberFormat="1" applyFont="1" applyFill="1" applyBorder="1" applyAlignment="1">
      <alignment horizontal="center"/>
    </xf>
    <xf numFmtId="0" fontId="35" fillId="10" borderId="4" xfId="1" quotePrefix="1" applyNumberFormat="1" applyFont="1" applyFill="1" applyBorder="1" applyAlignment="1">
      <alignment horizontal="center"/>
    </xf>
    <xf numFmtId="0" fontId="35" fillId="7" borderId="4" xfId="1" quotePrefix="1" applyNumberFormat="1" applyFont="1" applyFill="1" applyBorder="1" applyAlignment="1">
      <alignment horizontal="center"/>
    </xf>
    <xf numFmtId="15" fontId="35" fillId="7" borderId="4" xfId="0" applyNumberFormat="1" applyFont="1" applyFill="1" applyBorder="1" applyAlignment="1">
      <alignment horizontal="center"/>
    </xf>
    <xf numFmtId="169" fontId="35" fillId="7" borderId="4" xfId="1" applyNumberFormat="1" applyFont="1" applyFill="1" applyBorder="1" applyAlignment="1">
      <alignment horizontal="right"/>
    </xf>
    <xf numFmtId="169" fontId="35" fillId="7" borderId="4" xfId="1" quotePrefix="1" applyNumberFormat="1" applyFont="1" applyFill="1" applyBorder="1" applyAlignment="1">
      <alignment horizontal="right"/>
    </xf>
    <xf numFmtId="10" fontId="45" fillId="7" borderId="4" xfId="3" applyNumberFormat="1" applyFont="1" applyFill="1" applyBorder="1" applyAlignment="1">
      <alignment horizontal="center"/>
    </xf>
    <xf numFmtId="164" fontId="45" fillId="7" borderId="4" xfId="11" applyFont="1" applyFill="1" applyBorder="1" applyAlignment="1">
      <alignment horizontal="center"/>
    </xf>
    <xf numFmtId="167" fontId="35" fillId="7" borderId="4" xfId="1" applyFont="1" applyFill="1" applyBorder="1" applyAlignment="1">
      <alignment horizontal="center"/>
    </xf>
    <xf numFmtId="10" fontId="35" fillId="0" borderId="4" xfId="2" applyNumberFormat="1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172" fontId="35" fillId="0" borderId="21" xfId="3" applyNumberFormat="1" applyFont="1" applyBorder="1" applyAlignment="1">
      <alignment horizontal="center"/>
    </xf>
    <xf numFmtId="0" fontId="35" fillId="7" borderId="2" xfId="1" applyNumberFormat="1" applyFont="1" applyFill="1" applyBorder="1" applyAlignment="1">
      <alignment horizontal="center"/>
    </xf>
    <xf numFmtId="0" fontId="48" fillId="7" borderId="6" xfId="8" applyNumberFormat="1" applyFont="1" applyFill="1" applyBorder="1" applyAlignment="1">
      <alignment horizontal="center"/>
    </xf>
    <xf numFmtId="0" fontId="35" fillId="26" borderId="2" xfId="1" quotePrefix="1" applyNumberFormat="1" applyFont="1" applyFill="1" applyBorder="1" applyAlignment="1">
      <alignment horizontal="center"/>
    </xf>
    <xf numFmtId="0" fontId="35" fillId="10" borderId="2" xfId="1" quotePrefix="1" applyNumberFormat="1" applyFont="1" applyFill="1" applyBorder="1" applyAlignment="1">
      <alignment horizontal="center"/>
    </xf>
    <xf numFmtId="0" fontId="35" fillId="7" borderId="2" xfId="1" quotePrefix="1" applyNumberFormat="1" applyFont="1" applyFill="1" applyBorder="1" applyAlignment="1">
      <alignment horizontal="center"/>
    </xf>
    <xf numFmtId="15" fontId="35" fillId="7" borderId="2" xfId="0" applyNumberFormat="1" applyFont="1" applyFill="1" applyBorder="1" applyAlignment="1">
      <alignment horizontal="center"/>
    </xf>
    <xf numFmtId="169" fontId="35" fillId="7" borderId="2" xfId="1" applyNumberFormat="1" applyFont="1" applyFill="1" applyBorder="1" applyAlignment="1">
      <alignment horizontal="right"/>
    </xf>
    <xf numFmtId="169" fontId="35" fillId="7" borderId="2" xfId="1" quotePrefix="1" applyNumberFormat="1" applyFont="1" applyFill="1" applyBorder="1" applyAlignment="1">
      <alignment horizontal="right"/>
    </xf>
    <xf numFmtId="10" fontId="45" fillId="7" borderId="2" xfId="3" applyNumberFormat="1" applyFont="1" applyFill="1" applyBorder="1" applyAlignment="1">
      <alignment horizontal="center"/>
    </xf>
    <xf numFmtId="164" fontId="45" fillId="7" borderId="2" xfId="11" applyFont="1" applyFill="1" applyBorder="1" applyAlignment="1">
      <alignment horizontal="center"/>
    </xf>
    <xf numFmtId="167" fontId="35" fillId="7" borderId="2" xfId="1" applyFont="1" applyFill="1" applyBorder="1" applyAlignment="1">
      <alignment horizontal="center"/>
    </xf>
    <xf numFmtId="10" fontId="35" fillId="0" borderId="2" xfId="2" applyNumberFormat="1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172" fontId="35" fillId="0" borderId="23" xfId="3" applyNumberFormat="1" applyFont="1" applyBorder="1" applyAlignment="1">
      <alignment horizontal="center"/>
    </xf>
    <xf numFmtId="0" fontId="35" fillId="25" borderId="4" xfId="1" quotePrefix="1" applyNumberFormat="1" applyFont="1" applyFill="1" applyBorder="1" applyAlignment="1">
      <alignment horizontal="center"/>
    </xf>
    <xf numFmtId="177" fontId="35" fillId="0" borderId="21" xfId="3" applyNumberFormat="1" applyFont="1" applyBorder="1" applyAlignment="1">
      <alignment horizontal="center"/>
    </xf>
    <xf numFmtId="0" fontId="48" fillId="7" borderId="5" xfId="8" applyNumberFormat="1" applyFont="1" applyFill="1" applyBorder="1" applyAlignment="1">
      <alignment horizontal="center"/>
    </xf>
    <xf numFmtId="0" fontId="35" fillId="25" borderId="0" xfId="1" quotePrefix="1" applyNumberFormat="1" applyFont="1" applyFill="1" applyBorder="1" applyAlignment="1">
      <alignment horizontal="center"/>
    </xf>
    <xf numFmtId="167" fontId="35" fillId="7" borderId="0" xfId="1" applyFont="1" applyFill="1" applyBorder="1" applyAlignment="1">
      <alignment horizontal="center"/>
    </xf>
    <xf numFmtId="10" fontId="35" fillId="0" borderId="0" xfId="2" applyNumberFormat="1" applyFont="1" applyBorder="1" applyAlignment="1">
      <alignment horizontal="center"/>
    </xf>
    <xf numFmtId="177" fontId="35" fillId="0" borderId="22" xfId="3" applyNumberFormat="1" applyFont="1" applyBorder="1" applyAlignment="1">
      <alignment horizontal="center"/>
    </xf>
    <xf numFmtId="15" fontId="35" fillId="25" borderId="0" xfId="1" applyNumberFormat="1" applyFont="1" applyFill="1" applyBorder="1" applyAlignment="1">
      <alignment horizontal="center"/>
    </xf>
    <xf numFmtId="15" fontId="35" fillId="25" borderId="0" xfId="1" quotePrefix="1" applyNumberFormat="1" applyFont="1" applyFill="1" applyBorder="1" applyAlignment="1">
      <alignment horizontal="center"/>
    </xf>
    <xf numFmtId="15" fontId="35" fillId="25" borderId="2" xfId="1" quotePrefix="1" applyNumberFormat="1" applyFont="1" applyFill="1" applyBorder="1" applyAlignment="1">
      <alignment horizontal="center"/>
    </xf>
    <xf numFmtId="169" fontId="35" fillId="3" borderId="2" xfId="1" applyNumberFormat="1" applyFont="1" applyFill="1" applyBorder="1" applyAlignment="1">
      <alignment horizontal="right"/>
    </xf>
    <xf numFmtId="177" fontId="35" fillId="0" borderId="23" xfId="3" applyNumberFormat="1" applyFont="1" applyBorder="1" applyAlignment="1">
      <alignment horizontal="center"/>
    </xf>
    <xf numFmtId="15" fontId="35" fillId="10" borderId="4" xfId="1" quotePrefix="1" applyNumberFormat="1" applyFont="1" applyFill="1" applyBorder="1" applyAlignment="1">
      <alignment horizontal="center"/>
    </xf>
    <xf numFmtId="169" fontId="35" fillId="3" borderId="4" xfId="1" applyNumberFormat="1" applyFont="1" applyFill="1" applyBorder="1" applyAlignment="1">
      <alignment horizontal="right"/>
    </xf>
    <xf numFmtId="15" fontId="35" fillId="10" borderId="0" xfId="1" quotePrefix="1" applyNumberFormat="1" applyFont="1" applyFill="1" applyBorder="1" applyAlignment="1">
      <alignment horizontal="center"/>
    </xf>
    <xf numFmtId="172" fontId="35" fillId="0" borderId="22" xfId="3" applyNumberFormat="1" applyFont="1" applyBorder="1" applyAlignment="1">
      <alignment horizontal="center"/>
    </xf>
    <xf numFmtId="0" fontId="35" fillId="5" borderId="6" xfId="1" applyNumberFormat="1" applyFont="1" applyFill="1" applyBorder="1" applyAlignment="1">
      <alignment horizontal="center"/>
    </xf>
    <xf numFmtId="15" fontId="35" fillId="5" borderId="2" xfId="0" applyNumberFormat="1" applyFont="1" applyFill="1" applyBorder="1" applyAlignment="1">
      <alignment horizontal="center"/>
    </xf>
    <xf numFmtId="169" fontId="35" fillId="5" borderId="2" xfId="1" applyNumberFormat="1" applyFont="1" applyFill="1" applyBorder="1" applyAlignment="1">
      <alignment horizontal="right"/>
    </xf>
    <xf numFmtId="10" fontId="45" fillId="5" borderId="2" xfId="3" applyNumberFormat="1" applyFont="1" applyFill="1" applyBorder="1" applyAlignment="1">
      <alignment horizontal="center"/>
    </xf>
    <xf numFmtId="167" fontId="35" fillId="0" borderId="2" xfId="1" applyFont="1" applyBorder="1" applyAlignment="1">
      <alignment horizontal="center"/>
    </xf>
    <xf numFmtId="0" fontId="35" fillId="5" borderId="3" xfId="1" applyNumberFormat="1" applyFont="1" applyFill="1" applyBorder="1" applyAlignment="1">
      <alignment horizontal="center"/>
    </xf>
    <xf numFmtId="15" fontId="35" fillId="13" borderId="4" xfId="0" quotePrefix="1" applyNumberFormat="1" applyFont="1" applyFill="1" applyBorder="1" applyAlignment="1">
      <alignment horizontal="center"/>
    </xf>
    <xf numFmtId="15" fontId="35" fillId="5" borderId="4" xfId="0" applyNumberFormat="1" applyFont="1" applyFill="1" applyBorder="1" applyAlignment="1">
      <alignment horizontal="center"/>
    </xf>
    <xf numFmtId="169" fontId="35" fillId="5" borderId="4" xfId="1" applyNumberFormat="1" applyFont="1" applyFill="1" applyBorder="1" applyAlignment="1">
      <alignment horizontal="right"/>
    </xf>
    <xf numFmtId="10" fontId="45" fillId="5" borderId="4" xfId="3" applyNumberFormat="1" applyFont="1" applyFill="1" applyBorder="1" applyAlignment="1">
      <alignment horizontal="center"/>
    </xf>
    <xf numFmtId="167" fontId="35" fillId="0" borderId="4" xfId="1" applyFont="1" applyBorder="1" applyAlignment="1">
      <alignment horizontal="center"/>
    </xf>
    <xf numFmtId="0" fontId="35" fillId="5" borderId="5" xfId="1" applyNumberFormat="1" applyFont="1" applyFill="1" applyBorder="1" applyAlignment="1">
      <alignment horizontal="center"/>
    </xf>
    <xf numFmtId="15" fontId="35" fillId="13" borderId="0" xfId="0" quotePrefix="1" applyNumberFormat="1" applyFont="1" applyFill="1" applyAlignment="1">
      <alignment horizontal="center"/>
    </xf>
    <xf numFmtId="15" fontId="35" fillId="5" borderId="0" xfId="0" applyNumberFormat="1" applyFont="1" applyFill="1" applyAlignment="1">
      <alignment horizontal="center"/>
    </xf>
    <xf numFmtId="169" fontId="35" fillId="5" borderId="0" xfId="1" applyNumberFormat="1" applyFont="1" applyFill="1" applyBorder="1" applyAlignment="1">
      <alignment horizontal="right"/>
    </xf>
    <xf numFmtId="10" fontId="45" fillId="5" borderId="0" xfId="3" applyNumberFormat="1" applyFont="1" applyFill="1" applyBorder="1" applyAlignment="1">
      <alignment horizontal="center"/>
    </xf>
    <xf numFmtId="167" fontId="35" fillId="0" borderId="0" xfId="1" applyFont="1" applyBorder="1" applyAlignment="1">
      <alignment horizontal="center"/>
    </xf>
    <xf numFmtId="15" fontId="35" fillId="13" borderId="0" xfId="1" quotePrefix="1" applyNumberFormat="1" applyFont="1" applyFill="1" applyBorder="1" applyAlignment="1">
      <alignment horizontal="center"/>
    </xf>
    <xf numFmtId="0" fontId="35" fillId="24" borderId="0" xfId="0" applyFont="1" applyFill="1" applyAlignment="1">
      <alignment horizontal="center"/>
    </xf>
    <xf numFmtId="172" fontId="35" fillId="24" borderId="22" xfId="3" applyNumberFormat="1" applyFont="1" applyFill="1" applyBorder="1" applyAlignment="1">
      <alignment horizontal="center"/>
    </xf>
    <xf numFmtId="9" fontId="35" fillId="0" borderId="0" xfId="0" applyNumberFormat="1" applyFont="1" applyAlignment="1">
      <alignment horizontal="center"/>
    </xf>
    <xf numFmtId="0" fontId="35" fillId="0" borderId="0" xfId="3" applyNumberFormat="1" applyFont="1" applyAlignment="1">
      <alignment horizontal="center"/>
    </xf>
    <xf numFmtId="169" fontId="35" fillId="15" borderId="0" xfId="1" applyNumberFormat="1" applyFont="1" applyFill="1" applyBorder="1" applyAlignment="1">
      <alignment horizontal="right"/>
    </xf>
    <xf numFmtId="15" fontId="35" fillId="13" borderId="2" xfId="1" quotePrefix="1" applyNumberFormat="1" applyFont="1" applyFill="1" applyBorder="1" applyAlignment="1">
      <alignment horizontal="center"/>
    </xf>
    <xf numFmtId="0" fontId="35" fillId="24" borderId="2" xfId="0" applyFont="1" applyFill="1" applyBorder="1" applyAlignment="1">
      <alignment horizontal="center"/>
    </xf>
    <xf numFmtId="172" fontId="35" fillId="24" borderId="23" xfId="3" applyNumberFormat="1" applyFont="1" applyFill="1" applyBorder="1" applyAlignment="1">
      <alignment horizontal="center"/>
    </xf>
    <xf numFmtId="15" fontId="35" fillId="28" borderId="4" xfId="1" quotePrefix="1" applyNumberFormat="1" applyFont="1" applyFill="1" applyBorder="1" applyAlignment="1">
      <alignment horizontal="center"/>
    </xf>
    <xf numFmtId="169" fontId="35" fillId="0" borderId="0" xfId="0" applyNumberFormat="1" applyFont="1" applyAlignment="1">
      <alignment horizontal="center"/>
    </xf>
    <xf numFmtId="15" fontId="35" fillId="28" borderId="0" xfId="1" quotePrefix="1" applyNumberFormat="1" applyFont="1" applyFill="1" applyBorder="1" applyAlignment="1">
      <alignment horizontal="center"/>
    </xf>
    <xf numFmtId="172" fontId="35" fillId="15" borderId="22" xfId="3" applyNumberFormat="1" applyFont="1" applyFill="1" applyBorder="1" applyAlignment="1">
      <alignment horizontal="center"/>
    </xf>
    <xf numFmtId="0" fontId="35" fillId="5" borderId="0" xfId="1" applyNumberFormat="1" applyFont="1" applyFill="1" applyBorder="1" applyAlignment="1">
      <alignment horizontal="center"/>
    </xf>
    <xf numFmtId="172" fontId="35" fillId="0" borderId="0" xfId="3" applyNumberFormat="1" applyFont="1" applyBorder="1" applyAlignment="1">
      <alignment horizontal="center"/>
    </xf>
    <xf numFmtId="15" fontId="35" fillId="28" borderId="0" xfId="1" applyNumberFormat="1" applyFont="1" applyFill="1" applyBorder="1" applyAlignment="1">
      <alignment horizontal="center"/>
    </xf>
    <xf numFmtId="0" fontId="35" fillId="5" borderId="0" xfId="1" applyNumberFormat="1" applyFont="1" applyFill="1" applyAlignment="1">
      <alignment horizontal="center"/>
    </xf>
    <xf numFmtId="0" fontId="35" fillId="7" borderId="0" xfId="1" applyNumberFormat="1" applyFont="1" applyFill="1" applyAlignment="1">
      <alignment horizontal="center"/>
    </xf>
    <xf numFmtId="15" fontId="35" fillId="28" borderId="0" xfId="1" applyNumberFormat="1" applyFont="1" applyFill="1" applyAlignment="1">
      <alignment horizontal="center"/>
    </xf>
    <xf numFmtId="0" fontId="35" fillId="10" borderId="0" xfId="1" applyNumberFormat="1" applyFont="1" applyFill="1" applyAlignment="1">
      <alignment horizontal="center"/>
    </xf>
    <xf numFmtId="0" fontId="35" fillId="7" borderId="0" xfId="1" quotePrefix="1" applyNumberFormat="1" applyFont="1" applyFill="1" applyAlignment="1">
      <alignment horizontal="center"/>
    </xf>
    <xf numFmtId="169" fontId="35" fillId="5" borderId="0" xfId="1" applyNumberFormat="1" applyFont="1" applyFill="1" applyAlignment="1">
      <alignment horizontal="right"/>
    </xf>
    <xf numFmtId="169" fontId="35" fillId="3" borderId="0" xfId="1" applyNumberFormat="1" applyFont="1" applyFill="1" applyAlignment="1">
      <alignment horizontal="right"/>
    </xf>
    <xf numFmtId="169" fontId="35" fillId="7" borderId="0" xfId="1" applyNumberFormat="1" applyFont="1" applyFill="1" applyAlignment="1">
      <alignment horizontal="right"/>
    </xf>
    <xf numFmtId="10" fontId="45" fillId="7" borderId="0" xfId="3" applyNumberFormat="1" applyFont="1" applyFill="1" applyAlignment="1">
      <alignment horizontal="center"/>
    </xf>
    <xf numFmtId="10" fontId="45" fillId="5" borderId="0" xfId="3" applyNumberFormat="1" applyFont="1" applyFill="1" applyAlignment="1">
      <alignment horizontal="center"/>
    </xf>
    <xf numFmtId="164" fontId="45" fillId="7" borderId="0" xfId="11" applyFont="1" applyFill="1" applyAlignment="1">
      <alignment horizontal="center"/>
    </xf>
    <xf numFmtId="15" fontId="35" fillId="28" borderId="0" xfId="1" quotePrefix="1" applyNumberFormat="1" applyFont="1" applyFill="1" applyAlignment="1">
      <alignment horizontal="center"/>
    </xf>
    <xf numFmtId="0" fontId="35" fillId="5" borderId="2" xfId="1" applyNumberFormat="1" applyFont="1" applyFill="1" applyBorder="1" applyAlignment="1">
      <alignment horizontal="center"/>
    </xf>
    <xf numFmtId="15" fontId="35" fillId="28" borderId="2" xfId="1" quotePrefix="1" applyNumberFormat="1" applyFont="1" applyFill="1" applyBorder="1" applyAlignment="1">
      <alignment horizontal="center"/>
    </xf>
    <xf numFmtId="0" fontId="35" fillId="10" borderId="2" xfId="1" applyNumberFormat="1" applyFont="1" applyFill="1" applyBorder="1" applyAlignment="1">
      <alignment horizontal="center"/>
    </xf>
    <xf numFmtId="172" fontId="35" fillId="0" borderId="2" xfId="3" applyNumberFormat="1" applyFont="1" applyBorder="1" applyAlignment="1">
      <alignment horizontal="center"/>
    </xf>
    <xf numFmtId="0" fontId="37" fillId="6" borderId="0" xfId="0" applyFont="1" applyFill="1" applyAlignment="1">
      <alignment horizontal="center"/>
    </xf>
    <xf numFmtId="1" fontId="37" fillId="6" borderId="0" xfId="0" applyNumberFormat="1" applyFont="1" applyFill="1" applyAlignment="1">
      <alignment horizontal="center"/>
    </xf>
    <xf numFmtId="169" fontId="37" fillId="6" borderId="0" xfId="1" applyNumberFormat="1" applyFont="1" applyFill="1" applyAlignment="1">
      <alignment horizontal="right"/>
    </xf>
    <xf numFmtId="9" fontId="35" fillId="0" borderId="0" xfId="3" applyFont="1" applyAlignment="1">
      <alignment horizontal="center"/>
    </xf>
    <xf numFmtId="169" fontId="35" fillId="6" borderId="0" xfId="1" applyNumberFormat="1" applyFont="1" applyFill="1" applyAlignment="1">
      <alignment horizontal="right"/>
    </xf>
    <xf numFmtId="169" fontId="50" fillId="6" borderId="0" xfId="1" applyNumberFormat="1" applyFont="1" applyFill="1" applyAlignment="1">
      <alignment horizontal="right"/>
    </xf>
    <xf numFmtId="0" fontId="45" fillId="8" borderId="0" xfId="0" applyFont="1" applyFill="1" applyAlignment="1">
      <alignment horizontal="center"/>
    </xf>
    <xf numFmtId="15" fontId="35" fillId="8" borderId="0" xfId="0" applyNumberFormat="1" applyFont="1" applyFill="1" applyAlignment="1">
      <alignment horizontal="center"/>
    </xf>
    <xf numFmtId="165" fontId="35" fillId="8" borderId="0" xfId="2" applyFont="1" applyFill="1" applyAlignment="1">
      <alignment horizontal="center"/>
    </xf>
    <xf numFmtId="165" fontId="45" fillId="9" borderId="0" xfId="2" applyFont="1" applyFill="1" applyAlignment="1">
      <alignment horizontal="center"/>
    </xf>
    <xf numFmtId="172" fontId="45" fillId="9" borderId="0" xfId="2" applyNumberFormat="1" applyFont="1" applyFill="1" applyAlignment="1">
      <alignment horizontal="center"/>
    </xf>
    <xf numFmtId="10" fontId="45" fillId="8" borderId="0" xfId="3" applyNumberFormat="1" applyFont="1" applyFill="1" applyAlignment="1">
      <alignment horizontal="center"/>
    </xf>
    <xf numFmtId="169" fontId="45" fillId="8" borderId="0" xfId="0" applyNumberFormat="1" applyFont="1" applyFill="1" applyAlignment="1">
      <alignment horizontal="center"/>
    </xf>
    <xf numFmtId="9" fontId="35" fillId="8" borderId="0" xfId="3" applyFont="1" applyFill="1" applyAlignment="1">
      <alignment horizontal="center"/>
    </xf>
    <xf numFmtId="165" fontId="35" fillId="15" borderId="0" xfId="2" applyFont="1" applyFill="1" applyAlignment="1">
      <alignment horizontal="center"/>
    </xf>
    <xf numFmtId="10" fontId="35" fillId="8" borderId="0" xfId="2" applyNumberFormat="1" applyFont="1" applyFill="1" applyAlignment="1">
      <alignment horizontal="center"/>
    </xf>
    <xf numFmtId="0" fontId="45" fillId="0" borderId="7" xfId="0" applyFont="1" applyBorder="1" applyAlignment="1">
      <alignment horizontal="center"/>
    </xf>
    <xf numFmtId="10" fontId="35" fillId="8" borderId="0" xfId="3" applyNumberFormat="1" applyFont="1" applyFill="1" applyAlignment="1">
      <alignment horizontal="center"/>
    </xf>
    <xf numFmtId="0" fontId="35" fillId="0" borderId="7" xfId="0" applyFont="1" applyBorder="1" applyAlignment="1">
      <alignment horizontal="center"/>
    </xf>
    <xf numFmtId="176" fontId="35" fillId="15" borderId="7" xfId="0" applyNumberFormat="1" applyFont="1" applyFill="1" applyBorder="1" applyAlignment="1">
      <alignment horizontal="center"/>
    </xf>
    <xf numFmtId="0" fontId="35" fillId="8" borderId="0" xfId="0" applyFont="1" applyFill="1" applyAlignment="1">
      <alignment horizontal="center"/>
    </xf>
    <xf numFmtId="172" fontId="35" fillId="8" borderId="0" xfId="0" applyNumberFormat="1" applyFont="1" applyFill="1" applyAlignment="1">
      <alignment horizontal="center"/>
    </xf>
    <xf numFmtId="176" fontId="35" fillId="0" borderId="7" xfId="0" applyNumberFormat="1" applyFont="1" applyBorder="1" applyAlignment="1">
      <alignment horizontal="center"/>
    </xf>
    <xf numFmtId="0" fontId="35" fillId="29" borderId="7" xfId="0" applyFont="1" applyFill="1" applyBorder="1" applyAlignment="1">
      <alignment horizontal="center"/>
    </xf>
    <xf numFmtId="0" fontId="49" fillId="0" borderId="0" xfId="0" applyFont="1" applyAlignment="1">
      <alignment horizontal="center"/>
    </xf>
    <xf numFmtId="0" fontId="45" fillId="0" borderId="0" xfId="0" applyFont="1"/>
    <xf numFmtId="0" fontId="45" fillId="7" borderId="0" xfId="0" applyFont="1" applyFill="1"/>
    <xf numFmtId="178" fontId="32" fillId="30" borderId="56" xfId="3" applyNumberFormat="1" applyFont="1" applyFill="1" applyBorder="1" applyAlignment="1">
      <alignment horizontal="center" vertical="center"/>
    </xf>
    <xf numFmtId="178" fontId="32" fillId="30" borderId="15" xfId="3" applyNumberFormat="1" applyFont="1" applyFill="1" applyBorder="1" applyAlignment="1">
      <alignment horizontal="center" vertical="center"/>
    </xf>
    <xf numFmtId="167" fontId="35" fillId="0" borderId="0" xfId="1" applyFont="1"/>
    <xf numFmtId="167" fontId="35" fillId="0" borderId="0" xfId="0" applyNumberFormat="1" applyFont="1"/>
    <xf numFmtId="9" fontId="35" fillId="0" borderId="0" xfId="3" applyFont="1"/>
    <xf numFmtId="176" fontId="35" fillId="0" borderId="0" xfId="0" applyNumberFormat="1" applyFont="1"/>
    <xf numFmtId="0" fontId="51" fillId="0" borderId="53" xfId="0" applyFont="1" applyBorder="1"/>
    <xf numFmtId="0" fontId="51" fillId="0" borderId="49" xfId="0" applyFont="1" applyBorder="1"/>
    <xf numFmtId="0" fontId="52" fillId="0" borderId="51" xfId="0" applyFont="1" applyBorder="1"/>
    <xf numFmtId="0" fontId="51" fillId="0" borderId="47" xfId="0" applyFont="1" applyBorder="1"/>
    <xf numFmtId="43" fontId="51" fillId="0" borderId="41" xfId="15" applyFont="1" applyBorder="1"/>
    <xf numFmtId="43" fontId="51" fillId="0" borderId="50" xfId="15" applyFont="1" applyBorder="1"/>
    <xf numFmtId="43" fontId="52" fillId="0" borderId="52" xfId="15" applyFont="1" applyBorder="1"/>
    <xf numFmtId="43" fontId="51" fillId="0" borderId="46" xfId="15" applyFont="1" applyBorder="1"/>
    <xf numFmtId="0" fontId="52" fillId="0" borderId="54" xfId="0" applyFont="1" applyBorder="1"/>
    <xf numFmtId="43" fontId="52" fillId="0" borderId="55" xfId="15" applyFont="1" applyBorder="1"/>
    <xf numFmtId="0" fontId="51" fillId="0" borderId="57" xfId="0" applyFont="1" applyBorder="1"/>
    <xf numFmtId="0" fontId="51" fillId="0" borderId="58" xfId="0" applyFont="1" applyBorder="1"/>
    <xf numFmtId="0" fontId="51" fillId="0" borderId="48" xfId="0" applyFont="1" applyBorder="1"/>
    <xf numFmtId="10" fontId="51" fillId="0" borderId="59" xfId="3" applyNumberFormat="1" applyFont="1" applyBorder="1"/>
    <xf numFmtId="10" fontId="51" fillId="0" borderId="60" xfId="3" applyNumberFormat="1" applyFont="1" applyBorder="1"/>
    <xf numFmtId="10" fontId="51" fillId="0" borderId="61" xfId="3" applyNumberFormat="1" applyFont="1" applyBorder="1"/>
    <xf numFmtId="43" fontId="51" fillId="0" borderId="61" xfId="15" applyFont="1" applyBorder="1"/>
    <xf numFmtId="43" fontId="51" fillId="0" borderId="60" xfId="15" applyFont="1" applyBorder="1"/>
    <xf numFmtId="10" fontId="35" fillId="0" borderId="15" xfId="0" applyNumberFormat="1" applyFont="1" applyBorder="1"/>
    <xf numFmtId="43" fontId="35" fillId="0" borderId="0" xfId="0" applyNumberFormat="1" applyFont="1"/>
    <xf numFmtId="172" fontId="35" fillId="0" borderId="0" xfId="3" applyNumberFormat="1" applyFont="1"/>
    <xf numFmtId="178" fontId="51" fillId="8" borderId="53" xfId="0" applyNumberFormat="1" applyFont="1" applyFill="1" applyBorder="1"/>
    <xf numFmtId="43" fontId="51" fillId="8" borderId="41" xfId="15" applyFont="1" applyFill="1" applyBorder="1"/>
    <xf numFmtId="178" fontId="51" fillId="8" borderId="49" xfId="0" applyNumberFormat="1" applyFont="1" applyFill="1" applyBorder="1"/>
    <xf numFmtId="43" fontId="51" fillId="8" borderId="50" xfId="15" applyFont="1" applyFill="1" applyBorder="1"/>
    <xf numFmtId="178" fontId="52" fillId="8" borderId="51" xfId="0" applyNumberFormat="1" applyFont="1" applyFill="1" applyBorder="1"/>
    <xf numFmtId="43" fontId="52" fillId="8" borderId="52" xfId="15" applyFont="1" applyFill="1" applyBorder="1"/>
    <xf numFmtId="178" fontId="51" fillId="8" borderId="47" xfId="0" applyNumberFormat="1" applyFont="1" applyFill="1" applyBorder="1"/>
    <xf numFmtId="43" fontId="51" fillId="8" borderId="46" xfId="15" applyFont="1" applyFill="1" applyBorder="1"/>
    <xf numFmtId="178" fontId="51" fillId="8" borderId="57" xfId="0" applyNumberFormat="1" applyFont="1" applyFill="1" applyBorder="1"/>
    <xf numFmtId="10" fontId="51" fillId="8" borderId="59" xfId="3" applyNumberFormat="1" applyFont="1" applyFill="1" applyBorder="1"/>
    <xf numFmtId="178" fontId="51" fillId="8" borderId="62" xfId="0" applyNumberFormat="1" applyFont="1" applyFill="1" applyBorder="1"/>
    <xf numFmtId="10" fontId="51" fillId="8" borderId="63" xfId="3" applyNumberFormat="1" applyFont="1" applyFill="1" applyBorder="1"/>
    <xf numFmtId="0" fontId="32" fillId="40" borderId="64" xfId="16" applyFont="1" applyFill="1" applyBorder="1"/>
    <xf numFmtId="0" fontId="32" fillId="38" borderId="64" xfId="16" applyFont="1" applyFill="1" applyBorder="1"/>
    <xf numFmtId="0" fontId="32" fillId="33" borderId="64" xfId="16" applyFont="1" applyFill="1" applyBorder="1"/>
    <xf numFmtId="0" fontId="32" fillId="41" borderId="64" xfId="16" applyFont="1" applyFill="1" applyBorder="1"/>
    <xf numFmtId="171" fontId="32" fillId="33" borderId="64" xfId="15" applyNumberFormat="1" applyFont="1" applyFill="1" applyBorder="1"/>
    <xf numFmtId="178" fontId="32" fillId="33" borderId="64" xfId="3" applyNumberFormat="1" applyFont="1" applyFill="1" applyBorder="1"/>
    <xf numFmtId="0" fontId="32" fillId="45" borderId="64" xfId="0" applyFont="1" applyFill="1" applyBorder="1" applyAlignment="1">
      <alignment horizontal="center"/>
    </xf>
    <xf numFmtId="0" fontId="32" fillId="45" borderId="0" xfId="0" applyFont="1" applyFill="1" applyAlignment="1">
      <alignment horizontal="center"/>
    </xf>
    <xf numFmtId="0" fontId="32" fillId="45" borderId="65" xfId="0" applyFont="1" applyFill="1" applyBorder="1" applyAlignment="1">
      <alignment horizontal="center"/>
    </xf>
    <xf numFmtId="0" fontId="32" fillId="44" borderId="64" xfId="0" applyFont="1" applyFill="1" applyBorder="1" applyAlignment="1">
      <alignment horizontal="center"/>
    </xf>
    <xf numFmtId="0" fontId="32" fillId="44" borderId="0" xfId="0" applyFont="1" applyFill="1" applyAlignment="1">
      <alignment horizontal="center"/>
    </xf>
    <xf numFmtId="0" fontId="32" fillId="44" borderId="65" xfId="0" applyFont="1" applyFill="1" applyBorder="1" applyAlignment="1">
      <alignment horizontal="center"/>
    </xf>
    <xf numFmtId="0" fontId="32" fillId="33" borderId="64" xfId="0" applyFont="1" applyFill="1" applyBorder="1"/>
    <xf numFmtId="0" fontId="32" fillId="38" borderId="66" xfId="0" applyFont="1" applyFill="1" applyBorder="1"/>
    <xf numFmtId="9" fontId="33" fillId="0" borderId="0" xfId="3" applyFont="1" applyFill="1"/>
    <xf numFmtId="171" fontId="33" fillId="0" borderId="0" xfId="15" applyNumberFormat="1" applyFont="1" applyFill="1"/>
    <xf numFmtId="178" fontId="33" fillId="0" borderId="0" xfId="3" applyNumberFormat="1" applyFont="1" applyFill="1"/>
    <xf numFmtId="1" fontId="33" fillId="0" borderId="0" xfId="0" applyNumberFormat="1" applyFont="1"/>
    <xf numFmtId="171" fontId="33" fillId="0" borderId="0" xfId="0" applyNumberFormat="1" applyFont="1"/>
    <xf numFmtId="178" fontId="33" fillId="0" borderId="0" xfId="0" applyNumberFormat="1" applyFont="1"/>
    <xf numFmtId="43" fontId="33" fillId="0" borderId="0" xfId="0" applyNumberFormat="1" applyFont="1"/>
    <xf numFmtId="185" fontId="33" fillId="0" borderId="41" xfId="3" applyNumberFormat="1" applyFont="1" applyBorder="1"/>
    <xf numFmtId="186" fontId="0" fillId="0" borderId="0" xfId="0" applyNumberFormat="1"/>
    <xf numFmtId="0" fontId="45" fillId="42" borderId="0" xfId="0" applyFont="1" applyFill="1" applyAlignment="1">
      <alignment horizontal="center"/>
    </xf>
    <xf numFmtId="0" fontId="37" fillId="10" borderId="0" xfId="0" applyFont="1" applyFill="1" applyAlignment="1">
      <alignment horizontal="center"/>
    </xf>
    <xf numFmtId="0" fontId="37" fillId="43" borderId="0" xfId="0" applyFont="1" applyFill="1" applyAlignment="1">
      <alignment horizontal="center"/>
    </xf>
    <xf numFmtId="10" fontId="37" fillId="6" borderId="0" xfId="3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6" fillId="16" borderId="13" xfId="8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0" fillId="16" borderId="15" xfId="0" applyFill="1" applyBorder="1" applyAlignment="1">
      <alignment horizontal="center"/>
    </xf>
    <xf numFmtId="0" fontId="33" fillId="0" borderId="0" xfId="0" applyFont="1" applyAlignment="1">
      <alignment horizontal="center"/>
    </xf>
    <xf numFmtId="0" fontId="22" fillId="14" borderId="30" xfId="0" applyFont="1" applyFill="1" applyBorder="1" applyAlignment="1">
      <alignment horizontal="center" vertical="center" wrapText="1"/>
    </xf>
    <xf numFmtId="0" fontId="22" fillId="14" borderId="0" xfId="0" applyFont="1" applyFill="1" applyAlignment="1">
      <alignment horizontal="center" vertical="center" wrapText="1"/>
    </xf>
    <xf numFmtId="0" fontId="22" fillId="14" borderId="3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25" fillId="27" borderId="32" xfId="0" applyFont="1" applyFill="1" applyBorder="1" applyAlignment="1">
      <alignment horizontal="center" vertical="center" textRotation="90"/>
    </xf>
    <xf numFmtId="0" fontId="25" fillId="27" borderId="34" xfId="0" applyFont="1" applyFill="1" applyBorder="1" applyAlignment="1">
      <alignment horizontal="center" vertical="center" textRotation="90"/>
    </xf>
    <xf numFmtId="0" fontId="25" fillId="27" borderId="35" xfId="0" applyFont="1" applyFill="1" applyBorder="1" applyAlignment="1">
      <alignment horizontal="center" vertical="center" textRotation="90"/>
    </xf>
    <xf numFmtId="0" fontId="25" fillId="27" borderId="39" xfId="0" applyFont="1" applyFill="1" applyBorder="1" applyAlignment="1">
      <alignment horizontal="center" vertical="center" textRotation="90"/>
    </xf>
    <xf numFmtId="0" fontId="25" fillId="27" borderId="0" xfId="0" applyFont="1" applyFill="1" applyAlignment="1">
      <alignment horizontal="center" vertical="center" textRotation="90"/>
    </xf>
    <xf numFmtId="0" fontId="25" fillId="27" borderId="40" xfId="0" applyFont="1" applyFill="1" applyBorder="1" applyAlignment="1">
      <alignment horizontal="center" vertical="center" textRotation="90"/>
    </xf>
    <xf numFmtId="16" fontId="23" fillId="8" borderId="0" xfId="0" applyNumberFormat="1" applyFont="1" applyFill="1" applyAlignment="1">
      <alignment horizontal="left" wrapText="1"/>
    </xf>
    <xf numFmtId="0" fontId="23" fillId="8" borderId="0" xfId="0" applyFont="1" applyFill="1" applyAlignment="1">
      <alignment horizontal="left" wrapText="1"/>
    </xf>
    <xf numFmtId="0" fontId="22" fillId="14" borderId="30" xfId="0" applyFont="1" applyFill="1" applyBorder="1" applyAlignment="1">
      <alignment horizontal="center" vertical="center"/>
    </xf>
    <xf numFmtId="0" fontId="22" fillId="14" borderId="0" xfId="0" applyFont="1" applyFill="1" applyAlignment="1">
      <alignment horizontal="center" vertical="center"/>
    </xf>
    <xf numFmtId="0" fontId="22" fillId="14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43" fillId="23" borderId="27" xfId="4" applyNumberFormat="1" applyFont="1" applyFill="1" applyBorder="1" applyAlignment="1"/>
    <xf numFmtId="0" fontId="36" fillId="0" borderId="27" xfId="4" applyNumberFormat="1" applyFont="1" applyFill="1" applyBorder="1" applyAlignment="1"/>
    <xf numFmtId="9" fontId="43" fillId="23" borderId="27" xfId="3" applyNumberFormat="1" applyFont="1" applyFill="1" applyBorder="1"/>
    <xf numFmtId="0" fontId="35" fillId="0" borderId="0" xfId="0" applyNumberFormat="1" applyFont="1"/>
    <xf numFmtId="15" fontId="53" fillId="0" borderId="0" xfId="4" applyNumberFormat="1" applyFont="1" applyFill="1" applyAlignment="1">
      <alignment horizontal="center"/>
    </xf>
  </cellXfs>
  <cellStyles count="18">
    <cellStyle name="Hipervínculo" xfId="8" builtinId="8"/>
    <cellStyle name="Millares" xfId="1" builtinId="3"/>
    <cellStyle name="Millares [0]" xfId="2" builtinId="6"/>
    <cellStyle name="Millares [0] 2" xfId="5" xr:uid="{7D05D9C2-95CB-415C-9748-8B0434FCC036}"/>
    <cellStyle name="Millares [0] 3" xfId="10" xr:uid="{127A4135-ECF3-4441-9130-1AE7D8FC7B42}"/>
    <cellStyle name="Millares [0] 4" xfId="12" xr:uid="{9C200EAD-7FB0-4C10-AFD1-5FFA89ED3A24}"/>
    <cellStyle name="Millares 2" xfId="7" xr:uid="{43A1D903-C4B6-4EAE-A3A9-E0E1449F4F70}"/>
    <cellStyle name="Millares 3" xfId="15" xr:uid="{91845946-6823-42E9-A2E3-42861FFC7F0C}"/>
    <cellStyle name="Millares 38" xfId="13" xr:uid="{DC92A5F5-03AC-4592-8F1C-48501AEDE775}"/>
    <cellStyle name="Moneda" xfId="9" builtinId="4"/>
    <cellStyle name="Moneda [0]" xfId="11" builtinId="7"/>
    <cellStyle name="Moneda 2" xfId="6" xr:uid="{CB189185-38E8-443B-8C0C-E4CC7A2C4673}"/>
    <cellStyle name="Normal" xfId="0" builtinId="0"/>
    <cellStyle name="Normal 2" xfId="4" xr:uid="{C811CD9C-EB91-4234-AA1C-A876A9E088EC}"/>
    <cellStyle name="Normal 2 2" xfId="16" xr:uid="{CBB0BD62-460D-4098-BB7C-67EA4AB84820}"/>
    <cellStyle name="Normal 3" xfId="14" xr:uid="{04C74B87-60E3-481E-9F32-E3FDB14B2914}"/>
    <cellStyle name="Porcentaje" xfId="3" builtinId="5"/>
    <cellStyle name="Porcentaje 2" xfId="17" xr:uid="{5631F822-955E-4955-966A-6AE64ADD3913}"/>
  </cellStyles>
  <dxfs count="4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76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venir Next LT Pro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0" formatCode="General"/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67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67" formatCode="_(* #,##0.00_);_(* \(#,##0.00\);_(* &quot;-&quot;??_);_(@_)"/>
    </dxf>
    <dxf>
      <numFmt numFmtId="179" formatCode="m/d/yyyy"/>
    </dxf>
    <dxf>
      <font>
        <b/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fill>
        <patternFill patternType="solid">
          <fgColor indexed="64"/>
          <bgColor theme="2"/>
        </patternFill>
      </fill>
    </dxf>
    <dxf>
      <numFmt numFmtId="175" formatCode="_-&quot;$&quot;\ * #,##0_-;\-&quot;$&quot;\ * #,##0_-;_-&quot;$&quot;\ * &quot;-&quot;??_-;_-@_-"/>
      <alignment horizontal="center" vertical="bottom" textRotation="0" wrapText="0" indent="0" justifyLastLine="0" shrinkToFit="0" readingOrder="0"/>
    </dxf>
    <dxf>
      <numFmt numFmtId="166" formatCode="_(&quot;$&quot;* #,##0.00_);_(&quot;$&quot;* \(#,##0.00\);_(&quot;$&quot;* &quot;-&quot;??_);_(@_)"/>
    </dxf>
    <dxf>
      <numFmt numFmtId="175" formatCode="_-&quot;$&quot;\ * #,##0_-;\-&quot;$&quot;\ * #,##0_-;_-&quot;$&quot;\ * &quot;-&quot;??_-;_-@_-"/>
    </dxf>
    <dxf>
      <numFmt numFmtId="166" formatCode="_(&quot;$&quot;* #,##0.00_);_(&quot;$&quot;* \(#,##0.00\);_(&quot;$&quot;* &quot;-&quot;??_);_(@_)"/>
    </dxf>
    <dxf>
      <numFmt numFmtId="175" formatCode="_-&quot;$&quot;\ * #,##0_-;\-&quot;$&quot;\ * #,##0_-;_-&quot;$&quot;\ * &quot;-&quot;??_-;_-@_-"/>
    </dxf>
    <dxf>
      <numFmt numFmtId="166" formatCode="_(&quot;$&quot;* #,##0.00_);_(&quot;$&quot;* \(#,##0.00\);_(&quot;$&quot;* &quot;-&quot;??_);_(@_)"/>
    </dxf>
    <dxf>
      <numFmt numFmtId="175" formatCode="_-&quot;$&quot;\ * #,##0_-;\-&quot;$&quot;\ * #,##0_-;_-&quot;$&quot;\ * &quot;-&quot;??_-;_-@_-"/>
    </dxf>
    <dxf>
      <numFmt numFmtId="179" formatCode="m/d/yyyy"/>
    </dxf>
    <dxf>
      <numFmt numFmtId="179" formatCode="m/d/yyyy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1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1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1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1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8" formatCode="0.0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1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1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1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1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1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71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border outline="0"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  <numFmt numFmtId="20" formatCode="d\-mmm\-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venir Next LT Pro"/>
        <family val="2"/>
        <scheme val="none"/>
      </font>
      <numFmt numFmtId="180" formatCode="yyyy\-mm\-dd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Next LT Pro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venir Next LT Pro"/>
        <family val="2"/>
        <scheme val="none"/>
      </font>
      <fill>
        <patternFill patternType="solid">
          <fgColor theme="1"/>
          <bgColor theme="9"/>
        </patternFill>
      </fill>
    </dxf>
    <dxf>
      <numFmt numFmtId="19" formatCode="d/mm/yyyy"/>
    </dxf>
    <dxf>
      <numFmt numFmtId="17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70" formatCode="#,##0.00_ ;[Red]\-#,##0.0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3" formatCode="0%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3" formatCode="0%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70" formatCode="#,##0.00_ ;[Red]\-#,##0.0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70" formatCode="#,##0.00_ ;[Red]\-#,##0.0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venir Next LT Pro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73" formatCode="#,##0.000_ ;[Red]\-#,##0.00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73" formatCode="#,##0.000_ ;[Red]\-#,##0.00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venir Next LT Pro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venir Next LT Pro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venir Next LT Pro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69" formatCode="#,##0_ ;[Red]\-#,##0\ "/>
      <fill>
        <patternFill patternType="solid">
          <fgColor indexed="64"/>
          <bgColor theme="7" tint="0.3999755851924192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68" formatCode="0.00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68" formatCode="0.00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68" formatCode="0.00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68" formatCode="0.00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68" formatCode="0.00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68" formatCode="0.00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68" formatCode="0.00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68" formatCode="0.00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68" formatCode="0.00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68" formatCode="0.00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2" formatCode="0.0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2" formatCode="0.0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20" formatCode="d\-mmm\-yy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20" formatCode="d\-mmm\-yy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20" formatCode="d\-mmm\-yy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20" formatCode="d\-mmm\-yy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2" formatCode="0.0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2" formatCode="0.0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20" formatCode="d\-mmm\-yy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20" formatCode="d\-mmm\-yy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 Narrow"/>
        <family val="2"/>
        <scheme val="none"/>
      </font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venir Next LT Pro"/>
        <family val="2"/>
        <scheme val="none"/>
      </font>
      <numFmt numFmtId="1" formatCode="0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6"/>
        <name val="Avenir Next LT Pro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 tint="-4.9989318521683403E-2"/>
        <name val="Avenir Next LT Pro"/>
        <family val="2"/>
        <scheme val="none"/>
      </font>
      <numFmt numFmtId="0" formatCode="General"/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71" formatCode="_-* #,##0_-;\-* #,##0_-;_-* &quot;-&quot;??_-;_-@_-"/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79" formatCode="m/d/yyyy"/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79" formatCode="m/d/yyyy"/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9" formatCode="d/mm/yyyy"/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</dxf>
  </dxfs>
  <tableStyles count="1" defaultTableStyle="TableStyleMedium2" defaultPivotStyle="PivotStyleLight16">
    <tableStyle name="Invisible" pivot="0" table="0" count="0" xr9:uid="{3A7298EE-3D92-4148-9181-EDC5D98249A0}"/>
  </tableStyles>
  <colors>
    <mruColors>
      <color rgb="FFD4B988"/>
      <color rgb="FFC6A262"/>
      <color rgb="FFE7D7C5"/>
      <color rgb="FFB48C41"/>
      <color rgb="FF558ED5"/>
      <color rgb="FFC3D69B"/>
      <color rgb="FF95B3D7"/>
      <color rgb="FF4F81BD"/>
      <color rgb="FFA6A6A6"/>
      <color rgb="FF1381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aredStrings" Target="sharedStrings.xml"/><Relationship Id="rId28" Type="http://schemas.microsoft.com/office/2023/09/relationships/Python" Target="pytho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57760517633556"/>
          <c:y val="1.6434430624180055E-2"/>
          <c:w val="0.82740831332414322"/>
          <c:h val="0.645289801192062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HISTORICO!$I$5</c:f>
              <c:strCache>
                <c:ptCount val="1"/>
                <c:pt idx="0">
                  <c:v> Valor de giro (Eje Izquierdo)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HISTORICO!$D$100:$D$337</c:f>
              <c:strCache>
                <c:ptCount val="238"/>
                <c:pt idx="0">
                  <c:v>24-mar-23</c:v>
                </c:pt>
                <c:pt idx="1">
                  <c:v>27-mar-23</c:v>
                </c:pt>
                <c:pt idx="2">
                  <c:v>28-mar-23</c:v>
                </c:pt>
                <c:pt idx="3">
                  <c:v>29-mar-23</c:v>
                </c:pt>
                <c:pt idx="4">
                  <c:v>30-mar-23</c:v>
                </c:pt>
                <c:pt idx="5">
                  <c:v>31-mar-23</c:v>
                </c:pt>
                <c:pt idx="6">
                  <c:v>3-abr-23</c:v>
                </c:pt>
                <c:pt idx="7">
                  <c:v>4-abr-23</c:v>
                </c:pt>
                <c:pt idx="8">
                  <c:v>10-abr-23</c:v>
                </c:pt>
                <c:pt idx="9">
                  <c:v>11-abr-23</c:v>
                </c:pt>
                <c:pt idx="10">
                  <c:v>12-abr-23</c:v>
                </c:pt>
                <c:pt idx="11">
                  <c:v>14-abr-23</c:v>
                </c:pt>
                <c:pt idx="12">
                  <c:v>19-abr-23</c:v>
                </c:pt>
                <c:pt idx="13">
                  <c:v>20-abr-23</c:v>
                </c:pt>
                <c:pt idx="14">
                  <c:v>21-abr-23</c:v>
                </c:pt>
                <c:pt idx="15">
                  <c:v>3-may-23</c:v>
                </c:pt>
                <c:pt idx="16">
                  <c:v>10-may-23</c:v>
                </c:pt>
                <c:pt idx="17">
                  <c:v>17-may-23</c:v>
                </c:pt>
                <c:pt idx="18">
                  <c:v>31-may-23</c:v>
                </c:pt>
                <c:pt idx="19">
                  <c:v>28-jun-23</c:v>
                </c:pt>
                <c:pt idx="20">
                  <c:v>30-jun-23</c:v>
                </c:pt>
                <c:pt idx="21">
                  <c:v>24-jul-23</c:v>
                </c:pt>
                <c:pt idx="22">
                  <c:v>25-jul-23</c:v>
                </c:pt>
                <c:pt idx="23">
                  <c:v>26-jul-23</c:v>
                </c:pt>
                <c:pt idx="24">
                  <c:v>28-jul-23</c:v>
                </c:pt>
                <c:pt idx="25">
                  <c:v>15-ago-23</c:v>
                </c:pt>
                <c:pt idx="26">
                  <c:v>16-ago-23</c:v>
                </c:pt>
                <c:pt idx="27">
                  <c:v>17-ago-23</c:v>
                </c:pt>
                <c:pt idx="28">
                  <c:v>18-ago-23</c:v>
                </c:pt>
                <c:pt idx="29">
                  <c:v>22-ago-23</c:v>
                </c:pt>
                <c:pt idx="30">
                  <c:v>23-ago-23</c:v>
                </c:pt>
                <c:pt idx="31">
                  <c:v>24-ago-23</c:v>
                </c:pt>
                <c:pt idx="32">
                  <c:v>28-ago-23</c:v>
                </c:pt>
                <c:pt idx="33">
                  <c:v>29-ago-23</c:v>
                </c:pt>
                <c:pt idx="34">
                  <c:v>30-ago-23</c:v>
                </c:pt>
                <c:pt idx="35">
                  <c:v>31-ago-23</c:v>
                </c:pt>
                <c:pt idx="36">
                  <c:v>4-sep-23</c:v>
                </c:pt>
                <c:pt idx="37">
                  <c:v>5-sep-23</c:v>
                </c:pt>
                <c:pt idx="38">
                  <c:v>7-sep-23</c:v>
                </c:pt>
                <c:pt idx="39">
                  <c:v>11-sep-23</c:v>
                </c:pt>
                <c:pt idx="40">
                  <c:v>12-sep-23</c:v>
                </c:pt>
                <c:pt idx="41">
                  <c:v>13-sep-23</c:v>
                </c:pt>
                <c:pt idx="42">
                  <c:v>15-sep-23</c:v>
                </c:pt>
                <c:pt idx="43">
                  <c:v>19-sep-23</c:v>
                </c:pt>
                <c:pt idx="44">
                  <c:v>20-sep-23</c:v>
                </c:pt>
                <c:pt idx="45">
                  <c:v>21-sep-23</c:v>
                </c:pt>
                <c:pt idx="46">
                  <c:v>25-sep-23</c:v>
                </c:pt>
                <c:pt idx="47">
                  <c:v>26-sep-23</c:v>
                </c:pt>
                <c:pt idx="48">
                  <c:v>28-sep-23</c:v>
                </c:pt>
                <c:pt idx="49">
                  <c:v>2-oct-23</c:v>
                </c:pt>
                <c:pt idx="50">
                  <c:v>4-oct-23</c:v>
                </c:pt>
                <c:pt idx="51">
                  <c:v>18-oct-23</c:v>
                </c:pt>
                <c:pt idx="52">
                  <c:v>19-oct-23</c:v>
                </c:pt>
                <c:pt idx="53">
                  <c:v>20-oct-23</c:v>
                </c:pt>
                <c:pt idx="54">
                  <c:v>23-oct-23</c:v>
                </c:pt>
                <c:pt idx="55">
                  <c:v>25-oct-23</c:v>
                </c:pt>
                <c:pt idx="56">
                  <c:v>27-oct-23</c:v>
                </c:pt>
                <c:pt idx="57">
                  <c:v>30-oct-23</c:v>
                </c:pt>
                <c:pt idx="58">
                  <c:v>31-oct-23</c:v>
                </c:pt>
                <c:pt idx="59">
                  <c:v>1-nov-23</c:v>
                </c:pt>
                <c:pt idx="60">
                  <c:v>2-nov-23</c:v>
                </c:pt>
                <c:pt idx="61">
                  <c:v>3-nov-23</c:v>
                </c:pt>
                <c:pt idx="62">
                  <c:v>7-nov-23</c:v>
                </c:pt>
                <c:pt idx="63">
                  <c:v>9-nov-23</c:v>
                </c:pt>
                <c:pt idx="64">
                  <c:v>14-nov-23</c:v>
                </c:pt>
                <c:pt idx="65">
                  <c:v>15-nov-23</c:v>
                </c:pt>
                <c:pt idx="66">
                  <c:v>16-nov-23</c:v>
                </c:pt>
                <c:pt idx="67">
                  <c:v>22-nov-23</c:v>
                </c:pt>
                <c:pt idx="68">
                  <c:v>28-nov-23</c:v>
                </c:pt>
                <c:pt idx="69">
                  <c:v>29-nov-23</c:v>
                </c:pt>
                <c:pt idx="70">
                  <c:v>4-dic-23</c:v>
                </c:pt>
                <c:pt idx="71">
                  <c:v>5-dic-23</c:v>
                </c:pt>
                <c:pt idx="72">
                  <c:v>19-feb-24</c:v>
                </c:pt>
                <c:pt idx="73">
                  <c:v>19-feb-24</c:v>
                </c:pt>
                <c:pt idx="74">
                  <c:v>20-feb-24</c:v>
                </c:pt>
                <c:pt idx="75">
                  <c:v>20-feb-24</c:v>
                </c:pt>
                <c:pt idx="76">
                  <c:v>21-feb-24</c:v>
                </c:pt>
                <c:pt idx="77">
                  <c:v>21-feb-24</c:v>
                </c:pt>
                <c:pt idx="78">
                  <c:v>22-feb-24</c:v>
                </c:pt>
                <c:pt idx="79">
                  <c:v>23-feb-24</c:v>
                </c:pt>
                <c:pt idx="80">
                  <c:v>26-feb-24</c:v>
                </c:pt>
                <c:pt idx="81">
                  <c:v>26-feb-24</c:v>
                </c:pt>
                <c:pt idx="82">
                  <c:v>27-feb-24</c:v>
                </c:pt>
                <c:pt idx="83">
                  <c:v>27-feb-24</c:v>
                </c:pt>
                <c:pt idx="84">
                  <c:v>28-feb-24</c:v>
                </c:pt>
                <c:pt idx="85">
                  <c:v>28-feb-24</c:v>
                </c:pt>
                <c:pt idx="86">
                  <c:v>29-feb-24</c:v>
                </c:pt>
                <c:pt idx="87">
                  <c:v>29-feb-24</c:v>
                </c:pt>
                <c:pt idx="88">
                  <c:v>1-mar-24</c:v>
                </c:pt>
                <c:pt idx="89">
                  <c:v>1-mar-24</c:v>
                </c:pt>
                <c:pt idx="90">
                  <c:v>4-mar-24</c:v>
                </c:pt>
                <c:pt idx="91">
                  <c:v>4-mar-24</c:v>
                </c:pt>
                <c:pt idx="92">
                  <c:v>5-mar-24</c:v>
                </c:pt>
                <c:pt idx="93">
                  <c:v>5-mar-24</c:v>
                </c:pt>
                <c:pt idx="94">
                  <c:v>6-mar-24</c:v>
                </c:pt>
                <c:pt idx="95">
                  <c:v>6-mar-24</c:v>
                </c:pt>
                <c:pt idx="96">
                  <c:v>7-mar-24</c:v>
                </c:pt>
                <c:pt idx="97">
                  <c:v>7-mar-24</c:v>
                </c:pt>
                <c:pt idx="98">
                  <c:v>13-mar-24</c:v>
                </c:pt>
                <c:pt idx="99">
                  <c:v>13-mar-24</c:v>
                </c:pt>
                <c:pt idx="100">
                  <c:v>14-mar-24</c:v>
                </c:pt>
                <c:pt idx="101">
                  <c:v>14-mar-24</c:v>
                </c:pt>
                <c:pt idx="102">
                  <c:v>15-mar-24</c:v>
                </c:pt>
                <c:pt idx="103">
                  <c:v>15-mar-24</c:v>
                </c:pt>
                <c:pt idx="104">
                  <c:v>20-mar-24</c:v>
                </c:pt>
                <c:pt idx="105">
                  <c:v>20-mar-24</c:v>
                </c:pt>
                <c:pt idx="106">
                  <c:v>21-mar-24</c:v>
                </c:pt>
                <c:pt idx="107">
                  <c:v>21-mar-24</c:v>
                </c:pt>
                <c:pt idx="108">
                  <c:v>22-mar-24</c:v>
                </c:pt>
                <c:pt idx="109">
                  <c:v>22-mar-24</c:v>
                </c:pt>
                <c:pt idx="110">
                  <c:v>1-abr-24</c:v>
                </c:pt>
                <c:pt idx="111">
                  <c:v>1-abr-24</c:v>
                </c:pt>
                <c:pt idx="112">
                  <c:v>2-abr-24</c:v>
                </c:pt>
                <c:pt idx="113">
                  <c:v>2-abr-24</c:v>
                </c:pt>
                <c:pt idx="114">
                  <c:v>12-abr-24</c:v>
                </c:pt>
                <c:pt idx="115">
                  <c:v>29-abr-24</c:v>
                </c:pt>
                <c:pt idx="116">
                  <c:v>30-abr-24</c:v>
                </c:pt>
                <c:pt idx="117">
                  <c:v>2-may-24</c:v>
                </c:pt>
                <c:pt idx="118">
                  <c:v>3-may-24</c:v>
                </c:pt>
                <c:pt idx="119">
                  <c:v>6-may-24</c:v>
                </c:pt>
                <c:pt idx="120">
                  <c:v>6-may-24</c:v>
                </c:pt>
                <c:pt idx="121">
                  <c:v>7-may-24</c:v>
                </c:pt>
                <c:pt idx="122">
                  <c:v>7-may-24</c:v>
                </c:pt>
                <c:pt idx="123">
                  <c:v>9-may-24</c:v>
                </c:pt>
                <c:pt idx="124">
                  <c:v>9-may-24</c:v>
                </c:pt>
                <c:pt idx="125">
                  <c:v>15-may-24</c:v>
                </c:pt>
                <c:pt idx="126">
                  <c:v>15-may-24</c:v>
                </c:pt>
                <c:pt idx="127">
                  <c:v>16-may-24</c:v>
                </c:pt>
                <c:pt idx="128">
                  <c:v>16-may-24</c:v>
                </c:pt>
                <c:pt idx="129">
                  <c:v>17-may-24</c:v>
                </c:pt>
                <c:pt idx="130">
                  <c:v>17-may-24</c:v>
                </c:pt>
                <c:pt idx="131">
                  <c:v>20-may-24</c:v>
                </c:pt>
                <c:pt idx="132">
                  <c:v>20-may-24</c:v>
                </c:pt>
                <c:pt idx="133">
                  <c:v>21-may-24</c:v>
                </c:pt>
                <c:pt idx="134">
                  <c:v>21-may-24</c:v>
                </c:pt>
                <c:pt idx="135">
                  <c:v>22-may-24</c:v>
                </c:pt>
                <c:pt idx="136">
                  <c:v>22-may-24</c:v>
                </c:pt>
                <c:pt idx="137">
                  <c:v>23-may-24</c:v>
                </c:pt>
                <c:pt idx="138">
                  <c:v>23-may-24</c:v>
                </c:pt>
                <c:pt idx="139">
                  <c:v>28-may-24</c:v>
                </c:pt>
                <c:pt idx="140">
                  <c:v>28-may-24</c:v>
                </c:pt>
                <c:pt idx="141">
                  <c:v>29-may-24</c:v>
                </c:pt>
                <c:pt idx="142">
                  <c:v>29-may-24</c:v>
                </c:pt>
                <c:pt idx="143">
                  <c:v>30-may-24</c:v>
                </c:pt>
                <c:pt idx="144">
                  <c:v>31-may-24</c:v>
                </c:pt>
                <c:pt idx="145">
                  <c:v>4-jun-24</c:v>
                </c:pt>
                <c:pt idx="146">
                  <c:v>5-jun-24</c:v>
                </c:pt>
                <c:pt idx="147">
                  <c:v>6-jun-24</c:v>
                </c:pt>
                <c:pt idx="148">
                  <c:v>7-jun-24</c:v>
                </c:pt>
                <c:pt idx="149">
                  <c:v>7-jun-24</c:v>
                </c:pt>
                <c:pt idx="150">
                  <c:v>11-jun-24</c:v>
                </c:pt>
                <c:pt idx="151">
                  <c:v>11-jun-24</c:v>
                </c:pt>
                <c:pt idx="152">
                  <c:v>18-jun-24</c:v>
                </c:pt>
                <c:pt idx="153">
                  <c:v>18-jun-24</c:v>
                </c:pt>
                <c:pt idx="154">
                  <c:v>19-jun-24</c:v>
                </c:pt>
                <c:pt idx="155">
                  <c:v>26-jun-24</c:v>
                </c:pt>
                <c:pt idx="156">
                  <c:v>27-jun-24</c:v>
                </c:pt>
                <c:pt idx="157">
                  <c:v>27-jun-24</c:v>
                </c:pt>
                <c:pt idx="158">
                  <c:v>23-jul-24</c:v>
                </c:pt>
                <c:pt idx="159">
                  <c:v>9-ago-24</c:v>
                </c:pt>
                <c:pt idx="160">
                  <c:v>12-ago-24</c:v>
                </c:pt>
                <c:pt idx="161">
                  <c:v>13-ago-24</c:v>
                </c:pt>
                <c:pt idx="162">
                  <c:v>14-ago-24</c:v>
                </c:pt>
                <c:pt idx="163">
                  <c:v>15-ago-24</c:v>
                </c:pt>
                <c:pt idx="164">
                  <c:v>16-ago-24</c:v>
                </c:pt>
                <c:pt idx="165">
                  <c:v>20-ago-24</c:v>
                </c:pt>
                <c:pt idx="166">
                  <c:v>21-ago-24</c:v>
                </c:pt>
                <c:pt idx="167">
                  <c:v>22-ago-24</c:v>
                </c:pt>
                <c:pt idx="168">
                  <c:v>26-ago-24</c:v>
                </c:pt>
                <c:pt idx="169">
                  <c:v>27-ago-24</c:v>
                </c:pt>
                <c:pt idx="170">
                  <c:v>28-ago-24</c:v>
                </c:pt>
                <c:pt idx="171">
                  <c:v>29-ago-24</c:v>
                </c:pt>
                <c:pt idx="172">
                  <c:v>30-ago-24</c:v>
                </c:pt>
                <c:pt idx="173">
                  <c:v>2-sep-24</c:v>
                </c:pt>
                <c:pt idx="174">
                  <c:v>3-sep-24</c:v>
                </c:pt>
                <c:pt idx="175">
                  <c:v>4-sep-24</c:v>
                </c:pt>
                <c:pt idx="176">
                  <c:v>5-sep-24</c:v>
                </c:pt>
                <c:pt idx="177">
                  <c:v>6-sep-24</c:v>
                </c:pt>
                <c:pt idx="178">
                  <c:v>9-sep-24</c:v>
                </c:pt>
                <c:pt idx="179">
                  <c:v>10-sep-24</c:v>
                </c:pt>
                <c:pt idx="180">
                  <c:v>11-sep-24</c:v>
                </c:pt>
                <c:pt idx="181">
                  <c:v>12-sep-24</c:v>
                </c:pt>
                <c:pt idx="182">
                  <c:v>13-sep-24</c:v>
                </c:pt>
                <c:pt idx="183">
                  <c:v>16-sep-24</c:v>
                </c:pt>
                <c:pt idx="184">
                  <c:v>17-sep-24</c:v>
                </c:pt>
                <c:pt idx="185">
                  <c:v>19-sep-24</c:v>
                </c:pt>
                <c:pt idx="186">
                  <c:v>20-sep-24</c:v>
                </c:pt>
                <c:pt idx="187">
                  <c:v>24-sep-24</c:v>
                </c:pt>
                <c:pt idx="188">
                  <c:v>25-sep-24</c:v>
                </c:pt>
                <c:pt idx="189">
                  <c:v>4-oct-24</c:v>
                </c:pt>
                <c:pt idx="190">
                  <c:v>9-oct-24</c:v>
                </c:pt>
                <c:pt idx="191">
                  <c:v>10-oct-24</c:v>
                </c:pt>
                <c:pt idx="192">
                  <c:v>11-oct-24</c:v>
                </c:pt>
                <c:pt idx="193">
                  <c:v>15-oct-24</c:v>
                </c:pt>
                <c:pt idx="194">
                  <c:v>16-oct-24</c:v>
                </c:pt>
                <c:pt idx="195">
                  <c:v>17-oct-24</c:v>
                </c:pt>
                <c:pt idx="196">
                  <c:v>18-oct-24</c:v>
                </c:pt>
                <c:pt idx="197">
                  <c:v>8-nov-24</c:v>
                </c:pt>
                <c:pt idx="198">
                  <c:v>14-nov-24</c:v>
                </c:pt>
                <c:pt idx="199">
                  <c:v>15-nov-24</c:v>
                </c:pt>
                <c:pt idx="200">
                  <c:v>18-nov-24</c:v>
                </c:pt>
                <c:pt idx="201">
                  <c:v>19-nov-24</c:v>
                </c:pt>
                <c:pt idx="202">
                  <c:v>20-nov-24</c:v>
                </c:pt>
                <c:pt idx="203">
                  <c:v>22-nov-24</c:v>
                </c:pt>
                <c:pt idx="204">
                  <c:v>25-nov-24</c:v>
                </c:pt>
                <c:pt idx="205">
                  <c:v>26-nov-24</c:v>
                </c:pt>
                <c:pt idx="206">
                  <c:v>27-nov-24</c:v>
                </c:pt>
                <c:pt idx="207">
                  <c:v>29-nov-24</c:v>
                </c:pt>
                <c:pt idx="208">
                  <c:v>12-feb-25</c:v>
                </c:pt>
                <c:pt idx="209">
                  <c:v>13-feb-25</c:v>
                </c:pt>
                <c:pt idx="210">
                  <c:v>14-feb-25</c:v>
                </c:pt>
                <c:pt idx="211">
                  <c:v>18-feb-25</c:v>
                </c:pt>
                <c:pt idx="212">
                  <c:v>19-feb-25</c:v>
                </c:pt>
                <c:pt idx="213">
                  <c:v>20-feb-25</c:v>
                </c:pt>
                <c:pt idx="214">
                  <c:v>21-feb-25</c:v>
                </c:pt>
                <c:pt idx="215">
                  <c:v>24-feb-25</c:v>
                </c:pt>
                <c:pt idx="216">
                  <c:v>25-feb-25</c:v>
                </c:pt>
                <c:pt idx="217">
                  <c:v>27-feb-25</c:v>
                </c:pt>
                <c:pt idx="218">
                  <c:v>28-feb-25</c:v>
                </c:pt>
                <c:pt idx="219">
                  <c:v>3-mar-25</c:v>
                </c:pt>
                <c:pt idx="220">
                  <c:v>4-mar-25</c:v>
                </c:pt>
                <c:pt idx="221">
                  <c:v>5-mar-25</c:v>
                </c:pt>
                <c:pt idx="222">
                  <c:v>6-mar-25</c:v>
                </c:pt>
                <c:pt idx="223">
                  <c:v>7-mar-25</c:v>
                </c:pt>
                <c:pt idx="224">
                  <c:v>10-mar-25</c:v>
                </c:pt>
                <c:pt idx="225">
                  <c:v>11-mar-25</c:v>
                </c:pt>
                <c:pt idx="226">
                  <c:v>12-mar-25</c:v>
                </c:pt>
                <c:pt idx="227">
                  <c:v>13-mar-25</c:v>
                </c:pt>
                <c:pt idx="228">
                  <c:v>8-may-25</c:v>
                </c:pt>
                <c:pt idx="229">
                  <c:v>9-may-25</c:v>
                </c:pt>
                <c:pt idx="230">
                  <c:v>20-may-25</c:v>
                </c:pt>
                <c:pt idx="231">
                  <c:v>20-may-25</c:v>
                </c:pt>
                <c:pt idx="232">
                  <c:v>3-jun-25</c:v>
                </c:pt>
                <c:pt idx="233">
                  <c:v>13-jun-25</c:v>
                </c:pt>
                <c:pt idx="234">
                  <c:v>22-jul-25</c:v>
                </c:pt>
                <c:pt idx="235">
                  <c:v>25-jul-25</c:v>
                </c:pt>
                <c:pt idx="236">
                  <c:v>31-jul-25</c:v>
                </c:pt>
                <c:pt idx="237">
                  <c:v>12-ago-25</c:v>
                </c:pt>
              </c:strCache>
            </c:strRef>
          </c:cat>
          <c:val>
            <c:numRef>
              <c:f>HISTORICO!$I$100:$I$337</c:f>
              <c:numCache>
                <c:formatCode>#,##0_ ;[Red]\-#,##0\ </c:formatCode>
                <c:ptCount val="238"/>
                <c:pt idx="0">
                  <c:v>10591660000</c:v>
                </c:pt>
                <c:pt idx="1">
                  <c:v>8892250000</c:v>
                </c:pt>
                <c:pt idx="2">
                  <c:v>5037420000</c:v>
                </c:pt>
                <c:pt idx="3">
                  <c:v>2105885000</c:v>
                </c:pt>
                <c:pt idx="4">
                  <c:v>4847450000</c:v>
                </c:pt>
                <c:pt idx="5">
                  <c:v>548580000</c:v>
                </c:pt>
                <c:pt idx="6">
                  <c:v>876350000</c:v>
                </c:pt>
                <c:pt idx="7">
                  <c:v>871220000</c:v>
                </c:pt>
                <c:pt idx="8">
                  <c:v>3166750000.0000305</c:v>
                </c:pt>
                <c:pt idx="9">
                  <c:v>6815700000</c:v>
                </c:pt>
                <c:pt idx="10">
                  <c:v>1631600000</c:v>
                </c:pt>
                <c:pt idx="11">
                  <c:v>139460100000</c:v>
                </c:pt>
                <c:pt idx="12">
                  <c:v>857599999.99998474</c:v>
                </c:pt>
                <c:pt idx="13">
                  <c:v>937560000</c:v>
                </c:pt>
                <c:pt idx="14">
                  <c:v>358250000</c:v>
                </c:pt>
                <c:pt idx="15">
                  <c:v>5666429999.9999733</c:v>
                </c:pt>
                <c:pt idx="16">
                  <c:v>153600000</c:v>
                </c:pt>
                <c:pt idx="17">
                  <c:v>475529999.99996948</c:v>
                </c:pt>
                <c:pt idx="18">
                  <c:v>5335750000</c:v>
                </c:pt>
                <c:pt idx="19">
                  <c:v>464999999.99993896</c:v>
                </c:pt>
                <c:pt idx="20">
                  <c:v>617129999.99996948</c:v>
                </c:pt>
                <c:pt idx="21">
                  <c:v>799219999.99999237</c:v>
                </c:pt>
                <c:pt idx="22">
                  <c:v>139199999.99999237</c:v>
                </c:pt>
                <c:pt idx="23">
                  <c:v>24090000.000030518</c:v>
                </c:pt>
                <c:pt idx="24">
                  <c:v>348950000.00003052</c:v>
                </c:pt>
                <c:pt idx="25">
                  <c:v>91423.999984741211</c:v>
                </c:pt>
                <c:pt idx="26">
                  <c:v>9349999.9999923706</c:v>
                </c:pt>
                <c:pt idx="27">
                  <c:v>31032</c:v>
                </c:pt>
                <c:pt idx="28">
                  <c:v>50384</c:v>
                </c:pt>
                <c:pt idx="29">
                  <c:v>24670000</c:v>
                </c:pt>
                <c:pt idx="30">
                  <c:v>156000000</c:v>
                </c:pt>
                <c:pt idx="31">
                  <c:v>152344999.99993896</c:v>
                </c:pt>
                <c:pt idx="32">
                  <c:v>13570000.000030518</c:v>
                </c:pt>
                <c:pt idx="33">
                  <c:v>12600000</c:v>
                </c:pt>
                <c:pt idx="34">
                  <c:v>41936.999984741211</c:v>
                </c:pt>
                <c:pt idx="35">
                  <c:v>17459999.999969482</c:v>
                </c:pt>
                <c:pt idx="36">
                  <c:v>14454999.999984741</c:v>
                </c:pt>
                <c:pt idx="37">
                  <c:v>300000.00001525879</c:v>
                </c:pt>
                <c:pt idx="38">
                  <c:v>5160000</c:v>
                </c:pt>
                <c:pt idx="39">
                  <c:v>19560000.000030518</c:v>
                </c:pt>
                <c:pt idx="40">
                  <c:v>100736.00001525879</c:v>
                </c:pt>
                <c:pt idx="41">
                  <c:v>23245000</c:v>
                </c:pt>
                <c:pt idx="42">
                  <c:v>3870000</c:v>
                </c:pt>
                <c:pt idx="43">
                  <c:v>258110000.00000763</c:v>
                </c:pt>
                <c:pt idx="44">
                  <c:v>347280000</c:v>
                </c:pt>
                <c:pt idx="45">
                  <c:v>34565000.000015259</c:v>
                </c:pt>
                <c:pt idx="46">
                  <c:v>22375000.000015259</c:v>
                </c:pt>
                <c:pt idx="47">
                  <c:v>32700000.000007629</c:v>
                </c:pt>
                <c:pt idx="48">
                  <c:v>4055000</c:v>
                </c:pt>
                <c:pt idx="49">
                  <c:v>6035000</c:v>
                </c:pt>
                <c:pt idx="50">
                  <c:v>49380000</c:v>
                </c:pt>
                <c:pt idx="51">
                  <c:v>11045000.000007629</c:v>
                </c:pt>
                <c:pt idx="52">
                  <c:v>58280000.000007629</c:v>
                </c:pt>
                <c:pt idx="53">
                  <c:v>51759999.999984741</c:v>
                </c:pt>
                <c:pt idx="54">
                  <c:v>76140000.000007629</c:v>
                </c:pt>
                <c:pt idx="55">
                  <c:v>1190000</c:v>
                </c:pt>
                <c:pt idx="56">
                  <c:v>57489999.999996185</c:v>
                </c:pt>
                <c:pt idx="57">
                  <c:v>107175000</c:v>
                </c:pt>
                <c:pt idx="58">
                  <c:v>10756142089.550003</c:v>
                </c:pt>
                <c:pt idx="59">
                  <c:v>8516311904</c:v>
                </c:pt>
                <c:pt idx="60">
                  <c:v>2620770969</c:v>
                </c:pt>
                <c:pt idx="61">
                  <c:v>7541190250.0000076</c:v>
                </c:pt>
                <c:pt idx="62">
                  <c:v>13731000000.000031</c:v>
                </c:pt>
                <c:pt idx="63">
                  <c:v>4835488504</c:v>
                </c:pt>
                <c:pt idx="64">
                  <c:v>8014621932</c:v>
                </c:pt>
                <c:pt idx="65">
                  <c:v>9191469035</c:v>
                </c:pt>
                <c:pt idx="66">
                  <c:v>5156685159.9999771</c:v>
                </c:pt>
                <c:pt idx="67">
                  <c:v>7652526975.9999695</c:v>
                </c:pt>
                <c:pt idx="68">
                  <c:v>245835000</c:v>
                </c:pt>
                <c:pt idx="69">
                  <c:v>488200000</c:v>
                </c:pt>
                <c:pt idx="70">
                  <c:v>72329</c:v>
                </c:pt>
                <c:pt idx="71">
                  <c:v>352606630</c:v>
                </c:pt>
                <c:pt idx="72">
                  <c:v>-1210919999.9999924</c:v>
                </c:pt>
                <c:pt idx="73">
                  <c:v>1879681696.2000008</c:v>
                </c:pt>
                <c:pt idx="74">
                  <c:v>-2214340000</c:v>
                </c:pt>
                <c:pt idx="75">
                  <c:v>2501116057.9599991</c:v>
                </c:pt>
                <c:pt idx="76">
                  <c:v>-1849800000</c:v>
                </c:pt>
                <c:pt idx="77">
                  <c:v>1921149889.1999989</c:v>
                </c:pt>
                <c:pt idx="78">
                  <c:v>1807999.9999694824</c:v>
                </c:pt>
                <c:pt idx="79">
                  <c:v>152880000.00001526</c:v>
                </c:pt>
                <c:pt idx="80">
                  <c:v>-2852220000</c:v>
                </c:pt>
                <c:pt idx="81">
                  <c:v>3464011816.800005</c:v>
                </c:pt>
                <c:pt idx="82">
                  <c:v>-4268348000</c:v>
                </c:pt>
                <c:pt idx="83">
                  <c:v>4313843711.4000015</c:v>
                </c:pt>
                <c:pt idx="84">
                  <c:v>-2101750000</c:v>
                </c:pt>
                <c:pt idx="85">
                  <c:v>2557507455.999999</c:v>
                </c:pt>
                <c:pt idx="86">
                  <c:v>-7691229000</c:v>
                </c:pt>
                <c:pt idx="87">
                  <c:v>7720323300.5400009</c:v>
                </c:pt>
                <c:pt idx="88">
                  <c:v>-9845730000</c:v>
                </c:pt>
                <c:pt idx="89">
                  <c:v>9881327526.8400192</c:v>
                </c:pt>
                <c:pt idx="90">
                  <c:v>-6392587999.9999847</c:v>
                </c:pt>
                <c:pt idx="91">
                  <c:v>6544122800.0399895</c:v>
                </c:pt>
                <c:pt idx="92">
                  <c:v>-10081000999.999985</c:v>
                </c:pt>
                <c:pt idx="93">
                  <c:v>10186515422.160011</c:v>
                </c:pt>
                <c:pt idx="94">
                  <c:v>-9572400000</c:v>
                </c:pt>
                <c:pt idx="95">
                  <c:v>9582945420.5099945</c:v>
                </c:pt>
                <c:pt idx="96">
                  <c:v>-21456370000</c:v>
                </c:pt>
                <c:pt idx="97">
                  <c:v>21464436303.440014</c:v>
                </c:pt>
                <c:pt idx="98">
                  <c:v>-12417177000</c:v>
                </c:pt>
                <c:pt idx="99">
                  <c:v>12466355250.359985</c:v>
                </c:pt>
                <c:pt idx="100">
                  <c:v>-14273988999.999969</c:v>
                </c:pt>
                <c:pt idx="101">
                  <c:v>14404565135.880001</c:v>
                </c:pt>
                <c:pt idx="102">
                  <c:v>-15353900000.000015</c:v>
                </c:pt>
                <c:pt idx="103">
                  <c:v>16390025285.280022</c:v>
                </c:pt>
                <c:pt idx="104">
                  <c:v>-7622158000</c:v>
                </c:pt>
                <c:pt idx="105">
                  <c:v>10691460924.87499</c:v>
                </c:pt>
                <c:pt idx="106">
                  <c:v>-22575512499.999939</c:v>
                </c:pt>
                <c:pt idx="107">
                  <c:v>28989667760.27002</c:v>
                </c:pt>
                <c:pt idx="108">
                  <c:v>-21130100000</c:v>
                </c:pt>
                <c:pt idx="109">
                  <c:v>29668195841.460022</c:v>
                </c:pt>
                <c:pt idx="110">
                  <c:v>-10806127000</c:v>
                </c:pt>
                <c:pt idx="111">
                  <c:v>10945643622.029985</c:v>
                </c:pt>
                <c:pt idx="112">
                  <c:v>1594250000</c:v>
                </c:pt>
                <c:pt idx="113">
                  <c:v>12933441709.825012</c:v>
                </c:pt>
                <c:pt idx="114">
                  <c:v>10084384163.280005</c:v>
                </c:pt>
                <c:pt idx="115">
                  <c:v>25720720000</c:v>
                </c:pt>
                <c:pt idx="116">
                  <c:v>32524335572.960022</c:v>
                </c:pt>
                <c:pt idx="117">
                  <c:v>18860499268.479996</c:v>
                </c:pt>
                <c:pt idx="118">
                  <c:v>36234682407.820007</c:v>
                </c:pt>
                <c:pt idx="119">
                  <c:v>28587249999.999969</c:v>
                </c:pt>
                <c:pt idx="120">
                  <c:v>8913902638.4999924</c:v>
                </c:pt>
                <c:pt idx="121">
                  <c:v>26862000000.000031</c:v>
                </c:pt>
                <c:pt idx="122">
                  <c:v>22076506604.75</c:v>
                </c:pt>
                <c:pt idx="123">
                  <c:v>22095000000</c:v>
                </c:pt>
                <c:pt idx="124">
                  <c:v>2730617023.9575043</c:v>
                </c:pt>
                <c:pt idx="125">
                  <c:v>19420354200.800003</c:v>
                </c:pt>
                <c:pt idx="126">
                  <c:v>12830700000</c:v>
                </c:pt>
                <c:pt idx="127">
                  <c:v>34566858000</c:v>
                </c:pt>
                <c:pt idx="128">
                  <c:v>5153485358.5600052</c:v>
                </c:pt>
                <c:pt idx="129">
                  <c:v>38118725000</c:v>
                </c:pt>
                <c:pt idx="130">
                  <c:v>6968278832.6999969</c:v>
                </c:pt>
                <c:pt idx="131">
                  <c:v>15792305000</c:v>
                </c:pt>
                <c:pt idx="132">
                  <c:v>9869393142.1800156</c:v>
                </c:pt>
                <c:pt idx="133">
                  <c:v>34041940000.000061</c:v>
                </c:pt>
                <c:pt idx="134">
                  <c:v>2162101047.0749989</c:v>
                </c:pt>
                <c:pt idx="135">
                  <c:v>29093500000</c:v>
                </c:pt>
                <c:pt idx="136">
                  <c:v>7210040509.5</c:v>
                </c:pt>
                <c:pt idx="137">
                  <c:v>21007995000</c:v>
                </c:pt>
                <c:pt idx="138">
                  <c:v>4800562711.1999969</c:v>
                </c:pt>
                <c:pt idx="139">
                  <c:v>4622000000</c:v>
                </c:pt>
                <c:pt idx="140">
                  <c:v>19671644762</c:v>
                </c:pt>
                <c:pt idx="141">
                  <c:v>35872695000</c:v>
                </c:pt>
                <c:pt idx="142">
                  <c:v>2391140967.25</c:v>
                </c:pt>
                <c:pt idx="143">
                  <c:v>79424500000</c:v>
                </c:pt>
                <c:pt idx="144">
                  <c:v>21881280000.000008</c:v>
                </c:pt>
                <c:pt idx="145">
                  <c:v>37557600000</c:v>
                </c:pt>
                <c:pt idx="146">
                  <c:v>59771710000</c:v>
                </c:pt>
                <c:pt idx="147">
                  <c:v>83109599999.999878</c:v>
                </c:pt>
                <c:pt idx="148">
                  <c:v>39460929999.999969</c:v>
                </c:pt>
                <c:pt idx="149">
                  <c:v>14079190425</c:v>
                </c:pt>
                <c:pt idx="150">
                  <c:v>22460418000</c:v>
                </c:pt>
                <c:pt idx="151">
                  <c:v>4892397827.6250076</c:v>
                </c:pt>
                <c:pt idx="152">
                  <c:v>34638990000.000031</c:v>
                </c:pt>
                <c:pt idx="153">
                  <c:v>5062744113.8999977</c:v>
                </c:pt>
                <c:pt idx="154">
                  <c:v>13219755000.000017</c:v>
                </c:pt>
                <c:pt idx="155">
                  <c:v>22324200000</c:v>
                </c:pt>
                <c:pt idx="156">
                  <c:v>26334999999.999969</c:v>
                </c:pt>
                <c:pt idx="157">
                  <c:v>12249473644.800003</c:v>
                </c:pt>
                <c:pt idx="158">
                  <c:v>10900810248</c:v>
                </c:pt>
                <c:pt idx="159">
                  <c:v>8556640823.5379639</c:v>
                </c:pt>
                <c:pt idx="160">
                  <c:v>4302892942.885437</c:v>
                </c:pt>
                <c:pt idx="161">
                  <c:v>13454269445.400879</c:v>
                </c:pt>
                <c:pt idx="162">
                  <c:v>3346070279.2871704</c:v>
                </c:pt>
                <c:pt idx="163">
                  <c:v>3818510733.0459595</c:v>
                </c:pt>
                <c:pt idx="164">
                  <c:v>2499685568.4356079</c:v>
                </c:pt>
                <c:pt idx="165">
                  <c:v>2231696044.5656433</c:v>
                </c:pt>
                <c:pt idx="166">
                  <c:v>2533772325.8475342</c:v>
                </c:pt>
                <c:pt idx="167">
                  <c:v>3843307465.6083069</c:v>
                </c:pt>
                <c:pt idx="168">
                  <c:v>1719248212.4938049</c:v>
                </c:pt>
                <c:pt idx="169">
                  <c:v>1856184433.8502502</c:v>
                </c:pt>
                <c:pt idx="170">
                  <c:v>1547682229.1524658</c:v>
                </c:pt>
                <c:pt idx="171">
                  <c:v>2455562536.9936829</c:v>
                </c:pt>
                <c:pt idx="172">
                  <c:v>472855197.48899841</c:v>
                </c:pt>
                <c:pt idx="173">
                  <c:v>836537895.45959473</c:v>
                </c:pt>
                <c:pt idx="174">
                  <c:v>153656613.34706116</c:v>
                </c:pt>
                <c:pt idx="175">
                  <c:v>4511986236.1305542</c:v>
                </c:pt>
                <c:pt idx="176">
                  <c:v>10593304893.358521</c:v>
                </c:pt>
                <c:pt idx="177">
                  <c:v>4661652412.0482178</c:v>
                </c:pt>
                <c:pt idx="178">
                  <c:v>36269114.291442871</c:v>
                </c:pt>
                <c:pt idx="179">
                  <c:v>15785190.801879883</c:v>
                </c:pt>
                <c:pt idx="180">
                  <c:v>5009605.1059875488</c:v>
                </c:pt>
                <c:pt idx="181">
                  <c:v>527285825.60887909</c:v>
                </c:pt>
                <c:pt idx="182">
                  <c:v>1734126.2341003418</c:v>
                </c:pt>
                <c:pt idx="183">
                  <c:v>339812.69802856445</c:v>
                </c:pt>
                <c:pt idx="184">
                  <c:v>214234491.73138428</c:v>
                </c:pt>
                <c:pt idx="185">
                  <c:v>2315606.0048828125</c:v>
                </c:pt>
                <c:pt idx="186">
                  <c:v>11919769.814666748</c:v>
                </c:pt>
                <c:pt idx="187">
                  <c:v>1995786.5135192871</c:v>
                </c:pt>
                <c:pt idx="188">
                  <c:v>1443994.9382553101</c:v>
                </c:pt>
                <c:pt idx="189">
                  <c:v>33795083.101318359</c:v>
                </c:pt>
                <c:pt idx="190">
                  <c:v>20629172.432006836</c:v>
                </c:pt>
                <c:pt idx="191">
                  <c:v>2189796.0730819702</c:v>
                </c:pt>
                <c:pt idx="192">
                  <c:v>21573886.094604492</c:v>
                </c:pt>
                <c:pt idx="193">
                  <c:v>12549804.300590515</c:v>
                </c:pt>
                <c:pt idx="194">
                  <c:v>26688009.860427856</c:v>
                </c:pt>
                <c:pt idx="195">
                  <c:v>3473089.3762817383</c:v>
                </c:pt>
                <c:pt idx="196">
                  <c:v>9847791.9378910065</c:v>
                </c:pt>
                <c:pt idx="197">
                  <c:v>335750719.46350098</c:v>
                </c:pt>
                <c:pt idx="198">
                  <c:v>226398721.9239502</c:v>
                </c:pt>
                <c:pt idx="199">
                  <c:v>1131498608.1669006</c:v>
                </c:pt>
                <c:pt idx="200">
                  <c:v>17905980.372192383</c:v>
                </c:pt>
                <c:pt idx="201">
                  <c:v>16977711.735229492</c:v>
                </c:pt>
                <c:pt idx="202">
                  <c:v>4777100940.5703125</c:v>
                </c:pt>
                <c:pt idx="203">
                  <c:v>3928194817.2019196</c:v>
                </c:pt>
                <c:pt idx="204">
                  <c:v>627654572.49299622</c:v>
                </c:pt>
                <c:pt idx="205">
                  <c:v>776035357.8583374</c:v>
                </c:pt>
                <c:pt idx="206">
                  <c:v>187768557.84442139</c:v>
                </c:pt>
                <c:pt idx="207">
                  <c:v>3659300132.951416</c:v>
                </c:pt>
                <c:pt idx="208">
                  <c:v>2706400000.0000153</c:v>
                </c:pt>
                <c:pt idx="209">
                  <c:v>19892050000</c:v>
                </c:pt>
                <c:pt idx="210">
                  <c:v>3720350000</c:v>
                </c:pt>
                <c:pt idx="211">
                  <c:v>24140160000</c:v>
                </c:pt>
                <c:pt idx="212">
                  <c:v>18180720000</c:v>
                </c:pt>
                <c:pt idx="213">
                  <c:v>21473340000</c:v>
                </c:pt>
                <c:pt idx="214">
                  <c:v>16128999999.999939</c:v>
                </c:pt>
                <c:pt idx="215">
                  <c:v>6010000000.0000305</c:v>
                </c:pt>
                <c:pt idx="216">
                  <c:v>9966240000</c:v>
                </c:pt>
                <c:pt idx="217">
                  <c:v>6827730000</c:v>
                </c:pt>
                <c:pt idx="218">
                  <c:v>838600000</c:v>
                </c:pt>
                <c:pt idx="219">
                  <c:v>1100160000.0000076</c:v>
                </c:pt>
                <c:pt idx="220">
                  <c:v>126217999.99996948</c:v>
                </c:pt>
                <c:pt idx="221">
                  <c:v>28285200</c:v>
                </c:pt>
                <c:pt idx="222">
                  <c:v>2136800000</c:v>
                </c:pt>
                <c:pt idx="223">
                  <c:v>438337858.36499023</c:v>
                </c:pt>
                <c:pt idx="224">
                  <c:v>1129016178.3600159</c:v>
                </c:pt>
                <c:pt idx="225">
                  <c:v>2703919266.9599609</c:v>
                </c:pt>
                <c:pt idx="226">
                  <c:v>1602600000</c:v>
                </c:pt>
                <c:pt idx="227">
                  <c:v>2408990000</c:v>
                </c:pt>
                <c:pt idx="228">
                  <c:v>263734999.99996948</c:v>
                </c:pt>
                <c:pt idx="229">
                  <c:v>536904999.99999809</c:v>
                </c:pt>
                <c:pt idx="230">
                  <c:v>46151.999938964844</c:v>
                </c:pt>
                <c:pt idx="231">
                  <c:v>3819837.9921875</c:v>
                </c:pt>
                <c:pt idx="232">
                  <c:v>18959371779.997684</c:v>
                </c:pt>
                <c:pt idx="233">
                  <c:v>284871273336.00049</c:v>
                </c:pt>
                <c:pt idx="234">
                  <c:v>75637</c:v>
                </c:pt>
                <c:pt idx="235">
                  <c:v>28922652.557617188</c:v>
                </c:pt>
                <c:pt idx="236">
                  <c:v>13872</c:v>
                </c:pt>
                <c:pt idx="237">
                  <c:v>49436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1-4395-B06B-21960751FF39}"/>
            </c:ext>
          </c:extLst>
        </c:ser>
        <c:ser>
          <c:idx val="1"/>
          <c:order val="1"/>
          <c:tx>
            <c:strRef>
              <c:f>HISTORICO!$J$5</c:f>
              <c:strCache>
                <c:ptCount val="1"/>
                <c:pt idx="0">
                  <c:v> Efecto cupones (Eje Izquierdo)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HISTORICO!$D$100:$D$337</c:f>
              <c:strCache>
                <c:ptCount val="238"/>
                <c:pt idx="0">
                  <c:v>24-mar-23</c:v>
                </c:pt>
                <c:pt idx="1">
                  <c:v>27-mar-23</c:v>
                </c:pt>
                <c:pt idx="2">
                  <c:v>28-mar-23</c:v>
                </c:pt>
                <c:pt idx="3">
                  <c:v>29-mar-23</c:v>
                </c:pt>
                <c:pt idx="4">
                  <c:v>30-mar-23</c:v>
                </c:pt>
                <c:pt idx="5">
                  <c:v>31-mar-23</c:v>
                </c:pt>
                <c:pt idx="6">
                  <c:v>3-abr-23</c:v>
                </c:pt>
                <c:pt idx="7">
                  <c:v>4-abr-23</c:v>
                </c:pt>
                <c:pt idx="8">
                  <c:v>10-abr-23</c:v>
                </c:pt>
                <c:pt idx="9">
                  <c:v>11-abr-23</c:v>
                </c:pt>
                <c:pt idx="10">
                  <c:v>12-abr-23</c:v>
                </c:pt>
                <c:pt idx="11">
                  <c:v>14-abr-23</c:v>
                </c:pt>
                <c:pt idx="12">
                  <c:v>19-abr-23</c:v>
                </c:pt>
                <c:pt idx="13">
                  <c:v>20-abr-23</c:v>
                </c:pt>
                <c:pt idx="14">
                  <c:v>21-abr-23</c:v>
                </c:pt>
                <c:pt idx="15">
                  <c:v>3-may-23</c:v>
                </c:pt>
                <c:pt idx="16">
                  <c:v>10-may-23</c:v>
                </c:pt>
                <c:pt idx="17">
                  <c:v>17-may-23</c:v>
                </c:pt>
                <c:pt idx="18">
                  <c:v>31-may-23</c:v>
                </c:pt>
                <c:pt idx="19">
                  <c:v>28-jun-23</c:v>
                </c:pt>
                <c:pt idx="20">
                  <c:v>30-jun-23</c:v>
                </c:pt>
                <c:pt idx="21">
                  <c:v>24-jul-23</c:v>
                </c:pt>
                <c:pt idx="22">
                  <c:v>25-jul-23</c:v>
                </c:pt>
                <c:pt idx="23">
                  <c:v>26-jul-23</c:v>
                </c:pt>
                <c:pt idx="24">
                  <c:v>28-jul-23</c:v>
                </c:pt>
                <c:pt idx="25">
                  <c:v>15-ago-23</c:v>
                </c:pt>
                <c:pt idx="26">
                  <c:v>16-ago-23</c:v>
                </c:pt>
                <c:pt idx="27">
                  <c:v>17-ago-23</c:v>
                </c:pt>
                <c:pt idx="28">
                  <c:v>18-ago-23</c:v>
                </c:pt>
                <c:pt idx="29">
                  <c:v>22-ago-23</c:v>
                </c:pt>
                <c:pt idx="30">
                  <c:v>23-ago-23</c:v>
                </c:pt>
                <c:pt idx="31">
                  <c:v>24-ago-23</c:v>
                </c:pt>
                <c:pt idx="32">
                  <c:v>28-ago-23</c:v>
                </c:pt>
                <c:pt idx="33">
                  <c:v>29-ago-23</c:v>
                </c:pt>
                <c:pt idx="34">
                  <c:v>30-ago-23</c:v>
                </c:pt>
                <c:pt idx="35">
                  <c:v>31-ago-23</c:v>
                </c:pt>
                <c:pt idx="36">
                  <c:v>4-sep-23</c:v>
                </c:pt>
                <c:pt idx="37">
                  <c:v>5-sep-23</c:v>
                </c:pt>
                <c:pt idx="38">
                  <c:v>7-sep-23</c:v>
                </c:pt>
                <c:pt idx="39">
                  <c:v>11-sep-23</c:v>
                </c:pt>
                <c:pt idx="40">
                  <c:v>12-sep-23</c:v>
                </c:pt>
                <c:pt idx="41">
                  <c:v>13-sep-23</c:v>
                </c:pt>
                <c:pt idx="42">
                  <c:v>15-sep-23</c:v>
                </c:pt>
                <c:pt idx="43">
                  <c:v>19-sep-23</c:v>
                </c:pt>
                <c:pt idx="44">
                  <c:v>20-sep-23</c:v>
                </c:pt>
                <c:pt idx="45">
                  <c:v>21-sep-23</c:v>
                </c:pt>
                <c:pt idx="46">
                  <c:v>25-sep-23</c:v>
                </c:pt>
                <c:pt idx="47">
                  <c:v>26-sep-23</c:v>
                </c:pt>
                <c:pt idx="48">
                  <c:v>28-sep-23</c:v>
                </c:pt>
                <c:pt idx="49">
                  <c:v>2-oct-23</c:v>
                </c:pt>
                <c:pt idx="50">
                  <c:v>4-oct-23</c:v>
                </c:pt>
                <c:pt idx="51">
                  <c:v>18-oct-23</c:v>
                </c:pt>
                <c:pt idx="52">
                  <c:v>19-oct-23</c:v>
                </c:pt>
                <c:pt idx="53">
                  <c:v>20-oct-23</c:v>
                </c:pt>
                <c:pt idx="54">
                  <c:v>23-oct-23</c:v>
                </c:pt>
                <c:pt idx="55">
                  <c:v>25-oct-23</c:v>
                </c:pt>
                <c:pt idx="56">
                  <c:v>27-oct-23</c:v>
                </c:pt>
                <c:pt idx="57">
                  <c:v>30-oct-23</c:v>
                </c:pt>
                <c:pt idx="58">
                  <c:v>31-oct-23</c:v>
                </c:pt>
                <c:pt idx="59">
                  <c:v>1-nov-23</c:v>
                </c:pt>
                <c:pt idx="60">
                  <c:v>2-nov-23</c:v>
                </c:pt>
                <c:pt idx="61">
                  <c:v>3-nov-23</c:v>
                </c:pt>
                <c:pt idx="62">
                  <c:v>7-nov-23</c:v>
                </c:pt>
                <c:pt idx="63">
                  <c:v>9-nov-23</c:v>
                </c:pt>
                <c:pt idx="64">
                  <c:v>14-nov-23</c:v>
                </c:pt>
                <c:pt idx="65">
                  <c:v>15-nov-23</c:v>
                </c:pt>
                <c:pt idx="66">
                  <c:v>16-nov-23</c:v>
                </c:pt>
                <c:pt idx="67">
                  <c:v>22-nov-23</c:v>
                </c:pt>
                <c:pt idx="68">
                  <c:v>28-nov-23</c:v>
                </c:pt>
                <c:pt idx="69">
                  <c:v>29-nov-23</c:v>
                </c:pt>
                <c:pt idx="70">
                  <c:v>4-dic-23</c:v>
                </c:pt>
                <c:pt idx="71">
                  <c:v>5-dic-23</c:v>
                </c:pt>
                <c:pt idx="72">
                  <c:v>19-feb-24</c:v>
                </c:pt>
                <c:pt idx="73">
                  <c:v>19-feb-24</c:v>
                </c:pt>
                <c:pt idx="74">
                  <c:v>20-feb-24</c:v>
                </c:pt>
                <c:pt idx="75">
                  <c:v>20-feb-24</c:v>
                </c:pt>
                <c:pt idx="76">
                  <c:v>21-feb-24</c:v>
                </c:pt>
                <c:pt idx="77">
                  <c:v>21-feb-24</c:v>
                </c:pt>
                <c:pt idx="78">
                  <c:v>22-feb-24</c:v>
                </c:pt>
                <c:pt idx="79">
                  <c:v>23-feb-24</c:v>
                </c:pt>
                <c:pt idx="80">
                  <c:v>26-feb-24</c:v>
                </c:pt>
                <c:pt idx="81">
                  <c:v>26-feb-24</c:v>
                </c:pt>
                <c:pt idx="82">
                  <c:v>27-feb-24</c:v>
                </c:pt>
                <c:pt idx="83">
                  <c:v>27-feb-24</c:v>
                </c:pt>
                <c:pt idx="84">
                  <c:v>28-feb-24</c:v>
                </c:pt>
                <c:pt idx="85">
                  <c:v>28-feb-24</c:v>
                </c:pt>
                <c:pt idx="86">
                  <c:v>29-feb-24</c:v>
                </c:pt>
                <c:pt idx="87">
                  <c:v>29-feb-24</c:v>
                </c:pt>
                <c:pt idx="88">
                  <c:v>1-mar-24</c:v>
                </c:pt>
                <c:pt idx="89">
                  <c:v>1-mar-24</c:v>
                </c:pt>
                <c:pt idx="90">
                  <c:v>4-mar-24</c:v>
                </c:pt>
                <c:pt idx="91">
                  <c:v>4-mar-24</c:v>
                </c:pt>
                <c:pt idx="92">
                  <c:v>5-mar-24</c:v>
                </c:pt>
                <c:pt idx="93">
                  <c:v>5-mar-24</c:v>
                </c:pt>
                <c:pt idx="94">
                  <c:v>6-mar-24</c:v>
                </c:pt>
                <c:pt idx="95">
                  <c:v>6-mar-24</c:v>
                </c:pt>
                <c:pt idx="96">
                  <c:v>7-mar-24</c:v>
                </c:pt>
                <c:pt idx="97">
                  <c:v>7-mar-24</c:v>
                </c:pt>
                <c:pt idx="98">
                  <c:v>13-mar-24</c:v>
                </c:pt>
                <c:pt idx="99">
                  <c:v>13-mar-24</c:v>
                </c:pt>
                <c:pt idx="100">
                  <c:v>14-mar-24</c:v>
                </c:pt>
                <c:pt idx="101">
                  <c:v>14-mar-24</c:v>
                </c:pt>
                <c:pt idx="102">
                  <c:v>15-mar-24</c:v>
                </c:pt>
                <c:pt idx="103">
                  <c:v>15-mar-24</c:v>
                </c:pt>
                <c:pt idx="104">
                  <c:v>20-mar-24</c:v>
                </c:pt>
                <c:pt idx="105">
                  <c:v>20-mar-24</c:v>
                </c:pt>
                <c:pt idx="106">
                  <c:v>21-mar-24</c:v>
                </c:pt>
                <c:pt idx="107">
                  <c:v>21-mar-24</c:v>
                </c:pt>
                <c:pt idx="108">
                  <c:v>22-mar-24</c:v>
                </c:pt>
                <c:pt idx="109">
                  <c:v>22-mar-24</c:v>
                </c:pt>
                <c:pt idx="110">
                  <c:v>1-abr-24</c:v>
                </c:pt>
                <c:pt idx="111">
                  <c:v>1-abr-24</c:v>
                </c:pt>
                <c:pt idx="112">
                  <c:v>2-abr-24</c:v>
                </c:pt>
                <c:pt idx="113">
                  <c:v>2-abr-24</c:v>
                </c:pt>
                <c:pt idx="114">
                  <c:v>12-abr-24</c:v>
                </c:pt>
                <c:pt idx="115">
                  <c:v>29-abr-24</c:v>
                </c:pt>
                <c:pt idx="116">
                  <c:v>30-abr-24</c:v>
                </c:pt>
                <c:pt idx="117">
                  <c:v>2-may-24</c:v>
                </c:pt>
                <c:pt idx="118">
                  <c:v>3-may-24</c:v>
                </c:pt>
                <c:pt idx="119">
                  <c:v>6-may-24</c:v>
                </c:pt>
                <c:pt idx="120">
                  <c:v>6-may-24</c:v>
                </c:pt>
                <c:pt idx="121">
                  <c:v>7-may-24</c:v>
                </c:pt>
                <c:pt idx="122">
                  <c:v>7-may-24</c:v>
                </c:pt>
                <c:pt idx="123">
                  <c:v>9-may-24</c:v>
                </c:pt>
                <c:pt idx="124">
                  <c:v>9-may-24</c:v>
                </c:pt>
                <c:pt idx="125">
                  <c:v>15-may-24</c:v>
                </c:pt>
                <c:pt idx="126">
                  <c:v>15-may-24</c:v>
                </c:pt>
                <c:pt idx="127">
                  <c:v>16-may-24</c:v>
                </c:pt>
                <c:pt idx="128">
                  <c:v>16-may-24</c:v>
                </c:pt>
                <c:pt idx="129">
                  <c:v>17-may-24</c:v>
                </c:pt>
                <c:pt idx="130">
                  <c:v>17-may-24</c:v>
                </c:pt>
                <c:pt idx="131">
                  <c:v>20-may-24</c:v>
                </c:pt>
                <c:pt idx="132">
                  <c:v>20-may-24</c:v>
                </c:pt>
                <c:pt idx="133">
                  <c:v>21-may-24</c:v>
                </c:pt>
                <c:pt idx="134">
                  <c:v>21-may-24</c:v>
                </c:pt>
                <c:pt idx="135">
                  <c:v>22-may-24</c:v>
                </c:pt>
                <c:pt idx="136">
                  <c:v>22-may-24</c:v>
                </c:pt>
                <c:pt idx="137">
                  <c:v>23-may-24</c:v>
                </c:pt>
                <c:pt idx="138">
                  <c:v>23-may-24</c:v>
                </c:pt>
                <c:pt idx="139">
                  <c:v>28-may-24</c:v>
                </c:pt>
                <c:pt idx="140">
                  <c:v>28-may-24</c:v>
                </c:pt>
                <c:pt idx="141">
                  <c:v>29-may-24</c:v>
                </c:pt>
                <c:pt idx="142">
                  <c:v>29-may-24</c:v>
                </c:pt>
                <c:pt idx="143">
                  <c:v>30-may-24</c:v>
                </c:pt>
                <c:pt idx="144">
                  <c:v>31-may-24</c:v>
                </c:pt>
                <c:pt idx="145">
                  <c:v>4-jun-24</c:v>
                </c:pt>
                <c:pt idx="146">
                  <c:v>5-jun-24</c:v>
                </c:pt>
                <c:pt idx="147">
                  <c:v>6-jun-24</c:v>
                </c:pt>
                <c:pt idx="148">
                  <c:v>7-jun-24</c:v>
                </c:pt>
                <c:pt idx="149">
                  <c:v>7-jun-24</c:v>
                </c:pt>
                <c:pt idx="150">
                  <c:v>11-jun-24</c:v>
                </c:pt>
                <c:pt idx="151">
                  <c:v>11-jun-24</c:v>
                </c:pt>
                <c:pt idx="152">
                  <c:v>18-jun-24</c:v>
                </c:pt>
                <c:pt idx="153">
                  <c:v>18-jun-24</c:v>
                </c:pt>
                <c:pt idx="154">
                  <c:v>19-jun-24</c:v>
                </c:pt>
                <c:pt idx="155">
                  <c:v>26-jun-24</c:v>
                </c:pt>
                <c:pt idx="156">
                  <c:v>27-jun-24</c:v>
                </c:pt>
                <c:pt idx="157">
                  <c:v>27-jun-24</c:v>
                </c:pt>
                <c:pt idx="158">
                  <c:v>23-jul-24</c:v>
                </c:pt>
                <c:pt idx="159">
                  <c:v>9-ago-24</c:v>
                </c:pt>
                <c:pt idx="160">
                  <c:v>12-ago-24</c:v>
                </c:pt>
                <c:pt idx="161">
                  <c:v>13-ago-24</c:v>
                </c:pt>
                <c:pt idx="162">
                  <c:v>14-ago-24</c:v>
                </c:pt>
                <c:pt idx="163">
                  <c:v>15-ago-24</c:v>
                </c:pt>
                <c:pt idx="164">
                  <c:v>16-ago-24</c:v>
                </c:pt>
                <c:pt idx="165">
                  <c:v>20-ago-24</c:v>
                </c:pt>
                <c:pt idx="166">
                  <c:v>21-ago-24</c:v>
                </c:pt>
                <c:pt idx="167">
                  <c:v>22-ago-24</c:v>
                </c:pt>
                <c:pt idx="168">
                  <c:v>26-ago-24</c:v>
                </c:pt>
                <c:pt idx="169">
                  <c:v>27-ago-24</c:v>
                </c:pt>
                <c:pt idx="170">
                  <c:v>28-ago-24</c:v>
                </c:pt>
                <c:pt idx="171">
                  <c:v>29-ago-24</c:v>
                </c:pt>
                <c:pt idx="172">
                  <c:v>30-ago-24</c:v>
                </c:pt>
                <c:pt idx="173">
                  <c:v>2-sep-24</c:v>
                </c:pt>
                <c:pt idx="174">
                  <c:v>3-sep-24</c:v>
                </c:pt>
                <c:pt idx="175">
                  <c:v>4-sep-24</c:v>
                </c:pt>
                <c:pt idx="176">
                  <c:v>5-sep-24</c:v>
                </c:pt>
                <c:pt idx="177">
                  <c:v>6-sep-24</c:v>
                </c:pt>
                <c:pt idx="178">
                  <c:v>9-sep-24</c:v>
                </c:pt>
                <c:pt idx="179">
                  <c:v>10-sep-24</c:v>
                </c:pt>
                <c:pt idx="180">
                  <c:v>11-sep-24</c:v>
                </c:pt>
                <c:pt idx="181">
                  <c:v>12-sep-24</c:v>
                </c:pt>
                <c:pt idx="182">
                  <c:v>13-sep-24</c:v>
                </c:pt>
                <c:pt idx="183">
                  <c:v>16-sep-24</c:v>
                </c:pt>
                <c:pt idx="184">
                  <c:v>17-sep-24</c:v>
                </c:pt>
                <c:pt idx="185">
                  <c:v>19-sep-24</c:v>
                </c:pt>
                <c:pt idx="186">
                  <c:v>20-sep-24</c:v>
                </c:pt>
                <c:pt idx="187">
                  <c:v>24-sep-24</c:v>
                </c:pt>
                <c:pt idx="188">
                  <c:v>25-sep-24</c:v>
                </c:pt>
                <c:pt idx="189">
                  <c:v>4-oct-24</c:v>
                </c:pt>
                <c:pt idx="190">
                  <c:v>9-oct-24</c:v>
                </c:pt>
                <c:pt idx="191">
                  <c:v>10-oct-24</c:v>
                </c:pt>
                <c:pt idx="192">
                  <c:v>11-oct-24</c:v>
                </c:pt>
                <c:pt idx="193">
                  <c:v>15-oct-24</c:v>
                </c:pt>
                <c:pt idx="194">
                  <c:v>16-oct-24</c:v>
                </c:pt>
                <c:pt idx="195">
                  <c:v>17-oct-24</c:v>
                </c:pt>
                <c:pt idx="196">
                  <c:v>18-oct-24</c:v>
                </c:pt>
                <c:pt idx="197">
                  <c:v>8-nov-24</c:v>
                </c:pt>
                <c:pt idx="198">
                  <c:v>14-nov-24</c:v>
                </c:pt>
                <c:pt idx="199">
                  <c:v>15-nov-24</c:v>
                </c:pt>
                <c:pt idx="200">
                  <c:v>18-nov-24</c:v>
                </c:pt>
                <c:pt idx="201">
                  <c:v>19-nov-24</c:v>
                </c:pt>
                <c:pt idx="202">
                  <c:v>20-nov-24</c:v>
                </c:pt>
                <c:pt idx="203">
                  <c:v>22-nov-24</c:v>
                </c:pt>
                <c:pt idx="204">
                  <c:v>25-nov-24</c:v>
                </c:pt>
                <c:pt idx="205">
                  <c:v>26-nov-24</c:v>
                </c:pt>
                <c:pt idx="206">
                  <c:v>27-nov-24</c:v>
                </c:pt>
                <c:pt idx="207">
                  <c:v>29-nov-24</c:v>
                </c:pt>
                <c:pt idx="208">
                  <c:v>12-feb-25</c:v>
                </c:pt>
                <c:pt idx="209">
                  <c:v>13-feb-25</c:v>
                </c:pt>
                <c:pt idx="210">
                  <c:v>14-feb-25</c:v>
                </c:pt>
                <c:pt idx="211">
                  <c:v>18-feb-25</c:v>
                </c:pt>
                <c:pt idx="212">
                  <c:v>19-feb-25</c:v>
                </c:pt>
                <c:pt idx="213">
                  <c:v>20-feb-25</c:v>
                </c:pt>
                <c:pt idx="214">
                  <c:v>21-feb-25</c:v>
                </c:pt>
                <c:pt idx="215">
                  <c:v>24-feb-25</c:v>
                </c:pt>
                <c:pt idx="216">
                  <c:v>25-feb-25</c:v>
                </c:pt>
                <c:pt idx="217">
                  <c:v>27-feb-25</c:v>
                </c:pt>
                <c:pt idx="218">
                  <c:v>28-feb-25</c:v>
                </c:pt>
                <c:pt idx="219">
                  <c:v>3-mar-25</c:v>
                </c:pt>
                <c:pt idx="220">
                  <c:v>4-mar-25</c:v>
                </c:pt>
                <c:pt idx="221">
                  <c:v>5-mar-25</c:v>
                </c:pt>
                <c:pt idx="222">
                  <c:v>6-mar-25</c:v>
                </c:pt>
                <c:pt idx="223">
                  <c:v>7-mar-25</c:v>
                </c:pt>
                <c:pt idx="224">
                  <c:v>10-mar-25</c:v>
                </c:pt>
                <c:pt idx="225">
                  <c:v>11-mar-25</c:v>
                </c:pt>
                <c:pt idx="226">
                  <c:v>12-mar-25</c:v>
                </c:pt>
                <c:pt idx="227">
                  <c:v>13-mar-25</c:v>
                </c:pt>
                <c:pt idx="228">
                  <c:v>8-may-25</c:v>
                </c:pt>
                <c:pt idx="229">
                  <c:v>9-may-25</c:v>
                </c:pt>
                <c:pt idx="230">
                  <c:v>20-may-25</c:v>
                </c:pt>
                <c:pt idx="231">
                  <c:v>20-may-25</c:v>
                </c:pt>
                <c:pt idx="232">
                  <c:v>3-jun-25</c:v>
                </c:pt>
                <c:pt idx="233">
                  <c:v>13-jun-25</c:v>
                </c:pt>
                <c:pt idx="234">
                  <c:v>22-jul-25</c:v>
                </c:pt>
                <c:pt idx="235">
                  <c:v>25-jul-25</c:v>
                </c:pt>
                <c:pt idx="236">
                  <c:v>31-jul-25</c:v>
                </c:pt>
                <c:pt idx="237">
                  <c:v>12-ago-25</c:v>
                </c:pt>
              </c:strCache>
            </c:strRef>
          </c:cat>
          <c:val>
            <c:numRef>
              <c:f>HISTORICO!$J$100:$J$337</c:f>
              <c:numCache>
                <c:formatCode>#,##0_ ;[Red]\-#,##0\ </c:formatCode>
                <c:ptCount val="238"/>
                <c:pt idx="0">
                  <c:v>-27700000000</c:v>
                </c:pt>
                <c:pt idx="1">
                  <c:v>-25262500000</c:v>
                </c:pt>
                <c:pt idx="2">
                  <c:v>-26087500000</c:v>
                </c:pt>
                <c:pt idx="3">
                  <c:v>-27053750000</c:v>
                </c:pt>
                <c:pt idx="4">
                  <c:v>-47400000000</c:v>
                </c:pt>
                <c:pt idx="5">
                  <c:v>-22312500000</c:v>
                </c:pt>
                <c:pt idx="6">
                  <c:v>-15450000000</c:v>
                </c:pt>
                <c:pt idx="7">
                  <c:v>-21067500000</c:v>
                </c:pt>
                <c:pt idx="8">
                  <c:v>-17450000000</c:v>
                </c:pt>
                <c:pt idx="9">
                  <c:v>-22162500000</c:v>
                </c:pt>
                <c:pt idx="10">
                  <c:v>-16950000000</c:v>
                </c:pt>
                <c:pt idx="11">
                  <c:v>-78000000000</c:v>
                </c:pt>
                <c:pt idx="12">
                  <c:v>-8505000000</c:v>
                </c:pt>
                <c:pt idx="13">
                  <c:v>-42222500000</c:v>
                </c:pt>
                <c:pt idx="14">
                  <c:v>-8795000000</c:v>
                </c:pt>
                <c:pt idx="15">
                  <c:v>-18195000000</c:v>
                </c:pt>
                <c:pt idx="16">
                  <c:v>-9075000000</c:v>
                </c:pt>
                <c:pt idx="17">
                  <c:v>-15572500000</c:v>
                </c:pt>
                <c:pt idx="18">
                  <c:v>-26800000000</c:v>
                </c:pt>
                <c:pt idx="19">
                  <c:v>-25500000000</c:v>
                </c:pt>
                <c:pt idx="20">
                  <c:v>-15900000000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-9232537500</c:v>
                </c:pt>
                <c:pt idx="59">
                  <c:v>-9053700000</c:v>
                </c:pt>
                <c:pt idx="60">
                  <c:v>-4478893750</c:v>
                </c:pt>
                <c:pt idx="61">
                  <c:v>-10171562500</c:v>
                </c:pt>
                <c:pt idx="62">
                  <c:v>-13750000000</c:v>
                </c:pt>
                <c:pt idx="63">
                  <c:v>-5095050000</c:v>
                </c:pt>
                <c:pt idx="64">
                  <c:v>-10175575000</c:v>
                </c:pt>
                <c:pt idx="65">
                  <c:v>-10179781250</c:v>
                </c:pt>
                <c:pt idx="66">
                  <c:v>-10130337500</c:v>
                </c:pt>
                <c:pt idx="67">
                  <c:v>-10069600000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-1850000000</c:v>
                </c:pt>
                <c:pt idx="73">
                  <c:v>-108214260.00000012</c:v>
                </c:pt>
                <c:pt idx="74">
                  <c:v>-7775000000</c:v>
                </c:pt>
                <c:pt idx="75">
                  <c:v>-144331240.00000012</c:v>
                </c:pt>
                <c:pt idx="76">
                  <c:v>-5550000000</c:v>
                </c:pt>
                <c:pt idx="77">
                  <c:v>-108282600.00000012</c:v>
                </c:pt>
                <c:pt idx="78">
                  <c:v>-8862500000</c:v>
                </c:pt>
                <c:pt idx="79">
                  <c:v>-3075000000</c:v>
                </c:pt>
                <c:pt idx="80">
                  <c:v>-2843750000</c:v>
                </c:pt>
                <c:pt idx="81">
                  <c:v>-686873560.00000012</c:v>
                </c:pt>
                <c:pt idx="82">
                  <c:v>-3455000000</c:v>
                </c:pt>
                <c:pt idx="83">
                  <c:v>-858863175.00000024</c:v>
                </c:pt>
                <c:pt idx="84">
                  <c:v>-2055000000</c:v>
                </c:pt>
                <c:pt idx="85">
                  <c:v>-434088960.00000012</c:v>
                </c:pt>
                <c:pt idx="86">
                  <c:v>-3352500000</c:v>
                </c:pt>
                <c:pt idx="87">
                  <c:v>-1546930552.5</c:v>
                </c:pt>
                <c:pt idx="88">
                  <c:v>-1272500000</c:v>
                </c:pt>
                <c:pt idx="89">
                  <c:v>-2117520405.0000005</c:v>
                </c:pt>
                <c:pt idx="90">
                  <c:v>-1227500000</c:v>
                </c:pt>
                <c:pt idx="91">
                  <c:v>-1390373835.0000002</c:v>
                </c:pt>
                <c:pt idx="92">
                  <c:v>-3511250000</c:v>
                </c:pt>
                <c:pt idx="93">
                  <c:v>-2002408622.5000005</c:v>
                </c:pt>
                <c:pt idx="94">
                  <c:v>-4688750000</c:v>
                </c:pt>
                <c:pt idx="95">
                  <c:v>-1848960630.0000005</c:v>
                </c:pt>
                <c:pt idx="96">
                  <c:v>-4475000000</c:v>
                </c:pt>
                <c:pt idx="97">
                  <c:v>-2774316870.000001</c:v>
                </c:pt>
                <c:pt idx="98">
                  <c:v>-4515000000</c:v>
                </c:pt>
                <c:pt idx="99">
                  <c:v>-2970333930.0000005</c:v>
                </c:pt>
                <c:pt idx="100">
                  <c:v>-3238750000</c:v>
                </c:pt>
                <c:pt idx="101">
                  <c:v>-1658278950.0000005</c:v>
                </c:pt>
                <c:pt idx="102">
                  <c:v>-8377500000</c:v>
                </c:pt>
                <c:pt idx="103">
                  <c:v>-1799687340</c:v>
                </c:pt>
                <c:pt idx="104">
                  <c:v>-4402500000</c:v>
                </c:pt>
                <c:pt idx="105">
                  <c:v>-1197338731.2500005</c:v>
                </c:pt>
                <c:pt idx="106">
                  <c:v>-4753125000</c:v>
                </c:pt>
                <c:pt idx="107">
                  <c:v>-3816429027.500001</c:v>
                </c:pt>
                <c:pt idx="108">
                  <c:v>-7575000000</c:v>
                </c:pt>
                <c:pt idx="109">
                  <c:v>-3170839410.000001</c:v>
                </c:pt>
                <c:pt idx="110">
                  <c:v>-9603125000</c:v>
                </c:pt>
                <c:pt idx="111">
                  <c:v>-1133797410.0000005</c:v>
                </c:pt>
                <c:pt idx="112">
                  <c:v>-12475000000</c:v>
                </c:pt>
                <c:pt idx="113">
                  <c:v>-1360575343.7500005</c:v>
                </c:pt>
                <c:pt idx="114">
                  <c:v>-1165703790.0000005</c:v>
                </c:pt>
                <c:pt idx="115">
                  <c:v>-13437500000</c:v>
                </c:pt>
                <c:pt idx="116">
                  <c:v>-6841614710.000001</c:v>
                </c:pt>
                <c:pt idx="117">
                  <c:v>-4132708160.0000005</c:v>
                </c:pt>
                <c:pt idx="118">
                  <c:v>-7976689630.000001</c:v>
                </c:pt>
                <c:pt idx="119">
                  <c:v>-1537500000</c:v>
                </c:pt>
                <c:pt idx="120">
                  <c:v>-1939009275.0000002</c:v>
                </c:pt>
                <c:pt idx="121">
                  <c:v>-1500000000</c:v>
                </c:pt>
                <c:pt idx="122">
                  <c:v>0</c:v>
                </c:pt>
                <c:pt idx="123">
                  <c:v>-1125000000</c:v>
                </c:pt>
                <c:pt idx="124">
                  <c:v>0</c:v>
                </c:pt>
                <c:pt idx="125">
                  <c:v>0</c:v>
                </c:pt>
                <c:pt idx="126">
                  <c:v>-5350000000</c:v>
                </c:pt>
                <c:pt idx="127">
                  <c:v>4282500000</c:v>
                </c:pt>
                <c:pt idx="128">
                  <c:v>0</c:v>
                </c:pt>
                <c:pt idx="129">
                  <c:v>-14226250000</c:v>
                </c:pt>
                <c:pt idx="130">
                  <c:v>0</c:v>
                </c:pt>
                <c:pt idx="131">
                  <c:v>-4013750000</c:v>
                </c:pt>
                <c:pt idx="132">
                  <c:v>0</c:v>
                </c:pt>
                <c:pt idx="133">
                  <c:v>11585000000</c:v>
                </c:pt>
                <c:pt idx="134">
                  <c:v>0</c:v>
                </c:pt>
                <c:pt idx="135">
                  <c:v>-5235625000</c:v>
                </c:pt>
                <c:pt idx="136">
                  <c:v>0</c:v>
                </c:pt>
                <c:pt idx="137">
                  <c:v>-5233125000</c:v>
                </c:pt>
                <c:pt idx="138">
                  <c:v>0</c:v>
                </c:pt>
                <c:pt idx="139">
                  <c:v>-2500000000</c:v>
                </c:pt>
                <c:pt idx="140">
                  <c:v>0</c:v>
                </c:pt>
                <c:pt idx="141">
                  <c:v>-14906250000</c:v>
                </c:pt>
                <c:pt idx="142">
                  <c:v>0</c:v>
                </c:pt>
                <c:pt idx="143">
                  <c:v>-32062500000</c:v>
                </c:pt>
                <c:pt idx="144">
                  <c:v>-9750000000</c:v>
                </c:pt>
                <c:pt idx="145">
                  <c:v>-18750000000</c:v>
                </c:pt>
                <c:pt idx="146">
                  <c:v>-28600000000</c:v>
                </c:pt>
                <c:pt idx="147">
                  <c:v>-38625000000</c:v>
                </c:pt>
                <c:pt idx="148">
                  <c:v>-18300000000</c:v>
                </c:pt>
                <c:pt idx="149">
                  <c:v>0</c:v>
                </c:pt>
                <c:pt idx="150">
                  <c:v>-9435000000</c:v>
                </c:pt>
                <c:pt idx="151">
                  <c:v>0</c:v>
                </c:pt>
                <c:pt idx="152">
                  <c:v>-16750000000</c:v>
                </c:pt>
                <c:pt idx="153">
                  <c:v>0</c:v>
                </c:pt>
                <c:pt idx="154">
                  <c:v>-6281250000</c:v>
                </c:pt>
                <c:pt idx="155">
                  <c:v>-10625000000</c:v>
                </c:pt>
                <c:pt idx="156">
                  <c:v>-12500000000</c:v>
                </c:pt>
                <c:pt idx="157">
                  <c:v>0</c:v>
                </c:pt>
                <c:pt idx="158">
                  <c:v>10354623750</c:v>
                </c:pt>
                <c:pt idx="159">
                  <c:v>-9400000000</c:v>
                </c:pt>
                <c:pt idx="160">
                  <c:v>-4700000000</c:v>
                </c:pt>
                <c:pt idx="161">
                  <c:v>-9900000000</c:v>
                </c:pt>
                <c:pt idx="162">
                  <c:v>-3300000000</c:v>
                </c:pt>
                <c:pt idx="163">
                  <c:v>-4400000000</c:v>
                </c:pt>
                <c:pt idx="164">
                  <c:v>-2200000000</c:v>
                </c:pt>
                <c:pt idx="165">
                  <c:v>-2750000000</c:v>
                </c:pt>
                <c:pt idx="166">
                  <c:v>-3300000000</c:v>
                </c:pt>
                <c:pt idx="167">
                  <c:v>-3300000000</c:v>
                </c:pt>
                <c:pt idx="168">
                  <c:v>-2200000000</c:v>
                </c:pt>
                <c:pt idx="169">
                  <c:v>-3225000000</c:v>
                </c:pt>
                <c:pt idx="170">
                  <c:v>-2200000000</c:v>
                </c:pt>
                <c:pt idx="171">
                  <c:v>-3300000000</c:v>
                </c:pt>
                <c:pt idx="172">
                  <c:v>-1062500000</c:v>
                </c:pt>
                <c:pt idx="173">
                  <c:v>-4592500000</c:v>
                </c:pt>
                <c:pt idx="174">
                  <c:v>-2587500000</c:v>
                </c:pt>
                <c:pt idx="175">
                  <c:v>-4968750000</c:v>
                </c:pt>
                <c:pt idx="176">
                  <c:v>-22500000000</c:v>
                </c:pt>
                <c:pt idx="177">
                  <c:v>-8875000000</c:v>
                </c:pt>
                <c:pt idx="178">
                  <c:v>-7500000000</c:v>
                </c:pt>
                <c:pt idx="179">
                  <c:v>-5575000000</c:v>
                </c:pt>
                <c:pt idx="180">
                  <c:v>-8075000000</c:v>
                </c:pt>
                <c:pt idx="181">
                  <c:v>0</c:v>
                </c:pt>
                <c:pt idx="182">
                  <c:v>-1818750000</c:v>
                </c:pt>
                <c:pt idx="183">
                  <c:v>-519375000</c:v>
                </c:pt>
                <c:pt idx="184">
                  <c:v>0</c:v>
                </c:pt>
                <c:pt idx="185">
                  <c:v>-5406250000</c:v>
                </c:pt>
                <c:pt idx="186">
                  <c:v>-10085625000</c:v>
                </c:pt>
                <c:pt idx="187">
                  <c:v>-11312500000</c:v>
                </c:pt>
                <c:pt idx="188">
                  <c:v>-4210937500</c:v>
                </c:pt>
                <c:pt idx="189">
                  <c:v>-12225937500</c:v>
                </c:pt>
                <c:pt idx="190">
                  <c:v>-2550000000</c:v>
                </c:pt>
                <c:pt idx="191">
                  <c:v>-3583125000</c:v>
                </c:pt>
                <c:pt idx="192">
                  <c:v>-27133125000</c:v>
                </c:pt>
                <c:pt idx="193">
                  <c:v>-2062500000</c:v>
                </c:pt>
                <c:pt idx="194">
                  <c:v>-6118750000</c:v>
                </c:pt>
                <c:pt idx="195">
                  <c:v>-5027693750</c:v>
                </c:pt>
                <c:pt idx="196">
                  <c:v>-731250000</c:v>
                </c:pt>
                <c:pt idx="197">
                  <c:v>-2387500000</c:v>
                </c:pt>
                <c:pt idx="198">
                  <c:v>0</c:v>
                </c:pt>
                <c:pt idx="199">
                  <c:v>0</c:v>
                </c:pt>
                <c:pt idx="200">
                  <c:v>-2437500000</c:v>
                </c:pt>
                <c:pt idx="201">
                  <c:v>-5846250000</c:v>
                </c:pt>
                <c:pt idx="202">
                  <c:v>-16087237500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3400000000</c:v>
                </c:pt>
                <c:pt idx="209">
                  <c:v>14962500000</c:v>
                </c:pt>
                <c:pt idx="210">
                  <c:v>2837500000</c:v>
                </c:pt>
                <c:pt idx="211">
                  <c:v>23760000000</c:v>
                </c:pt>
                <c:pt idx="212">
                  <c:v>18240000000</c:v>
                </c:pt>
                <c:pt idx="213">
                  <c:v>24080000000</c:v>
                </c:pt>
                <c:pt idx="214">
                  <c:v>20320000000</c:v>
                </c:pt>
                <c:pt idx="215">
                  <c:v>10000000000</c:v>
                </c:pt>
                <c:pt idx="216">
                  <c:v>17280000000</c:v>
                </c:pt>
                <c:pt idx="217">
                  <c:v>10660000000</c:v>
                </c:pt>
                <c:pt idx="218">
                  <c:v>4687500000</c:v>
                </c:pt>
                <c:pt idx="219">
                  <c:v>2560000000</c:v>
                </c:pt>
                <c:pt idx="220">
                  <c:v>11150000000</c:v>
                </c:pt>
                <c:pt idx="221">
                  <c:v>12271500000</c:v>
                </c:pt>
                <c:pt idx="222">
                  <c:v>9375000000</c:v>
                </c:pt>
                <c:pt idx="223">
                  <c:v>901399826.24999976</c:v>
                </c:pt>
                <c:pt idx="224">
                  <c:v>1370165264.9999995</c:v>
                </c:pt>
                <c:pt idx="225">
                  <c:v>3108974189.999999</c:v>
                </c:pt>
                <c:pt idx="226">
                  <c:v>7125000000</c:v>
                </c:pt>
                <c:pt idx="227">
                  <c:v>8377500000</c:v>
                </c:pt>
                <c:pt idx="228">
                  <c:v>1697500000</c:v>
                </c:pt>
                <c:pt idx="229">
                  <c:v>37500000</c:v>
                </c:pt>
                <c:pt idx="230">
                  <c:v>12237939000</c:v>
                </c:pt>
                <c:pt idx="231">
                  <c:v>95453974000</c:v>
                </c:pt>
                <c:pt idx="232">
                  <c:v>46685240500</c:v>
                </c:pt>
                <c:pt idx="233">
                  <c:v>-154983800000</c:v>
                </c:pt>
                <c:pt idx="234">
                  <c:v>-1214193229750</c:v>
                </c:pt>
                <c:pt idx="235">
                  <c:v>0</c:v>
                </c:pt>
                <c:pt idx="236">
                  <c:v>40049047500</c:v>
                </c:pt>
                <c:pt idx="237">
                  <c:v>-18182689500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61-4395-B06B-21960751FF39}"/>
            </c:ext>
          </c:extLst>
        </c:ser>
        <c:ser>
          <c:idx val="3"/>
          <c:order val="3"/>
          <c:tx>
            <c:strRef>
              <c:f>HISTORICO!$M$5</c:f>
              <c:strCache>
                <c:ptCount val="1"/>
                <c:pt idx="0">
                  <c:v> CFN+IND 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HISTORICO!$D$100:$D$337</c:f>
              <c:strCache>
                <c:ptCount val="238"/>
                <c:pt idx="0">
                  <c:v>24-mar-23</c:v>
                </c:pt>
                <c:pt idx="1">
                  <c:v>27-mar-23</c:v>
                </c:pt>
                <c:pt idx="2">
                  <c:v>28-mar-23</c:v>
                </c:pt>
                <c:pt idx="3">
                  <c:v>29-mar-23</c:v>
                </c:pt>
                <c:pt idx="4">
                  <c:v>30-mar-23</c:v>
                </c:pt>
                <c:pt idx="5">
                  <c:v>31-mar-23</c:v>
                </c:pt>
                <c:pt idx="6">
                  <c:v>3-abr-23</c:v>
                </c:pt>
                <c:pt idx="7">
                  <c:v>4-abr-23</c:v>
                </c:pt>
                <c:pt idx="8">
                  <c:v>10-abr-23</c:v>
                </c:pt>
                <c:pt idx="9">
                  <c:v>11-abr-23</c:v>
                </c:pt>
                <c:pt idx="10">
                  <c:v>12-abr-23</c:v>
                </c:pt>
                <c:pt idx="11">
                  <c:v>14-abr-23</c:v>
                </c:pt>
                <c:pt idx="12">
                  <c:v>19-abr-23</c:v>
                </c:pt>
                <c:pt idx="13">
                  <c:v>20-abr-23</c:v>
                </c:pt>
                <c:pt idx="14">
                  <c:v>21-abr-23</c:v>
                </c:pt>
                <c:pt idx="15">
                  <c:v>3-may-23</c:v>
                </c:pt>
                <c:pt idx="16">
                  <c:v>10-may-23</c:v>
                </c:pt>
                <c:pt idx="17">
                  <c:v>17-may-23</c:v>
                </c:pt>
                <c:pt idx="18">
                  <c:v>31-may-23</c:v>
                </c:pt>
                <c:pt idx="19">
                  <c:v>28-jun-23</c:v>
                </c:pt>
                <c:pt idx="20">
                  <c:v>30-jun-23</c:v>
                </c:pt>
                <c:pt idx="21">
                  <c:v>24-jul-23</c:v>
                </c:pt>
                <c:pt idx="22">
                  <c:v>25-jul-23</c:v>
                </c:pt>
                <c:pt idx="23">
                  <c:v>26-jul-23</c:v>
                </c:pt>
                <c:pt idx="24">
                  <c:v>28-jul-23</c:v>
                </c:pt>
                <c:pt idx="25">
                  <c:v>15-ago-23</c:v>
                </c:pt>
                <c:pt idx="26">
                  <c:v>16-ago-23</c:v>
                </c:pt>
                <c:pt idx="27">
                  <c:v>17-ago-23</c:v>
                </c:pt>
                <c:pt idx="28">
                  <c:v>18-ago-23</c:v>
                </c:pt>
                <c:pt idx="29">
                  <c:v>22-ago-23</c:v>
                </c:pt>
                <c:pt idx="30">
                  <c:v>23-ago-23</c:v>
                </c:pt>
                <c:pt idx="31">
                  <c:v>24-ago-23</c:v>
                </c:pt>
                <c:pt idx="32">
                  <c:v>28-ago-23</c:v>
                </c:pt>
                <c:pt idx="33">
                  <c:v>29-ago-23</c:v>
                </c:pt>
                <c:pt idx="34">
                  <c:v>30-ago-23</c:v>
                </c:pt>
                <c:pt idx="35">
                  <c:v>31-ago-23</c:v>
                </c:pt>
                <c:pt idx="36">
                  <c:v>4-sep-23</c:v>
                </c:pt>
                <c:pt idx="37">
                  <c:v>5-sep-23</c:v>
                </c:pt>
                <c:pt idx="38">
                  <c:v>7-sep-23</c:v>
                </c:pt>
                <c:pt idx="39">
                  <c:v>11-sep-23</c:v>
                </c:pt>
                <c:pt idx="40">
                  <c:v>12-sep-23</c:v>
                </c:pt>
                <c:pt idx="41">
                  <c:v>13-sep-23</c:v>
                </c:pt>
                <c:pt idx="42">
                  <c:v>15-sep-23</c:v>
                </c:pt>
                <c:pt idx="43">
                  <c:v>19-sep-23</c:v>
                </c:pt>
                <c:pt idx="44">
                  <c:v>20-sep-23</c:v>
                </c:pt>
                <c:pt idx="45">
                  <c:v>21-sep-23</c:v>
                </c:pt>
                <c:pt idx="46">
                  <c:v>25-sep-23</c:v>
                </c:pt>
                <c:pt idx="47">
                  <c:v>26-sep-23</c:v>
                </c:pt>
                <c:pt idx="48">
                  <c:v>28-sep-23</c:v>
                </c:pt>
                <c:pt idx="49">
                  <c:v>2-oct-23</c:v>
                </c:pt>
                <c:pt idx="50">
                  <c:v>4-oct-23</c:v>
                </c:pt>
                <c:pt idx="51">
                  <c:v>18-oct-23</c:v>
                </c:pt>
                <c:pt idx="52">
                  <c:v>19-oct-23</c:v>
                </c:pt>
                <c:pt idx="53">
                  <c:v>20-oct-23</c:v>
                </c:pt>
                <c:pt idx="54">
                  <c:v>23-oct-23</c:v>
                </c:pt>
                <c:pt idx="55">
                  <c:v>25-oct-23</c:v>
                </c:pt>
                <c:pt idx="56">
                  <c:v>27-oct-23</c:v>
                </c:pt>
                <c:pt idx="57">
                  <c:v>30-oct-23</c:v>
                </c:pt>
                <c:pt idx="58">
                  <c:v>31-oct-23</c:v>
                </c:pt>
                <c:pt idx="59">
                  <c:v>1-nov-23</c:v>
                </c:pt>
                <c:pt idx="60">
                  <c:v>2-nov-23</c:v>
                </c:pt>
                <c:pt idx="61">
                  <c:v>3-nov-23</c:v>
                </c:pt>
                <c:pt idx="62">
                  <c:v>7-nov-23</c:v>
                </c:pt>
                <c:pt idx="63">
                  <c:v>9-nov-23</c:v>
                </c:pt>
                <c:pt idx="64">
                  <c:v>14-nov-23</c:v>
                </c:pt>
                <c:pt idx="65">
                  <c:v>15-nov-23</c:v>
                </c:pt>
                <c:pt idx="66">
                  <c:v>16-nov-23</c:v>
                </c:pt>
                <c:pt idx="67">
                  <c:v>22-nov-23</c:v>
                </c:pt>
                <c:pt idx="68">
                  <c:v>28-nov-23</c:v>
                </c:pt>
                <c:pt idx="69">
                  <c:v>29-nov-23</c:v>
                </c:pt>
                <c:pt idx="70">
                  <c:v>4-dic-23</c:v>
                </c:pt>
                <c:pt idx="71">
                  <c:v>5-dic-23</c:v>
                </c:pt>
                <c:pt idx="72">
                  <c:v>19-feb-24</c:v>
                </c:pt>
                <c:pt idx="73">
                  <c:v>19-feb-24</c:v>
                </c:pt>
                <c:pt idx="74">
                  <c:v>20-feb-24</c:v>
                </c:pt>
                <c:pt idx="75">
                  <c:v>20-feb-24</c:v>
                </c:pt>
                <c:pt idx="76">
                  <c:v>21-feb-24</c:v>
                </c:pt>
                <c:pt idx="77">
                  <c:v>21-feb-24</c:v>
                </c:pt>
                <c:pt idx="78">
                  <c:v>22-feb-24</c:v>
                </c:pt>
                <c:pt idx="79">
                  <c:v>23-feb-24</c:v>
                </c:pt>
                <c:pt idx="80">
                  <c:v>26-feb-24</c:v>
                </c:pt>
                <c:pt idx="81">
                  <c:v>26-feb-24</c:v>
                </c:pt>
                <c:pt idx="82">
                  <c:v>27-feb-24</c:v>
                </c:pt>
                <c:pt idx="83">
                  <c:v>27-feb-24</c:v>
                </c:pt>
                <c:pt idx="84">
                  <c:v>28-feb-24</c:v>
                </c:pt>
                <c:pt idx="85">
                  <c:v>28-feb-24</c:v>
                </c:pt>
                <c:pt idx="86">
                  <c:v>29-feb-24</c:v>
                </c:pt>
                <c:pt idx="87">
                  <c:v>29-feb-24</c:v>
                </c:pt>
                <c:pt idx="88">
                  <c:v>1-mar-24</c:v>
                </c:pt>
                <c:pt idx="89">
                  <c:v>1-mar-24</c:v>
                </c:pt>
                <c:pt idx="90">
                  <c:v>4-mar-24</c:v>
                </c:pt>
                <c:pt idx="91">
                  <c:v>4-mar-24</c:v>
                </c:pt>
                <c:pt idx="92">
                  <c:v>5-mar-24</c:v>
                </c:pt>
                <c:pt idx="93">
                  <c:v>5-mar-24</c:v>
                </c:pt>
                <c:pt idx="94">
                  <c:v>6-mar-24</c:v>
                </c:pt>
                <c:pt idx="95">
                  <c:v>6-mar-24</c:v>
                </c:pt>
                <c:pt idx="96">
                  <c:v>7-mar-24</c:v>
                </c:pt>
                <c:pt idx="97">
                  <c:v>7-mar-24</c:v>
                </c:pt>
                <c:pt idx="98">
                  <c:v>13-mar-24</c:v>
                </c:pt>
                <c:pt idx="99">
                  <c:v>13-mar-24</c:v>
                </c:pt>
                <c:pt idx="100">
                  <c:v>14-mar-24</c:v>
                </c:pt>
                <c:pt idx="101">
                  <c:v>14-mar-24</c:v>
                </c:pt>
                <c:pt idx="102">
                  <c:v>15-mar-24</c:v>
                </c:pt>
                <c:pt idx="103">
                  <c:v>15-mar-24</c:v>
                </c:pt>
                <c:pt idx="104">
                  <c:v>20-mar-24</c:v>
                </c:pt>
                <c:pt idx="105">
                  <c:v>20-mar-24</c:v>
                </c:pt>
                <c:pt idx="106">
                  <c:v>21-mar-24</c:v>
                </c:pt>
                <c:pt idx="107">
                  <c:v>21-mar-24</c:v>
                </c:pt>
                <c:pt idx="108">
                  <c:v>22-mar-24</c:v>
                </c:pt>
                <c:pt idx="109">
                  <c:v>22-mar-24</c:v>
                </c:pt>
                <c:pt idx="110">
                  <c:v>1-abr-24</c:v>
                </c:pt>
                <c:pt idx="111">
                  <c:v>1-abr-24</c:v>
                </c:pt>
                <c:pt idx="112">
                  <c:v>2-abr-24</c:v>
                </c:pt>
                <c:pt idx="113">
                  <c:v>2-abr-24</c:v>
                </c:pt>
                <c:pt idx="114">
                  <c:v>12-abr-24</c:v>
                </c:pt>
                <c:pt idx="115">
                  <c:v>29-abr-24</c:v>
                </c:pt>
                <c:pt idx="116">
                  <c:v>30-abr-24</c:v>
                </c:pt>
                <c:pt idx="117">
                  <c:v>2-may-24</c:v>
                </c:pt>
                <c:pt idx="118">
                  <c:v>3-may-24</c:v>
                </c:pt>
                <c:pt idx="119">
                  <c:v>6-may-24</c:v>
                </c:pt>
                <c:pt idx="120">
                  <c:v>6-may-24</c:v>
                </c:pt>
                <c:pt idx="121">
                  <c:v>7-may-24</c:v>
                </c:pt>
                <c:pt idx="122">
                  <c:v>7-may-24</c:v>
                </c:pt>
                <c:pt idx="123">
                  <c:v>9-may-24</c:v>
                </c:pt>
                <c:pt idx="124">
                  <c:v>9-may-24</c:v>
                </c:pt>
                <c:pt idx="125">
                  <c:v>15-may-24</c:v>
                </c:pt>
                <c:pt idx="126">
                  <c:v>15-may-24</c:v>
                </c:pt>
                <c:pt idx="127">
                  <c:v>16-may-24</c:v>
                </c:pt>
                <c:pt idx="128">
                  <c:v>16-may-24</c:v>
                </c:pt>
                <c:pt idx="129">
                  <c:v>17-may-24</c:v>
                </c:pt>
                <c:pt idx="130">
                  <c:v>17-may-24</c:v>
                </c:pt>
                <c:pt idx="131">
                  <c:v>20-may-24</c:v>
                </c:pt>
                <c:pt idx="132">
                  <c:v>20-may-24</c:v>
                </c:pt>
                <c:pt idx="133">
                  <c:v>21-may-24</c:v>
                </c:pt>
                <c:pt idx="134">
                  <c:v>21-may-24</c:v>
                </c:pt>
                <c:pt idx="135">
                  <c:v>22-may-24</c:v>
                </c:pt>
                <c:pt idx="136">
                  <c:v>22-may-24</c:v>
                </c:pt>
                <c:pt idx="137">
                  <c:v>23-may-24</c:v>
                </c:pt>
                <c:pt idx="138">
                  <c:v>23-may-24</c:v>
                </c:pt>
                <c:pt idx="139">
                  <c:v>28-may-24</c:v>
                </c:pt>
                <c:pt idx="140">
                  <c:v>28-may-24</c:v>
                </c:pt>
                <c:pt idx="141">
                  <c:v>29-may-24</c:v>
                </c:pt>
                <c:pt idx="142">
                  <c:v>29-may-24</c:v>
                </c:pt>
                <c:pt idx="143">
                  <c:v>30-may-24</c:v>
                </c:pt>
                <c:pt idx="144">
                  <c:v>31-may-24</c:v>
                </c:pt>
                <c:pt idx="145">
                  <c:v>4-jun-24</c:v>
                </c:pt>
                <c:pt idx="146">
                  <c:v>5-jun-24</c:v>
                </c:pt>
                <c:pt idx="147">
                  <c:v>6-jun-24</c:v>
                </c:pt>
                <c:pt idx="148">
                  <c:v>7-jun-24</c:v>
                </c:pt>
                <c:pt idx="149">
                  <c:v>7-jun-24</c:v>
                </c:pt>
                <c:pt idx="150">
                  <c:v>11-jun-24</c:v>
                </c:pt>
                <c:pt idx="151">
                  <c:v>11-jun-24</c:v>
                </c:pt>
                <c:pt idx="152">
                  <c:v>18-jun-24</c:v>
                </c:pt>
                <c:pt idx="153">
                  <c:v>18-jun-24</c:v>
                </c:pt>
                <c:pt idx="154">
                  <c:v>19-jun-24</c:v>
                </c:pt>
                <c:pt idx="155">
                  <c:v>26-jun-24</c:v>
                </c:pt>
                <c:pt idx="156">
                  <c:v>27-jun-24</c:v>
                </c:pt>
                <c:pt idx="157">
                  <c:v>27-jun-24</c:v>
                </c:pt>
                <c:pt idx="158">
                  <c:v>23-jul-24</c:v>
                </c:pt>
                <c:pt idx="159">
                  <c:v>9-ago-24</c:v>
                </c:pt>
                <c:pt idx="160">
                  <c:v>12-ago-24</c:v>
                </c:pt>
                <c:pt idx="161">
                  <c:v>13-ago-24</c:v>
                </c:pt>
                <c:pt idx="162">
                  <c:v>14-ago-24</c:v>
                </c:pt>
                <c:pt idx="163">
                  <c:v>15-ago-24</c:v>
                </c:pt>
                <c:pt idx="164">
                  <c:v>16-ago-24</c:v>
                </c:pt>
                <c:pt idx="165">
                  <c:v>20-ago-24</c:v>
                </c:pt>
                <c:pt idx="166">
                  <c:v>21-ago-24</c:v>
                </c:pt>
                <c:pt idx="167">
                  <c:v>22-ago-24</c:v>
                </c:pt>
                <c:pt idx="168">
                  <c:v>26-ago-24</c:v>
                </c:pt>
                <c:pt idx="169">
                  <c:v>27-ago-24</c:v>
                </c:pt>
                <c:pt idx="170">
                  <c:v>28-ago-24</c:v>
                </c:pt>
                <c:pt idx="171">
                  <c:v>29-ago-24</c:v>
                </c:pt>
                <c:pt idx="172">
                  <c:v>30-ago-24</c:v>
                </c:pt>
                <c:pt idx="173">
                  <c:v>2-sep-24</c:v>
                </c:pt>
                <c:pt idx="174">
                  <c:v>3-sep-24</c:v>
                </c:pt>
                <c:pt idx="175">
                  <c:v>4-sep-24</c:v>
                </c:pt>
                <c:pt idx="176">
                  <c:v>5-sep-24</c:v>
                </c:pt>
                <c:pt idx="177">
                  <c:v>6-sep-24</c:v>
                </c:pt>
                <c:pt idx="178">
                  <c:v>9-sep-24</c:v>
                </c:pt>
                <c:pt idx="179">
                  <c:v>10-sep-24</c:v>
                </c:pt>
                <c:pt idx="180">
                  <c:v>11-sep-24</c:v>
                </c:pt>
                <c:pt idx="181">
                  <c:v>12-sep-24</c:v>
                </c:pt>
                <c:pt idx="182">
                  <c:v>13-sep-24</c:v>
                </c:pt>
                <c:pt idx="183">
                  <c:v>16-sep-24</c:v>
                </c:pt>
                <c:pt idx="184">
                  <c:v>17-sep-24</c:v>
                </c:pt>
                <c:pt idx="185">
                  <c:v>19-sep-24</c:v>
                </c:pt>
                <c:pt idx="186">
                  <c:v>20-sep-24</c:v>
                </c:pt>
                <c:pt idx="187">
                  <c:v>24-sep-24</c:v>
                </c:pt>
                <c:pt idx="188">
                  <c:v>25-sep-24</c:v>
                </c:pt>
                <c:pt idx="189">
                  <c:v>4-oct-24</c:v>
                </c:pt>
                <c:pt idx="190">
                  <c:v>9-oct-24</c:v>
                </c:pt>
                <c:pt idx="191">
                  <c:v>10-oct-24</c:v>
                </c:pt>
                <c:pt idx="192">
                  <c:v>11-oct-24</c:v>
                </c:pt>
                <c:pt idx="193">
                  <c:v>15-oct-24</c:v>
                </c:pt>
                <c:pt idx="194">
                  <c:v>16-oct-24</c:v>
                </c:pt>
                <c:pt idx="195">
                  <c:v>17-oct-24</c:v>
                </c:pt>
                <c:pt idx="196">
                  <c:v>18-oct-24</c:v>
                </c:pt>
                <c:pt idx="197">
                  <c:v>8-nov-24</c:v>
                </c:pt>
                <c:pt idx="198">
                  <c:v>14-nov-24</c:v>
                </c:pt>
                <c:pt idx="199">
                  <c:v>15-nov-24</c:v>
                </c:pt>
                <c:pt idx="200">
                  <c:v>18-nov-24</c:v>
                </c:pt>
                <c:pt idx="201">
                  <c:v>19-nov-24</c:v>
                </c:pt>
                <c:pt idx="202">
                  <c:v>20-nov-24</c:v>
                </c:pt>
                <c:pt idx="203">
                  <c:v>22-nov-24</c:v>
                </c:pt>
                <c:pt idx="204">
                  <c:v>25-nov-24</c:v>
                </c:pt>
                <c:pt idx="205">
                  <c:v>26-nov-24</c:v>
                </c:pt>
                <c:pt idx="206">
                  <c:v>27-nov-24</c:v>
                </c:pt>
                <c:pt idx="207">
                  <c:v>29-nov-24</c:v>
                </c:pt>
                <c:pt idx="208">
                  <c:v>12-feb-25</c:v>
                </c:pt>
                <c:pt idx="209">
                  <c:v>13-feb-25</c:v>
                </c:pt>
                <c:pt idx="210">
                  <c:v>14-feb-25</c:v>
                </c:pt>
                <c:pt idx="211">
                  <c:v>18-feb-25</c:v>
                </c:pt>
                <c:pt idx="212">
                  <c:v>19-feb-25</c:v>
                </c:pt>
                <c:pt idx="213">
                  <c:v>20-feb-25</c:v>
                </c:pt>
                <c:pt idx="214">
                  <c:v>21-feb-25</c:v>
                </c:pt>
                <c:pt idx="215">
                  <c:v>24-feb-25</c:v>
                </c:pt>
                <c:pt idx="216">
                  <c:v>25-feb-25</c:v>
                </c:pt>
                <c:pt idx="217">
                  <c:v>27-feb-25</c:v>
                </c:pt>
                <c:pt idx="218">
                  <c:v>28-feb-25</c:v>
                </c:pt>
                <c:pt idx="219">
                  <c:v>3-mar-25</c:v>
                </c:pt>
                <c:pt idx="220">
                  <c:v>4-mar-25</c:v>
                </c:pt>
                <c:pt idx="221">
                  <c:v>5-mar-25</c:v>
                </c:pt>
                <c:pt idx="222">
                  <c:v>6-mar-25</c:v>
                </c:pt>
                <c:pt idx="223">
                  <c:v>7-mar-25</c:v>
                </c:pt>
                <c:pt idx="224">
                  <c:v>10-mar-25</c:v>
                </c:pt>
                <c:pt idx="225">
                  <c:v>11-mar-25</c:v>
                </c:pt>
                <c:pt idx="226">
                  <c:v>12-mar-25</c:v>
                </c:pt>
                <c:pt idx="227">
                  <c:v>13-mar-25</c:v>
                </c:pt>
                <c:pt idx="228">
                  <c:v>8-may-25</c:v>
                </c:pt>
                <c:pt idx="229">
                  <c:v>9-may-25</c:v>
                </c:pt>
                <c:pt idx="230">
                  <c:v>20-may-25</c:v>
                </c:pt>
                <c:pt idx="231">
                  <c:v>20-may-25</c:v>
                </c:pt>
                <c:pt idx="232">
                  <c:v>3-jun-25</c:v>
                </c:pt>
                <c:pt idx="233">
                  <c:v>13-jun-25</c:v>
                </c:pt>
                <c:pt idx="234">
                  <c:v>22-jul-25</c:v>
                </c:pt>
                <c:pt idx="235">
                  <c:v>25-jul-25</c:v>
                </c:pt>
                <c:pt idx="236">
                  <c:v>31-jul-25</c:v>
                </c:pt>
                <c:pt idx="237">
                  <c:v>12-ago-25</c:v>
                </c:pt>
              </c:strCache>
            </c:strRef>
          </c:cat>
          <c:val>
            <c:numRef>
              <c:f>HISTORICO!$M$100:$M$337</c:f>
              <c:numCache>
                <c:formatCode>#,##0_ ;[Red]\-#,##0\ </c:formatCode>
                <c:ptCount val="238"/>
                <c:pt idx="0">
                  <c:v>-17108340000</c:v>
                </c:pt>
                <c:pt idx="1">
                  <c:v>-16370250000</c:v>
                </c:pt>
                <c:pt idx="2">
                  <c:v>-21050080000</c:v>
                </c:pt>
                <c:pt idx="3">
                  <c:v>-24947865000</c:v>
                </c:pt>
                <c:pt idx="4">
                  <c:v>-42552550000</c:v>
                </c:pt>
                <c:pt idx="5">
                  <c:v>-21763920000</c:v>
                </c:pt>
                <c:pt idx="6">
                  <c:v>-14573650000</c:v>
                </c:pt>
                <c:pt idx="7">
                  <c:v>-20196280000</c:v>
                </c:pt>
                <c:pt idx="8">
                  <c:v>-14283249999.999969</c:v>
                </c:pt>
                <c:pt idx="9">
                  <c:v>-15346800000</c:v>
                </c:pt>
                <c:pt idx="10">
                  <c:v>-15318400000</c:v>
                </c:pt>
                <c:pt idx="11">
                  <c:v>61460100000</c:v>
                </c:pt>
                <c:pt idx="12">
                  <c:v>-7647400000.0000153</c:v>
                </c:pt>
                <c:pt idx="13">
                  <c:v>-41284940000</c:v>
                </c:pt>
                <c:pt idx="14">
                  <c:v>-8436750000</c:v>
                </c:pt>
                <c:pt idx="15">
                  <c:v>-12528570000.000027</c:v>
                </c:pt>
                <c:pt idx="16">
                  <c:v>-8921400000</c:v>
                </c:pt>
                <c:pt idx="17">
                  <c:v>-15096970000.000031</c:v>
                </c:pt>
                <c:pt idx="18">
                  <c:v>-21464250000</c:v>
                </c:pt>
                <c:pt idx="19">
                  <c:v>-25035000000.000061</c:v>
                </c:pt>
                <c:pt idx="20">
                  <c:v>-15282870000.000031</c:v>
                </c:pt>
                <c:pt idx="21">
                  <c:v>799219999.99999237</c:v>
                </c:pt>
                <c:pt idx="22">
                  <c:v>139199999.99999237</c:v>
                </c:pt>
                <c:pt idx="23">
                  <c:v>24090000.000030518</c:v>
                </c:pt>
                <c:pt idx="24">
                  <c:v>348950000.00003052</c:v>
                </c:pt>
                <c:pt idx="25">
                  <c:v>91423.999984741211</c:v>
                </c:pt>
                <c:pt idx="26">
                  <c:v>9349999.9999923706</c:v>
                </c:pt>
                <c:pt idx="27">
                  <c:v>31032</c:v>
                </c:pt>
                <c:pt idx="28">
                  <c:v>50384</c:v>
                </c:pt>
                <c:pt idx="29">
                  <c:v>24670000</c:v>
                </c:pt>
                <c:pt idx="30">
                  <c:v>156000000</c:v>
                </c:pt>
                <c:pt idx="31">
                  <c:v>152344999.99993896</c:v>
                </c:pt>
                <c:pt idx="32">
                  <c:v>13570000.000030518</c:v>
                </c:pt>
                <c:pt idx="33">
                  <c:v>12600000</c:v>
                </c:pt>
                <c:pt idx="34">
                  <c:v>41936.999984741211</c:v>
                </c:pt>
                <c:pt idx="35">
                  <c:v>17459999.999969482</c:v>
                </c:pt>
                <c:pt idx="36">
                  <c:v>14454999.999984741</c:v>
                </c:pt>
                <c:pt idx="37">
                  <c:v>300000.00001525879</c:v>
                </c:pt>
                <c:pt idx="38">
                  <c:v>5160000</c:v>
                </c:pt>
                <c:pt idx="39">
                  <c:v>19560000.000030518</c:v>
                </c:pt>
                <c:pt idx="40">
                  <c:v>100736.00001525879</c:v>
                </c:pt>
                <c:pt idx="41">
                  <c:v>23245000</c:v>
                </c:pt>
                <c:pt idx="42">
                  <c:v>3870000</c:v>
                </c:pt>
                <c:pt idx="43">
                  <c:v>258110000.00000763</c:v>
                </c:pt>
                <c:pt idx="44">
                  <c:v>347280000</c:v>
                </c:pt>
                <c:pt idx="45">
                  <c:v>34565000.000015259</c:v>
                </c:pt>
                <c:pt idx="46">
                  <c:v>22375000.000015259</c:v>
                </c:pt>
                <c:pt idx="47">
                  <c:v>32700000.000007629</c:v>
                </c:pt>
                <c:pt idx="48">
                  <c:v>4055000</c:v>
                </c:pt>
                <c:pt idx="49">
                  <c:v>6035000</c:v>
                </c:pt>
                <c:pt idx="50">
                  <c:v>49380000</c:v>
                </c:pt>
                <c:pt idx="51">
                  <c:v>11045000.000007629</c:v>
                </c:pt>
                <c:pt idx="52">
                  <c:v>58280000.000007629</c:v>
                </c:pt>
                <c:pt idx="53">
                  <c:v>51759999.999984741</c:v>
                </c:pt>
                <c:pt idx="54">
                  <c:v>76140000.000007629</c:v>
                </c:pt>
                <c:pt idx="55">
                  <c:v>1190000</c:v>
                </c:pt>
                <c:pt idx="56">
                  <c:v>57489999.999996185</c:v>
                </c:pt>
                <c:pt idx="57">
                  <c:v>107175000</c:v>
                </c:pt>
                <c:pt idx="58">
                  <c:v>1586035589.5500031</c:v>
                </c:pt>
                <c:pt idx="59">
                  <c:v>-537388096</c:v>
                </c:pt>
                <c:pt idx="60">
                  <c:v>-1858122781</c:v>
                </c:pt>
                <c:pt idx="61">
                  <c:v>-2630372249.9999924</c:v>
                </c:pt>
                <c:pt idx="62">
                  <c:v>-18999999.999969482</c:v>
                </c:pt>
                <c:pt idx="63">
                  <c:v>-259561496</c:v>
                </c:pt>
                <c:pt idx="64">
                  <c:v>-2160953068</c:v>
                </c:pt>
                <c:pt idx="65">
                  <c:v>-988312215</c:v>
                </c:pt>
                <c:pt idx="66">
                  <c:v>-4973652340.0000229</c:v>
                </c:pt>
                <c:pt idx="67">
                  <c:v>-2417073024.0000305</c:v>
                </c:pt>
                <c:pt idx="68">
                  <c:v>245835000</c:v>
                </c:pt>
                <c:pt idx="69">
                  <c:v>488200000</c:v>
                </c:pt>
                <c:pt idx="70">
                  <c:v>72329</c:v>
                </c:pt>
                <c:pt idx="71">
                  <c:v>352606630</c:v>
                </c:pt>
                <c:pt idx="72">
                  <c:v>-3060919999.9999924</c:v>
                </c:pt>
                <c:pt idx="73">
                  <c:v>1771467436.2000008</c:v>
                </c:pt>
                <c:pt idx="74">
                  <c:v>-9989340000</c:v>
                </c:pt>
                <c:pt idx="75">
                  <c:v>2356784817.9599991</c:v>
                </c:pt>
                <c:pt idx="76">
                  <c:v>-7399800000</c:v>
                </c:pt>
                <c:pt idx="77">
                  <c:v>1812867289.1999989</c:v>
                </c:pt>
                <c:pt idx="78">
                  <c:v>-8860692000.0000305</c:v>
                </c:pt>
                <c:pt idx="79">
                  <c:v>-2922119999.9999847</c:v>
                </c:pt>
                <c:pt idx="80">
                  <c:v>-5695970000</c:v>
                </c:pt>
                <c:pt idx="81">
                  <c:v>2777138256.800005</c:v>
                </c:pt>
                <c:pt idx="82">
                  <c:v>-7723348000</c:v>
                </c:pt>
                <c:pt idx="83">
                  <c:v>3454980536.4000015</c:v>
                </c:pt>
                <c:pt idx="84">
                  <c:v>-4156750000</c:v>
                </c:pt>
                <c:pt idx="85">
                  <c:v>2123418495.999999</c:v>
                </c:pt>
                <c:pt idx="86">
                  <c:v>-11043729000</c:v>
                </c:pt>
                <c:pt idx="87">
                  <c:v>6173392748.0400009</c:v>
                </c:pt>
                <c:pt idx="88">
                  <c:v>-11118230000</c:v>
                </c:pt>
                <c:pt idx="89">
                  <c:v>7763807121.8400192</c:v>
                </c:pt>
                <c:pt idx="90">
                  <c:v>-7620087999.9999847</c:v>
                </c:pt>
                <c:pt idx="91">
                  <c:v>5153748965.0399857</c:v>
                </c:pt>
                <c:pt idx="92">
                  <c:v>-13592250999.999985</c:v>
                </c:pt>
                <c:pt idx="93">
                  <c:v>8184106799.6600113</c:v>
                </c:pt>
                <c:pt idx="94">
                  <c:v>-14261150000</c:v>
                </c:pt>
                <c:pt idx="95">
                  <c:v>7733984790.5099945</c:v>
                </c:pt>
                <c:pt idx="96">
                  <c:v>-25931370000</c:v>
                </c:pt>
                <c:pt idx="97">
                  <c:v>18690119433.440014</c:v>
                </c:pt>
                <c:pt idx="98">
                  <c:v>-16932177000</c:v>
                </c:pt>
                <c:pt idx="99">
                  <c:v>9496021320.3599854</c:v>
                </c:pt>
                <c:pt idx="100">
                  <c:v>-17512738999.999969</c:v>
                </c:pt>
                <c:pt idx="101">
                  <c:v>12746286185.880001</c:v>
                </c:pt>
                <c:pt idx="102">
                  <c:v>-23731400000.000015</c:v>
                </c:pt>
                <c:pt idx="103">
                  <c:v>14590337945.280022</c:v>
                </c:pt>
                <c:pt idx="104">
                  <c:v>-12024658000</c:v>
                </c:pt>
                <c:pt idx="105">
                  <c:v>9494122193.6249905</c:v>
                </c:pt>
                <c:pt idx="106">
                  <c:v>-27328637499.999939</c:v>
                </c:pt>
                <c:pt idx="107">
                  <c:v>25173238732.77005</c:v>
                </c:pt>
                <c:pt idx="108">
                  <c:v>-28705100000</c:v>
                </c:pt>
                <c:pt idx="109">
                  <c:v>26497356431.460022</c:v>
                </c:pt>
                <c:pt idx="110">
                  <c:v>-20409252000</c:v>
                </c:pt>
                <c:pt idx="111">
                  <c:v>9811846212.0299854</c:v>
                </c:pt>
                <c:pt idx="112">
                  <c:v>-10880750000</c:v>
                </c:pt>
                <c:pt idx="113">
                  <c:v>11572866366.075012</c:v>
                </c:pt>
                <c:pt idx="114">
                  <c:v>8918680373.2800045</c:v>
                </c:pt>
                <c:pt idx="115">
                  <c:v>12283220000</c:v>
                </c:pt>
                <c:pt idx="116">
                  <c:v>25682720862.960022</c:v>
                </c:pt>
                <c:pt idx="117">
                  <c:v>14727791108.479996</c:v>
                </c:pt>
                <c:pt idx="118">
                  <c:v>28257992777.820007</c:v>
                </c:pt>
                <c:pt idx="119">
                  <c:v>27049749999.999969</c:v>
                </c:pt>
                <c:pt idx="120">
                  <c:v>6974893363.4999924</c:v>
                </c:pt>
                <c:pt idx="121">
                  <c:v>25362000000.000031</c:v>
                </c:pt>
                <c:pt idx="122">
                  <c:v>22076506604.75</c:v>
                </c:pt>
                <c:pt idx="123">
                  <c:v>20970000000</c:v>
                </c:pt>
                <c:pt idx="124">
                  <c:v>2730617023.9575043</c:v>
                </c:pt>
                <c:pt idx="125">
                  <c:v>19420354200.800003</c:v>
                </c:pt>
                <c:pt idx="126">
                  <c:v>7480700000</c:v>
                </c:pt>
                <c:pt idx="127">
                  <c:v>38849358000</c:v>
                </c:pt>
                <c:pt idx="128">
                  <c:v>5153485358.5600052</c:v>
                </c:pt>
                <c:pt idx="129">
                  <c:v>23892475000</c:v>
                </c:pt>
                <c:pt idx="130">
                  <c:v>6968278832.6999969</c:v>
                </c:pt>
                <c:pt idx="131">
                  <c:v>11778555000</c:v>
                </c:pt>
                <c:pt idx="132">
                  <c:v>9869393142.1800156</c:v>
                </c:pt>
                <c:pt idx="133">
                  <c:v>45626940000.000061</c:v>
                </c:pt>
                <c:pt idx="134">
                  <c:v>2162101047.0749989</c:v>
                </c:pt>
                <c:pt idx="135">
                  <c:v>23857875000</c:v>
                </c:pt>
                <c:pt idx="136">
                  <c:v>7210040509.5</c:v>
                </c:pt>
                <c:pt idx="137">
                  <c:v>15774870000</c:v>
                </c:pt>
                <c:pt idx="138">
                  <c:v>4800562711.1999969</c:v>
                </c:pt>
                <c:pt idx="139">
                  <c:v>2122000000</c:v>
                </c:pt>
                <c:pt idx="140">
                  <c:v>19671644762</c:v>
                </c:pt>
                <c:pt idx="141">
                  <c:v>20966445000</c:v>
                </c:pt>
                <c:pt idx="142">
                  <c:v>2391140967.25</c:v>
                </c:pt>
                <c:pt idx="143">
                  <c:v>47362000000</c:v>
                </c:pt>
                <c:pt idx="144">
                  <c:v>12131280000.000008</c:v>
                </c:pt>
                <c:pt idx="145">
                  <c:v>18807600000</c:v>
                </c:pt>
                <c:pt idx="146">
                  <c:v>31171710000</c:v>
                </c:pt>
                <c:pt idx="147">
                  <c:v>44484599999.999878</c:v>
                </c:pt>
                <c:pt idx="148">
                  <c:v>21160929999.999969</c:v>
                </c:pt>
                <c:pt idx="149">
                  <c:v>14079190425</c:v>
                </c:pt>
                <c:pt idx="150">
                  <c:v>13025418000</c:v>
                </c:pt>
                <c:pt idx="151">
                  <c:v>4892397827.6250076</c:v>
                </c:pt>
                <c:pt idx="152">
                  <c:v>17888990000.000031</c:v>
                </c:pt>
                <c:pt idx="153">
                  <c:v>5062744113.8999977</c:v>
                </c:pt>
                <c:pt idx="154">
                  <c:v>6938505000.0000172</c:v>
                </c:pt>
                <c:pt idx="155">
                  <c:v>11699200000</c:v>
                </c:pt>
                <c:pt idx="156">
                  <c:v>13834999999.999969</c:v>
                </c:pt>
                <c:pt idx="157">
                  <c:v>12249473644.800003</c:v>
                </c:pt>
                <c:pt idx="158">
                  <c:v>21255433998</c:v>
                </c:pt>
                <c:pt idx="159">
                  <c:v>-6147774088.4620361</c:v>
                </c:pt>
                <c:pt idx="160">
                  <c:v>-2993321935.7041779</c:v>
                </c:pt>
                <c:pt idx="161">
                  <c:v>-12684741236.188721</c:v>
                </c:pt>
                <c:pt idx="162">
                  <c:v>-5327408363.9179382</c:v>
                </c:pt>
                <c:pt idx="163">
                  <c:v>-7694101579.7489624</c:v>
                </c:pt>
                <c:pt idx="164">
                  <c:v>-3230565089.5643921</c:v>
                </c:pt>
                <c:pt idx="165">
                  <c:v>-4800927946.4343567</c:v>
                </c:pt>
                <c:pt idx="166">
                  <c:v>-5866318124.1524658</c:v>
                </c:pt>
                <c:pt idx="167">
                  <c:v>-4517729627.5965271</c:v>
                </c:pt>
                <c:pt idx="168">
                  <c:v>-3750331765.5061951</c:v>
                </c:pt>
                <c:pt idx="169">
                  <c:v>-6169278246.7404785</c:v>
                </c:pt>
                <c:pt idx="170">
                  <c:v>-3869863187.2567444</c:v>
                </c:pt>
                <c:pt idx="171">
                  <c:v>-5631728581.5177307</c:v>
                </c:pt>
                <c:pt idx="172">
                  <c:v>-2140750273.4087372</c:v>
                </c:pt>
                <c:pt idx="173">
                  <c:v>-8047605298.1315918</c:v>
                </c:pt>
                <c:pt idx="174">
                  <c:v>-3308564974.1638718</c:v>
                </c:pt>
                <c:pt idx="175">
                  <c:v>-4478837353.4607849</c:v>
                </c:pt>
                <c:pt idx="176">
                  <c:v>-17065899672.845795</c:v>
                </c:pt>
                <c:pt idx="177">
                  <c:v>-10734531368.051819</c:v>
                </c:pt>
                <c:pt idx="178">
                  <c:v>-10804681657.301147</c:v>
                </c:pt>
                <c:pt idx="179">
                  <c:v>-7141108154.1981201</c:v>
                </c:pt>
                <c:pt idx="180">
                  <c:v>-8908454734.8940125</c:v>
                </c:pt>
                <c:pt idx="181">
                  <c:v>-1134542645.1875076</c:v>
                </c:pt>
                <c:pt idx="182">
                  <c:v>-6665215500.3587341</c:v>
                </c:pt>
                <c:pt idx="183">
                  <c:v>-2114515731.2002258</c:v>
                </c:pt>
                <c:pt idx="184">
                  <c:v>-6680084353.9634399</c:v>
                </c:pt>
                <c:pt idx="185">
                  <c:v>-5632130561.9951172</c:v>
                </c:pt>
                <c:pt idx="186">
                  <c:v>-10100988863.490355</c:v>
                </c:pt>
                <c:pt idx="187">
                  <c:v>-11615946426.080048</c:v>
                </c:pt>
                <c:pt idx="188">
                  <c:v>-4362638744.0617447</c:v>
                </c:pt>
                <c:pt idx="189">
                  <c:v>-12853963835.203011</c:v>
                </c:pt>
                <c:pt idx="190">
                  <c:v>-3036049797.5679932</c:v>
                </c:pt>
                <c:pt idx="191">
                  <c:v>-3653336208.2307491</c:v>
                </c:pt>
                <c:pt idx="192">
                  <c:v>-27929657853.905396</c:v>
                </c:pt>
                <c:pt idx="193">
                  <c:v>-2313649022.1042023</c:v>
                </c:pt>
                <c:pt idx="194">
                  <c:v>-6235185629.5443039</c:v>
                </c:pt>
                <c:pt idx="195">
                  <c:v>-6349753101.6237183</c:v>
                </c:pt>
                <c:pt idx="196">
                  <c:v>-759403865.36556292</c:v>
                </c:pt>
                <c:pt idx="197">
                  <c:v>-3310063222.9397888</c:v>
                </c:pt>
                <c:pt idx="198">
                  <c:v>-3020179102.0760498</c:v>
                </c:pt>
                <c:pt idx="199">
                  <c:v>-34372530.933776855</c:v>
                </c:pt>
                <c:pt idx="200">
                  <c:v>-3795898361.1308899</c:v>
                </c:pt>
                <c:pt idx="201">
                  <c:v>-9999918865.0634766</c:v>
                </c:pt>
                <c:pt idx="202">
                  <c:v>-14548472463.027344</c:v>
                </c:pt>
                <c:pt idx="203">
                  <c:v>3256396412.7996368</c:v>
                </c:pt>
                <c:pt idx="204">
                  <c:v>200385522.49299622</c:v>
                </c:pt>
                <c:pt idx="205">
                  <c:v>-297920550.94064331</c:v>
                </c:pt>
                <c:pt idx="206">
                  <c:v>-1177453720.8540649</c:v>
                </c:pt>
                <c:pt idx="207">
                  <c:v>3156411966.951416</c:v>
                </c:pt>
                <c:pt idx="208">
                  <c:v>6106400000.0000153</c:v>
                </c:pt>
                <c:pt idx="209">
                  <c:v>34854550000</c:v>
                </c:pt>
                <c:pt idx="210">
                  <c:v>6557850000</c:v>
                </c:pt>
                <c:pt idx="211">
                  <c:v>47900160000</c:v>
                </c:pt>
                <c:pt idx="212">
                  <c:v>36420720000</c:v>
                </c:pt>
                <c:pt idx="213">
                  <c:v>45553340000</c:v>
                </c:pt>
                <c:pt idx="214">
                  <c:v>36448999999.999939</c:v>
                </c:pt>
                <c:pt idx="215">
                  <c:v>16010000000.000031</c:v>
                </c:pt>
                <c:pt idx="216">
                  <c:v>27246240000</c:v>
                </c:pt>
                <c:pt idx="217">
                  <c:v>17487730000</c:v>
                </c:pt>
                <c:pt idx="218">
                  <c:v>5526100000</c:v>
                </c:pt>
                <c:pt idx="219">
                  <c:v>3660160000.0000076</c:v>
                </c:pt>
                <c:pt idx="220">
                  <c:v>11276217999.999969</c:v>
                </c:pt>
                <c:pt idx="221">
                  <c:v>12299785200</c:v>
                </c:pt>
                <c:pt idx="222">
                  <c:v>11511800000</c:v>
                </c:pt>
                <c:pt idx="223">
                  <c:v>1339737684.61499</c:v>
                </c:pt>
                <c:pt idx="224">
                  <c:v>2499181443.3600154</c:v>
                </c:pt>
                <c:pt idx="225">
                  <c:v>5812893456.95996</c:v>
                </c:pt>
                <c:pt idx="226">
                  <c:v>8727600000</c:v>
                </c:pt>
                <c:pt idx="227">
                  <c:v>10786490000</c:v>
                </c:pt>
                <c:pt idx="228">
                  <c:v>1961234999.9999695</c:v>
                </c:pt>
                <c:pt idx="229">
                  <c:v>574404999.99999809</c:v>
                </c:pt>
                <c:pt idx="230">
                  <c:v>12237985151.999939</c:v>
                </c:pt>
                <c:pt idx="231">
                  <c:v>95457793837.992188</c:v>
                </c:pt>
                <c:pt idx="232">
                  <c:v>65644612279.997681</c:v>
                </c:pt>
                <c:pt idx="233">
                  <c:v>129887473336.00049</c:v>
                </c:pt>
                <c:pt idx="234">
                  <c:v>-1214193154113</c:v>
                </c:pt>
                <c:pt idx="235">
                  <c:v>-12167642721.442383</c:v>
                </c:pt>
                <c:pt idx="236">
                  <c:v>40049061372</c:v>
                </c:pt>
                <c:pt idx="237">
                  <c:v>-18182640064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3961-4395-B06B-21960751FF39}"/>
            </c:ext>
          </c:extLst>
        </c:ser>
        <c:ser>
          <c:idx val="5"/>
          <c:order val="5"/>
          <c:tx>
            <c:strRef>
              <c:f>HISTORICO!$N$5</c:f>
              <c:strCache>
                <c:ptCount val="1"/>
                <c:pt idx="0">
                  <c:v> Saldo de la deuda (Eje izquierdo)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HISTORICO!$D$100:$D$337</c:f>
              <c:strCache>
                <c:ptCount val="238"/>
                <c:pt idx="0">
                  <c:v>24-mar-23</c:v>
                </c:pt>
                <c:pt idx="1">
                  <c:v>27-mar-23</c:v>
                </c:pt>
                <c:pt idx="2">
                  <c:v>28-mar-23</c:v>
                </c:pt>
                <c:pt idx="3">
                  <c:v>29-mar-23</c:v>
                </c:pt>
                <c:pt idx="4">
                  <c:v>30-mar-23</c:v>
                </c:pt>
                <c:pt idx="5">
                  <c:v>31-mar-23</c:v>
                </c:pt>
                <c:pt idx="6">
                  <c:v>3-abr-23</c:v>
                </c:pt>
                <c:pt idx="7">
                  <c:v>4-abr-23</c:v>
                </c:pt>
                <c:pt idx="8">
                  <c:v>10-abr-23</c:v>
                </c:pt>
                <c:pt idx="9">
                  <c:v>11-abr-23</c:v>
                </c:pt>
                <c:pt idx="10">
                  <c:v>12-abr-23</c:v>
                </c:pt>
                <c:pt idx="11">
                  <c:v>14-abr-23</c:v>
                </c:pt>
                <c:pt idx="12">
                  <c:v>19-abr-23</c:v>
                </c:pt>
                <c:pt idx="13">
                  <c:v>20-abr-23</c:v>
                </c:pt>
                <c:pt idx="14">
                  <c:v>21-abr-23</c:v>
                </c:pt>
                <c:pt idx="15">
                  <c:v>3-may-23</c:v>
                </c:pt>
                <c:pt idx="16">
                  <c:v>10-may-23</c:v>
                </c:pt>
                <c:pt idx="17">
                  <c:v>17-may-23</c:v>
                </c:pt>
                <c:pt idx="18">
                  <c:v>31-may-23</c:v>
                </c:pt>
                <c:pt idx="19">
                  <c:v>28-jun-23</c:v>
                </c:pt>
                <c:pt idx="20">
                  <c:v>30-jun-23</c:v>
                </c:pt>
                <c:pt idx="21">
                  <c:v>24-jul-23</c:v>
                </c:pt>
                <c:pt idx="22">
                  <c:v>25-jul-23</c:v>
                </c:pt>
                <c:pt idx="23">
                  <c:v>26-jul-23</c:v>
                </c:pt>
                <c:pt idx="24">
                  <c:v>28-jul-23</c:v>
                </c:pt>
                <c:pt idx="25">
                  <c:v>15-ago-23</c:v>
                </c:pt>
                <c:pt idx="26">
                  <c:v>16-ago-23</c:v>
                </c:pt>
                <c:pt idx="27">
                  <c:v>17-ago-23</c:v>
                </c:pt>
                <c:pt idx="28">
                  <c:v>18-ago-23</c:v>
                </c:pt>
                <c:pt idx="29">
                  <c:v>22-ago-23</c:v>
                </c:pt>
                <c:pt idx="30">
                  <c:v>23-ago-23</c:v>
                </c:pt>
                <c:pt idx="31">
                  <c:v>24-ago-23</c:v>
                </c:pt>
                <c:pt idx="32">
                  <c:v>28-ago-23</c:v>
                </c:pt>
                <c:pt idx="33">
                  <c:v>29-ago-23</c:v>
                </c:pt>
                <c:pt idx="34">
                  <c:v>30-ago-23</c:v>
                </c:pt>
                <c:pt idx="35">
                  <c:v>31-ago-23</c:v>
                </c:pt>
                <c:pt idx="36">
                  <c:v>4-sep-23</c:v>
                </c:pt>
                <c:pt idx="37">
                  <c:v>5-sep-23</c:v>
                </c:pt>
                <c:pt idx="38">
                  <c:v>7-sep-23</c:v>
                </c:pt>
                <c:pt idx="39">
                  <c:v>11-sep-23</c:v>
                </c:pt>
                <c:pt idx="40">
                  <c:v>12-sep-23</c:v>
                </c:pt>
                <c:pt idx="41">
                  <c:v>13-sep-23</c:v>
                </c:pt>
                <c:pt idx="42">
                  <c:v>15-sep-23</c:v>
                </c:pt>
                <c:pt idx="43">
                  <c:v>19-sep-23</c:v>
                </c:pt>
                <c:pt idx="44">
                  <c:v>20-sep-23</c:v>
                </c:pt>
                <c:pt idx="45">
                  <c:v>21-sep-23</c:v>
                </c:pt>
                <c:pt idx="46">
                  <c:v>25-sep-23</c:v>
                </c:pt>
                <c:pt idx="47">
                  <c:v>26-sep-23</c:v>
                </c:pt>
                <c:pt idx="48">
                  <c:v>28-sep-23</c:v>
                </c:pt>
                <c:pt idx="49">
                  <c:v>2-oct-23</c:v>
                </c:pt>
                <c:pt idx="50">
                  <c:v>4-oct-23</c:v>
                </c:pt>
                <c:pt idx="51">
                  <c:v>18-oct-23</c:v>
                </c:pt>
                <c:pt idx="52">
                  <c:v>19-oct-23</c:v>
                </c:pt>
                <c:pt idx="53">
                  <c:v>20-oct-23</c:v>
                </c:pt>
                <c:pt idx="54">
                  <c:v>23-oct-23</c:v>
                </c:pt>
                <c:pt idx="55">
                  <c:v>25-oct-23</c:v>
                </c:pt>
                <c:pt idx="56">
                  <c:v>27-oct-23</c:v>
                </c:pt>
                <c:pt idx="57">
                  <c:v>30-oct-23</c:v>
                </c:pt>
                <c:pt idx="58">
                  <c:v>31-oct-23</c:v>
                </c:pt>
                <c:pt idx="59">
                  <c:v>1-nov-23</c:v>
                </c:pt>
                <c:pt idx="60">
                  <c:v>2-nov-23</c:v>
                </c:pt>
                <c:pt idx="61">
                  <c:v>3-nov-23</c:v>
                </c:pt>
                <c:pt idx="62">
                  <c:v>7-nov-23</c:v>
                </c:pt>
                <c:pt idx="63">
                  <c:v>9-nov-23</c:v>
                </c:pt>
                <c:pt idx="64">
                  <c:v>14-nov-23</c:v>
                </c:pt>
                <c:pt idx="65">
                  <c:v>15-nov-23</c:v>
                </c:pt>
                <c:pt idx="66">
                  <c:v>16-nov-23</c:v>
                </c:pt>
                <c:pt idx="67">
                  <c:v>22-nov-23</c:v>
                </c:pt>
                <c:pt idx="68">
                  <c:v>28-nov-23</c:v>
                </c:pt>
                <c:pt idx="69">
                  <c:v>29-nov-23</c:v>
                </c:pt>
                <c:pt idx="70">
                  <c:v>4-dic-23</c:v>
                </c:pt>
                <c:pt idx="71">
                  <c:v>5-dic-23</c:v>
                </c:pt>
                <c:pt idx="72">
                  <c:v>19-feb-24</c:v>
                </c:pt>
                <c:pt idx="73">
                  <c:v>19-feb-24</c:v>
                </c:pt>
                <c:pt idx="74">
                  <c:v>20-feb-24</c:v>
                </c:pt>
                <c:pt idx="75">
                  <c:v>20-feb-24</c:v>
                </c:pt>
                <c:pt idx="76">
                  <c:v>21-feb-24</c:v>
                </c:pt>
                <c:pt idx="77">
                  <c:v>21-feb-24</c:v>
                </c:pt>
                <c:pt idx="78">
                  <c:v>22-feb-24</c:v>
                </c:pt>
                <c:pt idx="79">
                  <c:v>23-feb-24</c:v>
                </c:pt>
                <c:pt idx="80">
                  <c:v>26-feb-24</c:v>
                </c:pt>
                <c:pt idx="81">
                  <c:v>26-feb-24</c:v>
                </c:pt>
                <c:pt idx="82">
                  <c:v>27-feb-24</c:v>
                </c:pt>
                <c:pt idx="83">
                  <c:v>27-feb-24</c:v>
                </c:pt>
                <c:pt idx="84">
                  <c:v>28-feb-24</c:v>
                </c:pt>
                <c:pt idx="85">
                  <c:v>28-feb-24</c:v>
                </c:pt>
                <c:pt idx="86">
                  <c:v>29-feb-24</c:v>
                </c:pt>
                <c:pt idx="87">
                  <c:v>29-feb-24</c:v>
                </c:pt>
                <c:pt idx="88">
                  <c:v>1-mar-24</c:v>
                </c:pt>
                <c:pt idx="89">
                  <c:v>1-mar-24</c:v>
                </c:pt>
                <c:pt idx="90">
                  <c:v>4-mar-24</c:v>
                </c:pt>
                <c:pt idx="91">
                  <c:v>4-mar-24</c:v>
                </c:pt>
                <c:pt idx="92">
                  <c:v>5-mar-24</c:v>
                </c:pt>
                <c:pt idx="93">
                  <c:v>5-mar-24</c:v>
                </c:pt>
                <c:pt idx="94">
                  <c:v>6-mar-24</c:v>
                </c:pt>
                <c:pt idx="95">
                  <c:v>6-mar-24</c:v>
                </c:pt>
                <c:pt idx="96">
                  <c:v>7-mar-24</c:v>
                </c:pt>
                <c:pt idx="97">
                  <c:v>7-mar-24</c:v>
                </c:pt>
                <c:pt idx="98">
                  <c:v>13-mar-24</c:v>
                </c:pt>
                <c:pt idx="99">
                  <c:v>13-mar-24</c:v>
                </c:pt>
                <c:pt idx="100">
                  <c:v>14-mar-24</c:v>
                </c:pt>
                <c:pt idx="101">
                  <c:v>14-mar-24</c:v>
                </c:pt>
                <c:pt idx="102">
                  <c:v>15-mar-24</c:v>
                </c:pt>
                <c:pt idx="103">
                  <c:v>15-mar-24</c:v>
                </c:pt>
                <c:pt idx="104">
                  <c:v>20-mar-24</c:v>
                </c:pt>
                <c:pt idx="105">
                  <c:v>20-mar-24</c:v>
                </c:pt>
                <c:pt idx="106">
                  <c:v>21-mar-24</c:v>
                </c:pt>
                <c:pt idx="107">
                  <c:v>21-mar-24</c:v>
                </c:pt>
                <c:pt idx="108">
                  <c:v>22-mar-24</c:v>
                </c:pt>
                <c:pt idx="109">
                  <c:v>22-mar-24</c:v>
                </c:pt>
                <c:pt idx="110">
                  <c:v>1-abr-24</c:v>
                </c:pt>
                <c:pt idx="111">
                  <c:v>1-abr-24</c:v>
                </c:pt>
                <c:pt idx="112">
                  <c:v>2-abr-24</c:v>
                </c:pt>
                <c:pt idx="113">
                  <c:v>2-abr-24</c:v>
                </c:pt>
                <c:pt idx="114">
                  <c:v>12-abr-24</c:v>
                </c:pt>
                <c:pt idx="115">
                  <c:v>29-abr-24</c:v>
                </c:pt>
                <c:pt idx="116">
                  <c:v>30-abr-24</c:v>
                </c:pt>
                <c:pt idx="117">
                  <c:v>2-may-24</c:v>
                </c:pt>
                <c:pt idx="118">
                  <c:v>3-may-24</c:v>
                </c:pt>
                <c:pt idx="119">
                  <c:v>6-may-24</c:v>
                </c:pt>
                <c:pt idx="120">
                  <c:v>6-may-24</c:v>
                </c:pt>
                <c:pt idx="121">
                  <c:v>7-may-24</c:v>
                </c:pt>
                <c:pt idx="122">
                  <c:v>7-may-24</c:v>
                </c:pt>
                <c:pt idx="123">
                  <c:v>9-may-24</c:v>
                </c:pt>
                <c:pt idx="124">
                  <c:v>9-may-24</c:v>
                </c:pt>
                <c:pt idx="125">
                  <c:v>15-may-24</c:v>
                </c:pt>
                <c:pt idx="126">
                  <c:v>15-may-24</c:v>
                </c:pt>
                <c:pt idx="127">
                  <c:v>16-may-24</c:v>
                </c:pt>
                <c:pt idx="128">
                  <c:v>16-may-24</c:v>
                </c:pt>
                <c:pt idx="129">
                  <c:v>17-may-24</c:v>
                </c:pt>
                <c:pt idx="130">
                  <c:v>17-may-24</c:v>
                </c:pt>
                <c:pt idx="131">
                  <c:v>20-may-24</c:v>
                </c:pt>
                <c:pt idx="132">
                  <c:v>20-may-24</c:v>
                </c:pt>
                <c:pt idx="133">
                  <c:v>21-may-24</c:v>
                </c:pt>
                <c:pt idx="134">
                  <c:v>21-may-24</c:v>
                </c:pt>
                <c:pt idx="135">
                  <c:v>22-may-24</c:v>
                </c:pt>
                <c:pt idx="136">
                  <c:v>22-may-24</c:v>
                </c:pt>
                <c:pt idx="137">
                  <c:v>23-may-24</c:v>
                </c:pt>
                <c:pt idx="138">
                  <c:v>23-may-24</c:v>
                </c:pt>
                <c:pt idx="139">
                  <c:v>28-may-24</c:v>
                </c:pt>
                <c:pt idx="140">
                  <c:v>28-may-24</c:v>
                </c:pt>
                <c:pt idx="141">
                  <c:v>29-may-24</c:v>
                </c:pt>
                <c:pt idx="142">
                  <c:v>29-may-24</c:v>
                </c:pt>
                <c:pt idx="143">
                  <c:v>30-may-24</c:v>
                </c:pt>
                <c:pt idx="144">
                  <c:v>31-may-24</c:v>
                </c:pt>
                <c:pt idx="145">
                  <c:v>4-jun-24</c:v>
                </c:pt>
                <c:pt idx="146">
                  <c:v>5-jun-24</c:v>
                </c:pt>
                <c:pt idx="147">
                  <c:v>6-jun-24</c:v>
                </c:pt>
                <c:pt idx="148">
                  <c:v>7-jun-24</c:v>
                </c:pt>
                <c:pt idx="149">
                  <c:v>7-jun-24</c:v>
                </c:pt>
                <c:pt idx="150">
                  <c:v>11-jun-24</c:v>
                </c:pt>
                <c:pt idx="151">
                  <c:v>11-jun-24</c:v>
                </c:pt>
                <c:pt idx="152">
                  <c:v>18-jun-24</c:v>
                </c:pt>
                <c:pt idx="153">
                  <c:v>18-jun-24</c:v>
                </c:pt>
                <c:pt idx="154">
                  <c:v>19-jun-24</c:v>
                </c:pt>
                <c:pt idx="155">
                  <c:v>26-jun-24</c:v>
                </c:pt>
                <c:pt idx="156">
                  <c:v>27-jun-24</c:v>
                </c:pt>
                <c:pt idx="157">
                  <c:v>27-jun-24</c:v>
                </c:pt>
                <c:pt idx="158">
                  <c:v>23-jul-24</c:v>
                </c:pt>
                <c:pt idx="159">
                  <c:v>9-ago-24</c:v>
                </c:pt>
                <c:pt idx="160">
                  <c:v>12-ago-24</c:v>
                </c:pt>
                <c:pt idx="161">
                  <c:v>13-ago-24</c:v>
                </c:pt>
                <c:pt idx="162">
                  <c:v>14-ago-24</c:v>
                </c:pt>
                <c:pt idx="163">
                  <c:v>15-ago-24</c:v>
                </c:pt>
                <c:pt idx="164">
                  <c:v>16-ago-24</c:v>
                </c:pt>
                <c:pt idx="165">
                  <c:v>20-ago-24</c:v>
                </c:pt>
                <c:pt idx="166">
                  <c:v>21-ago-24</c:v>
                </c:pt>
                <c:pt idx="167">
                  <c:v>22-ago-24</c:v>
                </c:pt>
                <c:pt idx="168">
                  <c:v>26-ago-24</c:v>
                </c:pt>
                <c:pt idx="169">
                  <c:v>27-ago-24</c:v>
                </c:pt>
                <c:pt idx="170">
                  <c:v>28-ago-24</c:v>
                </c:pt>
                <c:pt idx="171">
                  <c:v>29-ago-24</c:v>
                </c:pt>
                <c:pt idx="172">
                  <c:v>30-ago-24</c:v>
                </c:pt>
                <c:pt idx="173">
                  <c:v>2-sep-24</c:v>
                </c:pt>
                <c:pt idx="174">
                  <c:v>3-sep-24</c:v>
                </c:pt>
                <c:pt idx="175">
                  <c:v>4-sep-24</c:v>
                </c:pt>
                <c:pt idx="176">
                  <c:v>5-sep-24</c:v>
                </c:pt>
                <c:pt idx="177">
                  <c:v>6-sep-24</c:v>
                </c:pt>
                <c:pt idx="178">
                  <c:v>9-sep-24</c:v>
                </c:pt>
                <c:pt idx="179">
                  <c:v>10-sep-24</c:v>
                </c:pt>
                <c:pt idx="180">
                  <c:v>11-sep-24</c:v>
                </c:pt>
                <c:pt idx="181">
                  <c:v>12-sep-24</c:v>
                </c:pt>
                <c:pt idx="182">
                  <c:v>13-sep-24</c:v>
                </c:pt>
                <c:pt idx="183">
                  <c:v>16-sep-24</c:v>
                </c:pt>
                <c:pt idx="184">
                  <c:v>17-sep-24</c:v>
                </c:pt>
                <c:pt idx="185">
                  <c:v>19-sep-24</c:v>
                </c:pt>
                <c:pt idx="186">
                  <c:v>20-sep-24</c:v>
                </c:pt>
                <c:pt idx="187">
                  <c:v>24-sep-24</c:v>
                </c:pt>
                <c:pt idx="188">
                  <c:v>25-sep-24</c:v>
                </c:pt>
                <c:pt idx="189">
                  <c:v>4-oct-24</c:v>
                </c:pt>
                <c:pt idx="190">
                  <c:v>9-oct-24</c:v>
                </c:pt>
                <c:pt idx="191">
                  <c:v>10-oct-24</c:v>
                </c:pt>
                <c:pt idx="192">
                  <c:v>11-oct-24</c:v>
                </c:pt>
                <c:pt idx="193">
                  <c:v>15-oct-24</c:v>
                </c:pt>
                <c:pt idx="194">
                  <c:v>16-oct-24</c:v>
                </c:pt>
                <c:pt idx="195">
                  <c:v>17-oct-24</c:v>
                </c:pt>
                <c:pt idx="196">
                  <c:v>18-oct-24</c:v>
                </c:pt>
                <c:pt idx="197">
                  <c:v>8-nov-24</c:v>
                </c:pt>
                <c:pt idx="198">
                  <c:v>14-nov-24</c:v>
                </c:pt>
                <c:pt idx="199">
                  <c:v>15-nov-24</c:v>
                </c:pt>
                <c:pt idx="200">
                  <c:v>18-nov-24</c:v>
                </c:pt>
                <c:pt idx="201">
                  <c:v>19-nov-24</c:v>
                </c:pt>
                <c:pt idx="202">
                  <c:v>20-nov-24</c:v>
                </c:pt>
                <c:pt idx="203">
                  <c:v>22-nov-24</c:v>
                </c:pt>
                <c:pt idx="204">
                  <c:v>25-nov-24</c:v>
                </c:pt>
                <c:pt idx="205">
                  <c:v>26-nov-24</c:v>
                </c:pt>
                <c:pt idx="206">
                  <c:v>27-nov-24</c:v>
                </c:pt>
                <c:pt idx="207">
                  <c:v>29-nov-24</c:v>
                </c:pt>
                <c:pt idx="208">
                  <c:v>12-feb-25</c:v>
                </c:pt>
                <c:pt idx="209">
                  <c:v>13-feb-25</c:v>
                </c:pt>
                <c:pt idx="210">
                  <c:v>14-feb-25</c:v>
                </c:pt>
                <c:pt idx="211">
                  <c:v>18-feb-25</c:v>
                </c:pt>
                <c:pt idx="212">
                  <c:v>19-feb-25</c:v>
                </c:pt>
                <c:pt idx="213">
                  <c:v>20-feb-25</c:v>
                </c:pt>
                <c:pt idx="214">
                  <c:v>21-feb-25</c:v>
                </c:pt>
                <c:pt idx="215">
                  <c:v>24-feb-25</c:v>
                </c:pt>
                <c:pt idx="216">
                  <c:v>25-feb-25</c:v>
                </c:pt>
                <c:pt idx="217">
                  <c:v>27-feb-25</c:v>
                </c:pt>
                <c:pt idx="218">
                  <c:v>28-feb-25</c:v>
                </c:pt>
                <c:pt idx="219">
                  <c:v>3-mar-25</c:v>
                </c:pt>
                <c:pt idx="220">
                  <c:v>4-mar-25</c:v>
                </c:pt>
                <c:pt idx="221">
                  <c:v>5-mar-25</c:v>
                </c:pt>
                <c:pt idx="222">
                  <c:v>6-mar-25</c:v>
                </c:pt>
                <c:pt idx="223">
                  <c:v>7-mar-25</c:v>
                </c:pt>
                <c:pt idx="224">
                  <c:v>10-mar-25</c:v>
                </c:pt>
                <c:pt idx="225">
                  <c:v>11-mar-25</c:v>
                </c:pt>
                <c:pt idx="226">
                  <c:v>12-mar-25</c:v>
                </c:pt>
                <c:pt idx="227">
                  <c:v>13-mar-25</c:v>
                </c:pt>
                <c:pt idx="228">
                  <c:v>8-may-25</c:v>
                </c:pt>
                <c:pt idx="229">
                  <c:v>9-may-25</c:v>
                </c:pt>
                <c:pt idx="230">
                  <c:v>20-may-25</c:v>
                </c:pt>
                <c:pt idx="231">
                  <c:v>20-may-25</c:v>
                </c:pt>
                <c:pt idx="232">
                  <c:v>3-jun-25</c:v>
                </c:pt>
                <c:pt idx="233">
                  <c:v>13-jun-25</c:v>
                </c:pt>
                <c:pt idx="234">
                  <c:v>22-jul-25</c:v>
                </c:pt>
                <c:pt idx="235">
                  <c:v>25-jul-25</c:v>
                </c:pt>
                <c:pt idx="236">
                  <c:v>31-jul-25</c:v>
                </c:pt>
                <c:pt idx="237">
                  <c:v>12-ago-25</c:v>
                </c:pt>
              </c:strCache>
            </c:strRef>
          </c:cat>
          <c:val>
            <c:numRef>
              <c:f>HISTORICO!$N$100:$N$112</c:f>
              <c:numCache>
                <c:formatCode>#,##0_ ;[Red]\-#,##0\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61-4395-B06B-21960751FF39}"/>
            </c:ext>
          </c:extLst>
        </c:ser>
        <c:ser>
          <c:idx val="2"/>
          <c:order val="2"/>
          <c:tx>
            <c:strRef>
              <c:f>HISTORICO!$L$5</c:f>
              <c:strCache>
                <c:ptCount val="1"/>
                <c:pt idx="0">
                  <c:v> Indexaciones (Eje Izquierdo)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HISTORICO!$D$100:$D$337</c:f>
              <c:strCache>
                <c:ptCount val="238"/>
                <c:pt idx="0">
                  <c:v>24-mar-23</c:v>
                </c:pt>
                <c:pt idx="1">
                  <c:v>27-mar-23</c:v>
                </c:pt>
                <c:pt idx="2">
                  <c:v>28-mar-23</c:v>
                </c:pt>
                <c:pt idx="3">
                  <c:v>29-mar-23</c:v>
                </c:pt>
                <c:pt idx="4">
                  <c:v>30-mar-23</c:v>
                </c:pt>
                <c:pt idx="5">
                  <c:v>31-mar-23</c:v>
                </c:pt>
                <c:pt idx="6">
                  <c:v>3-abr-23</c:v>
                </c:pt>
                <c:pt idx="7">
                  <c:v>4-abr-23</c:v>
                </c:pt>
                <c:pt idx="8">
                  <c:v>10-abr-23</c:v>
                </c:pt>
                <c:pt idx="9">
                  <c:v>11-abr-23</c:v>
                </c:pt>
                <c:pt idx="10">
                  <c:v>12-abr-23</c:v>
                </c:pt>
                <c:pt idx="11">
                  <c:v>14-abr-23</c:v>
                </c:pt>
                <c:pt idx="12">
                  <c:v>19-abr-23</c:v>
                </c:pt>
                <c:pt idx="13">
                  <c:v>20-abr-23</c:v>
                </c:pt>
                <c:pt idx="14">
                  <c:v>21-abr-23</c:v>
                </c:pt>
                <c:pt idx="15">
                  <c:v>3-may-23</c:v>
                </c:pt>
                <c:pt idx="16">
                  <c:v>10-may-23</c:v>
                </c:pt>
                <c:pt idx="17">
                  <c:v>17-may-23</c:v>
                </c:pt>
                <c:pt idx="18">
                  <c:v>31-may-23</c:v>
                </c:pt>
                <c:pt idx="19">
                  <c:v>28-jun-23</c:v>
                </c:pt>
                <c:pt idx="20">
                  <c:v>30-jun-23</c:v>
                </c:pt>
                <c:pt idx="21">
                  <c:v>24-jul-23</c:v>
                </c:pt>
                <c:pt idx="22">
                  <c:v>25-jul-23</c:v>
                </c:pt>
                <c:pt idx="23">
                  <c:v>26-jul-23</c:v>
                </c:pt>
                <c:pt idx="24">
                  <c:v>28-jul-23</c:v>
                </c:pt>
                <c:pt idx="25">
                  <c:v>15-ago-23</c:v>
                </c:pt>
                <c:pt idx="26">
                  <c:v>16-ago-23</c:v>
                </c:pt>
                <c:pt idx="27">
                  <c:v>17-ago-23</c:v>
                </c:pt>
                <c:pt idx="28">
                  <c:v>18-ago-23</c:v>
                </c:pt>
                <c:pt idx="29">
                  <c:v>22-ago-23</c:v>
                </c:pt>
                <c:pt idx="30">
                  <c:v>23-ago-23</c:v>
                </c:pt>
                <c:pt idx="31">
                  <c:v>24-ago-23</c:v>
                </c:pt>
                <c:pt idx="32">
                  <c:v>28-ago-23</c:v>
                </c:pt>
                <c:pt idx="33">
                  <c:v>29-ago-23</c:v>
                </c:pt>
                <c:pt idx="34">
                  <c:v>30-ago-23</c:v>
                </c:pt>
                <c:pt idx="35">
                  <c:v>31-ago-23</c:v>
                </c:pt>
                <c:pt idx="36">
                  <c:v>4-sep-23</c:v>
                </c:pt>
                <c:pt idx="37">
                  <c:v>5-sep-23</c:v>
                </c:pt>
                <c:pt idx="38">
                  <c:v>7-sep-23</c:v>
                </c:pt>
                <c:pt idx="39">
                  <c:v>11-sep-23</c:v>
                </c:pt>
                <c:pt idx="40">
                  <c:v>12-sep-23</c:v>
                </c:pt>
                <c:pt idx="41">
                  <c:v>13-sep-23</c:v>
                </c:pt>
                <c:pt idx="42">
                  <c:v>15-sep-23</c:v>
                </c:pt>
                <c:pt idx="43">
                  <c:v>19-sep-23</c:v>
                </c:pt>
                <c:pt idx="44">
                  <c:v>20-sep-23</c:v>
                </c:pt>
                <c:pt idx="45">
                  <c:v>21-sep-23</c:v>
                </c:pt>
                <c:pt idx="46">
                  <c:v>25-sep-23</c:v>
                </c:pt>
                <c:pt idx="47">
                  <c:v>26-sep-23</c:v>
                </c:pt>
                <c:pt idx="48">
                  <c:v>28-sep-23</c:v>
                </c:pt>
                <c:pt idx="49">
                  <c:v>2-oct-23</c:v>
                </c:pt>
                <c:pt idx="50">
                  <c:v>4-oct-23</c:v>
                </c:pt>
                <c:pt idx="51">
                  <c:v>18-oct-23</c:v>
                </c:pt>
                <c:pt idx="52">
                  <c:v>19-oct-23</c:v>
                </c:pt>
                <c:pt idx="53">
                  <c:v>20-oct-23</c:v>
                </c:pt>
                <c:pt idx="54">
                  <c:v>23-oct-23</c:v>
                </c:pt>
                <c:pt idx="55">
                  <c:v>25-oct-23</c:v>
                </c:pt>
                <c:pt idx="56">
                  <c:v>27-oct-23</c:v>
                </c:pt>
                <c:pt idx="57">
                  <c:v>30-oct-23</c:v>
                </c:pt>
                <c:pt idx="58">
                  <c:v>31-oct-23</c:v>
                </c:pt>
                <c:pt idx="59">
                  <c:v>1-nov-23</c:v>
                </c:pt>
                <c:pt idx="60">
                  <c:v>2-nov-23</c:v>
                </c:pt>
                <c:pt idx="61">
                  <c:v>3-nov-23</c:v>
                </c:pt>
                <c:pt idx="62">
                  <c:v>7-nov-23</c:v>
                </c:pt>
                <c:pt idx="63">
                  <c:v>9-nov-23</c:v>
                </c:pt>
                <c:pt idx="64">
                  <c:v>14-nov-23</c:v>
                </c:pt>
                <c:pt idx="65">
                  <c:v>15-nov-23</c:v>
                </c:pt>
                <c:pt idx="66">
                  <c:v>16-nov-23</c:v>
                </c:pt>
                <c:pt idx="67">
                  <c:v>22-nov-23</c:v>
                </c:pt>
                <c:pt idx="68">
                  <c:v>28-nov-23</c:v>
                </c:pt>
                <c:pt idx="69">
                  <c:v>29-nov-23</c:v>
                </c:pt>
                <c:pt idx="70">
                  <c:v>4-dic-23</c:v>
                </c:pt>
                <c:pt idx="71">
                  <c:v>5-dic-23</c:v>
                </c:pt>
                <c:pt idx="72">
                  <c:v>19-feb-24</c:v>
                </c:pt>
                <c:pt idx="73">
                  <c:v>19-feb-24</c:v>
                </c:pt>
                <c:pt idx="74">
                  <c:v>20-feb-24</c:v>
                </c:pt>
                <c:pt idx="75">
                  <c:v>20-feb-24</c:v>
                </c:pt>
                <c:pt idx="76">
                  <c:v>21-feb-24</c:v>
                </c:pt>
                <c:pt idx="77">
                  <c:v>21-feb-24</c:v>
                </c:pt>
                <c:pt idx="78">
                  <c:v>22-feb-24</c:v>
                </c:pt>
                <c:pt idx="79">
                  <c:v>23-feb-24</c:v>
                </c:pt>
                <c:pt idx="80">
                  <c:v>26-feb-24</c:v>
                </c:pt>
                <c:pt idx="81">
                  <c:v>26-feb-24</c:v>
                </c:pt>
                <c:pt idx="82">
                  <c:v>27-feb-24</c:v>
                </c:pt>
                <c:pt idx="83">
                  <c:v>27-feb-24</c:v>
                </c:pt>
                <c:pt idx="84">
                  <c:v>28-feb-24</c:v>
                </c:pt>
                <c:pt idx="85">
                  <c:v>28-feb-24</c:v>
                </c:pt>
                <c:pt idx="86">
                  <c:v>29-feb-24</c:v>
                </c:pt>
                <c:pt idx="87">
                  <c:v>29-feb-24</c:v>
                </c:pt>
                <c:pt idx="88">
                  <c:v>1-mar-24</c:v>
                </c:pt>
                <c:pt idx="89">
                  <c:v>1-mar-24</c:v>
                </c:pt>
                <c:pt idx="90">
                  <c:v>4-mar-24</c:v>
                </c:pt>
                <c:pt idx="91">
                  <c:v>4-mar-24</c:v>
                </c:pt>
                <c:pt idx="92">
                  <c:v>5-mar-24</c:v>
                </c:pt>
                <c:pt idx="93">
                  <c:v>5-mar-24</c:v>
                </c:pt>
                <c:pt idx="94">
                  <c:v>6-mar-24</c:v>
                </c:pt>
                <c:pt idx="95">
                  <c:v>6-mar-24</c:v>
                </c:pt>
                <c:pt idx="96">
                  <c:v>7-mar-24</c:v>
                </c:pt>
                <c:pt idx="97">
                  <c:v>7-mar-24</c:v>
                </c:pt>
                <c:pt idx="98">
                  <c:v>13-mar-24</c:v>
                </c:pt>
                <c:pt idx="99">
                  <c:v>13-mar-24</c:v>
                </c:pt>
                <c:pt idx="100">
                  <c:v>14-mar-24</c:v>
                </c:pt>
                <c:pt idx="101">
                  <c:v>14-mar-24</c:v>
                </c:pt>
                <c:pt idx="102">
                  <c:v>15-mar-24</c:v>
                </c:pt>
                <c:pt idx="103">
                  <c:v>15-mar-24</c:v>
                </c:pt>
                <c:pt idx="104">
                  <c:v>20-mar-24</c:v>
                </c:pt>
                <c:pt idx="105">
                  <c:v>20-mar-24</c:v>
                </c:pt>
                <c:pt idx="106">
                  <c:v>21-mar-24</c:v>
                </c:pt>
                <c:pt idx="107">
                  <c:v>21-mar-24</c:v>
                </c:pt>
                <c:pt idx="108">
                  <c:v>22-mar-24</c:v>
                </c:pt>
                <c:pt idx="109">
                  <c:v>22-mar-24</c:v>
                </c:pt>
                <c:pt idx="110">
                  <c:v>1-abr-24</c:v>
                </c:pt>
                <c:pt idx="111">
                  <c:v>1-abr-24</c:v>
                </c:pt>
                <c:pt idx="112">
                  <c:v>2-abr-24</c:v>
                </c:pt>
                <c:pt idx="113">
                  <c:v>2-abr-24</c:v>
                </c:pt>
                <c:pt idx="114">
                  <c:v>12-abr-24</c:v>
                </c:pt>
                <c:pt idx="115">
                  <c:v>29-abr-24</c:v>
                </c:pt>
                <c:pt idx="116">
                  <c:v>30-abr-24</c:v>
                </c:pt>
                <c:pt idx="117">
                  <c:v>2-may-24</c:v>
                </c:pt>
                <c:pt idx="118">
                  <c:v>3-may-24</c:v>
                </c:pt>
                <c:pt idx="119">
                  <c:v>6-may-24</c:v>
                </c:pt>
                <c:pt idx="120">
                  <c:v>6-may-24</c:v>
                </c:pt>
                <c:pt idx="121">
                  <c:v>7-may-24</c:v>
                </c:pt>
                <c:pt idx="122">
                  <c:v>7-may-24</c:v>
                </c:pt>
                <c:pt idx="123">
                  <c:v>9-may-24</c:v>
                </c:pt>
                <c:pt idx="124">
                  <c:v>9-may-24</c:v>
                </c:pt>
                <c:pt idx="125">
                  <c:v>15-may-24</c:v>
                </c:pt>
                <c:pt idx="126">
                  <c:v>15-may-24</c:v>
                </c:pt>
                <c:pt idx="127">
                  <c:v>16-may-24</c:v>
                </c:pt>
                <c:pt idx="128">
                  <c:v>16-may-24</c:v>
                </c:pt>
                <c:pt idx="129">
                  <c:v>17-may-24</c:v>
                </c:pt>
                <c:pt idx="130">
                  <c:v>17-may-24</c:v>
                </c:pt>
                <c:pt idx="131">
                  <c:v>20-may-24</c:v>
                </c:pt>
                <c:pt idx="132">
                  <c:v>20-may-24</c:v>
                </c:pt>
                <c:pt idx="133">
                  <c:v>21-may-24</c:v>
                </c:pt>
                <c:pt idx="134">
                  <c:v>21-may-24</c:v>
                </c:pt>
                <c:pt idx="135">
                  <c:v>22-may-24</c:v>
                </c:pt>
                <c:pt idx="136">
                  <c:v>22-may-24</c:v>
                </c:pt>
                <c:pt idx="137">
                  <c:v>23-may-24</c:v>
                </c:pt>
                <c:pt idx="138">
                  <c:v>23-may-24</c:v>
                </c:pt>
                <c:pt idx="139">
                  <c:v>28-may-24</c:v>
                </c:pt>
                <c:pt idx="140">
                  <c:v>28-may-24</c:v>
                </c:pt>
                <c:pt idx="141">
                  <c:v>29-may-24</c:v>
                </c:pt>
                <c:pt idx="142">
                  <c:v>29-may-24</c:v>
                </c:pt>
                <c:pt idx="143">
                  <c:v>30-may-24</c:v>
                </c:pt>
                <c:pt idx="144">
                  <c:v>31-may-24</c:v>
                </c:pt>
                <c:pt idx="145">
                  <c:v>4-jun-24</c:v>
                </c:pt>
                <c:pt idx="146">
                  <c:v>5-jun-24</c:v>
                </c:pt>
                <c:pt idx="147">
                  <c:v>6-jun-24</c:v>
                </c:pt>
                <c:pt idx="148">
                  <c:v>7-jun-24</c:v>
                </c:pt>
                <c:pt idx="149">
                  <c:v>7-jun-24</c:v>
                </c:pt>
                <c:pt idx="150">
                  <c:v>11-jun-24</c:v>
                </c:pt>
                <c:pt idx="151">
                  <c:v>11-jun-24</c:v>
                </c:pt>
                <c:pt idx="152">
                  <c:v>18-jun-24</c:v>
                </c:pt>
                <c:pt idx="153">
                  <c:v>18-jun-24</c:v>
                </c:pt>
                <c:pt idx="154">
                  <c:v>19-jun-24</c:v>
                </c:pt>
                <c:pt idx="155">
                  <c:v>26-jun-24</c:v>
                </c:pt>
                <c:pt idx="156">
                  <c:v>27-jun-24</c:v>
                </c:pt>
                <c:pt idx="157">
                  <c:v>27-jun-24</c:v>
                </c:pt>
                <c:pt idx="158">
                  <c:v>23-jul-24</c:v>
                </c:pt>
                <c:pt idx="159">
                  <c:v>9-ago-24</c:v>
                </c:pt>
                <c:pt idx="160">
                  <c:v>12-ago-24</c:v>
                </c:pt>
                <c:pt idx="161">
                  <c:v>13-ago-24</c:v>
                </c:pt>
                <c:pt idx="162">
                  <c:v>14-ago-24</c:v>
                </c:pt>
                <c:pt idx="163">
                  <c:v>15-ago-24</c:v>
                </c:pt>
                <c:pt idx="164">
                  <c:v>16-ago-24</c:v>
                </c:pt>
                <c:pt idx="165">
                  <c:v>20-ago-24</c:v>
                </c:pt>
                <c:pt idx="166">
                  <c:v>21-ago-24</c:v>
                </c:pt>
                <c:pt idx="167">
                  <c:v>22-ago-24</c:v>
                </c:pt>
                <c:pt idx="168">
                  <c:v>26-ago-24</c:v>
                </c:pt>
                <c:pt idx="169">
                  <c:v>27-ago-24</c:v>
                </c:pt>
                <c:pt idx="170">
                  <c:v>28-ago-24</c:v>
                </c:pt>
                <c:pt idx="171">
                  <c:v>29-ago-24</c:v>
                </c:pt>
                <c:pt idx="172">
                  <c:v>30-ago-24</c:v>
                </c:pt>
                <c:pt idx="173">
                  <c:v>2-sep-24</c:v>
                </c:pt>
                <c:pt idx="174">
                  <c:v>3-sep-24</c:v>
                </c:pt>
                <c:pt idx="175">
                  <c:v>4-sep-24</c:v>
                </c:pt>
                <c:pt idx="176">
                  <c:v>5-sep-24</c:v>
                </c:pt>
                <c:pt idx="177">
                  <c:v>6-sep-24</c:v>
                </c:pt>
                <c:pt idx="178">
                  <c:v>9-sep-24</c:v>
                </c:pt>
                <c:pt idx="179">
                  <c:v>10-sep-24</c:v>
                </c:pt>
                <c:pt idx="180">
                  <c:v>11-sep-24</c:v>
                </c:pt>
                <c:pt idx="181">
                  <c:v>12-sep-24</c:v>
                </c:pt>
                <c:pt idx="182">
                  <c:v>13-sep-24</c:v>
                </c:pt>
                <c:pt idx="183">
                  <c:v>16-sep-24</c:v>
                </c:pt>
                <c:pt idx="184">
                  <c:v>17-sep-24</c:v>
                </c:pt>
                <c:pt idx="185">
                  <c:v>19-sep-24</c:v>
                </c:pt>
                <c:pt idx="186">
                  <c:v>20-sep-24</c:v>
                </c:pt>
                <c:pt idx="187">
                  <c:v>24-sep-24</c:v>
                </c:pt>
                <c:pt idx="188">
                  <c:v>25-sep-24</c:v>
                </c:pt>
                <c:pt idx="189">
                  <c:v>4-oct-24</c:v>
                </c:pt>
                <c:pt idx="190">
                  <c:v>9-oct-24</c:v>
                </c:pt>
                <c:pt idx="191">
                  <c:v>10-oct-24</c:v>
                </c:pt>
                <c:pt idx="192">
                  <c:v>11-oct-24</c:v>
                </c:pt>
                <c:pt idx="193">
                  <c:v>15-oct-24</c:v>
                </c:pt>
                <c:pt idx="194">
                  <c:v>16-oct-24</c:v>
                </c:pt>
                <c:pt idx="195">
                  <c:v>17-oct-24</c:v>
                </c:pt>
                <c:pt idx="196">
                  <c:v>18-oct-24</c:v>
                </c:pt>
                <c:pt idx="197">
                  <c:v>8-nov-24</c:v>
                </c:pt>
                <c:pt idx="198">
                  <c:v>14-nov-24</c:v>
                </c:pt>
                <c:pt idx="199">
                  <c:v>15-nov-24</c:v>
                </c:pt>
                <c:pt idx="200">
                  <c:v>18-nov-24</c:v>
                </c:pt>
                <c:pt idx="201">
                  <c:v>19-nov-24</c:v>
                </c:pt>
                <c:pt idx="202">
                  <c:v>20-nov-24</c:v>
                </c:pt>
                <c:pt idx="203">
                  <c:v>22-nov-24</c:v>
                </c:pt>
                <c:pt idx="204">
                  <c:v>25-nov-24</c:v>
                </c:pt>
                <c:pt idx="205">
                  <c:v>26-nov-24</c:v>
                </c:pt>
                <c:pt idx="206">
                  <c:v>27-nov-24</c:v>
                </c:pt>
                <c:pt idx="207">
                  <c:v>29-nov-24</c:v>
                </c:pt>
                <c:pt idx="208">
                  <c:v>12-feb-25</c:v>
                </c:pt>
                <c:pt idx="209">
                  <c:v>13-feb-25</c:v>
                </c:pt>
                <c:pt idx="210">
                  <c:v>14-feb-25</c:v>
                </c:pt>
                <c:pt idx="211">
                  <c:v>18-feb-25</c:v>
                </c:pt>
                <c:pt idx="212">
                  <c:v>19-feb-25</c:v>
                </c:pt>
                <c:pt idx="213">
                  <c:v>20-feb-25</c:v>
                </c:pt>
                <c:pt idx="214">
                  <c:v>21-feb-25</c:v>
                </c:pt>
                <c:pt idx="215">
                  <c:v>24-feb-25</c:v>
                </c:pt>
                <c:pt idx="216">
                  <c:v>25-feb-25</c:v>
                </c:pt>
                <c:pt idx="217">
                  <c:v>27-feb-25</c:v>
                </c:pt>
                <c:pt idx="218">
                  <c:v>28-feb-25</c:v>
                </c:pt>
                <c:pt idx="219">
                  <c:v>3-mar-25</c:v>
                </c:pt>
                <c:pt idx="220">
                  <c:v>4-mar-25</c:v>
                </c:pt>
                <c:pt idx="221">
                  <c:v>5-mar-25</c:v>
                </c:pt>
                <c:pt idx="222">
                  <c:v>6-mar-25</c:v>
                </c:pt>
                <c:pt idx="223">
                  <c:v>7-mar-25</c:v>
                </c:pt>
                <c:pt idx="224">
                  <c:v>10-mar-25</c:v>
                </c:pt>
                <c:pt idx="225">
                  <c:v>11-mar-25</c:v>
                </c:pt>
                <c:pt idx="226">
                  <c:v>12-mar-25</c:v>
                </c:pt>
                <c:pt idx="227">
                  <c:v>13-mar-25</c:v>
                </c:pt>
                <c:pt idx="228">
                  <c:v>8-may-25</c:v>
                </c:pt>
                <c:pt idx="229">
                  <c:v>9-may-25</c:v>
                </c:pt>
                <c:pt idx="230">
                  <c:v>20-may-25</c:v>
                </c:pt>
                <c:pt idx="231">
                  <c:v>20-may-25</c:v>
                </c:pt>
                <c:pt idx="232">
                  <c:v>3-jun-25</c:v>
                </c:pt>
                <c:pt idx="233">
                  <c:v>13-jun-25</c:v>
                </c:pt>
                <c:pt idx="234">
                  <c:v>22-jul-25</c:v>
                </c:pt>
                <c:pt idx="235">
                  <c:v>25-jul-25</c:v>
                </c:pt>
                <c:pt idx="236">
                  <c:v>31-jul-25</c:v>
                </c:pt>
                <c:pt idx="237">
                  <c:v>12-ago-25</c:v>
                </c:pt>
              </c:strCache>
            </c:strRef>
          </c:cat>
          <c:val>
            <c:numRef>
              <c:f>HISTORICO!$L$100:$L$112</c:f>
              <c:numCache>
                <c:formatCode>#,##0_ ;[Red]\-#,##0\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61-4395-B06B-21960751F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2023712"/>
        <c:axId val="2112008736"/>
        <c:extLst/>
      </c:barChart>
      <c:lineChart>
        <c:grouping val="standard"/>
        <c:varyColors val="0"/>
        <c:ser>
          <c:idx val="4"/>
          <c:order val="4"/>
          <c:tx>
            <c:strRef>
              <c:f>HISTORICO!$Q$5</c:f>
              <c:strCache>
                <c:ptCount val="1"/>
                <c:pt idx="0">
                  <c:v>CFN+INX/mc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HISTORICO!$D$100:$D$337</c:f>
              <c:strCache>
                <c:ptCount val="238"/>
                <c:pt idx="0">
                  <c:v>24-mar-23</c:v>
                </c:pt>
                <c:pt idx="1">
                  <c:v>27-mar-23</c:v>
                </c:pt>
                <c:pt idx="2">
                  <c:v>28-mar-23</c:v>
                </c:pt>
                <c:pt idx="3">
                  <c:v>29-mar-23</c:v>
                </c:pt>
                <c:pt idx="4">
                  <c:v>30-mar-23</c:v>
                </c:pt>
                <c:pt idx="5">
                  <c:v>31-mar-23</c:v>
                </c:pt>
                <c:pt idx="6">
                  <c:v>3-abr-23</c:v>
                </c:pt>
                <c:pt idx="7">
                  <c:v>4-abr-23</c:v>
                </c:pt>
                <c:pt idx="8">
                  <c:v>10-abr-23</c:v>
                </c:pt>
                <c:pt idx="9">
                  <c:v>11-abr-23</c:v>
                </c:pt>
                <c:pt idx="10">
                  <c:v>12-abr-23</c:v>
                </c:pt>
                <c:pt idx="11">
                  <c:v>14-abr-23</c:v>
                </c:pt>
                <c:pt idx="12">
                  <c:v>19-abr-23</c:v>
                </c:pt>
                <c:pt idx="13">
                  <c:v>20-abr-23</c:v>
                </c:pt>
                <c:pt idx="14">
                  <c:v>21-abr-23</c:v>
                </c:pt>
                <c:pt idx="15">
                  <c:v>3-may-23</c:v>
                </c:pt>
                <c:pt idx="16">
                  <c:v>10-may-23</c:v>
                </c:pt>
                <c:pt idx="17">
                  <c:v>17-may-23</c:v>
                </c:pt>
                <c:pt idx="18">
                  <c:v>31-may-23</c:v>
                </c:pt>
                <c:pt idx="19">
                  <c:v>28-jun-23</c:v>
                </c:pt>
                <c:pt idx="20">
                  <c:v>30-jun-23</c:v>
                </c:pt>
                <c:pt idx="21">
                  <c:v>24-jul-23</c:v>
                </c:pt>
                <c:pt idx="22">
                  <c:v>25-jul-23</c:v>
                </c:pt>
                <c:pt idx="23">
                  <c:v>26-jul-23</c:v>
                </c:pt>
                <c:pt idx="24">
                  <c:v>28-jul-23</c:v>
                </c:pt>
                <c:pt idx="25">
                  <c:v>15-ago-23</c:v>
                </c:pt>
                <c:pt idx="26">
                  <c:v>16-ago-23</c:v>
                </c:pt>
                <c:pt idx="27">
                  <c:v>17-ago-23</c:v>
                </c:pt>
                <c:pt idx="28">
                  <c:v>18-ago-23</c:v>
                </c:pt>
                <c:pt idx="29">
                  <c:v>22-ago-23</c:v>
                </c:pt>
                <c:pt idx="30">
                  <c:v>23-ago-23</c:v>
                </c:pt>
                <c:pt idx="31">
                  <c:v>24-ago-23</c:v>
                </c:pt>
                <c:pt idx="32">
                  <c:v>28-ago-23</c:v>
                </c:pt>
                <c:pt idx="33">
                  <c:v>29-ago-23</c:v>
                </c:pt>
                <c:pt idx="34">
                  <c:v>30-ago-23</c:v>
                </c:pt>
                <c:pt idx="35">
                  <c:v>31-ago-23</c:v>
                </c:pt>
                <c:pt idx="36">
                  <c:v>4-sep-23</c:v>
                </c:pt>
                <c:pt idx="37">
                  <c:v>5-sep-23</c:v>
                </c:pt>
                <c:pt idx="38">
                  <c:v>7-sep-23</c:v>
                </c:pt>
                <c:pt idx="39">
                  <c:v>11-sep-23</c:v>
                </c:pt>
                <c:pt idx="40">
                  <c:v>12-sep-23</c:v>
                </c:pt>
                <c:pt idx="41">
                  <c:v>13-sep-23</c:v>
                </c:pt>
                <c:pt idx="42">
                  <c:v>15-sep-23</c:v>
                </c:pt>
                <c:pt idx="43">
                  <c:v>19-sep-23</c:v>
                </c:pt>
                <c:pt idx="44">
                  <c:v>20-sep-23</c:v>
                </c:pt>
                <c:pt idx="45">
                  <c:v>21-sep-23</c:v>
                </c:pt>
                <c:pt idx="46">
                  <c:v>25-sep-23</c:v>
                </c:pt>
                <c:pt idx="47">
                  <c:v>26-sep-23</c:v>
                </c:pt>
                <c:pt idx="48">
                  <c:v>28-sep-23</c:v>
                </c:pt>
                <c:pt idx="49">
                  <c:v>2-oct-23</c:v>
                </c:pt>
                <c:pt idx="50">
                  <c:v>4-oct-23</c:v>
                </c:pt>
                <c:pt idx="51">
                  <c:v>18-oct-23</c:v>
                </c:pt>
                <c:pt idx="52">
                  <c:v>19-oct-23</c:v>
                </c:pt>
                <c:pt idx="53">
                  <c:v>20-oct-23</c:v>
                </c:pt>
                <c:pt idx="54">
                  <c:v>23-oct-23</c:v>
                </c:pt>
                <c:pt idx="55">
                  <c:v>25-oct-23</c:v>
                </c:pt>
                <c:pt idx="56">
                  <c:v>27-oct-23</c:v>
                </c:pt>
                <c:pt idx="57">
                  <c:v>30-oct-23</c:v>
                </c:pt>
                <c:pt idx="58">
                  <c:v>31-oct-23</c:v>
                </c:pt>
                <c:pt idx="59">
                  <c:v>1-nov-23</c:v>
                </c:pt>
                <c:pt idx="60">
                  <c:v>2-nov-23</c:v>
                </c:pt>
                <c:pt idx="61">
                  <c:v>3-nov-23</c:v>
                </c:pt>
                <c:pt idx="62">
                  <c:v>7-nov-23</c:v>
                </c:pt>
                <c:pt idx="63">
                  <c:v>9-nov-23</c:v>
                </c:pt>
                <c:pt idx="64">
                  <c:v>14-nov-23</c:v>
                </c:pt>
                <c:pt idx="65">
                  <c:v>15-nov-23</c:v>
                </c:pt>
                <c:pt idx="66">
                  <c:v>16-nov-23</c:v>
                </c:pt>
                <c:pt idx="67">
                  <c:v>22-nov-23</c:v>
                </c:pt>
                <c:pt idx="68">
                  <c:v>28-nov-23</c:v>
                </c:pt>
                <c:pt idx="69">
                  <c:v>29-nov-23</c:v>
                </c:pt>
                <c:pt idx="70">
                  <c:v>4-dic-23</c:v>
                </c:pt>
                <c:pt idx="71">
                  <c:v>5-dic-23</c:v>
                </c:pt>
                <c:pt idx="72">
                  <c:v>19-feb-24</c:v>
                </c:pt>
                <c:pt idx="73">
                  <c:v>19-feb-24</c:v>
                </c:pt>
                <c:pt idx="74">
                  <c:v>20-feb-24</c:v>
                </c:pt>
                <c:pt idx="75">
                  <c:v>20-feb-24</c:v>
                </c:pt>
                <c:pt idx="76">
                  <c:v>21-feb-24</c:v>
                </c:pt>
                <c:pt idx="77">
                  <c:v>21-feb-24</c:v>
                </c:pt>
                <c:pt idx="78">
                  <c:v>22-feb-24</c:v>
                </c:pt>
                <c:pt idx="79">
                  <c:v>23-feb-24</c:v>
                </c:pt>
                <c:pt idx="80">
                  <c:v>26-feb-24</c:v>
                </c:pt>
                <c:pt idx="81">
                  <c:v>26-feb-24</c:v>
                </c:pt>
                <c:pt idx="82">
                  <c:v>27-feb-24</c:v>
                </c:pt>
                <c:pt idx="83">
                  <c:v>27-feb-24</c:v>
                </c:pt>
                <c:pt idx="84">
                  <c:v>28-feb-24</c:v>
                </c:pt>
                <c:pt idx="85">
                  <c:v>28-feb-24</c:v>
                </c:pt>
                <c:pt idx="86">
                  <c:v>29-feb-24</c:v>
                </c:pt>
                <c:pt idx="87">
                  <c:v>29-feb-24</c:v>
                </c:pt>
                <c:pt idx="88">
                  <c:v>1-mar-24</c:v>
                </c:pt>
                <c:pt idx="89">
                  <c:v>1-mar-24</c:v>
                </c:pt>
                <c:pt idx="90">
                  <c:v>4-mar-24</c:v>
                </c:pt>
                <c:pt idx="91">
                  <c:v>4-mar-24</c:v>
                </c:pt>
                <c:pt idx="92">
                  <c:v>5-mar-24</c:v>
                </c:pt>
                <c:pt idx="93">
                  <c:v>5-mar-24</c:v>
                </c:pt>
                <c:pt idx="94">
                  <c:v>6-mar-24</c:v>
                </c:pt>
                <c:pt idx="95">
                  <c:v>6-mar-24</c:v>
                </c:pt>
                <c:pt idx="96">
                  <c:v>7-mar-24</c:v>
                </c:pt>
                <c:pt idx="97">
                  <c:v>7-mar-24</c:v>
                </c:pt>
                <c:pt idx="98">
                  <c:v>13-mar-24</c:v>
                </c:pt>
                <c:pt idx="99">
                  <c:v>13-mar-24</c:v>
                </c:pt>
                <c:pt idx="100">
                  <c:v>14-mar-24</c:v>
                </c:pt>
                <c:pt idx="101">
                  <c:v>14-mar-24</c:v>
                </c:pt>
                <c:pt idx="102">
                  <c:v>15-mar-24</c:v>
                </c:pt>
                <c:pt idx="103">
                  <c:v>15-mar-24</c:v>
                </c:pt>
                <c:pt idx="104">
                  <c:v>20-mar-24</c:v>
                </c:pt>
                <c:pt idx="105">
                  <c:v>20-mar-24</c:v>
                </c:pt>
                <c:pt idx="106">
                  <c:v>21-mar-24</c:v>
                </c:pt>
                <c:pt idx="107">
                  <c:v>21-mar-24</c:v>
                </c:pt>
                <c:pt idx="108">
                  <c:v>22-mar-24</c:v>
                </c:pt>
                <c:pt idx="109">
                  <c:v>22-mar-24</c:v>
                </c:pt>
                <c:pt idx="110">
                  <c:v>1-abr-24</c:v>
                </c:pt>
                <c:pt idx="111">
                  <c:v>1-abr-24</c:v>
                </c:pt>
                <c:pt idx="112">
                  <c:v>2-abr-24</c:v>
                </c:pt>
                <c:pt idx="113">
                  <c:v>2-abr-24</c:v>
                </c:pt>
                <c:pt idx="114">
                  <c:v>12-abr-24</c:v>
                </c:pt>
                <c:pt idx="115">
                  <c:v>29-abr-24</c:v>
                </c:pt>
                <c:pt idx="116">
                  <c:v>30-abr-24</c:v>
                </c:pt>
                <c:pt idx="117">
                  <c:v>2-may-24</c:v>
                </c:pt>
                <c:pt idx="118">
                  <c:v>3-may-24</c:v>
                </c:pt>
                <c:pt idx="119">
                  <c:v>6-may-24</c:v>
                </c:pt>
                <c:pt idx="120">
                  <c:v>6-may-24</c:v>
                </c:pt>
                <c:pt idx="121">
                  <c:v>7-may-24</c:v>
                </c:pt>
                <c:pt idx="122">
                  <c:v>7-may-24</c:v>
                </c:pt>
                <c:pt idx="123">
                  <c:v>9-may-24</c:v>
                </c:pt>
                <c:pt idx="124">
                  <c:v>9-may-24</c:v>
                </c:pt>
                <c:pt idx="125">
                  <c:v>15-may-24</c:v>
                </c:pt>
                <c:pt idx="126">
                  <c:v>15-may-24</c:v>
                </c:pt>
                <c:pt idx="127">
                  <c:v>16-may-24</c:v>
                </c:pt>
                <c:pt idx="128">
                  <c:v>16-may-24</c:v>
                </c:pt>
                <c:pt idx="129">
                  <c:v>17-may-24</c:v>
                </c:pt>
                <c:pt idx="130">
                  <c:v>17-may-24</c:v>
                </c:pt>
                <c:pt idx="131">
                  <c:v>20-may-24</c:v>
                </c:pt>
                <c:pt idx="132">
                  <c:v>20-may-24</c:v>
                </c:pt>
                <c:pt idx="133">
                  <c:v>21-may-24</c:v>
                </c:pt>
                <c:pt idx="134">
                  <c:v>21-may-24</c:v>
                </c:pt>
                <c:pt idx="135">
                  <c:v>22-may-24</c:v>
                </c:pt>
                <c:pt idx="136">
                  <c:v>22-may-24</c:v>
                </c:pt>
                <c:pt idx="137">
                  <c:v>23-may-24</c:v>
                </c:pt>
                <c:pt idx="138">
                  <c:v>23-may-24</c:v>
                </c:pt>
                <c:pt idx="139">
                  <c:v>28-may-24</c:v>
                </c:pt>
                <c:pt idx="140">
                  <c:v>28-may-24</c:v>
                </c:pt>
                <c:pt idx="141">
                  <c:v>29-may-24</c:v>
                </c:pt>
                <c:pt idx="142">
                  <c:v>29-may-24</c:v>
                </c:pt>
                <c:pt idx="143">
                  <c:v>30-may-24</c:v>
                </c:pt>
                <c:pt idx="144">
                  <c:v>31-may-24</c:v>
                </c:pt>
                <c:pt idx="145">
                  <c:v>4-jun-24</c:v>
                </c:pt>
                <c:pt idx="146">
                  <c:v>5-jun-24</c:v>
                </c:pt>
                <c:pt idx="147">
                  <c:v>6-jun-24</c:v>
                </c:pt>
                <c:pt idx="148">
                  <c:v>7-jun-24</c:v>
                </c:pt>
                <c:pt idx="149">
                  <c:v>7-jun-24</c:v>
                </c:pt>
                <c:pt idx="150">
                  <c:v>11-jun-24</c:v>
                </c:pt>
                <c:pt idx="151">
                  <c:v>11-jun-24</c:v>
                </c:pt>
                <c:pt idx="152">
                  <c:v>18-jun-24</c:v>
                </c:pt>
                <c:pt idx="153">
                  <c:v>18-jun-24</c:v>
                </c:pt>
                <c:pt idx="154">
                  <c:v>19-jun-24</c:v>
                </c:pt>
                <c:pt idx="155">
                  <c:v>26-jun-24</c:v>
                </c:pt>
                <c:pt idx="156">
                  <c:v>27-jun-24</c:v>
                </c:pt>
                <c:pt idx="157">
                  <c:v>27-jun-24</c:v>
                </c:pt>
                <c:pt idx="158">
                  <c:v>23-jul-24</c:v>
                </c:pt>
                <c:pt idx="159">
                  <c:v>9-ago-24</c:v>
                </c:pt>
                <c:pt idx="160">
                  <c:v>12-ago-24</c:v>
                </c:pt>
                <c:pt idx="161">
                  <c:v>13-ago-24</c:v>
                </c:pt>
                <c:pt idx="162">
                  <c:v>14-ago-24</c:v>
                </c:pt>
                <c:pt idx="163">
                  <c:v>15-ago-24</c:v>
                </c:pt>
                <c:pt idx="164">
                  <c:v>16-ago-24</c:v>
                </c:pt>
                <c:pt idx="165">
                  <c:v>20-ago-24</c:v>
                </c:pt>
                <c:pt idx="166">
                  <c:v>21-ago-24</c:v>
                </c:pt>
                <c:pt idx="167">
                  <c:v>22-ago-24</c:v>
                </c:pt>
                <c:pt idx="168">
                  <c:v>26-ago-24</c:v>
                </c:pt>
                <c:pt idx="169">
                  <c:v>27-ago-24</c:v>
                </c:pt>
                <c:pt idx="170">
                  <c:v>28-ago-24</c:v>
                </c:pt>
                <c:pt idx="171">
                  <c:v>29-ago-24</c:v>
                </c:pt>
                <c:pt idx="172">
                  <c:v>30-ago-24</c:v>
                </c:pt>
                <c:pt idx="173">
                  <c:v>2-sep-24</c:v>
                </c:pt>
                <c:pt idx="174">
                  <c:v>3-sep-24</c:v>
                </c:pt>
                <c:pt idx="175">
                  <c:v>4-sep-24</c:v>
                </c:pt>
                <c:pt idx="176">
                  <c:v>5-sep-24</c:v>
                </c:pt>
                <c:pt idx="177">
                  <c:v>6-sep-24</c:v>
                </c:pt>
                <c:pt idx="178">
                  <c:v>9-sep-24</c:v>
                </c:pt>
                <c:pt idx="179">
                  <c:v>10-sep-24</c:v>
                </c:pt>
                <c:pt idx="180">
                  <c:v>11-sep-24</c:v>
                </c:pt>
                <c:pt idx="181">
                  <c:v>12-sep-24</c:v>
                </c:pt>
                <c:pt idx="182">
                  <c:v>13-sep-24</c:v>
                </c:pt>
                <c:pt idx="183">
                  <c:v>16-sep-24</c:v>
                </c:pt>
                <c:pt idx="184">
                  <c:v>17-sep-24</c:v>
                </c:pt>
                <c:pt idx="185">
                  <c:v>19-sep-24</c:v>
                </c:pt>
                <c:pt idx="186">
                  <c:v>20-sep-24</c:v>
                </c:pt>
                <c:pt idx="187">
                  <c:v>24-sep-24</c:v>
                </c:pt>
                <c:pt idx="188">
                  <c:v>25-sep-24</c:v>
                </c:pt>
                <c:pt idx="189">
                  <c:v>4-oct-24</c:v>
                </c:pt>
                <c:pt idx="190">
                  <c:v>9-oct-24</c:v>
                </c:pt>
                <c:pt idx="191">
                  <c:v>10-oct-24</c:v>
                </c:pt>
                <c:pt idx="192">
                  <c:v>11-oct-24</c:v>
                </c:pt>
                <c:pt idx="193">
                  <c:v>15-oct-24</c:v>
                </c:pt>
                <c:pt idx="194">
                  <c:v>16-oct-24</c:v>
                </c:pt>
                <c:pt idx="195">
                  <c:v>17-oct-24</c:v>
                </c:pt>
                <c:pt idx="196">
                  <c:v>18-oct-24</c:v>
                </c:pt>
                <c:pt idx="197">
                  <c:v>8-nov-24</c:v>
                </c:pt>
                <c:pt idx="198">
                  <c:v>14-nov-24</c:v>
                </c:pt>
                <c:pt idx="199">
                  <c:v>15-nov-24</c:v>
                </c:pt>
                <c:pt idx="200">
                  <c:v>18-nov-24</c:v>
                </c:pt>
                <c:pt idx="201">
                  <c:v>19-nov-24</c:v>
                </c:pt>
                <c:pt idx="202">
                  <c:v>20-nov-24</c:v>
                </c:pt>
                <c:pt idx="203">
                  <c:v>22-nov-24</c:v>
                </c:pt>
                <c:pt idx="204">
                  <c:v>25-nov-24</c:v>
                </c:pt>
                <c:pt idx="205">
                  <c:v>26-nov-24</c:v>
                </c:pt>
                <c:pt idx="206">
                  <c:v>27-nov-24</c:v>
                </c:pt>
                <c:pt idx="207">
                  <c:v>29-nov-24</c:v>
                </c:pt>
                <c:pt idx="208">
                  <c:v>12-feb-25</c:v>
                </c:pt>
                <c:pt idx="209">
                  <c:v>13-feb-25</c:v>
                </c:pt>
                <c:pt idx="210">
                  <c:v>14-feb-25</c:v>
                </c:pt>
                <c:pt idx="211">
                  <c:v>18-feb-25</c:v>
                </c:pt>
                <c:pt idx="212">
                  <c:v>19-feb-25</c:v>
                </c:pt>
                <c:pt idx="213">
                  <c:v>20-feb-25</c:v>
                </c:pt>
                <c:pt idx="214">
                  <c:v>21-feb-25</c:v>
                </c:pt>
                <c:pt idx="215">
                  <c:v>24-feb-25</c:v>
                </c:pt>
                <c:pt idx="216">
                  <c:v>25-feb-25</c:v>
                </c:pt>
                <c:pt idx="217">
                  <c:v>27-feb-25</c:v>
                </c:pt>
                <c:pt idx="218">
                  <c:v>28-feb-25</c:v>
                </c:pt>
                <c:pt idx="219">
                  <c:v>3-mar-25</c:v>
                </c:pt>
                <c:pt idx="220">
                  <c:v>4-mar-25</c:v>
                </c:pt>
                <c:pt idx="221">
                  <c:v>5-mar-25</c:v>
                </c:pt>
                <c:pt idx="222">
                  <c:v>6-mar-25</c:v>
                </c:pt>
                <c:pt idx="223">
                  <c:v>7-mar-25</c:v>
                </c:pt>
                <c:pt idx="224">
                  <c:v>10-mar-25</c:v>
                </c:pt>
                <c:pt idx="225">
                  <c:v>11-mar-25</c:v>
                </c:pt>
                <c:pt idx="226">
                  <c:v>12-mar-25</c:v>
                </c:pt>
                <c:pt idx="227">
                  <c:v>13-mar-25</c:v>
                </c:pt>
                <c:pt idx="228">
                  <c:v>8-may-25</c:v>
                </c:pt>
                <c:pt idx="229">
                  <c:v>9-may-25</c:v>
                </c:pt>
                <c:pt idx="230">
                  <c:v>20-may-25</c:v>
                </c:pt>
                <c:pt idx="231">
                  <c:v>20-may-25</c:v>
                </c:pt>
                <c:pt idx="232">
                  <c:v>3-jun-25</c:v>
                </c:pt>
                <c:pt idx="233">
                  <c:v>13-jun-25</c:v>
                </c:pt>
                <c:pt idx="234">
                  <c:v>22-jul-25</c:v>
                </c:pt>
                <c:pt idx="235">
                  <c:v>25-jul-25</c:v>
                </c:pt>
                <c:pt idx="236">
                  <c:v>31-jul-25</c:v>
                </c:pt>
                <c:pt idx="237">
                  <c:v>12-ago-25</c:v>
                </c:pt>
              </c:strCache>
            </c:strRef>
          </c:cat>
          <c:val>
            <c:numRef>
              <c:f>HISTORICO!$Q$100:$Q$337</c:f>
              <c:numCache>
                <c:formatCode>0.00%</c:formatCode>
                <c:ptCount val="238"/>
                <c:pt idx="0">
                  <c:v>-5.0616390532544381E-2</c:v>
                </c:pt>
                <c:pt idx="1">
                  <c:v>-5.3497549019607842E-2</c:v>
                </c:pt>
                <c:pt idx="2">
                  <c:v>-7.0401605351170571E-2</c:v>
                </c:pt>
                <c:pt idx="3">
                  <c:v>-8.274582089552239E-2</c:v>
                </c:pt>
                <c:pt idx="4">
                  <c:v>-7.9537476635514012E-2</c:v>
                </c:pt>
                <c:pt idx="5">
                  <c:v>-8.8471219512195123E-2</c:v>
                </c:pt>
                <c:pt idx="6">
                  <c:v>-7.8776486486486483E-2</c:v>
                </c:pt>
                <c:pt idx="7">
                  <c:v>-8.0785120000000002E-2</c:v>
                </c:pt>
                <c:pt idx="8">
                  <c:v>-6.967439024390229E-2</c:v>
                </c:pt>
                <c:pt idx="9">
                  <c:v>-5.5806545454545456E-2</c:v>
                </c:pt>
                <c:pt idx="10">
                  <c:v>-7.6591999999999993E-2</c:v>
                </c:pt>
                <c:pt idx="11">
                  <c:v>4.1809591836734696E-2</c:v>
                </c:pt>
                <c:pt idx="12">
                  <c:v>-7.3532692307692452E-2</c:v>
                </c:pt>
                <c:pt idx="13">
                  <c:v>-8.2322911266201393E-2</c:v>
                </c:pt>
                <c:pt idx="14">
                  <c:v>-8.0350000000000005E-2</c:v>
                </c:pt>
                <c:pt idx="15">
                  <c:v>-6.0818300970873915E-2</c:v>
                </c:pt>
                <c:pt idx="16">
                  <c:v>-8.9214000000000002E-2</c:v>
                </c:pt>
                <c:pt idx="17">
                  <c:v>-8.5293615819209218E-2</c:v>
                </c:pt>
                <c:pt idx="18">
                  <c:v>-8.0090485074626863E-2</c:v>
                </c:pt>
                <c:pt idx="19">
                  <c:v>-9.8176470588235532E-2</c:v>
                </c:pt>
                <c:pt idx="20">
                  <c:v>-9.6118679245283209E-2</c:v>
                </c:pt>
                <c:pt idx="21">
                  <c:v>4.7012941176470136E-3</c:v>
                </c:pt>
                <c:pt idx="22">
                  <c:v>9.6666666666661365E-4</c:v>
                </c:pt>
                <c:pt idx="23">
                  <c:v>1.2612565445042155E-4</c:v>
                </c:pt>
                <c:pt idx="24">
                  <c:v>1.789487179487336E-3</c:v>
                </c:pt>
                <c:pt idx="25">
                  <c:v>8.8325028050559284E-7</c:v>
                </c:pt>
                <c:pt idx="26">
                  <c:v>9.0776699029052144E-5</c:v>
                </c:pt>
                <c:pt idx="27">
                  <c:v>2.9151960890228285E-7</c:v>
                </c:pt>
                <c:pt idx="28">
                  <c:v>4.3794199250394621E-7</c:v>
                </c:pt>
                <c:pt idx="29">
                  <c:v>1.6557046979865771E-4</c:v>
                </c:pt>
                <c:pt idx="30">
                  <c:v>4.8749999999999998E-4</c:v>
                </c:pt>
                <c:pt idx="31">
                  <c:v>5.0866444073435378E-4</c:v>
                </c:pt>
                <c:pt idx="32">
                  <c:v>4.5158069883629012E-5</c:v>
                </c:pt>
                <c:pt idx="33">
                  <c:v>3.4054054054054055E-5</c:v>
                </c:pt>
                <c:pt idx="34">
                  <c:v>3.9010473289068574E-7</c:v>
                </c:pt>
                <c:pt idx="35">
                  <c:v>5.8199999999898273E-5</c:v>
                </c:pt>
                <c:pt idx="36">
                  <c:v>1.1205426356577319E-4</c:v>
                </c:pt>
                <c:pt idx="37">
                  <c:v>1.5463917526559731E-6</c:v>
                </c:pt>
                <c:pt idx="38">
                  <c:v>3.4285714285714284E-5</c:v>
                </c:pt>
                <c:pt idx="39">
                  <c:v>1.3489655172434841E-4</c:v>
                </c:pt>
                <c:pt idx="40">
                  <c:v>1.007166624160749E-6</c:v>
                </c:pt>
                <c:pt idx="41">
                  <c:v>1.0687356321839081E-4</c:v>
                </c:pt>
                <c:pt idx="42">
                  <c:v>2.9541984732824428E-5</c:v>
                </c:pt>
                <c:pt idx="43">
                  <c:v>1.9190334572491273E-3</c:v>
                </c:pt>
                <c:pt idx="44">
                  <c:v>2.4717437722419928E-3</c:v>
                </c:pt>
                <c:pt idx="45">
                  <c:v>2.8101626016272571E-4</c:v>
                </c:pt>
                <c:pt idx="46">
                  <c:v>1.3940809968856859E-4</c:v>
                </c:pt>
                <c:pt idx="47">
                  <c:v>5.6379310344840743E-4</c:v>
                </c:pt>
                <c:pt idx="48">
                  <c:v>1.9780487804878048E-5</c:v>
                </c:pt>
                <c:pt idx="49">
                  <c:v>7.5911949685534598E-5</c:v>
                </c:pt>
                <c:pt idx="50">
                  <c:v>3.2701986754966888E-4</c:v>
                </c:pt>
                <c:pt idx="51">
                  <c:v>2.2090000000015258E-4</c:v>
                </c:pt>
                <c:pt idx="52">
                  <c:v>2.8851485148518631E-4</c:v>
                </c:pt>
                <c:pt idx="53">
                  <c:v>4.7054545454531583E-4</c:v>
                </c:pt>
                <c:pt idx="54">
                  <c:v>4.2536312849166273E-4</c:v>
                </c:pt>
                <c:pt idx="55">
                  <c:v>5.6937799043062197E-6</c:v>
                </c:pt>
                <c:pt idx="56">
                  <c:v>4.7908333333330155E-4</c:v>
                </c:pt>
                <c:pt idx="57">
                  <c:v>1.5202127659574467E-3</c:v>
                </c:pt>
                <c:pt idx="58">
                  <c:v>7.7918109685701465E-3</c:v>
                </c:pt>
                <c:pt idx="59">
                  <c:v>-2.6869404799999999E-3</c:v>
                </c:pt>
                <c:pt idx="60">
                  <c:v>-1.858122781E-2</c:v>
                </c:pt>
                <c:pt idx="61">
                  <c:v>-1.3151861249999963E-2</c:v>
                </c:pt>
                <c:pt idx="62">
                  <c:v>-8.636363636349765E-5</c:v>
                </c:pt>
                <c:pt idx="63">
                  <c:v>-2.5956149600000001E-3</c:v>
                </c:pt>
                <c:pt idx="64">
                  <c:v>-1.080476534E-2</c:v>
                </c:pt>
                <c:pt idx="65">
                  <c:v>-4.9415610749999998E-3</c:v>
                </c:pt>
                <c:pt idx="66">
                  <c:v>-2.4868261700000116E-2</c:v>
                </c:pt>
                <c:pt idx="67">
                  <c:v>-1.2085365120000153E-2</c:v>
                </c:pt>
                <c:pt idx="68">
                  <c:v>7.449545454545455E-4</c:v>
                </c:pt>
                <c:pt idx="69">
                  <c:v>1.6273333333333333E-3</c:v>
                </c:pt>
                <c:pt idx="70">
                  <c:v>3.6110821264190778E-7</c:v>
                </c:pt>
                <c:pt idx="71">
                  <c:v>9.7946286111111119E-4</c:v>
                </c:pt>
                <c:pt idx="72">
                  <c:v>-5.1015333333333204E-2</c:v>
                </c:pt>
                <c:pt idx="73">
                  <c:v>8.1850000000000034E-2</c:v>
                </c:pt>
                <c:pt idx="74">
                  <c:v>-4.7568285714285716E-2</c:v>
                </c:pt>
                <c:pt idx="75">
                  <c:v>8.1644999999999968E-2</c:v>
                </c:pt>
                <c:pt idx="76">
                  <c:v>-3.6998999999999997E-2</c:v>
                </c:pt>
                <c:pt idx="77">
                  <c:v>8.3709999999999951E-2</c:v>
                </c:pt>
                <c:pt idx="78">
                  <c:v>-3.7074025104602636E-2</c:v>
                </c:pt>
                <c:pt idx="79">
                  <c:v>-1.4048653846153773E-2</c:v>
                </c:pt>
                <c:pt idx="80">
                  <c:v>-3.1125519125683059E-2</c:v>
                </c:pt>
                <c:pt idx="81">
                  <c:v>9.6025000000000166E-2</c:v>
                </c:pt>
                <c:pt idx="82">
                  <c:v>-3.9404836734693881E-2</c:v>
                </c:pt>
                <c:pt idx="83">
                  <c:v>9.5540000000000042E-2</c:v>
                </c:pt>
                <c:pt idx="84">
                  <c:v>-1.8474444444444446E-2</c:v>
                </c:pt>
                <c:pt idx="85">
                  <c:v>9.7833333333333286E-2</c:v>
                </c:pt>
                <c:pt idx="86">
                  <c:v>-3.8279823223570188E-2</c:v>
                </c:pt>
                <c:pt idx="87">
                  <c:v>9.4780000000000017E-2</c:v>
                </c:pt>
                <c:pt idx="88">
                  <c:v>-4.6715252100840335E-2</c:v>
                </c:pt>
                <c:pt idx="89">
                  <c:v>9.5328000000000232E-2</c:v>
                </c:pt>
                <c:pt idx="90">
                  <c:v>-5.0464158940397248E-2</c:v>
                </c:pt>
                <c:pt idx="91">
                  <c:v>9.8100689655172144E-2</c:v>
                </c:pt>
                <c:pt idx="92">
                  <c:v>-8.3388042944785176E-2</c:v>
                </c:pt>
                <c:pt idx="93">
                  <c:v>9.6091063829787368E-2</c:v>
                </c:pt>
                <c:pt idx="94">
                  <c:v>-6.3808277404921704E-2</c:v>
                </c:pt>
                <c:pt idx="95">
                  <c:v>0.10158428571428564</c:v>
                </c:pt>
                <c:pt idx="96">
                  <c:v>-0.13298138461538461</c:v>
                </c:pt>
                <c:pt idx="97">
                  <c:v>9.5438518518518589E-2</c:v>
                </c:pt>
                <c:pt idx="98">
                  <c:v>-6.9252257668711653E-2</c:v>
                </c:pt>
                <c:pt idx="99">
                  <c:v>0.10889624999999983</c:v>
                </c:pt>
                <c:pt idx="100">
                  <c:v>-9.0271850515463756E-2</c:v>
                </c:pt>
                <c:pt idx="101">
                  <c:v>0.10959203125000001</c:v>
                </c:pt>
                <c:pt idx="102">
                  <c:v>-0.11748217821782186</c:v>
                </c:pt>
                <c:pt idx="103">
                  <c:v>0.11147333333333349</c:v>
                </c:pt>
                <c:pt idx="104">
                  <c:v>-7.9633496688741728E-2</c:v>
                </c:pt>
                <c:pt idx="105">
                  <c:v>0.10639897959183663</c:v>
                </c:pt>
                <c:pt idx="106">
                  <c:v>-9.9376863636363416E-2</c:v>
                </c:pt>
                <c:pt idx="107">
                  <c:v>0.10795828125000022</c:v>
                </c:pt>
                <c:pt idx="108">
                  <c:v>-0.16592543352601155</c:v>
                </c:pt>
                <c:pt idx="109">
                  <c:v>0.11015484848484858</c:v>
                </c:pt>
                <c:pt idx="110">
                  <c:v>-0.11275829834254143</c:v>
                </c:pt>
                <c:pt idx="111">
                  <c:v>0.11664043478260852</c:v>
                </c:pt>
                <c:pt idx="112">
                  <c:v>-6.5943939393939388E-2</c:v>
                </c:pt>
                <c:pt idx="113">
                  <c:v>0.12527198019801994</c:v>
                </c:pt>
                <c:pt idx="114">
                  <c:v>0.12145800000000007</c:v>
                </c:pt>
                <c:pt idx="115">
                  <c:v>5.7131255813953487E-2</c:v>
                </c:pt>
                <c:pt idx="116">
                  <c:v>0.13138641509433974</c:v>
                </c:pt>
                <c:pt idx="117">
                  <c:v>0.12472999999999997</c:v>
                </c:pt>
                <c:pt idx="118">
                  <c:v>0.12399000000000003</c:v>
                </c:pt>
                <c:pt idx="119">
                  <c:v>0.13194999999999985</c:v>
                </c:pt>
                <c:pt idx="120">
                  <c:v>0.12589999999999987</c:v>
                </c:pt>
                <c:pt idx="121">
                  <c:v>0.12681000000000014</c:v>
                </c:pt>
                <c:pt idx="122">
                  <c:v>0.12581000000000001</c:v>
                </c:pt>
                <c:pt idx="123">
                  <c:v>0.13980000000000001</c:v>
                </c:pt>
                <c:pt idx="124">
                  <c:v>0.12849000000000019</c:v>
                </c:pt>
                <c:pt idx="125">
                  <c:v>0.13118000000000002</c:v>
                </c:pt>
                <c:pt idx="126">
                  <c:v>5.7543846153846154E-2</c:v>
                </c:pt>
                <c:pt idx="127">
                  <c:v>8.1960670886075948E-2</c:v>
                </c:pt>
                <c:pt idx="128">
                  <c:v>0.12656000000000012</c:v>
                </c:pt>
                <c:pt idx="129">
                  <c:v>5.928653846153846E-2</c:v>
                </c:pt>
                <c:pt idx="130">
                  <c:v>0.12546999999999994</c:v>
                </c:pt>
                <c:pt idx="131">
                  <c:v>7.8262823920265776E-2</c:v>
                </c:pt>
                <c:pt idx="132">
                  <c:v>0.1315600000000002</c:v>
                </c:pt>
                <c:pt idx="133">
                  <c:v>8.6414659090909202E-2</c:v>
                </c:pt>
                <c:pt idx="134">
                  <c:v>0.12966999999999992</c:v>
                </c:pt>
                <c:pt idx="135">
                  <c:v>0.10217505353319058</c:v>
                </c:pt>
                <c:pt idx="136">
                  <c:v>0.12970000000000001</c:v>
                </c:pt>
                <c:pt idx="137">
                  <c:v>0.10412455445544555</c:v>
                </c:pt>
                <c:pt idx="138">
                  <c:v>0.12950999999999993</c:v>
                </c:pt>
                <c:pt idx="139">
                  <c:v>5.305E-2</c:v>
                </c:pt>
                <c:pt idx="140">
                  <c:v>0.13255</c:v>
                </c:pt>
                <c:pt idx="141">
                  <c:v>8.7909622641509436E-2</c:v>
                </c:pt>
                <c:pt idx="142">
                  <c:v>0.12887000000000001</c:v>
                </c:pt>
                <c:pt idx="143">
                  <c:v>9.2323586744639377E-2</c:v>
                </c:pt>
                <c:pt idx="144">
                  <c:v>7.7764615384615432E-2</c:v>
                </c:pt>
                <c:pt idx="145">
                  <c:v>6.2691999999999998E-2</c:v>
                </c:pt>
                <c:pt idx="146">
                  <c:v>8.8555994318181813E-2</c:v>
                </c:pt>
                <c:pt idx="147">
                  <c:v>0.10983851851851821</c:v>
                </c:pt>
                <c:pt idx="148">
                  <c:v>0.1156334972677594</c:v>
                </c:pt>
                <c:pt idx="149">
                  <c:v>0.12625</c:v>
                </c:pt>
                <c:pt idx="150">
                  <c:v>0.12770017647058823</c:v>
                </c:pt>
                <c:pt idx="151">
                  <c:v>0.12525000000000019</c:v>
                </c:pt>
                <c:pt idx="152">
                  <c:v>6.6749962686567271E-2</c:v>
                </c:pt>
                <c:pt idx="153">
                  <c:v>0.13592999999999994</c:v>
                </c:pt>
                <c:pt idx="154">
                  <c:v>6.9039850746268824E-2</c:v>
                </c:pt>
                <c:pt idx="155">
                  <c:v>6.8818823529411766E-2</c:v>
                </c:pt>
                <c:pt idx="156">
                  <c:v>6.9174999999999848E-2</c:v>
                </c:pt>
                <c:pt idx="157">
                  <c:v>0.13686000000000004</c:v>
                </c:pt>
                <c:pt idx="158">
                  <c:v>1.9244508001178821E-2</c:v>
                </c:pt>
                <c:pt idx="159">
                  <c:v>-1.5369426080650011E-2</c:v>
                </c:pt>
                <c:pt idx="160">
                  <c:v>-1.4966588014758902E-2</c:v>
                </c:pt>
                <c:pt idx="161">
                  <c:v>-1.4094154309245856E-2</c:v>
                </c:pt>
                <c:pt idx="162">
                  <c:v>-1.7758017928784342E-2</c:v>
                </c:pt>
                <c:pt idx="163">
                  <c:v>-1.9235248694735255E-2</c:v>
                </c:pt>
                <c:pt idx="164">
                  <c:v>-1.6152818631170969E-2</c:v>
                </c:pt>
                <c:pt idx="165">
                  <c:v>-1.9203696947117609E-2</c:v>
                </c:pt>
                <c:pt idx="166">
                  <c:v>-1.9554376294894042E-2</c:v>
                </c:pt>
                <c:pt idx="167">
                  <c:v>-1.5059083601737642E-2</c:v>
                </c:pt>
                <c:pt idx="168">
                  <c:v>-1.8751635989725988E-2</c:v>
                </c:pt>
                <c:pt idx="169">
                  <c:v>-2.084215234397006E-2</c:v>
                </c:pt>
                <c:pt idx="170">
                  <c:v>-1.9349289194792084E-2</c:v>
                </c:pt>
                <c:pt idx="171">
                  <c:v>-1.8772424776172771E-2</c:v>
                </c:pt>
                <c:pt idx="172">
                  <c:v>-2.1844370667724315E-2</c:v>
                </c:pt>
                <c:pt idx="173">
                  <c:v>-2.8948198144077272E-2</c:v>
                </c:pt>
                <c:pt idx="174">
                  <c:v>-3.308559918849744E-2</c:v>
                </c:pt>
                <c:pt idx="175">
                  <c:v>-1.6901250243047002E-2</c:v>
                </c:pt>
                <c:pt idx="176">
                  <c:v>-2.844315202602643E-2</c:v>
                </c:pt>
                <c:pt idx="177">
                  <c:v>-2.1048093782282923E-2</c:v>
                </c:pt>
                <c:pt idx="178">
                  <c:v>-3.6015573985258918E-2</c:v>
                </c:pt>
                <c:pt idx="179">
                  <c:v>-3.5705504975329226E-2</c:v>
                </c:pt>
                <c:pt idx="180">
                  <c:v>-4.4542193217906451E-2</c:v>
                </c:pt>
                <c:pt idx="181">
                  <c:v>-1.2331950443523658E-2</c:v>
                </c:pt>
                <c:pt idx="182">
                  <c:v>-2.2217364797020467E-2</c:v>
                </c:pt>
                <c:pt idx="183">
                  <c:v>-2.1145088244531821E-2</c:v>
                </c:pt>
                <c:pt idx="184">
                  <c:v>-1.6700201317864271E-2</c:v>
                </c:pt>
                <c:pt idx="185">
                  <c:v>-5.6321206273849005E-2</c:v>
                </c:pt>
                <c:pt idx="186">
                  <c:v>-6.1969249792586896E-2</c:v>
                </c:pt>
                <c:pt idx="187">
                  <c:v>-5.8079668122249989E-2</c:v>
                </c:pt>
                <c:pt idx="188">
                  <c:v>-5.6657451065543547E-2</c:v>
                </c:pt>
                <c:pt idx="189">
                  <c:v>-5.3225481188320579E-2</c:v>
                </c:pt>
                <c:pt idx="190">
                  <c:v>-3.7950564391004936E-2</c:v>
                </c:pt>
                <c:pt idx="191">
                  <c:v>-5.7989187862030903E-2</c:v>
                </c:pt>
                <c:pt idx="192">
                  <c:v>-5.5971258082929076E-2</c:v>
                </c:pt>
                <c:pt idx="193">
                  <c:v>-4.2066211172669309E-2</c:v>
                </c:pt>
                <c:pt idx="194">
                  <c:v>-5.6683321679598782E-2</c:v>
                </c:pt>
                <c:pt idx="195">
                  <c:v>-3.2730674832672772E-2</c:v>
                </c:pt>
                <c:pt idx="196">
                  <c:v>-5.0626027375876355E-2</c:v>
                </c:pt>
                <c:pt idx="197">
                  <c:v>-1.7330143893347565E-2</c:v>
                </c:pt>
                <c:pt idx="198">
                  <c:v>-6.33161200155191E-3</c:v>
                </c:pt>
                <c:pt idx="199">
                  <c:v>-1.9641435458663637E-4</c:v>
                </c:pt>
                <c:pt idx="200">
                  <c:v>-1.4599598335182146E-2</c:v>
                </c:pt>
                <c:pt idx="201">
                  <c:v>-1.2828630742334033E-2</c:v>
                </c:pt>
                <c:pt idx="202">
                  <c:v>-1.8117647907324584E-2</c:v>
                </c:pt>
                <c:pt idx="203">
                  <c:v>2.7364658963965994E-2</c:v>
                </c:pt>
                <c:pt idx="204">
                  <c:v>2.4437248797496069E-3</c:v>
                </c:pt>
                <c:pt idx="205">
                  <c:v>-1.4052848722403497E-3</c:v>
                </c:pt>
                <c:pt idx="206">
                  <c:v>-2.1644358086868789E-3</c:v>
                </c:pt>
                <c:pt idx="207">
                  <c:v>1.2600444565135838E-2</c:v>
                </c:pt>
                <c:pt idx="208">
                  <c:v>7.1840000000000181E-2</c:v>
                </c:pt>
                <c:pt idx="209">
                  <c:v>8.0125402298850582E-2</c:v>
                </c:pt>
                <c:pt idx="210">
                  <c:v>7.7151176470588237E-2</c:v>
                </c:pt>
                <c:pt idx="211">
                  <c:v>8.0640000000000003E-2</c:v>
                </c:pt>
                <c:pt idx="212">
                  <c:v>7.9869999999999997E-2</c:v>
                </c:pt>
                <c:pt idx="213">
                  <c:v>7.5670000000000001E-2</c:v>
                </c:pt>
                <c:pt idx="214">
                  <c:v>7.1749999999999883E-2</c:v>
                </c:pt>
                <c:pt idx="215">
                  <c:v>6.4040000000000125E-2</c:v>
                </c:pt>
                <c:pt idx="216">
                  <c:v>6.3070000000000001E-2</c:v>
                </c:pt>
                <c:pt idx="217">
                  <c:v>6.5619999999999998E-2</c:v>
                </c:pt>
                <c:pt idx="218">
                  <c:v>5.5260999999999998E-2</c:v>
                </c:pt>
                <c:pt idx="219">
                  <c:v>5.7190000000000116E-2</c:v>
                </c:pt>
                <c:pt idx="220">
                  <c:v>5.0565999999999861E-2</c:v>
                </c:pt>
                <c:pt idx="221">
                  <c:v>5.0616399999999999E-2</c:v>
                </c:pt>
                <c:pt idx="222">
                  <c:v>5.7558999999999999E-2</c:v>
                </c:pt>
                <c:pt idx="223">
                  <c:v>2.6009999999999804E-2</c:v>
                </c:pt>
                <c:pt idx="224">
                  <c:v>3.1920000000000198E-2</c:v>
                </c:pt>
                <c:pt idx="225">
                  <c:v>3.2719999999999777E-2</c:v>
                </c:pt>
                <c:pt idx="226">
                  <c:v>5.8184E-2</c:v>
                </c:pt>
                <c:pt idx="227">
                  <c:v>5.9593867403314918E-2</c:v>
                </c:pt>
                <c:pt idx="228">
                  <c:v>1.3296508474576064E-2</c:v>
                </c:pt>
                <c:pt idx="229">
                  <c:v>2.6716511627906888E-2</c:v>
                </c:pt>
                <c:pt idx="230">
                  <c:v>3.1032222409866066E-2</c:v>
                </c:pt>
                <c:pt idx="231">
                  <c:v>3.4074880884368254E-2</c:v>
                </c:pt>
                <c:pt idx="232">
                  <c:v>1.7094837594176831E-2</c:v>
                </c:pt>
                <c:pt idx="233">
                  <c:v>6.1656203248318595E-2</c:v>
                </c:pt>
                <c:pt idx="234">
                  <c:v>-5.7911217697102085E-2</c:v>
                </c:pt>
                <c:pt idx="235">
                  <c:v>-2.5250612549217984E-3</c:v>
                </c:pt>
                <c:pt idx="236">
                  <c:v>3.1634012338106879E-2</c:v>
                </c:pt>
                <c:pt idx="237">
                  <c:v>-9.3059377562056036E-3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961-4395-B06B-21960751FF39}"/>
            </c:ext>
          </c:extLst>
        </c:ser>
        <c:ser>
          <c:idx val="6"/>
          <c:order val="6"/>
          <c:tx>
            <c:strRef>
              <c:f>HISTORICO!$Z$5</c:f>
              <c:strCache>
                <c:ptCount val="1"/>
                <c:pt idx="0">
                  <c:v> Max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HISTORICO!$D$100:$D$337</c:f>
              <c:strCache>
                <c:ptCount val="238"/>
                <c:pt idx="0">
                  <c:v>24-mar-23</c:v>
                </c:pt>
                <c:pt idx="1">
                  <c:v>27-mar-23</c:v>
                </c:pt>
                <c:pt idx="2">
                  <c:v>28-mar-23</c:v>
                </c:pt>
                <c:pt idx="3">
                  <c:v>29-mar-23</c:v>
                </c:pt>
                <c:pt idx="4">
                  <c:v>30-mar-23</c:v>
                </c:pt>
                <c:pt idx="5">
                  <c:v>31-mar-23</c:v>
                </c:pt>
                <c:pt idx="6">
                  <c:v>3-abr-23</c:v>
                </c:pt>
                <c:pt idx="7">
                  <c:v>4-abr-23</c:v>
                </c:pt>
                <c:pt idx="8">
                  <c:v>10-abr-23</c:v>
                </c:pt>
                <c:pt idx="9">
                  <c:v>11-abr-23</c:v>
                </c:pt>
                <c:pt idx="10">
                  <c:v>12-abr-23</c:v>
                </c:pt>
                <c:pt idx="11">
                  <c:v>14-abr-23</c:v>
                </c:pt>
                <c:pt idx="12">
                  <c:v>19-abr-23</c:v>
                </c:pt>
                <c:pt idx="13">
                  <c:v>20-abr-23</c:v>
                </c:pt>
                <c:pt idx="14">
                  <c:v>21-abr-23</c:v>
                </c:pt>
                <c:pt idx="15">
                  <c:v>3-may-23</c:v>
                </c:pt>
                <c:pt idx="16">
                  <c:v>10-may-23</c:v>
                </c:pt>
                <c:pt idx="17">
                  <c:v>17-may-23</c:v>
                </c:pt>
                <c:pt idx="18">
                  <c:v>31-may-23</c:v>
                </c:pt>
                <c:pt idx="19">
                  <c:v>28-jun-23</c:v>
                </c:pt>
                <c:pt idx="20">
                  <c:v>30-jun-23</c:v>
                </c:pt>
                <c:pt idx="21">
                  <c:v>24-jul-23</c:v>
                </c:pt>
                <c:pt idx="22">
                  <c:v>25-jul-23</c:v>
                </c:pt>
                <c:pt idx="23">
                  <c:v>26-jul-23</c:v>
                </c:pt>
                <c:pt idx="24">
                  <c:v>28-jul-23</c:v>
                </c:pt>
                <c:pt idx="25">
                  <c:v>15-ago-23</c:v>
                </c:pt>
                <c:pt idx="26">
                  <c:v>16-ago-23</c:v>
                </c:pt>
                <c:pt idx="27">
                  <c:v>17-ago-23</c:v>
                </c:pt>
                <c:pt idx="28">
                  <c:v>18-ago-23</c:v>
                </c:pt>
                <c:pt idx="29">
                  <c:v>22-ago-23</c:v>
                </c:pt>
                <c:pt idx="30">
                  <c:v>23-ago-23</c:v>
                </c:pt>
                <c:pt idx="31">
                  <c:v>24-ago-23</c:v>
                </c:pt>
                <c:pt idx="32">
                  <c:v>28-ago-23</c:v>
                </c:pt>
                <c:pt idx="33">
                  <c:v>29-ago-23</c:v>
                </c:pt>
                <c:pt idx="34">
                  <c:v>30-ago-23</c:v>
                </c:pt>
                <c:pt idx="35">
                  <c:v>31-ago-23</c:v>
                </c:pt>
                <c:pt idx="36">
                  <c:v>4-sep-23</c:v>
                </c:pt>
                <c:pt idx="37">
                  <c:v>5-sep-23</c:v>
                </c:pt>
                <c:pt idx="38">
                  <c:v>7-sep-23</c:v>
                </c:pt>
                <c:pt idx="39">
                  <c:v>11-sep-23</c:v>
                </c:pt>
                <c:pt idx="40">
                  <c:v>12-sep-23</c:v>
                </c:pt>
                <c:pt idx="41">
                  <c:v>13-sep-23</c:v>
                </c:pt>
                <c:pt idx="42">
                  <c:v>15-sep-23</c:v>
                </c:pt>
                <c:pt idx="43">
                  <c:v>19-sep-23</c:v>
                </c:pt>
                <c:pt idx="44">
                  <c:v>20-sep-23</c:v>
                </c:pt>
                <c:pt idx="45">
                  <c:v>21-sep-23</c:v>
                </c:pt>
                <c:pt idx="46">
                  <c:v>25-sep-23</c:v>
                </c:pt>
                <c:pt idx="47">
                  <c:v>26-sep-23</c:v>
                </c:pt>
                <c:pt idx="48">
                  <c:v>28-sep-23</c:v>
                </c:pt>
                <c:pt idx="49">
                  <c:v>2-oct-23</c:v>
                </c:pt>
                <c:pt idx="50">
                  <c:v>4-oct-23</c:v>
                </c:pt>
                <c:pt idx="51">
                  <c:v>18-oct-23</c:v>
                </c:pt>
                <c:pt idx="52">
                  <c:v>19-oct-23</c:v>
                </c:pt>
                <c:pt idx="53">
                  <c:v>20-oct-23</c:v>
                </c:pt>
                <c:pt idx="54">
                  <c:v>23-oct-23</c:v>
                </c:pt>
                <c:pt idx="55">
                  <c:v>25-oct-23</c:v>
                </c:pt>
                <c:pt idx="56">
                  <c:v>27-oct-23</c:v>
                </c:pt>
                <c:pt idx="57">
                  <c:v>30-oct-23</c:v>
                </c:pt>
                <c:pt idx="58">
                  <c:v>31-oct-23</c:v>
                </c:pt>
                <c:pt idx="59">
                  <c:v>1-nov-23</c:v>
                </c:pt>
                <c:pt idx="60">
                  <c:v>2-nov-23</c:v>
                </c:pt>
                <c:pt idx="61">
                  <c:v>3-nov-23</c:v>
                </c:pt>
                <c:pt idx="62">
                  <c:v>7-nov-23</c:v>
                </c:pt>
                <c:pt idx="63">
                  <c:v>9-nov-23</c:v>
                </c:pt>
                <c:pt idx="64">
                  <c:v>14-nov-23</c:v>
                </c:pt>
                <c:pt idx="65">
                  <c:v>15-nov-23</c:v>
                </c:pt>
                <c:pt idx="66">
                  <c:v>16-nov-23</c:v>
                </c:pt>
                <c:pt idx="67">
                  <c:v>22-nov-23</c:v>
                </c:pt>
                <c:pt idx="68">
                  <c:v>28-nov-23</c:v>
                </c:pt>
                <c:pt idx="69">
                  <c:v>29-nov-23</c:v>
                </c:pt>
                <c:pt idx="70">
                  <c:v>4-dic-23</c:v>
                </c:pt>
                <c:pt idx="71">
                  <c:v>5-dic-23</c:v>
                </c:pt>
                <c:pt idx="72">
                  <c:v>19-feb-24</c:v>
                </c:pt>
                <c:pt idx="73">
                  <c:v>19-feb-24</c:v>
                </c:pt>
                <c:pt idx="74">
                  <c:v>20-feb-24</c:v>
                </c:pt>
                <c:pt idx="75">
                  <c:v>20-feb-24</c:v>
                </c:pt>
                <c:pt idx="76">
                  <c:v>21-feb-24</c:v>
                </c:pt>
                <c:pt idx="77">
                  <c:v>21-feb-24</c:v>
                </c:pt>
                <c:pt idx="78">
                  <c:v>22-feb-24</c:v>
                </c:pt>
                <c:pt idx="79">
                  <c:v>23-feb-24</c:v>
                </c:pt>
                <c:pt idx="80">
                  <c:v>26-feb-24</c:v>
                </c:pt>
                <c:pt idx="81">
                  <c:v>26-feb-24</c:v>
                </c:pt>
                <c:pt idx="82">
                  <c:v>27-feb-24</c:v>
                </c:pt>
                <c:pt idx="83">
                  <c:v>27-feb-24</c:v>
                </c:pt>
                <c:pt idx="84">
                  <c:v>28-feb-24</c:v>
                </c:pt>
                <c:pt idx="85">
                  <c:v>28-feb-24</c:v>
                </c:pt>
                <c:pt idx="86">
                  <c:v>29-feb-24</c:v>
                </c:pt>
                <c:pt idx="87">
                  <c:v>29-feb-24</c:v>
                </c:pt>
                <c:pt idx="88">
                  <c:v>1-mar-24</c:v>
                </c:pt>
                <c:pt idx="89">
                  <c:v>1-mar-24</c:v>
                </c:pt>
                <c:pt idx="90">
                  <c:v>4-mar-24</c:v>
                </c:pt>
                <c:pt idx="91">
                  <c:v>4-mar-24</c:v>
                </c:pt>
                <c:pt idx="92">
                  <c:v>5-mar-24</c:v>
                </c:pt>
                <c:pt idx="93">
                  <c:v>5-mar-24</c:v>
                </c:pt>
                <c:pt idx="94">
                  <c:v>6-mar-24</c:v>
                </c:pt>
                <c:pt idx="95">
                  <c:v>6-mar-24</c:v>
                </c:pt>
                <c:pt idx="96">
                  <c:v>7-mar-24</c:v>
                </c:pt>
                <c:pt idx="97">
                  <c:v>7-mar-24</c:v>
                </c:pt>
                <c:pt idx="98">
                  <c:v>13-mar-24</c:v>
                </c:pt>
                <c:pt idx="99">
                  <c:v>13-mar-24</c:v>
                </c:pt>
                <c:pt idx="100">
                  <c:v>14-mar-24</c:v>
                </c:pt>
                <c:pt idx="101">
                  <c:v>14-mar-24</c:v>
                </c:pt>
                <c:pt idx="102">
                  <c:v>15-mar-24</c:v>
                </c:pt>
                <c:pt idx="103">
                  <c:v>15-mar-24</c:v>
                </c:pt>
                <c:pt idx="104">
                  <c:v>20-mar-24</c:v>
                </c:pt>
                <c:pt idx="105">
                  <c:v>20-mar-24</c:v>
                </c:pt>
                <c:pt idx="106">
                  <c:v>21-mar-24</c:v>
                </c:pt>
                <c:pt idx="107">
                  <c:v>21-mar-24</c:v>
                </c:pt>
                <c:pt idx="108">
                  <c:v>22-mar-24</c:v>
                </c:pt>
                <c:pt idx="109">
                  <c:v>22-mar-24</c:v>
                </c:pt>
                <c:pt idx="110">
                  <c:v>1-abr-24</c:v>
                </c:pt>
                <c:pt idx="111">
                  <c:v>1-abr-24</c:v>
                </c:pt>
                <c:pt idx="112">
                  <c:v>2-abr-24</c:v>
                </c:pt>
                <c:pt idx="113">
                  <c:v>2-abr-24</c:v>
                </c:pt>
                <c:pt idx="114">
                  <c:v>12-abr-24</c:v>
                </c:pt>
                <c:pt idx="115">
                  <c:v>29-abr-24</c:v>
                </c:pt>
                <c:pt idx="116">
                  <c:v>30-abr-24</c:v>
                </c:pt>
                <c:pt idx="117">
                  <c:v>2-may-24</c:v>
                </c:pt>
                <c:pt idx="118">
                  <c:v>3-may-24</c:v>
                </c:pt>
                <c:pt idx="119">
                  <c:v>6-may-24</c:v>
                </c:pt>
                <c:pt idx="120">
                  <c:v>6-may-24</c:v>
                </c:pt>
                <c:pt idx="121">
                  <c:v>7-may-24</c:v>
                </c:pt>
                <c:pt idx="122">
                  <c:v>7-may-24</c:v>
                </c:pt>
                <c:pt idx="123">
                  <c:v>9-may-24</c:v>
                </c:pt>
                <c:pt idx="124">
                  <c:v>9-may-24</c:v>
                </c:pt>
                <c:pt idx="125">
                  <c:v>15-may-24</c:v>
                </c:pt>
                <c:pt idx="126">
                  <c:v>15-may-24</c:v>
                </c:pt>
                <c:pt idx="127">
                  <c:v>16-may-24</c:v>
                </c:pt>
                <c:pt idx="128">
                  <c:v>16-may-24</c:v>
                </c:pt>
                <c:pt idx="129">
                  <c:v>17-may-24</c:v>
                </c:pt>
                <c:pt idx="130">
                  <c:v>17-may-24</c:v>
                </c:pt>
                <c:pt idx="131">
                  <c:v>20-may-24</c:v>
                </c:pt>
                <c:pt idx="132">
                  <c:v>20-may-24</c:v>
                </c:pt>
                <c:pt idx="133">
                  <c:v>21-may-24</c:v>
                </c:pt>
                <c:pt idx="134">
                  <c:v>21-may-24</c:v>
                </c:pt>
                <c:pt idx="135">
                  <c:v>22-may-24</c:v>
                </c:pt>
                <c:pt idx="136">
                  <c:v>22-may-24</c:v>
                </c:pt>
                <c:pt idx="137">
                  <c:v>23-may-24</c:v>
                </c:pt>
                <c:pt idx="138">
                  <c:v>23-may-24</c:v>
                </c:pt>
                <c:pt idx="139">
                  <c:v>28-may-24</c:v>
                </c:pt>
                <c:pt idx="140">
                  <c:v>28-may-24</c:v>
                </c:pt>
                <c:pt idx="141">
                  <c:v>29-may-24</c:v>
                </c:pt>
                <c:pt idx="142">
                  <c:v>29-may-24</c:v>
                </c:pt>
                <c:pt idx="143">
                  <c:v>30-may-24</c:v>
                </c:pt>
                <c:pt idx="144">
                  <c:v>31-may-24</c:v>
                </c:pt>
                <c:pt idx="145">
                  <c:v>4-jun-24</c:v>
                </c:pt>
                <c:pt idx="146">
                  <c:v>5-jun-24</c:v>
                </c:pt>
                <c:pt idx="147">
                  <c:v>6-jun-24</c:v>
                </c:pt>
                <c:pt idx="148">
                  <c:v>7-jun-24</c:v>
                </c:pt>
                <c:pt idx="149">
                  <c:v>7-jun-24</c:v>
                </c:pt>
                <c:pt idx="150">
                  <c:v>11-jun-24</c:v>
                </c:pt>
                <c:pt idx="151">
                  <c:v>11-jun-24</c:v>
                </c:pt>
                <c:pt idx="152">
                  <c:v>18-jun-24</c:v>
                </c:pt>
                <c:pt idx="153">
                  <c:v>18-jun-24</c:v>
                </c:pt>
                <c:pt idx="154">
                  <c:v>19-jun-24</c:v>
                </c:pt>
                <c:pt idx="155">
                  <c:v>26-jun-24</c:v>
                </c:pt>
                <c:pt idx="156">
                  <c:v>27-jun-24</c:v>
                </c:pt>
                <c:pt idx="157">
                  <c:v>27-jun-24</c:v>
                </c:pt>
                <c:pt idx="158">
                  <c:v>23-jul-24</c:v>
                </c:pt>
                <c:pt idx="159">
                  <c:v>9-ago-24</c:v>
                </c:pt>
                <c:pt idx="160">
                  <c:v>12-ago-24</c:v>
                </c:pt>
                <c:pt idx="161">
                  <c:v>13-ago-24</c:v>
                </c:pt>
                <c:pt idx="162">
                  <c:v>14-ago-24</c:v>
                </c:pt>
                <c:pt idx="163">
                  <c:v>15-ago-24</c:v>
                </c:pt>
                <c:pt idx="164">
                  <c:v>16-ago-24</c:v>
                </c:pt>
                <c:pt idx="165">
                  <c:v>20-ago-24</c:v>
                </c:pt>
                <c:pt idx="166">
                  <c:v>21-ago-24</c:v>
                </c:pt>
                <c:pt idx="167">
                  <c:v>22-ago-24</c:v>
                </c:pt>
                <c:pt idx="168">
                  <c:v>26-ago-24</c:v>
                </c:pt>
                <c:pt idx="169">
                  <c:v>27-ago-24</c:v>
                </c:pt>
                <c:pt idx="170">
                  <c:v>28-ago-24</c:v>
                </c:pt>
                <c:pt idx="171">
                  <c:v>29-ago-24</c:v>
                </c:pt>
                <c:pt idx="172">
                  <c:v>30-ago-24</c:v>
                </c:pt>
                <c:pt idx="173">
                  <c:v>2-sep-24</c:v>
                </c:pt>
                <c:pt idx="174">
                  <c:v>3-sep-24</c:v>
                </c:pt>
                <c:pt idx="175">
                  <c:v>4-sep-24</c:v>
                </c:pt>
                <c:pt idx="176">
                  <c:v>5-sep-24</c:v>
                </c:pt>
                <c:pt idx="177">
                  <c:v>6-sep-24</c:v>
                </c:pt>
                <c:pt idx="178">
                  <c:v>9-sep-24</c:v>
                </c:pt>
                <c:pt idx="179">
                  <c:v>10-sep-24</c:v>
                </c:pt>
                <c:pt idx="180">
                  <c:v>11-sep-24</c:v>
                </c:pt>
                <c:pt idx="181">
                  <c:v>12-sep-24</c:v>
                </c:pt>
                <c:pt idx="182">
                  <c:v>13-sep-24</c:v>
                </c:pt>
                <c:pt idx="183">
                  <c:v>16-sep-24</c:v>
                </c:pt>
                <c:pt idx="184">
                  <c:v>17-sep-24</c:v>
                </c:pt>
                <c:pt idx="185">
                  <c:v>19-sep-24</c:v>
                </c:pt>
                <c:pt idx="186">
                  <c:v>20-sep-24</c:v>
                </c:pt>
                <c:pt idx="187">
                  <c:v>24-sep-24</c:v>
                </c:pt>
                <c:pt idx="188">
                  <c:v>25-sep-24</c:v>
                </c:pt>
                <c:pt idx="189">
                  <c:v>4-oct-24</c:v>
                </c:pt>
                <c:pt idx="190">
                  <c:v>9-oct-24</c:v>
                </c:pt>
                <c:pt idx="191">
                  <c:v>10-oct-24</c:v>
                </c:pt>
                <c:pt idx="192">
                  <c:v>11-oct-24</c:v>
                </c:pt>
                <c:pt idx="193">
                  <c:v>15-oct-24</c:v>
                </c:pt>
                <c:pt idx="194">
                  <c:v>16-oct-24</c:v>
                </c:pt>
                <c:pt idx="195">
                  <c:v>17-oct-24</c:v>
                </c:pt>
                <c:pt idx="196">
                  <c:v>18-oct-24</c:v>
                </c:pt>
                <c:pt idx="197">
                  <c:v>8-nov-24</c:v>
                </c:pt>
                <c:pt idx="198">
                  <c:v>14-nov-24</c:v>
                </c:pt>
                <c:pt idx="199">
                  <c:v>15-nov-24</c:v>
                </c:pt>
                <c:pt idx="200">
                  <c:v>18-nov-24</c:v>
                </c:pt>
                <c:pt idx="201">
                  <c:v>19-nov-24</c:v>
                </c:pt>
                <c:pt idx="202">
                  <c:v>20-nov-24</c:v>
                </c:pt>
                <c:pt idx="203">
                  <c:v>22-nov-24</c:v>
                </c:pt>
                <c:pt idx="204">
                  <c:v>25-nov-24</c:v>
                </c:pt>
                <c:pt idx="205">
                  <c:v>26-nov-24</c:v>
                </c:pt>
                <c:pt idx="206">
                  <c:v>27-nov-24</c:v>
                </c:pt>
                <c:pt idx="207">
                  <c:v>29-nov-24</c:v>
                </c:pt>
                <c:pt idx="208">
                  <c:v>12-feb-25</c:v>
                </c:pt>
                <c:pt idx="209">
                  <c:v>13-feb-25</c:v>
                </c:pt>
                <c:pt idx="210">
                  <c:v>14-feb-25</c:v>
                </c:pt>
                <c:pt idx="211">
                  <c:v>18-feb-25</c:v>
                </c:pt>
                <c:pt idx="212">
                  <c:v>19-feb-25</c:v>
                </c:pt>
                <c:pt idx="213">
                  <c:v>20-feb-25</c:v>
                </c:pt>
                <c:pt idx="214">
                  <c:v>21-feb-25</c:v>
                </c:pt>
                <c:pt idx="215">
                  <c:v>24-feb-25</c:v>
                </c:pt>
                <c:pt idx="216">
                  <c:v>25-feb-25</c:v>
                </c:pt>
                <c:pt idx="217">
                  <c:v>27-feb-25</c:v>
                </c:pt>
                <c:pt idx="218">
                  <c:v>28-feb-25</c:v>
                </c:pt>
                <c:pt idx="219">
                  <c:v>3-mar-25</c:v>
                </c:pt>
                <c:pt idx="220">
                  <c:v>4-mar-25</c:v>
                </c:pt>
                <c:pt idx="221">
                  <c:v>5-mar-25</c:v>
                </c:pt>
                <c:pt idx="222">
                  <c:v>6-mar-25</c:v>
                </c:pt>
                <c:pt idx="223">
                  <c:v>7-mar-25</c:v>
                </c:pt>
                <c:pt idx="224">
                  <c:v>10-mar-25</c:v>
                </c:pt>
                <c:pt idx="225">
                  <c:v>11-mar-25</c:v>
                </c:pt>
                <c:pt idx="226">
                  <c:v>12-mar-25</c:v>
                </c:pt>
                <c:pt idx="227">
                  <c:v>13-mar-25</c:v>
                </c:pt>
                <c:pt idx="228">
                  <c:v>8-may-25</c:v>
                </c:pt>
                <c:pt idx="229">
                  <c:v>9-may-25</c:v>
                </c:pt>
                <c:pt idx="230">
                  <c:v>20-may-25</c:v>
                </c:pt>
                <c:pt idx="231">
                  <c:v>20-may-25</c:v>
                </c:pt>
                <c:pt idx="232">
                  <c:v>3-jun-25</c:v>
                </c:pt>
                <c:pt idx="233">
                  <c:v>13-jun-25</c:v>
                </c:pt>
                <c:pt idx="234">
                  <c:v>22-jul-25</c:v>
                </c:pt>
                <c:pt idx="235">
                  <c:v>25-jul-25</c:v>
                </c:pt>
                <c:pt idx="236">
                  <c:v>31-jul-25</c:v>
                </c:pt>
                <c:pt idx="237">
                  <c:v>12-ago-25</c:v>
                </c:pt>
              </c:strCache>
            </c:strRef>
          </c:cat>
          <c:val>
            <c:numRef>
              <c:f>HISTORICO!$Z$6:$Z$31</c:f>
            </c:numRef>
          </c:val>
          <c:smooth val="0"/>
          <c:extLst>
            <c:ext xmlns:c16="http://schemas.microsoft.com/office/drawing/2014/chart" uri="{C3380CC4-5D6E-409C-BE32-E72D297353CC}">
              <c16:uniqueId val="{00000008-3961-4395-B06B-21960751FF39}"/>
            </c:ext>
          </c:extLst>
        </c:ser>
        <c:ser>
          <c:idx val="7"/>
          <c:order val="7"/>
          <c:tx>
            <c:strRef>
              <c:f>HISTORICO!$AA$5</c:f>
              <c:strCache>
                <c:ptCount val="1"/>
                <c:pt idx="0">
                  <c:v> Min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HISTORICO!$D$100:$D$337</c:f>
              <c:strCache>
                <c:ptCount val="238"/>
                <c:pt idx="0">
                  <c:v>24-mar-23</c:v>
                </c:pt>
                <c:pt idx="1">
                  <c:v>27-mar-23</c:v>
                </c:pt>
                <c:pt idx="2">
                  <c:v>28-mar-23</c:v>
                </c:pt>
                <c:pt idx="3">
                  <c:v>29-mar-23</c:v>
                </c:pt>
                <c:pt idx="4">
                  <c:v>30-mar-23</c:v>
                </c:pt>
                <c:pt idx="5">
                  <c:v>31-mar-23</c:v>
                </c:pt>
                <c:pt idx="6">
                  <c:v>3-abr-23</c:v>
                </c:pt>
                <c:pt idx="7">
                  <c:v>4-abr-23</c:v>
                </c:pt>
                <c:pt idx="8">
                  <c:v>10-abr-23</c:v>
                </c:pt>
                <c:pt idx="9">
                  <c:v>11-abr-23</c:v>
                </c:pt>
                <c:pt idx="10">
                  <c:v>12-abr-23</c:v>
                </c:pt>
                <c:pt idx="11">
                  <c:v>14-abr-23</c:v>
                </c:pt>
                <c:pt idx="12">
                  <c:v>19-abr-23</c:v>
                </c:pt>
                <c:pt idx="13">
                  <c:v>20-abr-23</c:v>
                </c:pt>
                <c:pt idx="14">
                  <c:v>21-abr-23</c:v>
                </c:pt>
                <c:pt idx="15">
                  <c:v>3-may-23</c:v>
                </c:pt>
                <c:pt idx="16">
                  <c:v>10-may-23</c:v>
                </c:pt>
                <c:pt idx="17">
                  <c:v>17-may-23</c:v>
                </c:pt>
                <c:pt idx="18">
                  <c:v>31-may-23</c:v>
                </c:pt>
                <c:pt idx="19">
                  <c:v>28-jun-23</c:v>
                </c:pt>
                <c:pt idx="20">
                  <c:v>30-jun-23</c:v>
                </c:pt>
                <c:pt idx="21">
                  <c:v>24-jul-23</c:v>
                </c:pt>
                <c:pt idx="22">
                  <c:v>25-jul-23</c:v>
                </c:pt>
                <c:pt idx="23">
                  <c:v>26-jul-23</c:v>
                </c:pt>
                <c:pt idx="24">
                  <c:v>28-jul-23</c:v>
                </c:pt>
                <c:pt idx="25">
                  <c:v>15-ago-23</c:v>
                </c:pt>
                <c:pt idx="26">
                  <c:v>16-ago-23</c:v>
                </c:pt>
                <c:pt idx="27">
                  <c:v>17-ago-23</c:v>
                </c:pt>
                <c:pt idx="28">
                  <c:v>18-ago-23</c:v>
                </c:pt>
                <c:pt idx="29">
                  <c:v>22-ago-23</c:v>
                </c:pt>
                <c:pt idx="30">
                  <c:v>23-ago-23</c:v>
                </c:pt>
                <c:pt idx="31">
                  <c:v>24-ago-23</c:v>
                </c:pt>
                <c:pt idx="32">
                  <c:v>28-ago-23</c:v>
                </c:pt>
                <c:pt idx="33">
                  <c:v>29-ago-23</c:v>
                </c:pt>
                <c:pt idx="34">
                  <c:v>30-ago-23</c:v>
                </c:pt>
                <c:pt idx="35">
                  <c:v>31-ago-23</c:v>
                </c:pt>
                <c:pt idx="36">
                  <c:v>4-sep-23</c:v>
                </c:pt>
                <c:pt idx="37">
                  <c:v>5-sep-23</c:v>
                </c:pt>
                <c:pt idx="38">
                  <c:v>7-sep-23</c:v>
                </c:pt>
                <c:pt idx="39">
                  <c:v>11-sep-23</c:v>
                </c:pt>
                <c:pt idx="40">
                  <c:v>12-sep-23</c:v>
                </c:pt>
                <c:pt idx="41">
                  <c:v>13-sep-23</c:v>
                </c:pt>
                <c:pt idx="42">
                  <c:v>15-sep-23</c:v>
                </c:pt>
                <c:pt idx="43">
                  <c:v>19-sep-23</c:v>
                </c:pt>
                <c:pt idx="44">
                  <c:v>20-sep-23</c:v>
                </c:pt>
                <c:pt idx="45">
                  <c:v>21-sep-23</c:v>
                </c:pt>
                <c:pt idx="46">
                  <c:v>25-sep-23</c:v>
                </c:pt>
                <c:pt idx="47">
                  <c:v>26-sep-23</c:v>
                </c:pt>
                <c:pt idx="48">
                  <c:v>28-sep-23</c:v>
                </c:pt>
                <c:pt idx="49">
                  <c:v>2-oct-23</c:v>
                </c:pt>
                <c:pt idx="50">
                  <c:v>4-oct-23</c:v>
                </c:pt>
                <c:pt idx="51">
                  <c:v>18-oct-23</c:v>
                </c:pt>
                <c:pt idx="52">
                  <c:v>19-oct-23</c:v>
                </c:pt>
                <c:pt idx="53">
                  <c:v>20-oct-23</c:v>
                </c:pt>
                <c:pt idx="54">
                  <c:v>23-oct-23</c:v>
                </c:pt>
                <c:pt idx="55">
                  <c:v>25-oct-23</c:v>
                </c:pt>
                <c:pt idx="56">
                  <c:v>27-oct-23</c:v>
                </c:pt>
                <c:pt idx="57">
                  <c:v>30-oct-23</c:v>
                </c:pt>
                <c:pt idx="58">
                  <c:v>31-oct-23</c:v>
                </c:pt>
                <c:pt idx="59">
                  <c:v>1-nov-23</c:v>
                </c:pt>
                <c:pt idx="60">
                  <c:v>2-nov-23</c:v>
                </c:pt>
                <c:pt idx="61">
                  <c:v>3-nov-23</c:v>
                </c:pt>
                <c:pt idx="62">
                  <c:v>7-nov-23</c:v>
                </c:pt>
                <c:pt idx="63">
                  <c:v>9-nov-23</c:v>
                </c:pt>
                <c:pt idx="64">
                  <c:v>14-nov-23</c:v>
                </c:pt>
                <c:pt idx="65">
                  <c:v>15-nov-23</c:v>
                </c:pt>
                <c:pt idx="66">
                  <c:v>16-nov-23</c:v>
                </c:pt>
                <c:pt idx="67">
                  <c:v>22-nov-23</c:v>
                </c:pt>
                <c:pt idx="68">
                  <c:v>28-nov-23</c:v>
                </c:pt>
                <c:pt idx="69">
                  <c:v>29-nov-23</c:v>
                </c:pt>
                <c:pt idx="70">
                  <c:v>4-dic-23</c:v>
                </c:pt>
                <c:pt idx="71">
                  <c:v>5-dic-23</c:v>
                </c:pt>
                <c:pt idx="72">
                  <c:v>19-feb-24</c:v>
                </c:pt>
                <c:pt idx="73">
                  <c:v>19-feb-24</c:v>
                </c:pt>
                <c:pt idx="74">
                  <c:v>20-feb-24</c:v>
                </c:pt>
                <c:pt idx="75">
                  <c:v>20-feb-24</c:v>
                </c:pt>
                <c:pt idx="76">
                  <c:v>21-feb-24</c:v>
                </c:pt>
                <c:pt idx="77">
                  <c:v>21-feb-24</c:v>
                </c:pt>
                <c:pt idx="78">
                  <c:v>22-feb-24</c:v>
                </c:pt>
                <c:pt idx="79">
                  <c:v>23-feb-24</c:v>
                </c:pt>
                <c:pt idx="80">
                  <c:v>26-feb-24</c:v>
                </c:pt>
                <c:pt idx="81">
                  <c:v>26-feb-24</c:v>
                </c:pt>
                <c:pt idx="82">
                  <c:v>27-feb-24</c:v>
                </c:pt>
                <c:pt idx="83">
                  <c:v>27-feb-24</c:v>
                </c:pt>
                <c:pt idx="84">
                  <c:v>28-feb-24</c:v>
                </c:pt>
                <c:pt idx="85">
                  <c:v>28-feb-24</c:v>
                </c:pt>
                <c:pt idx="86">
                  <c:v>29-feb-24</c:v>
                </c:pt>
                <c:pt idx="87">
                  <c:v>29-feb-24</c:v>
                </c:pt>
                <c:pt idx="88">
                  <c:v>1-mar-24</c:v>
                </c:pt>
                <c:pt idx="89">
                  <c:v>1-mar-24</c:v>
                </c:pt>
                <c:pt idx="90">
                  <c:v>4-mar-24</c:v>
                </c:pt>
                <c:pt idx="91">
                  <c:v>4-mar-24</c:v>
                </c:pt>
                <c:pt idx="92">
                  <c:v>5-mar-24</c:v>
                </c:pt>
                <c:pt idx="93">
                  <c:v>5-mar-24</c:v>
                </c:pt>
                <c:pt idx="94">
                  <c:v>6-mar-24</c:v>
                </c:pt>
                <c:pt idx="95">
                  <c:v>6-mar-24</c:v>
                </c:pt>
                <c:pt idx="96">
                  <c:v>7-mar-24</c:v>
                </c:pt>
                <c:pt idx="97">
                  <c:v>7-mar-24</c:v>
                </c:pt>
                <c:pt idx="98">
                  <c:v>13-mar-24</c:v>
                </c:pt>
                <c:pt idx="99">
                  <c:v>13-mar-24</c:v>
                </c:pt>
                <c:pt idx="100">
                  <c:v>14-mar-24</c:v>
                </c:pt>
                <c:pt idx="101">
                  <c:v>14-mar-24</c:v>
                </c:pt>
                <c:pt idx="102">
                  <c:v>15-mar-24</c:v>
                </c:pt>
                <c:pt idx="103">
                  <c:v>15-mar-24</c:v>
                </c:pt>
                <c:pt idx="104">
                  <c:v>20-mar-24</c:v>
                </c:pt>
                <c:pt idx="105">
                  <c:v>20-mar-24</c:v>
                </c:pt>
                <c:pt idx="106">
                  <c:v>21-mar-24</c:v>
                </c:pt>
                <c:pt idx="107">
                  <c:v>21-mar-24</c:v>
                </c:pt>
                <c:pt idx="108">
                  <c:v>22-mar-24</c:v>
                </c:pt>
                <c:pt idx="109">
                  <c:v>22-mar-24</c:v>
                </c:pt>
                <c:pt idx="110">
                  <c:v>1-abr-24</c:v>
                </c:pt>
                <c:pt idx="111">
                  <c:v>1-abr-24</c:v>
                </c:pt>
                <c:pt idx="112">
                  <c:v>2-abr-24</c:v>
                </c:pt>
                <c:pt idx="113">
                  <c:v>2-abr-24</c:v>
                </c:pt>
                <c:pt idx="114">
                  <c:v>12-abr-24</c:v>
                </c:pt>
                <c:pt idx="115">
                  <c:v>29-abr-24</c:v>
                </c:pt>
                <c:pt idx="116">
                  <c:v>30-abr-24</c:v>
                </c:pt>
                <c:pt idx="117">
                  <c:v>2-may-24</c:v>
                </c:pt>
                <c:pt idx="118">
                  <c:v>3-may-24</c:v>
                </c:pt>
                <c:pt idx="119">
                  <c:v>6-may-24</c:v>
                </c:pt>
                <c:pt idx="120">
                  <c:v>6-may-24</c:v>
                </c:pt>
                <c:pt idx="121">
                  <c:v>7-may-24</c:v>
                </c:pt>
                <c:pt idx="122">
                  <c:v>7-may-24</c:v>
                </c:pt>
                <c:pt idx="123">
                  <c:v>9-may-24</c:v>
                </c:pt>
                <c:pt idx="124">
                  <c:v>9-may-24</c:v>
                </c:pt>
                <c:pt idx="125">
                  <c:v>15-may-24</c:v>
                </c:pt>
                <c:pt idx="126">
                  <c:v>15-may-24</c:v>
                </c:pt>
                <c:pt idx="127">
                  <c:v>16-may-24</c:v>
                </c:pt>
                <c:pt idx="128">
                  <c:v>16-may-24</c:v>
                </c:pt>
                <c:pt idx="129">
                  <c:v>17-may-24</c:v>
                </c:pt>
                <c:pt idx="130">
                  <c:v>17-may-24</c:v>
                </c:pt>
                <c:pt idx="131">
                  <c:v>20-may-24</c:v>
                </c:pt>
                <c:pt idx="132">
                  <c:v>20-may-24</c:v>
                </c:pt>
                <c:pt idx="133">
                  <c:v>21-may-24</c:v>
                </c:pt>
                <c:pt idx="134">
                  <c:v>21-may-24</c:v>
                </c:pt>
                <c:pt idx="135">
                  <c:v>22-may-24</c:v>
                </c:pt>
                <c:pt idx="136">
                  <c:v>22-may-24</c:v>
                </c:pt>
                <c:pt idx="137">
                  <c:v>23-may-24</c:v>
                </c:pt>
                <c:pt idx="138">
                  <c:v>23-may-24</c:v>
                </c:pt>
                <c:pt idx="139">
                  <c:v>28-may-24</c:v>
                </c:pt>
                <c:pt idx="140">
                  <c:v>28-may-24</c:v>
                </c:pt>
                <c:pt idx="141">
                  <c:v>29-may-24</c:v>
                </c:pt>
                <c:pt idx="142">
                  <c:v>29-may-24</c:v>
                </c:pt>
                <c:pt idx="143">
                  <c:v>30-may-24</c:v>
                </c:pt>
                <c:pt idx="144">
                  <c:v>31-may-24</c:v>
                </c:pt>
                <c:pt idx="145">
                  <c:v>4-jun-24</c:v>
                </c:pt>
                <c:pt idx="146">
                  <c:v>5-jun-24</c:v>
                </c:pt>
                <c:pt idx="147">
                  <c:v>6-jun-24</c:v>
                </c:pt>
                <c:pt idx="148">
                  <c:v>7-jun-24</c:v>
                </c:pt>
                <c:pt idx="149">
                  <c:v>7-jun-24</c:v>
                </c:pt>
                <c:pt idx="150">
                  <c:v>11-jun-24</c:v>
                </c:pt>
                <c:pt idx="151">
                  <c:v>11-jun-24</c:v>
                </c:pt>
                <c:pt idx="152">
                  <c:v>18-jun-24</c:v>
                </c:pt>
                <c:pt idx="153">
                  <c:v>18-jun-24</c:v>
                </c:pt>
                <c:pt idx="154">
                  <c:v>19-jun-24</c:v>
                </c:pt>
                <c:pt idx="155">
                  <c:v>26-jun-24</c:v>
                </c:pt>
                <c:pt idx="156">
                  <c:v>27-jun-24</c:v>
                </c:pt>
                <c:pt idx="157">
                  <c:v>27-jun-24</c:v>
                </c:pt>
                <c:pt idx="158">
                  <c:v>23-jul-24</c:v>
                </c:pt>
                <c:pt idx="159">
                  <c:v>9-ago-24</c:v>
                </c:pt>
                <c:pt idx="160">
                  <c:v>12-ago-24</c:v>
                </c:pt>
                <c:pt idx="161">
                  <c:v>13-ago-24</c:v>
                </c:pt>
                <c:pt idx="162">
                  <c:v>14-ago-24</c:v>
                </c:pt>
                <c:pt idx="163">
                  <c:v>15-ago-24</c:v>
                </c:pt>
                <c:pt idx="164">
                  <c:v>16-ago-24</c:v>
                </c:pt>
                <c:pt idx="165">
                  <c:v>20-ago-24</c:v>
                </c:pt>
                <c:pt idx="166">
                  <c:v>21-ago-24</c:v>
                </c:pt>
                <c:pt idx="167">
                  <c:v>22-ago-24</c:v>
                </c:pt>
                <c:pt idx="168">
                  <c:v>26-ago-24</c:v>
                </c:pt>
                <c:pt idx="169">
                  <c:v>27-ago-24</c:v>
                </c:pt>
                <c:pt idx="170">
                  <c:v>28-ago-24</c:v>
                </c:pt>
                <c:pt idx="171">
                  <c:v>29-ago-24</c:v>
                </c:pt>
                <c:pt idx="172">
                  <c:v>30-ago-24</c:v>
                </c:pt>
                <c:pt idx="173">
                  <c:v>2-sep-24</c:v>
                </c:pt>
                <c:pt idx="174">
                  <c:v>3-sep-24</c:v>
                </c:pt>
                <c:pt idx="175">
                  <c:v>4-sep-24</c:v>
                </c:pt>
                <c:pt idx="176">
                  <c:v>5-sep-24</c:v>
                </c:pt>
                <c:pt idx="177">
                  <c:v>6-sep-24</c:v>
                </c:pt>
                <c:pt idx="178">
                  <c:v>9-sep-24</c:v>
                </c:pt>
                <c:pt idx="179">
                  <c:v>10-sep-24</c:v>
                </c:pt>
                <c:pt idx="180">
                  <c:v>11-sep-24</c:v>
                </c:pt>
                <c:pt idx="181">
                  <c:v>12-sep-24</c:v>
                </c:pt>
                <c:pt idx="182">
                  <c:v>13-sep-24</c:v>
                </c:pt>
                <c:pt idx="183">
                  <c:v>16-sep-24</c:v>
                </c:pt>
                <c:pt idx="184">
                  <c:v>17-sep-24</c:v>
                </c:pt>
                <c:pt idx="185">
                  <c:v>19-sep-24</c:v>
                </c:pt>
                <c:pt idx="186">
                  <c:v>20-sep-24</c:v>
                </c:pt>
                <c:pt idx="187">
                  <c:v>24-sep-24</c:v>
                </c:pt>
                <c:pt idx="188">
                  <c:v>25-sep-24</c:v>
                </c:pt>
                <c:pt idx="189">
                  <c:v>4-oct-24</c:v>
                </c:pt>
                <c:pt idx="190">
                  <c:v>9-oct-24</c:v>
                </c:pt>
                <c:pt idx="191">
                  <c:v>10-oct-24</c:v>
                </c:pt>
                <c:pt idx="192">
                  <c:v>11-oct-24</c:v>
                </c:pt>
                <c:pt idx="193">
                  <c:v>15-oct-24</c:v>
                </c:pt>
                <c:pt idx="194">
                  <c:v>16-oct-24</c:v>
                </c:pt>
                <c:pt idx="195">
                  <c:v>17-oct-24</c:v>
                </c:pt>
                <c:pt idx="196">
                  <c:v>18-oct-24</c:v>
                </c:pt>
                <c:pt idx="197">
                  <c:v>8-nov-24</c:v>
                </c:pt>
                <c:pt idx="198">
                  <c:v>14-nov-24</c:v>
                </c:pt>
                <c:pt idx="199">
                  <c:v>15-nov-24</c:v>
                </c:pt>
                <c:pt idx="200">
                  <c:v>18-nov-24</c:v>
                </c:pt>
                <c:pt idx="201">
                  <c:v>19-nov-24</c:v>
                </c:pt>
                <c:pt idx="202">
                  <c:v>20-nov-24</c:v>
                </c:pt>
                <c:pt idx="203">
                  <c:v>22-nov-24</c:v>
                </c:pt>
                <c:pt idx="204">
                  <c:v>25-nov-24</c:v>
                </c:pt>
                <c:pt idx="205">
                  <c:v>26-nov-24</c:v>
                </c:pt>
                <c:pt idx="206">
                  <c:v>27-nov-24</c:v>
                </c:pt>
                <c:pt idx="207">
                  <c:v>29-nov-24</c:v>
                </c:pt>
                <c:pt idx="208">
                  <c:v>12-feb-25</c:v>
                </c:pt>
                <c:pt idx="209">
                  <c:v>13-feb-25</c:v>
                </c:pt>
                <c:pt idx="210">
                  <c:v>14-feb-25</c:v>
                </c:pt>
                <c:pt idx="211">
                  <c:v>18-feb-25</c:v>
                </c:pt>
                <c:pt idx="212">
                  <c:v>19-feb-25</c:v>
                </c:pt>
                <c:pt idx="213">
                  <c:v>20-feb-25</c:v>
                </c:pt>
                <c:pt idx="214">
                  <c:v>21-feb-25</c:v>
                </c:pt>
                <c:pt idx="215">
                  <c:v>24-feb-25</c:v>
                </c:pt>
                <c:pt idx="216">
                  <c:v>25-feb-25</c:v>
                </c:pt>
                <c:pt idx="217">
                  <c:v>27-feb-25</c:v>
                </c:pt>
                <c:pt idx="218">
                  <c:v>28-feb-25</c:v>
                </c:pt>
                <c:pt idx="219">
                  <c:v>3-mar-25</c:v>
                </c:pt>
                <c:pt idx="220">
                  <c:v>4-mar-25</c:v>
                </c:pt>
                <c:pt idx="221">
                  <c:v>5-mar-25</c:v>
                </c:pt>
                <c:pt idx="222">
                  <c:v>6-mar-25</c:v>
                </c:pt>
                <c:pt idx="223">
                  <c:v>7-mar-25</c:v>
                </c:pt>
                <c:pt idx="224">
                  <c:v>10-mar-25</c:v>
                </c:pt>
                <c:pt idx="225">
                  <c:v>11-mar-25</c:v>
                </c:pt>
                <c:pt idx="226">
                  <c:v>12-mar-25</c:v>
                </c:pt>
                <c:pt idx="227">
                  <c:v>13-mar-25</c:v>
                </c:pt>
                <c:pt idx="228">
                  <c:v>8-may-25</c:v>
                </c:pt>
                <c:pt idx="229">
                  <c:v>9-may-25</c:v>
                </c:pt>
                <c:pt idx="230">
                  <c:v>20-may-25</c:v>
                </c:pt>
                <c:pt idx="231">
                  <c:v>20-may-25</c:v>
                </c:pt>
                <c:pt idx="232">
                  <c:v>3-jun-25</c:v>
                </c:pt>
                <c:pt idx="233">
                  <c:v>13-jun-25</c:v>
                </c:pt>
                <c:pt idx="234">
                  <c:v>22-jul-25</c:v>
                </c:pt>
                <c:pt idx="235">
                  <c:v>25-jul-25</c:v>
                </c:pt>
                <c:pt idx="236">
                  <c:v>31-jul-25</c:v>
                </c:pt>
                <c:pt idx="237">
                  <c:v>12-ago-25</c:v>
                </c:pt>
              </c:strCache>
            </c:strRef>
          </c:cat>
          <c:val>
            <c:numRef>
              <c:f>HISTORICO!$AA$6:$AA$31</c:f>
            </c:numRef>
          </c:val>
          <c:smooth val="0"/>
          <c:extLst>
            <c:ext xmlns:c16="http://schemas.microsoft.com/office/drawing/2014/chart" uri="{C3380CC4-5D6E-409C-BE32-E72D297353CC}">
              <c16:uniqueId val="{00000009-3961-4395-B06B-21960751F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866912"/>
        <c:axId val="344857344"/>
      </c:lineChart>
      <c:catAx>
        <c:axId val="211202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2112008736"/>
        <c:crosses val="autoZero"/>
        <c:auto val="1"/>
        <c:lblAlgn val="ctr"/>
        <c:lblOffset val="100"/>
        <c:noMultiLvlLbl val="1"/>
      </c:catAx>
      <c:valAx>
        <c:axId val="2112008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/>
                  <a:t>Miles</a:t>
                </a:r>
                <a:r>
                  <a:rPr lang="es-CO" baseline="0"/>
                  <a:t> de millones de pesos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#,##0,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2112023712"/>
        <c:crosses val="autoZero"/>
        <c:crossBetween val="between"/>
      </c:valAx>
      <c:valAx>
        <c:axId val="34485734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/>
                  <a:t>Como % del</a:t>
                </a:r>
                <a:r>
                  <a:rPr lang="es-CO" baseline="0"/>
                  <a:t> monto total canjeado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344866912"/>
        <c:crosses val="max"/>
        <c:crossBetween val="between"/>
      </c:valAx>
      <c:catAx>
        <c:axId val="344866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4485734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HISTORICO!$V$5</c:f>
              <c:strCache>
                <c:ptCount val="1"/>
                <c:pt idx="0">
                  <c:v>Efecto fiscal neto (tesorería)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HISTORICO!$D$6:$D$31</c:f>
              <c:strCache>
                <c:ptCount val="26"/>
                <c:pt idx="0">
                  <c:v>20-sep-11</c:v>
                </c:pt>
                <c:pt idx="1">
                  <c:v>2-oct-14</c:v>
                </c:pt>
                <c:pt idx="2">
                  <c:v>17-may-16</c:v>
                </c:pt>
                <c:pt idx="3">
                  <c:v>4-oct-18</c:v>
                </c:pt>
                <c:pt idx="4">
                  <c:v>19-mar-19</c:v>
                </c:pt>
                <c:pt idx="5">
                  <c:v>22-oct-19</c:v>
                </c:pt>
                <c:pt idx="6">
                  <c:v>23-abr-20</c:v>
                </c:pt>
                <c:pt idx="7">
                  <c:v>12-may-20</c:v>
                </c:pt>
                <c:pt idx="8">
                  <c:v>14-may-20</c:v>
                </c:pt>
                <c:pt idx="9">
                  <c:v>20-may-20</c:v>
                </c:pt>
                <c:pt idx="10">
                  <c:v>21-jul-20</c:v>
                </c:pt>
                <c:pt idx="11">
                  <c:v>4-sep-20</c:v>
                </c:pt>
                <c:pt idx="12">
                  <c:v>11-sep-20</c:v>
                </c:pt>
                <c:pt idx="13">
                  <c:v>11-sep-20</c:v>
                </c:pt>
                <c:pt idx="14">
                  <c:v>22-oct-20</c:v>
                </c:pt>
                <c:pt idx="15">
                  <c:v>16-dic-20</c:v>
                </c:pt>
                <c:pt idx="16">
                  <c:v>12-mar-21</c:v>
                </c:pt>
                <c:pt idx="17">
                  <c:v>13-ago-21</c:v>
                </c:pt>
                <c:pt idx="18">
                  <c:v>26-ago-21</c:v>
                </c:pt>
                <c:pt idx="19">
                  <c:v>21-sep-21</c:v>
                </c:pt>
                <c:pt idx="20">
                  <c:v>1-oct-21</c:v>
                </c:pt>
                <c:pt idx="21">
                  <c:v>22-oct-21</c:v>
                </c:pt>
                <c:pt idx="22">
                  <c:v>13-dic-21</c:v>
                </c:pt>
                <c:pt idx="23">
                  <c:v>14-mar-22</c:v>
                </c:pt>
                <c:pt idx="24">
                  <c:v>15-mar-22</c:v>
                </c:pt>
                <c:pt idx="25">
                  <c:v>16-mar-22</c:v>
                </c:pt>
              </c:strCache>
              <c:extLst xmlns:c15="http://schemas.microsoft.com/office/drawing/2012/chart"/>
            </c:strRef>
          </c:cat>
          <c:val>
            <c:numRef>
              <c:f>HISTORICO!$V$100:$V$112</c:f>
              <c:numCache>
                <c:formatCode>_("$"* #,##0_);_("$"* \(#,##0\);_("$"* "-"_);_(@_)</c:formatCode>
                <c:ptCount val="13"/>
                <c:pt idx="0">
                  <c:v>-17108340000</c:v>
                </c:pt>
                <c:pt idx="1">
                  <c:v>-16370250000</c:v>
                </c:pt>
                <c:pt idx="2">
                  <c:v>-21050080000</c:v>
                </c:pt>
                <c:pt idx="3">
                  <c:v>-24947865000</c:v>
                </c:pt>
                <c:pt idx="4">
                  <c:v>-42552550000</c:v>
                </c:pt>
                <c:pt idx="5">
                  <c:v>-21763920000</c:v>
                </c:pt>
                <c:pt idx="6">
                  <c:v>-14573650000</c:v>
                </c:pt>
                <c:pt idx="7">
                  <c:v>-20196280000</c:v>
                </c:pt>
                <c:pt idx="8">
                  <c:v>-14283249999.999969</c:v>
                </c:pt>
                <c:pt idx="9">
                  <c:v>-15346800000</c:v>
                </c:pt>
                <c:pt idx="10">
                  <c:v>-15318400000</c:v>
                </c:pt>
                <c:pt idx="11">
                  <c:v>61460100000</c:v>
                </c:pt>
                <c:pt idx="12">
                  <c:v>-7647400000.0000153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69-40AA-B969-78893BA6C3A1}"/>
            </c:ext>
          </c:extLst>
        </c:ser>
        <c:ser>
          <c:idx val="2"/>
          <c:order val="2"/>
          <c:tx>
            <c:strRef>
              <c:f>HISTORICO!$W$5</c:f>
              <c:strCache>
                <c:ptCount val="1"/>
                <c:pt idx="0">
                  <c:v>Efecto fiscal neto (mercado)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HISTORICO!$D$6:$D$31</c:f>
              <c:strCache>
                <c:ptCount val="26"/>
                <c:pt idx="0">
                  <c:v>20-sep-11</c:v>
                </c:pt>
                <c:pt idx="1">
                  <c:v>2-oct-14</c:v>
                </c:pt>
                <c:pt idx="2">
                  <c:v>17-may-16</c:v>
                </c:pt>
                <c:pt idx="3">
                  <c:v>4-oct-18</c:v>
                </c:pt>
                <c:pt idx="4">
                  <c:v>19-mar-19</c:v>
                </c:pt>
                <c:pt idx="5">
                  <c:v>22-oct-19</c:v>
                </c:pt>
                <c:pt idx="6">
                  <c:v>23-abr-20</c:v>
                </c:pt>
                <c:pt idx="7">
                  <c:v>12-may-20</c:v>
                </c:pt>
                <c:pt idx="8">
                  <c:v>14-may-20</c:v>
                </c:pt>
                <c:pt idx="9">
                  <c:v>20-may-20</c:v>
                </c:pt>
                <c:pt idx="10">
                  <c:v>21-jul-20</c:v>
                </c:pt>
                <c:pt idx="11">
                  <c:v>4-sep-20</c:v>
                </c:pt>
                <c:pt idx="12">
                  <c:v>11-sep-20</c:v>
                </c:pt>
                <c:pt idx="13">
                  <c:v>11-sep-20</c:v>
                </c:pt>
                <c:pt idx="14">
                  <c:v>22-oct-20</c:v>
                </c:pt>
                <c:pt idx="15">
                  <c:v>16-dic-20</c:v>
                </c:pt>
                <c:pt idx="16">
                  <c:v>12-mar-21</c:v>
                </c:pt>
                <c:pt idx="17">
                  <c:v>13-ago-21</c:v>
                </c:pt>
                <c:pt idx="18">
                  <c:v>26-ago-21</c:v>
                </c:pt>
                <c:pt idx="19">
                  <c:v>21-sep-21</c:v>
                </c:pt>
                <c:pt idx="20">
                  <c:v>1-oct-21</c:v>
                </c:pt>
                <c:pt idx="21">
                  <c:v>22-oct-21</c:v>
                </c:pt>
                <c:pt idx="22">
                  <c:v>13-dic-21</c:v>
                </c:pt>
                <c:pt idx="23">
                  <c:v>14-mar-22</c:v>
                </c:pt>
                <c:pt idx="24">
                  <c:v>15-mar-22</c:v>
                </c:pt>
                <c:pt idx="25">
                  <c:v>16-mar-22</c:v>
                </c:pt>
              </c:strCache>
              <c:extLst xmlns:c15="http://schemas.microsoft.com/office/drawing/2012/chart"/>
            </c:strRef>
          </c:cat>
          <c:val>
            <c:numRef>
              <c:f>HISTORICO!$W$99:$W$112</c:f>
              <c:numCache>
                <c:formatCode>_("$"* #,##0_);_("$"* \(#,##0\);_("$"* "-"_);_(@_)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69-40AA-B969-78893BA6C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39837407"/>
        <c:axId val="839836159"/>
      </c:barChart>
      <c:lineChart>
        <c:grouping val="standard"/>
        <c:varyColors val="0"/>
        <c:ser>
          <c:idx val="0"/>
          <c:order val="0"/>
          <c:tx>
            <c:strRef>
              <c:f>HISTORICO!$U$2</c:f>
              <c:strCache>
                <c:ptCount val="1"/>
                <c:pt idx="0">
                  <c:v>Efecto fiscal neto como % del monto canjeado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9"/>
            <c:spPr>
              <a:solidFill>
                <a:schemeClr val="bg1">
                  <a:lumMod val="65000"/>
                </a:schemeClr>
              </a:solidFill>
              <a:ln w="9525">
                <a:noFill/>
              </a:ln>
              <a:effectLst/>
            </c:spPr>
          </c:marker>
          <c:cat>
            <c:multiLvlStrRef>
              <c:f>HISTORICO!$D$100:$E$112</c:f>
              <c:multiLvlStrCache>
                <c:ptCount val="13"/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</c:lvl>
                <c:lvl>
                  <c:pt idx="0">
                    <c:v>24-mar-23</c:v>
                  </c:pt>
                  <c:pt idx="1">
                    <c:v>27-mar-23</c:v>
                  </c:pt>
                  <c:pt idx="2">
                    <c:v>28-mar-23</c:v>
                  </c:pt>
                  <c:pt idx="3">
                    <c:v>29-mar-23</c:v>
                  </c:pt>
                  <c:pt idx="4">
                    <c:v>30-mar-23</c:v>
                  </c:pt>
                  <c:pt idx="5">
                    <c:v>31-mar-23</c:v>
                  </c:pt>
                  <c:pt idx="6">
                    <c:v>3-abr-23</c:v>
                  </c:pt>
                  <c:pt idx="7">
                    <c:v>4-abr-23</c:v>
                  </c:pt>
                  <c:pt idx="8">
                    <c:v>10-abr-23</c:v>
                  </c:pt>
                  <c:pt idx="9">
                    <c:v>11-abr-23</c:v>
                  </c:pt>
                  <c:pt idx="10">
                    <c:v>12-abr-23</c:v>
                  </c:pt>
                  <c:pt idx="11">
                    <c:v>14-abr-23</c:v>
                  </c:pt>
                  <c:pt idx="12">
                    <c:v>19-abr-23</c:v>
                  </c:pt>
                </c:lvl>
              </c:multiLvlStrCache>
            </c:multiLvlStrRef>
          </c:cat>
          <c:val>
            <c:numRef>
              <c:f>HISTORICO!$U$100:$U$112</c:f>
              <c:numCache>
                <c:formatCode>_("$"* #,##0_);_("$"* \(#,##0\);_("$"* "-"_);_(@_)</c:formatCode>
                <c:ptCount val="13"/>
                <c:pt idx="0">
                  <c:v>-17108340000</c:v>
                </c:pt>
                <c:pt idx="1">
                  <c:v>-16370250000</c:v>
                </c:pt>
                <c:pt idx="2">
                  <c:v>-21050080000</c:v>
                </c:pt>
                <c:pt idx="3">
                  <c:v>-24947865000</c:v>
                </c:pt>
                <c:pt idx="4">
                  <c:v>-42552550000</c:v>
                </c:pt>
                <c:pt idx="5">
                  <c:v>-21763920000</c:v>
                </c:pt>
                <c:pt idx="6">
                  <c:v>-14573650000</c:v>
                </c:pt>
                <c:pt idx="7">
                  <c:v>-20196280000</c:v>
                </c:pt>
                <c:pt idx="8">
                  <c:v>-14283249999.999969</c:v>
                </c:pt>
                <c:pt idx="9">
                  <c:v>-15346800000</c:v>
                </c:pt>
                <c:pt idx="10">
                  <c:v>-15318400000</c:v>
                </c:pt>
                <c:pt idx="11">
                  <c:v>61460100000</c:v>
                </c:pt>
                <c:pt idx="12">
                  <c:v>-7647400000.0000153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9-40AA-B969-78893BA6C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837407"/>
        <c:axId val="839836159"/>
      </c:lineChart>
      <c:catAx>
        <c:axId val="8398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839836159"/>
        <c:crosses val="autoZero"/>
        <c:auto val="1"/>
        <c:lblAlgn val="ctr"/>
        <c:lblOffset val="100"/>
        <c:noMultiLvlLbl val="0"/>
      </c:catAx>
      <c:valAx>
        <c:axId val="839836159"/>
        <c:scaling>
          <c:orientation val="minMax"/>
          <c:max val="350000000000"/>
          <c:min val="-350000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/>
                  <a:t>COP $MM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&quot;$&quot;\ ###0,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83983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4647228760839"/>
          <c:y val="9.9805607831571733E-2"/>
          <c:w val="0.77861031633137012"/>
          <c:h val="0.6910669874477708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HISTORICO!$V$4</c:f>
              <c:strCache>
                <c:ptCount val="1"/>
                <c:pt idx="0">
                  <c:v>DGCPTN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HISTORICO!$D$100:$E$337</c:f>
              <c:multiLvlStrCache>
                <c:ptCount val="238"/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2024</c:v>
                  </c:pt>
                  <c:pt idx="73">
                    <c:v>2024</c:v>
                  </c:pt>
                  <c:pt idx="74">
                    <c:v>2024</c:v>
                  </c:pt>
                  <c:pt idx="75">
                    <c:v>2024</c:v>
                  </c:pt>
                  <c:pt idx="76">
                    <c:v>2024</c:v>
                  </c:pt>
                  <c:pt idx="77">
                    <c:v>2024</c:v>
                  </c:pt>
                  <c:pt idx="78">
                    <c:v>2024</c:v>
                  </c:pt>
                  <c:pt idx="79">
                    <c:v>2024</c:v>
                  </c:pt>
                  <c:pt idx="80">
                    <c:v>2024</c:v>
                  </c:pt>
                  <c:pt idx="81">
                    <c:v>2024</c:v>
                  </c:pt>
                  <c:pt idx="82">
                    <c:v>2024</c:v>
                  </c:pt>
                  <c:pt idx="83">
                    <c:v>2024</c:v>
                  </c:pt>
                  <c:pt idx="84">
                    <c:v>2024</c:v>
                  </c:pt>
                  <c:pt idx="85">
                    <c:v>2024</c:v>
                  </c:pt>
                  <c:pt idx="86">
                    <c:v>2024</c:v>
                  </c:pt>
                  <c:pt idx="87">
                    <c:v>2024</c:v>
                  </c:pt>
                  <c:pt idx="88">
                    <c:v>2024</c:v>
                  </c:pt>
                  <c:pt idx="89">
                    <c:v>2024</c:v>
                  </c:pt>
                  <c:pt idx="90">
                    <c:v>2024</c:v>
                  </c:pt>
                  <c:pt idx="91">
                    <c:v>2024</c:v>
                  </c:pt>
                  <c:pt idx="92">
                    <c:v>2024</c:v>
                  </c:pt>
                  <c:pt idx="93">
                    <c:v>2024</c:v>
                  </c:pt>
                  <c:pt idx="94">
                    <c:v>2024</c:v>
                  </c:pt>
                  <c:pt idx="95">
                    <c:v>2024</c:v>
                  </c:pt>
                  <c:pt idx="96">
                    <c:v>2024</c:v>
                  </c:pt>
                  <c:pt idx="97">
                    <c:v>2024</c:v>
                  </c:pt>
                  <c:pt idx="98">
                    <c:v>2024</c:v>
                  </c:pt>
                  <c:pt idx="99">
                    <c:v>2024</c:v>
                  </c:pt>
                  <c:pt idx="100">
                    <c:v>2024</c:v>
                  </c:pt>
                  <c:pt idx="101">
                    <c:v>2024</c:v>
                  </c:pt>
                  <c:pt idx="102">
                    <c:v>2024</c:v>
                  </c:pt>
                  <c:pt idx="103">
                    <c:v>2024</c:v>
                  </c:pt>
                  <c:pt idx="104">
                    <c:v>2024</c:v>
                  </c:pt>
                  <c:pt idx="105">
                    <c:v>2024</c:v>
                  </c:pt>
                  <c:pt idx="106">
                    <c:v>2024</c:v>
                  </c:pt>
                  <c:pt idx="107">
                    <c:v>2024</c:v>
                  </c:pt>
                  <c:pt idx="108">
                    <c:v>2024</c:v>
                  </c:pt>
                  <c:pt idx="109">
                    <c:v>2024</c:v>
                  </c:pt>
                  <c:pt idx="110">
                    <c:v>2024</c:v>
                  </c:pt>
                  <c:pt idx="111">
                    <c:v>2024</c:v>
                  </c:pt>
                  <c:pt idx="112">
                    <c:v>2024</c:v>
                  </c:pt>
                  <c:pt idx="113">
                    <c:v>2024</c:v>
                  </c:pt>
                  <c:pt idx="114">
                    <c:v>2024</c:v>
                  </c:pt>
                  <c:pt idx="115">
                    <c:v>2024</c:v>
                  </c:pt>
                  <c:pt idx="116">
                    <c:v>2024</c:v>
                  </c:pt>
                  <c:pt idx="117">
                    <c:v>2024</c:v>
                  </c:pt>
                  <c:pt idx="118">
                    <c:v>2024</c:v>
                  </c:pt>
                  <c:pt idx="119">
                    <c:v>2024</c:v>
                  </c:pt>
                  <c:pt idx="120">
                    <c:v>2024</c:v>
                  </c:pt>
                  <c:pt idx="121">
                    <c:v>2024</c:v>
                  </c:pt>
                  <c:pt idx="122">
                    <c:v>2024</c:v>
                  </c:pt>
                  <c:pt idx="123">
                    <c:v>2024</c:v>
                  </c:pt>
                  <c:pt idx="124">
                    <c:v>2024</c:v>
                  </c:pt>
                  <c:pt idx="125">
                    <c:v>2024</c:v>
                  </c:pt>
                  <c:pt idx="126">
                    <c:v>2024</c:v>
                  </c:pt>
                  <c:pt idx="127">
                    <c:v>2024</c:v>
                  </c:pt>
                  <c:pt idx="128">
                    <c:v>2024</c:v>
                  </c:pt>
                  <c:pt idx="129">
                    <c:v>2024</c:v>
                  </c:pt>
                  <c:pt idx="130">
                    <c:v>2024</c:v>
                  </c:pt>
                  <c:pt idx="131">
                    <c:v>2024</c:v>
                  </c:pt>
                  <c:pt idx="132">
                    <c:v>2024</c:v>
                  </c:pt>
                  <c:pt idx="133">
                    <c:v>2024</c:v>
                  </c:pt>
                  <c:pt idx="134">
                    <c:v>2024</c:v>
                  </c:pt>
                  <c:pt idx="135">
                    <c:v>2024</c:v>
                  </c:pt>
                  <c:pt idx="136">
                    <c:v>2024</c:v>
                  </c:pt>
                  <c:pt idx="137">
                    <c:v>2024</c:v>
                  </c:pt>
                  <c:pt idx="138">
                    <c:v>2024</c:v>
                  </c:pt>
                  <c:pt idx="139">
                    <c:v>2024</c:v>
                  </c:pt>
                  <c:pt idx="140">
                    <c:v>2024</c:v>
                  </c:pt>
                  <c:pt idx="141">
                    <c:v>2024</c:v>
                  </c:pt>
                  <c:pt idx="142">
                    <c:v>2024</c:v>
                  </c:pt>
                  <c:pt idx="143">
                    <c:v>2024</c:v>
                  </c:pt>
                  <c:pt idx="144">
                    <c:v>2024</c:v>
                  </c:pt>
                  <c:pt idx="145">
                    <c:v>2024</c:v>
                  </c:pt>
                  <c:pt idx="146">
                    <c:v>2024</c:v>
                  </c:pt>
                  <c:pt idx="147">
                    <c:v>2024</c:v>
                  </c:pt>
                  <c:pt idx="148">
                    <c:v>2024</c:v>
                  </c:pt>
                  <c:pt idx="149">
                    <c:v>2024</c:v>
                  </c:pt>
                  <c:pt idx="150">
                    <c:v>2024</c:v>
                  </c:pt>
                  <c:pt idx="151">
                    <c:v>2024</c:v>
                  </c:pt>
                  <c:pt idx="152">
                    <c:v>2024</c:v>
                  </c:pt>
                  <c:pt idx="153">
                    <c:v>2024</c:v>
                  </c:pt>
                  <c:pt idx="154">
                    <c:v>2024</c:v>
                  </c:pt>
                  <c:pt idx="155">
                    <c:v>2024</c:v>
                  </c:pt>
                  <c:pt idx="156">
                    <c:v>2024</c:v>
                  </c:pt>
                  <c:pt idx="157">
                    <c:v>2024</c:v>
                  </c:pt>
                  <c:pt idx="158">
                    <c:v>2024</c:v>
                  </c:pt>
                  <c:pt idx="159">
                    <c:v>2024</c:v>
                  </c:pt>
                  <c:pt idx="160">
                    <c:v>2024</c:v>
                  </c:pt>
                  <c:pt idx="161">
                    <c:v>2024</c:v>
                  </c:pt>
                  <c:pt idx="162">
                    <c:v>2024</c:v>
                  </c:pt>
                  <c:pt idx="163">
                    <c:v>2024</c:v>
                  </c:pt>
                  <c:pt idx="164">
                    <c:v>2024</c:v>
                  </c:pt>
                  <c:pt idx="165">
                    <c:v>2024</c:v>
                  </c:pt>
                  <c:pt idx="166">
                    <c:v>2024</c:v>
                  </c:pt>
                  <c:pt idx="167">
                    <c:v>2024</c:v>
                  </c:pt>
                  <c:pt idx="168">
                    <c:v>2024</c:v>
                  </c:pt>
                  <c:pt idx="169">
                    <c:v>2024</c:v>
                  </c:pt>
                  <c:pt idx="170">
                    <c:v>2024</c:v>
                  </c:pt>
                  <c:pt idx="171">
                    <c:v>2024</c:v>
                  </c:pt>
                  <c:pt idx="172">
                    <c:v>2024</c:v>
                  </c:pt>
                  <c:pt idx="173">
                    <c:v>2024</c:v>
                  </c:pt>
                  <c:pt idx="174">
                    <c:v>2024</c:v>
                  </c:pt>
                  <c:pt idx="175">
                    <c:v>2024</c:v>
                  </c:pt>
                  <c:pt idx="176">
                    <c:v>2024</c:v>
                  </c:pt>
                  <c:pt idx="177">
                    <c:v>2024</c:v>
                  </c:pt>
                  <c:pt idx="178">
                    <c:v>2024</c:v>
                  </c:pt>
                  <c:pt idx="179">
                    <c:v>2024</c:v>
                  </c:pt>
                  <c:pt idx="180">
                    <c:v>2024</c:v>
                  </c:pt>
                  <c:pt idx="181">
                    <c:v>2024</c:v>
                  </c:pt>
                  <c:pt idx="182">
                    <c:v>2024</c:v>
                  </c:pt>
                  <c:pt idx="183">
                    <c:v>2024</c:v>
                  </c:pt>
                  <c:pt idx="184">
                    <c:v>2024</c:v>
                  </c:pt>
                  <c:pt idx="185">
                    <c:v>2024</c:v>
                  </c:pt>
                  <c:pt idx="186">
                    <c:v>2024</c:v>
                  </c:pt>
                  <c:pt idx="187">
                    <c:v>2024</c:v>
                  </c:pt>
                  <c:pt idx="188">
                    <c:v>2024</c:v>
                  </c:pt>
                  <c:pt idx="189">
                    <c:v>2024</c:v>
                  </c:pt>
                  <c:pt idx="190">
                    <c:v>2024</c:v>
                  </c:pt>
                  <c:pt idx="191">
                    <c:v>2024</c:v>
                  </c:pt>
                  <c:pt idx="192">
                    <c:v>2024</c:v>
                  </c:pt>
                  <c:pt idx="193">
                    <c:v>2024</c:v>
                  </c:pt>
                  <c:pt idx="194">
                    <c:v>2024</c:v>
                  </c:pt>
                  <c:pt idx="195">
                    <c:v>2024</c:v>
                  </c:pt>
                  <c:pt idx="196">
                    <c:v>2024</c:v>
                  </c:pt>
                  <c:pt idx="197">
                    <c:v>2024</c:v>
                  </c:pt>
                  <c:pt idx="198">
                    <c:v>2024</c:v>
                  </c:pt>
                  <c:pt idx="199">
                    <c:v>2024</c:v>
                  </c:pt>
                  <c:pt idx="200">
                    <c:v>2024</c:v>
                  </c:pt>
                  <c:pt idx="201">
                    <c:v>2024</c:v>
                  </c:pt>
                  <c:pt idx="202">
                    <c:v>2024</c:v>
                  </c:pt>
                  <c:pt idx="203">
                    <c:v>2024</c:v>
                  </c:pt>
                  <c:pt idx="204">
                    <c:v>2024</c:v>
                  </c:pt>
                  <c:pt idx="205">
                    <c:v>2024</c:v>
                  </c:pt>
                  <c:pt idx="206">
                    <c:v>2024</c:v>
                  </c:pt>
                  <c:pt idx="207">
                    <c:v>2024</c:v>
                  </c:pt>
                  <c:pt idx="208">
                    <c:v>2025</c:v>
                  </c:pt>
                  <c:pt idx="209">
                    <c:v>2025</c:v>
                  </c:pt>
                  <c:pt idx="210">
                    <c:v>2025</c:v>
                  </c:pt>
                  <c:pt idx="211">
                    <c:v>2025</c:v>
                  </c:pt>
                  <c:pt idx="212">
                    <c:v>2025</c:v>
                  </c:pt>
                  <c:pt idx="213">
                    <c:v>2025</c:v>
                  </c:pt>
                  <c:pt idx="214">
                    <c:v>2025</c:v>
                  </c:pt>
                  <c:pt idx="215">
                    <c:v>2025</c:v>
                  </c:pt>
                  <c:pt idx="216">
                    <c:v>2025</c:v>
                  </c:pt>
                  <c:pt idx="217">
                    <c:v>2025</c:v>
                  </c:pt>
                  <c:pt idx="218">
                    <c:v>2025</c:v>
                  </c:pt>
                  <c:pt idx="219">
                    <c:v>2025</c:v>
                  </c:pt>
                  <c:pt idx="220">
                    <c:v>2025</c:v>
                  </c:pt>
                  <c:pt idx="221">
                    <c:v>2025</c:v>
                  </c:pt>
                  <c:pt idx="222">
                    <c:v>2025</c:v>
                  </c:pt>
                  <c:pt idx="223">
                    <c:v>2025</c:v>
                  </c:pt>
                  <c:pt idx="224">
                    <c:v>2025</c:v>
                  </c:pt>
                  <c:pt idx="225">
                    <c:v>2025</c:v>
                  </c:pt>
                  <c:pt idx="226">
                    <c:v>2025</c:v>
                  </c:pt>
                  <c:pt idx="227">
                    <c:v>2025</c:v>
                  </c:pt>
                  <c:pt idx="228">
                    <c:v>2025</c:v>
                  </c:pt>
                  <c:pt idx="229">
                    <c:v>2025</c:v>
                  </c:pt>
                  <c:pt idx="230">
                    <c:v>2025</c:v>
                  </c:pt>
                  <c:pt idx="231">
                    <c:v>2025</c:v>
                  </c:pt>
                  <c:pt idx="232">
                    <c:v>2025</c:v>
                  </c:pt>
                  <c:pt idx="233">
                    <c:v>2025</c:v>
                  </c:pt>
                  <c:pt idx="234">
                    <c:v>2025</c:v>
                  </c:pt>
                  <c:pt idx="235">
                    <c:v>2025</c:v>
                  </c:pt>
                  <c:pt idx="236">
                    <c:v>2025</c:v>
                  </c:pt>
                  <c:pt idx="237">
                    <c:v>2025</c:v>
                  </c:pt>
                </c:lvl>
                <c:lvl>
                  <c:pt idx="0">
                    <c:v>24-mar-23</c:v>
                  </c:pt>
                  <c:pt idx="1">
                    <c:v>27-mar-23</c:v>
                  </c:pt>
                  <c:pt idx="2">
                    <c:v>28-mar-23</c:v>
                  </c:pt>
                  <c:pt idx="3">
                    <c:v>29-mar-23</c:v>
                  </c:pt>
                  <c:pt idx="4">
                    <c:v>30-mar-23</c:v>
                  </c:pt>
                  <c:pt idx="5">
                    <c:v>31-mar-23</c:v>
                  </c:pt>
                  <c:pt idx="6">
                    <c:v>3-abr-23</c:v>
                  </c:pt>
                  <c:pt idx="7">
                    <c:v>4-abr-23</c:v>
                  </c:pt>
                  <c:pt idx="8">
                    <c:v>10-abr-23</c:v>
                  </c:pt>
                  <c:pt idx="9">
                    <c:v>11-abr-23</c:v>
                  </c:pt>
                  <c:pt idx="10">
                    <c:v>12-abr-23</c:v>
                  </c:pt>
                  <c:pt idx="11">
                    <c:v>14-abr-23</c:v>
                  </c:pt>
                  <c:pt idx="12">
                    <c:v>19-abr-23</c:v>
                  </c:pt>
                  <c:pt idx="13">
                    <c:v>20-abr-23</c:v>
                  </c:pt>
                  <c:pt idx="14">
                    <c:v>21-abr-23</c:v>
                  </c:pt>
                  <c:pt idx="15">
                    <c:v>3-may-23</c:v>
                  </c:pt>
                  <c:pt idx="16">
                    <c:v>10-may-23</c:v>
                  </c:pt>
                  <c:pt idx="17">
                    <c:v>17-may-23</c:v>
                  </c:pt>
                  <c:pt idx="18">
                    <c:v>31-may-23</c:v>
                  </c:pt>
                  <c:pt idx="19">
                    <c:v>28-jun-23</c:v>
                  </c:pt>
                  <c:pt idx="20">
                    <c:v>30-jun-23</c:v>
                  </c:pt>
                  <c:pt idx="21">
                    <c:v>24-jul-23</c:v>
                  </c:pt>
                  <c:pt idx="22">
                    <c:v>25-jul-23</c:v>
                  </c:pt>
                  <c:pt idx="23">
                    <c:v>26-jul-23</c:v>
                  </c:pt>
                  <c:pt idx="24">
                    <c:v>28-jul-23</c:v>
                  </c:pt>
                  <c:pt idx="25">
                    <c:v>15-ago-23</c:v>
                  </c:pt>
                  <c:pt idx="26">
                    <c:v>16-ago-23</c:v>
                  </c:pt>
                  <c:pt idx="27">
                    <c:v>17-ago-23</c:v>
                  </c:pt>
                  <c:pt idx="28">
                    <c:v>18-ago-23</c:v>
                  </c:pt>
                  <c:pt idx="29">
                    <c:v>22-ago-23</c:v>
                  </c:pt>
                  <c:pt idx="30">
                    <c:v>23-ago-23</c:v>
                  </c:pt>
                  <c:pt idx="31">
                    <c:v>24-ago-23</c:v>
                  </c:pt>
                  <c:pt idx="32">
                    <c:v>28-ago-23</c:v>
                  </c:pt>
                  <c:pt idx="33">
                    <c:v>29-ago-23</c:v>
                  </c:pt>
                  <c:pt idx="34">
                    <c:v>30-ago-23</c:v>
                  </c:pt>
                  <c:pt idx="35">
                    <c:v>31-ago-23</c:v>
                  </c:pt>
                  <c:pt idx="36">
                    <c:v>4-sep-23</c:v>
                  </c:pt>
                  <c:pt idx="37">
                    <c:v>5-sep-23</c:v>
                  </c:pt>
                  <c:pt idx="38">
                    <c:v>7-sep-23</c:v>
                  </c:pt>
                  <c:pt idx="39">
                    <c:v>11-sep-23</c:v>
                  </c:pt>
                  <c:pt idx="40">
                    <c:v>12-sep-23</c:v>
                  </c:pt>
                  <c:pt idx="41">
                    <c:v>13-sep-23</c:v>
                  </c:pt>
                  <c:pt idx="42">
                    <c:v>15-sep-23</c:v>
                  </c:pt>
                  <c:pt idx="43">
                    <c:v>19-sep-23</c:v>
                  </c:pt>
                  <c:pt idx="44">
                    <c:v>20-sep-23</c:v>
                  </c:pt>
                  <c:pt idx="45">
                    <c:v>21-sep-23</c:v>
                  </c:pt>
                  <c:pt idx="46">
                    <c:v>25-sep-23</c:v>
                  </c:pt>
                  <c:pt idx="47">
                    <c:v>26-sep-23</c:v>
                  </c:pt>
                  <c:pt idx="48">
                    <c:v>28-sep-23</c:v>
                  </c:pt>
                  <c:pt idx="49">
                    <c:v>2-oct-23</c:v>
                  </c:pt>
                  <c:pt idx="50">
                    <c:v>4-oct-23</c:v>
                  </c:pt>
                  <c:pt idx="51">
                    <c:v>18-oct-23</c:v>
                  </c:pt>
                  <c:pt idx="52">
                    <c:v>19-oct-23</c:v>
                  </c:pt>
                  <c:pt idx="53">
                    <c:v>20-oct-23</c:v>
                  </c:pt>
                  <c:pt idx="54">
                    <c:v>23-oct-23</c:v>
                  </c:pt>
                  <c:pt idx="55">
                    <c:v>25-oct-23</c:v>
                  </c:pt>
                  <c:pt idx="56">
                    <c:v>27-oct-23</c:v>
                  </c:pt>
                  <c:pt idx="57">
                    <c:v>30-oct-23</c:v>
                  </c:pt>
                  <c:pt idx="58">
                    <c:v>31-oct-23</c:v>
                  </c:pt>
                  <c:pt idx="59">
                    <c:v>1-nov-23</c:v>
                  </c:pt>
                  <c:pt idx="60">
                    <c:v>2-nov-23</c:v>
                  </c:pt>
                  <c:pt idx="61">
                    <c:v>3-nov-23</c:v>
                  </c:pt>
                  <c:pt idx="62">
                    <c:v>7-nov-23</c:v>
                  </c:pt>
                  <c:pt idx="63">
                    <c:v>9-nov-23</c:v>
                  </c:pt>
                  <c:pt idx="64">
                    <c:v>14-nov-23</c:v>
                  </c:pt>
                  <c:pt idx="65">
                    <c:v>15-nov-23</c:v>
                  </c:pt>
                  <c:pt idx="66">
                    <c:v>16-nov-23</c:v>
                  </c:pt>
                  <c:pt idx="67">
                    <c:v>22-nov-23</c:v>
                  </c:pt>
                  <c:pt idx="68">
                    <c:v>28-nov-23</c:v>
                  </c:pt>
                  <c:pt idx="69">
                    <c:v>29-nov-23</c:v>
                  </c:pt>
                  <c:pt idx="70">
                    <c:v>4-dic-23</c:v>
                  </c:pt>
                  <c:pt idx="71">
                    <c:v>5-dic-23</c:v>
                  </c:pt>
                  <c:pt idx="72">
                    <c:v>19-feb-24</c:v>
                  </c:pt>
                  <c:pt idx="73">
                    <c:v>19-feb-24</c:v>
                  </c:pt>
                  <c:pt idx="74">
                    <c:v>20-feb-24</c:v>
                  </c:pt>
                  <c:pt idx="75">
                    <c:v>20-feb-24</c:v>
                  </c:pt>
                  <c:pt idx="76">
                    <c:v>21-feb-24</c:v>
                  </c:pt>
                  <c:pt idx="77">
                    <c:v>21-feb-24</c:v>
                  </c:pt>
                  <c:pt idx="78">
                    <c:v>22-feb-24</c:v>
                  </c:pt>
                  <c:pt idx="79">
                    <c:v>23-feb-24</c:v>
                  </c:pt>
                  <c:pt idx="80">
                    <c:v>26-feb-24</c:v>
                  </c:pt>
                  <c:pt idx="81">
                    <c:v>26-feb-24</c:v>
                  </c:pt>
                  <c:pt idx="82">
                    <c:v>27-feb-24</c:v>
                  </c:pt>
                  <c:pt idx="83">
                    <c:v>27-feb-24</c:v>
                  </c:pt>
                  <c:pt idx="84">
                    <c:v>28-feb-24</c:v>
                  </c:pt>
                  <c:pt idx="85">
                    <c:v>28-feb-24</c:v>
                  </c:pt>
                  <c:pt idx="86">
                    <c:v>29-feb-24</c:v>
                  </c:pt>
                  <c:pt idx="87">
                    <c:v>29-feb-24</c:v>
                  </c:pt>
                  <c:pt idx="88">
                    <c:v>1-mar-24</c:v>
                  </c:pt>
                  <c:pt idx="89">
                    <c:v>1-mar-24</c:v>
                  </c:pt>
                  <c:pt idx="90">
                    <c:v>4-mar-24</c:v>
                  </c:pt>
                  <c:pt idx="91">
                    <c:v>4-mar-24</c:v>
                  </c:pt>
                  <c:pt idx="92">
                    <c:v>5-mar-24</c:v>
                  </c:pt>
                  <c:pt idx="93">
                    <c:v>5-mar-24</c:v>
                  </c:pt>
                  <c:pt idx="94">
                    <c:v>6-mar-24</c:v>
                  </c:pt>
                  <c:pt idx="95">
                    <c:v>6-mar-24</c:v>
                  </c:pt>
                  <c:pt idx="96">
                    <c:v>7-mar-24</c:v>
                  </c:pt>
                  <c:pt idx="97">
                    <c:v>7-mar-24</c:v>
                  </c:pt>
                  <c:pt idx="98">
                    <c:v>13-mar-24</c:v>
                  </c:pt>
                  <c:pt idx="99">
                    <c:v>13-mar-24</c:v>
                  </c:pt>
                  <c:pt idx="100">
                    <c:v>14-mar-24</c:v>
                  </c:pt>
                  <c:pt idx="101">
                    <c:v>14-mar-24</c:v>
                  </c:pt>
                  <c:pt idx="102">
                    <c:v>15-mar-24</c:v>
                  </c:pt>
                  <c:pt idx="103">
                    <c:v>15-mar-24</c:v>
                  </c:pt>
                  <c:pt idx="104">
                    <c:v>20-mar-24</c:v>
                  </c:pt>
                  <c:pt idx="105">
                    <c:v>20-mar-24</c:v>
                  </c:pt>
                  <c:pt idx="106">
                    <c:v>21-mar-24</c:v>
                  </c:pt>
                  <c:pt idx="107">
                    <c:v>21-mar-24</c:v>
                  </c:pt>
                  <c:pt idx="108">
                    <c:v>22-mar-24</c:v>
                  </c:pt>
                  <c:pt idx="109">
                    <c:v>22-mar-24</c:v>
                  </c:pt>
                  <c:pt idx="110">
                    <c:v>1-abr-24</c:v>
                  </c:pt>
                  <c:pt idx="111">
                    <c:v>1-abr-24</c:v>
                  </c:pt>
                  <c:pt idx="112">
                    <c:v>2-abr-24</c:v>
                  </c:pt>
                  <c:pt idx="113">
                    <c:v>2-abr-24</c:v>
                  </c:pt>
                  <c:pt idx="114">
                    <c:v>12-abr-24</c:v>
                  </c:pt>
                  <c:pt idx="115">
                    <c:v>29-abr-24</c:v>
                  </c:pt>
                  <c:pt idx="116">
                    <c:v>30-abr-24</c:v>
                  </c:pt>
                  <c:pt idx="117">
                    <c:v>2-may-24</c:v>
                  </c:pt>
                  <c:pt idx="118">
                    <c:v>3-may-24</c:v>
                  </c:pt>
                  <c:pt idx="119">
                    <c:v>6-may-24</c:v>
                  </c:pt>
                  <c:pt idx="120">
                    <c:v>6-may-24</c:v>
                  </c:pt>
                  <c:pt idx="121">
                    <c:v>7-may-24</c:v>
                  </c:pt>
                  <c:pt idx="122">
                    <c:v>7-may-24</c:v>
                  </c:pt>
                  <c:pt idx="123">
                    <c:v>9-may-24</c:v>
                  </c:pt>
                  <c:pt idx="124">
                    <c:v>9-may-24</c:v>
                  </c:pt>
                  <c:pt idx="125">
                    <c:v>15-may-24</c:v>
                  </c:pt>
                  <c:pt idx="126">
                    <c:v>15-may-24</c:v>
                  </c:pt>
                  <c:pt idx="127">
                    <c:v>16-may-24</c:v>
                  </c:pt>
                  <c:pt idx="128">
                    <c:v>16-may-24</c:v>
                  </c:pt>
                  <c:pt idx="129">
                    <c:v>17-may-24</c:v>
                  </c:pt>
                  <c:pt idx="130">
                    <c:v>17-may-24</c:v>
                  </c:pt>
                  <c:pt idx="131">
                    <c:v>20-may-24</c:v>
                  </c:pt>
                  <c:pt idx="132">
                    <c:v>20-may-24</c:v>
                  </c:pt>
                  <c:pt idx="133">
                    <c:v>21-may-24</c:v>
                  </c:pt>
                  <c:pt idx="134">
                    <c:v>21-may-24</c:v>
                  </c:pt>
                  <c:pt idx="135">
                    <c:v>22-may-24</c:v>
                  </c:pt>
                  <c:pt idx="136">
                    <c:v>22-may-24</c:v>
                  </c:pt>
                  <c:pt idx="137">
                    <c:v>23-may-24</c:v>
                  </c:pt>
                  <c:pt idx="138">
                    <c:v>23-may-24</c:v>
                  </c:pt>
                  <c:pt idx="139">
                    <c:v>28-may-24</c:v>
                  </c:pt>
                  <c:pt idx="140">
                    <c:v>28-may-24</c:v>
                  </c:pt>
                  <c:pt idx="141">
                    <c:v>29-may-24</c:v>
                  </c:pt>
                  <c:pt idx="142">
                    <c:v>29-may-24</c:v>
                  </c:pt>
                  <c:pt idx="143">
                    <c:v>30-may-24</c:v>
                  </c:pt>
                  <c:pt idx="144">
                    <c:v>31-may-24</c:v>
                  </c:pt>
                  <c:pt idx="145">
                    <c:v>4-jun-24</c:v>
                  </c:pt>
                  <c:pt idx="146">
                    <c:v>5-jun-24</c:v>
                  </c:pt>
                  <c:pt idx="147">
                    <c:v>6-jun-24</c:v>
                  </c:pt>
                  <c:pt idx="148">
                    <c:v>7-jun-24</c:v>
                  </c:pt>
                  <c:pt idx="149">
                    <c:v>7-jun-24</c:v>
                  </c:pt>
                  <c:pt idx="150">
                    <c:v>11-jun-24</c:v>
                  </c:pt>
                  <c:pt idx="151">
                    <c:v>11-jun-24</c:v>
                  </c:pt>
                  <c:pt idx="152">
                    <c:v>18-jun-24</c:v>
                  </c:pt>
                  <c:pt idx="153">
                    <c:v>18-jun-24</c:v>
                  </c:pt>
                  <c:pt idx="154">
                    <c:v>19-jun-24</c:v>
                  </c:pt>
                  <c:pt idx="155">
                    <c:v>26-jun-24</c:v>
                  </c:pt>
                  <c:pt idx="156">
                    <c:v>27-jun-24</c:v>
                  </c:pt>
                  <c:pt idx="157">
                    <c:v>27-jun-24</c:v>
                  </c:pt>
                  <c:pt idx="158">
                    <c:v>23-jul-24</c:v>
                  </c:pt>
                  <c:pt idx="159">
                    <c:v>9-ago-24</c:v>
                  </c:pt>
                  <c:pt idx="160">
                    <c:v>12-ago-24</c:v>
                  </c:pt>
                  <c:pt idx="161">
                    <c:v>13-ago-24</c:v>
                  </c:pt>
                  <c:pt idx="162">
                    <c:v>14-ago-24</c:v>
                  </c:pt>
                  <c:pt idx="163">
                    <c:v>15-ago-24</c:v>
                  </c:pt>
                  <c:pt idx="164">
                    <c:v>16-ago-24</c:v>
                  </c:pt>
                  <c:pt idx="165">
                    <c:v>20-ago-24</c:v>
                  </c:pt>
                  <c:pt idx="166">
                    <c:v>21-ago-24</c:v>
                  </c:pt>
                  <c:pt idx="167">
                    <c:v>22-ago-24</c:v>
                  </c:pt>
                  <c:pt idx="168">
                    <c:v>26-ago-24</c:v>
                  </c:pt>
                  <c:pt idx="169">
                    <c:v>27-ago-24</c:v>
                  </c:pt>
                  <c:pt idx="170">
                    <c:v>28-ago-24</c:v>
                  </c:pt>
                  <c:pt idx="171">
                    <c:v>29-ago-24</c:v>
                  </c:pt>
                  <c:pt idx="172">
                    <c:v>30-ago-24</c:v>
                  </c:pt>
                  <c:pt idx="173">
                    <c:v>2-sep-24</c:v>
                  </c:pt>
                  <c:pt idx="174">
                    <c:v>3-sep-24</c:v>
                  </c:pt>
                  <c:pt idx="175">
                    <c:v>4-sep-24</c:v>
                  </c:pt>
                  <c:pt idx="176">
                    <c:v>5-sep-24</c:v>
                  </c:pt>
                  <c:pt idx="177">
                    <c:v>6-sep-24</c:v>
                  </c:pt>
                  <c:pt idx="178">
                    <c:v>9-sep-24</c:v>
                  </c:pt>
                  <c:pt idx="179">
                    <c:v>10-sep-24</c:v>
                  </c:pt>
                  <c:pt idx="180">
                    <c:v>11-sep-24</c:v>
                  </c:pt>
                  <c:pt idx="181">
                    <c:v>12-sep-24</c:v>
                  </c:pt>
                  <c:pt idx="182">
                    <c:v>13-sep-24</c:v>
                  </c:pt>
                  <c:pt idx="183">
                    <c:v>16-sep-24</c:v>
                  </c:pt>
                  <c:pt idx="184">
                    <c:v>17-sep-24</c:v>
                  </c:pt>
                  <c:pt idx="185">
                    <c:v>19-sep-24</c:v>
                  </c:pt>
                  <c:pt idx="186">
                    <c:v>20-sep-24</c:v>
                  </c:pt>
                  <c:pt idx="187">
                    <c:v>24-sep-24</c:v>
                  </c:pt>
                  <c:pt idx="188">
                    <c:v>25-sep-24</c:v>
                  </c:pt>
                  <c:pt idx="189">
                    <c:v>4-oct-24</c:v>
                  </c:pt>
                  <c:pt idx="190">
                    <c:v>9-oct-24</c:v>
                  </c:pt>
                  <c:pt idx="191">
                    <c:v>10-oct-24</c:v>
                  </c:pt>
                  <c:pt idx="192">
                    <c:v>11-oct-24</c:v>
                  </c:pt>
                  <c:pt idx="193">
                    <c:v>15-oct-24</c:v>
                  </c:pt>
                  <c:pt idx="194">
                    <c:v>16-oct-24</c:v>
                  </c:pt>
                  <c:pt idx="195">
                    <c:v>17-oct-24</c:v>
                  </c:pt>
                  <c:pt idx="196">
                    <c:v>18-oct-24</c:v>
                  </c:pt>
                  <c:pt idx="197">
                    <c:v>8-nov-24</c:v>
                  </c:pt>
                  <c:pt idx="198">
                    <c:v>14-nov-24</c:v>
                  </c:pt>
                  <c:pt idx="199">
                    <c:v>15-nov-24</c:v>
                  </c:pt>
                  <c:pt idx="200">
                    <c:v>18-nov-24</c:v>
                  </c:pt>
                  <c:pt idx="201">
                    <c:v>19-nov-24</c:v>
                  </c:pt>
                  <c:pt idx="202">
                    <c:v>20-nov-24</c:v>
                  </c:pt>
                  <c:pt idx="203">
                    <c:v>22-nov-24</c:v>
                  </c:pt>
                  <c:pt idx="204">
                    <c:v>25-nov-24</c:v>
                  </c:pt>
                  <c:pt idx="205">
                    <c:v>26-nov-24</c:v>
                  </c:pt>
                  <c:pt idx="206">
                    <c:v>27-nov-24</c:v>
                  </c:pt>
                  <c:pt idx="207">
                    <c:v>29-nov-24</c:v>
                  </c:pt>
                  <c:pt idx="208">
                    <c:v>12-feb-25</c:v>
                  </c:pt>
                  <c:pt idx="209">
                    <c:v>13-feb-25</c:v>
                  </c:pt>
                  <c:pt idx="210">
                    <c:v>14-feb-25</c:v>
                  </c:pt>
                  <c:pt idx="211">
                    <c:v>18-feb-25</c:v>
                  </c:pt>
                  <c:pt idx="212">
                    <c:v>19-feb-25</c:v>
                  </c:pt>
                  <c:pt idx="213">
                    <c:v>20-feb-25</c:v>
                  </c:pt>
                  <c:pt idx="214">
                    <c:v>21-feb-25</c:v>
                  </c:pt>
                  <c:pt idx="215">
                    <c:v>24-feb-25</c:v>
                  </c:pt>
                  <c:pt idx="216">
                    <c:v>25-feb-25</c:v>
                  </c:pt>
                  <c:pt idx="217">
                    <c:v>27-feb-25</c:v>
                  </c:pt>
                  <c:pt idx="218">
                    <c:v>28-feb-25</c:v>
                  </c:pt>
                  <c:pt idx="219">
                    <c:v>3-mar-25</c:v>
                  </c:pt>
                  <c:pt idx="220">
                    <c:v>4-mar-25</c:v>
                  </c:pt>
                  <c:pt idx="221">
                    <c:v>5-mar-25</c:v>
                  </c:pt>
                  <c:pt idx="222">
                    <c:v>6-mar-25</c:v>
                  </c:pt>
                  <c:pt idx="223">
                    <c:v>7-mar-25</c:v>
                  </c:pt>
                  <c:pt idx="224">
                    <c:v>10-mar-25</c:v>
                  </c:pt>
                  <c:pt idx="225">
                    <c:v>11-mar-25</c:v>
                  </c:pt>
                  <c:pt idx="226">
                    <c:v>12-mar-25</c:v>
                  </c:pt>
                  <c:pt idx="227">
                    <c:v>13-mar-25</c:v>
                  </c:pt>
                  <c:pt idx="228">
                    <c:v>8-may-25</c:v>
                  </c:pt>
                  <c:pt idx="229">
                    <c:v>9-may-25</c:v>
                  </c:pt>
                  <c:pt idx="230">
                    <c:v>20-may-25</c:v>
                  </c:pt>
                  <c:pt idx="231">
                    <c:v>20-may-25</c:v>
                  </c:pt>
                  <c:pt idx="232">
                    <c:v>3-jun-25</c:v>
                  </c:pt>
                  <c:pt idx="233">
                    <c:v>13-jun-25</c:v>
                  </c:pt>
                  <c:pt idx="234">
                    <c:v>22-jul-25</c:v>
                  </c:pt>
                  <c:pt idx="235">
                    <c:v>25-jul-25</c:v>
                  </c:pt>
                  <c:pt idx="236">
                    <c:v>31-jul-25</c:v>
                  </c:pt>
                  <c:pt idx="237">
                    <c:v>12-ago-25</c:v>
                  </c:pt>
                </c:lvl>
              </c:multiLvlStrCache>
            </c:multiLvlStrRef>
          </c:cat>
          <c:val>
            <c:numRef>
              <c:f>HISTORICO!$V$100:$V$337</c:f>
              <c:numCache>
                <c:formatCode>_("$"* #,##0_);_("$"* \(#,##0\);_("$"* "-"_);_(@_)</c:formatCode>
                <c:ptCount val="238"/>
                <c:pt idx="0">
                  <c:v>-17108340000</c:v>
                </c:pt>
                <c:pt idx="1">
                  <c:v>-16370250000</c:v>
                </c:pt>
                <c:pt idx="2">
                  <c:v>-21050080000</c:v>
                </c:pt>
                <c:pt idx="3">
                  <c:v>-24947865000</c:v>
                </c:pt>
                <c:pt idx="4">
                  <c:v>-42552550000</c:v>
                </c:pt>
                <c:pt idx="5">
                  <c:v>-21763920000</c:v>
                </c:pt>
                <c:pt idx="6">
                  <c:v>-14573650000</c:v>
                </c:pt>
                <c:pt idx="7">
                  <c:v>-20196280000</c:v>
                </c:pt>
                <c:pt idx="8">
                  <c:v>-14283249999.999969</c:v>
                </c:pt>
                <c:pt idx="9">
                  <c:v>-15346800000</c:v>
                </c:pt>
                <c:pt idx="10">
                  <c:v>-15318400000</c:v>
                </c:pt>
                <c:pt idx="11">
                  <c:v>61460100000</c:v>
                </c:pt>
                <c:pt idx="12">
                  <c:v>-7647400000.0000153</c:v>
                </c:pt>
                <c:pt idx="13">
                  <c:v>-41284940000</c:v>
                </c:pt>
                <c:pt idx="14">
                  <c:v>-8436750000</c:v>
                </c:pt>
                <c:pt idx="15">
                  <c:v>-12528570000.000027</c:v>
                </c:pt>
                <c:pt idx="16">
                  <c:v>-8921400000</c:v>
                </c:pt>
                <c:pt idx="17">
                  <c:v>-15096970000.000031</c:v>
                </c:pt>
                <c:pt idx="18">
                  <c:v>-21464250000</c:v>
                </c:pt>
                <c:pt idx="19">
                  <c:v>-25035000000.000061</c:v>
                </c:pt>
                <c:pt idx="20">
                  <c:v>-15282870000.000031</c:v>
                </c:pt>
                <c:pt idx="21">
                  <c:v>799219999.99999237</c:v>
                </c:pt>
                <c:pt idx="22">
                  <c:v>139199999.99999237</c:v>
                </c:pt>
                <c:pt idx="23">
                  <c:v>24090000.000030518</c:v>
                </c:pt>
                <c:pt idx="24">
                  <c:v>348950000.00003052</c:v>
                </c:pt>
                <c:pt idx="25">
                  <c:v>-8508576.0000152588</c:v>
                </c:pt>
                <c:pt idx="26">
                  <c:v>9349999.9999923706</c:v>
                </c:pt>
                <c:pt idx="27">
                  <c:v>-449068968</c:v>
                </c:pt>
                <c:pt idx="28">
                  <c:v>-47149616</c:v>
                </c:pt>
                <c:pt idx="29">
                  <c:v>24670000</c:v>
                </c:pt>
                <c:pt idx="30">
                  <c:v>156000000</c:v>
                </c:pt>
                <c:pt idx="31">
                  <c:v>152344999.99993896</c:v>
                </c:pt>
                <c:pt idx="32">
                  <c:v>13570000.000030518</c:v>
                </c:pt>
                <c:pt idx="33">
                  <c:v>12600000</c:v>
                </c:pt>
                <c:pt idx="34">
                  <c:v>-1858063.0000152588</c:v>
                </c:pt>
                <c:pt idx="35">
                  <c:v>17459999.999969482</c:v>
                </c:pt>
                <c:pt idx="36">
                  <c:v>14454999.999984741</c:v>
                </c:pt>
                <c:pt idx="37">
                  <c:v>300000.00001525879</c:v>
                </c:pt>
                <c:pt idx="38">
                  <c:v>5160000</c:v>
                </c:pt>
                <c:pt idx="39">
                  <c:v>19560000.000030518</c:v>
                </c:pt>
                <c:pt idx="40">
                  <c:v>-19099263.999984741</c:v>
                </c:pt>
                <c:pt idx="41">
                  <c:v>23245000</c:v>
                </c:pt>
                <c:pt idx="42">
                  <c:v>3870000</c:v>
                </c:pt>
                <c:pt idx="43">
                  <c:v>258110000.00000763</c:v>
                </c:pt>
                <c:pt idx="44">
                  <c:v>347280000</c:v>
                </c:pt>
                <c:pt idx="45">
                  <c:v>34565000.000015259</c:v>
                </c:pt>
                <c:pt idx="46">
                  <c:v>22375000.000015259</c:v>
                </c:pt>
                <c:pt idx="47">
                  <c:v>32700000.000007629</c:v>
                </c:pt>
                <c:pt idx="48">
                  <c:v>4055000</c:v>
                </c:pt>
                <c:pt idx="49">
                  <c:v>6035000</c:v>
                </c:pt>
                <c:pt idx="50">
                  <c:v>49380000</c:v>
                </c:pt>
                <c:pt idx="51">
                  <c:v>11045000.000007629</c:v>
                </c:pt>
                <c:pt idx="52">
                  <c:v>58280000.000007629</c:v>
                </c:pt>
                <c:pt idx="53">
                  <c:v>51759999.999984741</c:v>
                </c:pt>
                <c:pt idx="54">
                  <c:v>76140000.000007629</c:v>
                </c:pt>
                <c:pt idx="55">
                  <c:v>1190000</c:v>
                </c:pt>
                <c:pt idx="56">
                  <c:v>57489999.999996185</c:v>
                </c:pt>
                <c:pt idx="57">
                  <c:v>107175000</c:v>
                </c:pt>
                <c:pt idx="58">
                  <c:v>1585938589.5500031</c:v>
                </c:pt>
                <c:pt idx="59">
                  <c:v>-537388096</c:v>
                </c:pt>
                <c:pt idx="60">
                  <c:v>-1858122781</c:v>
                </c:pt>
                <c:pt idx="61">
                  <c:v>-2630372249.9999924</c:v>
                </c:pt>
                <c:pt idx="62">
                  <c:v>-18999999.999969482</c:v>
                </c:pt>
                <c:pt idx="63">
                  <c:v>-259561496</c:v>
                </c:pt>
                <c:pt idx="64">
                  <c:v>-2160953068</c:v>
                </c:pt>
                <c:pt idx="65">
                  <c:v>-988312215</c:v>
                </c:pt>
                <c:pt idx="66">
                  <c:v>-4973652340.0000229</c:v>
                </c:pt>
                <c:pt idx="67">
                  <c:v>-2417073024.0000305</c:v>
                </c:pt>
                <c:pt idx="68">
                  <c:v>-20254165000</c:v>
                </c:pt>
                <c:pt idx="69">
                  <c:v>488200000</c:v>
                </c:pt>
                <c:pt idx="70">
                  <c:v>-297227671</c:v>
                </c:pt>
                <c:pt idx="71">
                  <c:v>352606630</c:v>
                </c:pt>
                <c:pt idx="72">
                  <c:v>-3060919999.9999924</c:v>
                </c:pt>
                <c:pt idx="73">
                  <c:v>1771467436.2000008</c:v>
                </c:pt>
                <c:pt idx="74">
                  <c:v>-9989340000</c:v>
                </c:pt>
                <c:pt idx="75">
                  <c:v>2356784817.9599991</c:v>
                </c:pt>
                <c:pt idx="76">
                  <c:v>-7399800000</c:v>
                </c:pt>
                <c:pt idx="77">
                  <c:v>1812867289.1999989</c:v>
                </c:pt>
                <c:pt idx="78">
                  <c:v>-8860692000.0000305</c:v>
                </c:pt>
                <c:pt idx="79">
                  <c:v>-2922119999.9999847</c:v>
                </c:pt>
                <c:pt idx="80">
                  <c:v>-5695970000</c:v>
                </c:pt>
                <c:pt idx="81">
                  <c:v>2777138256.800005</c:v>
                </c:pt>
                <c:pt idx="82">
                  <c:v>-7723348000</c:v>
                </c:pt>
                <c:pt idx="83">
                  <c:v>3454980536.4000015</c:v>
                </c:pt>
                <c:pt idx="84">
                  <c:v>-4156750000</c:v>
                </c:pt>
                <c:pt idx="85">
                  <c:v>2123418495.999999</c:v>
                </c:pt>
                <c:pt idx="86">
                  <c:v>-11043729000</c:v>
                </c:pt>
                <c:pt idx="87">
                  <c:v>6173392748.0400009</c:v>
                </c:pt>
                <c:pt idx="88">
                  <c:v>-11118230000</c:v>
                </c:pt>
                <c:pt idx="89">
                  <c:v>7763807121.8400192</c:v>
                </c:pt>
                <c:pt idx="90">
                  <c:v>-7620087999.9999847</c:v>
                </c:pt>
                <c:pt idx="91">
                  <c:v>5153748965.0399857</c:v>
                </c:pt>
                <c:pt idx="92">
                  <c:v>-13592250999.999985</c:v>
                </c:pt>
                <c:pt idx="93">
                  <c:v>8184106799.6600113</c:v>
                </c:pt>
                <c:pt idx="94">
                  <c:v>-14261150000</c:v>
                </c:pt>
                <c:pt idx="95">
                  <c:v>7733984790.5099945</c:v>
                </c:pt>
                <c:pt idx="96">
                  <c:v>-25931370000</c:v>
                </c:pt>
                <c:pt idx="97">
                  <c:v>18690119433.440014</c:v>
                </c:pt>
                <c:pt idx="98">
                  <c:v>-16932177000</c:v>
                </c:pt>
                <c:pt idx="99">
                  <c:v>9496021320.3599854</c:v>
                </c:pt>
                <c:pt idx="100">
                  <c:v>-17512738999.999969</c:v>
                </c:pt>
                <c:pt idx="101">
                  <c:v>12746286185.880001</c:v>
                </c:pt>
                <c:pt idx="102">
                  <c:v>-23731400000.000015</c:v>
                </c:pt>
                <c:pt idx="103">
                  <c:v>14590337945.280022</c:v>
                </c:pt>
                <c:pt idx="104">
                  <c:v>-12024658000</c:v>
                </c:pt>
                <c:pt idx="105">
                  <c:v>9494122193.6249905</c:v>
                </c:pt>
                <c:pt idx="106">
                  <c:v>-27328637499.999939</c:v>
                </c:pt>
                <c:pt idx="107">
                  <c:v>25173238732.77005</c:v>
                </c:pt>
                <c:pt idx="108">
                  <c:v>-28705100000</c:v>
                </c:pt>
                <c:pt idx="109">
                  <c:v>26497356431.460022</c:v>
                </c:pt>
                <c:pt idx="110">
                  <c:v>-20409252000</c:v>
                </c:pt>
                <c:pt idx="111">
                  <c:v>9811846212.0299854</c:v>
                </c:pt>
                <c:pt idx="112">
                  <c:v>-10880750000</c:v>
                </c:pt>
                <c:pt idx="113">
                  <c:v>11572866366.075012</c:v>
                </c:pt>
                <c:pt idx="114">
                  <c:v>8918680373.2800045</c:v>
                </c:pt>
                <c:pt idx="115">
                  <c:v>12283220000</c:v>
                </c:pt>
                <c:pt idx="116">
                  <c:v>25682720862.960022</c:v>
                </c:pt>
                <c:pt idx="117">
                  <c:v>14727791108.479996</c:v>
                </c:pt>
                <c:pt idx="118">
                  <c:v>28257992777.820007</c:v>
                </c:pt>
                <c:pt idx="119">
                  <c:v>27049749999.999969</c:v>
                </c:pt>
                <c:pt idx="120">
                  <c:v>6974893363.4999924</c:v>
                </c:pt>
                <c:pt idx="121">
                  <c:v>25362000000.000031</c:v>
                </c:pt>
                <c:pt idx="122">
                  <c:v>22076506604.75</c:v>
                </c:pt>
                <c:pt idx="123">
                  <c:v>20970000000</c:v>
                </c:pt>
                <c:pt idx="124">
                  <c:v>2730617023.9575043</c:v>
                </c:pt>
                <c:pt idx="125">
                  <c:v>19420354200.800003</c:v>
                </c:pt>
                <c:pt idx="126">
                  <c:v>7480700000</c:v>
                </c:pt>
                <c:pt idx="127">
                  <c:v>38849358000</c:v>
                </c:pt>
                <c:pt idx="128">
                  <c:v>5153485358.5600052</c:v>
                </c:pt>
                <c:pt idx="129">
                  <c:v>23892475000</c:v>
                </c:pt>
                <c:pt idx="130">
                  <c:v>6968278832.6999969</c:v>
                </c:pt>
                <c:pt idx="131">
                  <c:v>11778555000</c:v>
                </c:pt>
                <c:pt idx="132">
                  <c:v>9869393142.1800156</c:v>
                </c:pt>
                <c:pt idx="133">
                  <c:v>45626940000.000061</c:v>
                </c:pt>
                <c:pt idx="134">
                  <c:v>2162101047.0749989</c:v>
                </c:pt>
                <c:pt idx="135">
                  <c:v>23857875000</c:v>
                </c:pt>
                <c:pt idx="136">
                  <c:v>7210040509.5</c:v>
                </c:pt>
                <c:pt idx="137">
                  <c:v>15774870000</c:v>
                </c:pt>
                <c:pt idx="138">
                  <c:v>4800562711.1999969</c:v>
                </c:pt>
                <c:pt idx="139">
                  <c:v>2122000000</c:v>
                </c:pt>
                <c:pt idx="140">
                  <c:v>19671644762</c:v>
                </c:pt>
                <c:pt idx="141">
                  <c:v>20966445000</c:v>
                </c:pt>
                <c:pt idx="142">
                  <c:v>2391140967.25</c:v>
                </c:pt>
                <c:pt idx="143">
                  <c:v>47362000000</c:v>
                </c:pt>
                <c:pt idx="144">
                  <c:v>12131280000.000008</c:v>
                </c:pt>
                <c:pt idx="145">
                  <c:v>18807600000</c:v>
                </c:pt>
                <c:pt idx="146">
                  <c:v>31171710000</c:v>
                </c:pt>
                <c:pt idx="147">
                  <c:v>44484599999.999878</c:v>
                </c:pt>
                <c:pt idx="148">
                  <c:v>21160929999.999969</c:v>
                </c:pt>
                <c:pt idx="149">
                  <c:v>14079190425</c:v>
                </c:pt>
                <c:pt idx="150">
                  <c:v>13025418000</c:v>
                </c:pt>
                <c:pt idx="151">
                  <c:v>4892397827.6250076</c:v>
                </c:pt>
                <c:pt idx="152">
                  <c:v>17888990000.000031</c:v>
                </c:pt>
                <c:pt idx="153">
                  <c:v>5062744113.8999977</c:v>
                </c:pt>
                <c:pt idx="154">
                  <c:v>6938505000.0000172</c:v>
                </c:pt>
                <c:pt idx="155">
                  <c:v>11699200000</c:v>
                </c:pt>
                <c:pt idx="156">
                  <c:v>13834999999.999969</c:v>
                </c:pt>
                <c:pt idx="157">
                  <c:v>12249473644.800003</c:v>
                </c:pt>
                <c:pt idx="158">
                  <c:v>21255433998</c:v>
                </c:pt>
                <c:pt idx="159">
                  <c:v>-6148011976.4620361</c:v>
                </c:pt>
                <c:pt idx="160">
                  <c:v>-2993611430.7041779</c:v>
                </c:pt>
                <c:pt idx="161">
                  <c:v>-12684908530.188721</c:v>
                </c:pt>
                <c:pt idx="162">
                  <c:v>-5327576472.9179382</c:v>
                </c:pt>
                <c:pt idx="163">
                  <c:v>-7694210850.7489624</c:v>
                </c:pt>
                <c:pt idx="164">
                  <c:v>-3230649491.5643921</c:v>
                </c:pt>
                <c:pt idx="165">
                  <c:v>-4801121120.4343567</c:v>
                </c:pt>
                <c:pt idx="166">
                  <c:v>-5866585874.1524658</c:v>
                </c:pt>
                <c:pt idx="167">
                  <c:v>-4518031576.5965271</c:v>
                </c:pt>
                <c:pt idx="168">
                  <c:v>-3750575347.5061951</c:v>
                </c:pt>
                <c:pt idx="169">
                  <c:v>-6169333563.7404785</c:v>
                </c:pt>
                <c:pt idx="170">
                  <c:v>-3870139595.2567444</c:v>
                </c:pt>
                <c:pt idx="171">
                  <c:v>-5631789770.5177307</c:v>
                </c:pt>
                <c:pt idx="172">
                  <c:v>-2140839448.4087372</c:v>
                </c:pt>
                <c:pt idx="173">
                  <c:v>-8047819960.1315918</c:v>
                </c:pt>
                <c:pt idx="174">
                  <c:v>-3308717769.1638718</c:v>
                </c:pt>
                <c:pt idx="175">
                  <c:v>-4479194667.4607849</c:v>
                </c:pt>
                <c:pt idx="176">
                  <c:v>-17066197010.845795</c:v>
                </c:pt>
                <c:pt idx="177">
                  <c:v>-10734699510.951843</c:v>
                </c:pt>
                <c:pt idx="178">
                  <c:v>-10804944369.301147</c:v>
                </c:pt>
                <c:pt idx="179">
                  <c:v>-7141308659.1981201</c:v>
                </c:pt>
                <c:pt idx="180">
                  <c:v>-8908815994.8940125</c:v>
                </c:pt>
                <c:pt idx="181">
                  <c:v>-1134802489.1875076</c:v>
                </c:pt>
                <c:pt idx="182">
                  <c:v>-6665488316.3587341</c:v>
                </c:pt>
                <c:pt idx="183">
                  <c:v>-2114842367.2002258</c:v>
                </c:pt>
                <c:pt idx="184">
                  <c:v>-6680313501.9634399</c:v>
                </c:pt>
                <c:pt idx="185">
                  <c:v>-5632306953.9951172</c:v>
                </c:pt>
                <c:pt idx="186">
                  <c:v>-10101007377.490355</c:v>
                </c:pt>
                <c:pt idx="187">
                  <c:v>-11616166841.080048</c:v>
                </c:pt>
                <c:pt idx="188">
                  <c:v>-4362903705.0617447</c:v>
                </c:pt>
                <c:pt idx="189">
                  <c:v>-12854154124.203011</c:v>
                </c:pt>
                <c:pt idx="190">
                  <c:v>-3036172227.5679932</c:v>
                </c:pt>
                <c:pt idx="191">
                  <c:v>-3653635797.2307491</c:v>
                </c:pt>
                <c:pt idx="192">
                  <c:v>-27929659113.905396</c:v>
                </c:pt>
                <c:pt idx="193">
                  <c:v>-2313825116.1042023</c:v>
                </c:pt>
                <c:pt idx="194">
                  <c:v>-6235542785.5443039</c:v>
                </c:pt>
                <c:pt idx="195">
                  <c:v>-6349819830.6237183</c:v>
                </c:pt>
                <c:pt idx="196">
                  <c:v>-759669632.36556292</c:v>
                </c:pt>
                <c:pt idx="197">
                  <c:v>-3310394397.9397888</c:v>
                </c:pt>
                <c:pt idx="198">
                  <c:v>-3020207110.0760498</c:v>
                </c:pt>
                <c:pt idx="199">
                  <c:v>-34468659.933776855</c:v>
                </c:pt>
                <c:pt idx="200">
                  <c:v>-3796089735.1308899</c:v>
                </c:pt>
                <c:pt idx="201">
                  <c:v>-10000012516.063477</c:v>
                </c:pt>
                <c:pt idx="202">
                  <c:v>-14548538335.027344</c:v>
                </c:pt>
                <c:pt idx="203">
                  <c:v>3256323468.7996368</c:v>
                </c:pt>
                <c:pt idx="204">
                  <c:v>200351822.49299622</c:v>
                </c:pt>
                <c:pt idx="205">
                  <c:v>-298033001.94064331</c:v>
                </c:pt>
                <c:pt idx="206">
                  <c:v>-1177749838.8540649</c:v>
                </c:pt>
                <c:pt idx="207">
                  <c:v>3156364080.951416</c:v>
                </c:pt>
                <c:pt idx="208">
                  <c:v>6106400000.0000153</c:v>
                </c:pt>
                <c:pt idx="209">
                  <c:v>34854550000</c:v>
                </c:pt>
                <c:pt idx="210">
                  <c:v>6557850000</c:v>
                </c:pt>
                <c:pt idx="211">
                  <c:v>47900160000</c:v>
                </c:pt>
                <c:pt idx="212">
                  <c:v>36420720000</c:v>
                </c:pt>
                <c:pt idx="213">
                  <c:v>45553340000</c:v>
                </c:pt>
                <c:pt idx="214">
                  <c:v>36448999999.999939</c:v>
                </c:pt>
                <c:pt idx="215">
                  <c:v>16010000000.000031</c:v>
                </c:pt>
                <c:pt idx="216">
                  <c:v>27246240000</c:v>
                </c:pt>
                <c:pt idx="217">
                  <c:v>17487730000</c:v>
                </c:pt>
                <c:pt idx="218">
                  <c:v>5526100000</c:v>
                </c:pt>
                <c:pt idx="219">
                  <c:v>3660160000.0000076</c:v>
                </c:pt>
                <c:pt idx="220">
                  <c:v>11276217999.999969</c:v>
                </c:pt>
                <c:pt idx="221">
                  <c:v>12299785200</c:v>
                </c:pt>
                <c:pt idx="222">
                  <c:v>11511800000</c:v>
                </c:pt>
                <c:pt idx="223">
                  <c:v>1339737684.61499</c:v>
                </c:pt>
                <c:pt idx="224">
                  <c:v>2499181443.3600154</c:v>
                </c:pt>
                <c:pt idx="225">
                  <c:v>5812893456.95996</c:v>
                </c:pt>
                <c:pt idx="226">
                  <c:v>8727600000</c:v>
                </c:pt>
                <c:pt idx="227">
                  <c:v>10786490000</c:v>
                </c:pt>
                <c:pt idx="228">
                  <c:v>1961234999.9999695</c:v>
                </c:pt>
                <c:pt idx="229">
                  <c:v>574404999.99999809</c:v>
                </c:pt>
                <c:pt idx="230">
                  <c:v>-1987414848.000061</c:v>
                </c:pt>
                <c:pt idx="231">
                  <c:v>0</c:v>
                </c:pt>
                <c:pt idx="232">
                  <c:v>0</c:v>
                </c:pt>
                <c:pt idx="233">
                  <c:v>129887473336.00049</c:v>
                </c:pt>
                <c:pt idx="234">
                  <c:v>-6484870554113</c:v>
                </c:pt>
                <c:pt idx="235">
                  <c:v>0</c:v>
                </c:pt>
                <c:pt idx="236">
                  <c:v>-25963638628</c:v>
                </c:pt>
                <c:pt idx="237">
                  <c:v>-446607140064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D-44D9-83C3-7829F37E9991}"/>
            </c:ext>
          </c:extLst>
        </c:ser>
        <c:ser>
          <c:idx val="1"/>
          <c:order val="1"/>
          <c:tx>
            <c:strRef>
              <c:f>HISTORICO!$W$4</c:f>
              <c:strCache>
                <c:ptCount val="1"/>
                <c:pt idx="0">
                  <c:v>Mercado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HISTORICO!$D$100:$E$337</c:f>
              <c:multiLvlStrCache>
                <c:ptCount val="238"/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2024</c:v>
                  </c:pt>
                  <c:pt idx="73">
                    <c:v>2024</c:v>
                  </c:pt>
                  <c:pt idx="74">
                    <c:v>2024</c:v>
                  </c:pt>
                  <c:pt idx="75">
                    <c:v>2024</c:v>
                  </c:pt>
                  <c:pt idx="76">
                    <c:v>2024</c:v>
                  </c:pt>
                  <c:pt idx="77">
                    <c:v>2024</c:v>
                  </c:pt>
                  <c:pt idx="78">
                    <c:v>2024</c:v>
                  </c:pt>
                  <c:pt idx="79">
                    <c:v>2024</c:v>
                  </c:pt>
                  <c:pt idx="80">
                    <c:v>2024</c:v>
                  </c:pt>
                  <c:pt idx="81">
                    <c:v>2024</c:v>
                  </c:pt>
                  <c:pt idx="82">
                    <c:v>2024</c:v>
                  </c:pt>
                  <c:pt idx="83">
                    <c:v>2024</c:v>
                  </c:pt>
                  <c:pt idx="84">
                    <c:v>2024</c:v>
                  </c:pt>
                  <c:pt idx="85">
                    <c:v>2024</c:v>
                  </c:pt>
                  <c:pt idx="86">
                    <c:v>2024</c:v>
                  </c:pt>
                  <c:pt idx="87">
                    <c:v>2024</c:v>
                  </c:pt>
                  <c:pt idx="88">
                    <c:v>2024</c:v>
                  </c:pt>
                  <c:pt idx="89">
                    <c:v>2024</c:v>
                  </c:pt>
                  <c:pt idx="90">
                    <c:v>2024</c:v>
                  </c:pt>
                  <c:pt idx="91">
                    <c:v>2024</c:v>
                  </c:pt>
                  <c:pt idx="92">
                    <c:v>2024</c:v>
                  </c:pt>
                  <c:pt idx="93">
                    <c:v>2024</c:v>
                  </c:pt>
                  <c:pt idx="94">
                    <c:v>2024</c:v>
                  </c:pt>
                  <c:pt idx="95">
                    <c:v>2024</c:v>
                  </c:pt>
                  <c:pt idx="96">
                    <c:v>2024</c:v>
                  </c:pt>
                  <c:pt idx="97">
                    <c:v>2024</c:v>
                  </c:pt>
                  <c:pt idx="98">
                    <c:v>2024</c:v>
                  </c:pt>
                  <c:pt idx="99">
                    <c:v>2024</c:v>
                  </c:pt>
                  <c:pt idx="100">
                    <c:v>2024</c:v>
                  </c:pt>
                  <c:pt idx="101">
                    <c:v>2024</c:v>
                  </c:pt>
                  <c:pt idx="102">
                    <c:v>2024</c:v>
                  </c:pt>
                  <c:pt idx="103">
                    <c:v>2024</c:v>
                  </c:pt>
                  <c:pt idx="104">
                    <c:v>2024</c:v>
                  </c:pt>
                  <c:pt idx="105">
                    <c:v>2024</c:v>
                  </c:pt>
                  <c:pt idx="106">
                    <c:v>2024</c:v>
                  </c:pt>
                  <c:pt idx="107">
                    <c:v>2024</c:v>
                  </c:pt>
                  <c:pt idx="108">
                    <c:v>2024</c:v>
                  </c:pt>
                  <c:pt idx="109">
                    <c:v>2024</c:v>
                  </c:pt>
                  <c:pt idx="110">
                    <c:v>2024</c:v>
                  </c:pt>
                  <c:pt idx="111">
                    <c:v>2024</c:v>
                  </c:pt>
                  <c:pt idx="112">
                    <c:v>2024</c:v>
                  </c:pt>
                  <c:pt idx="113">
                    <c:v>2024</c:v>
                  </c:pt>
                  <c:pt idx="114">
                    <c:v>2024</c:v>
                  </c:pt>
                  <c:pt idx="115">
                    <c:v>2024</c:v>
                  </c:pt>
                  <c:pt idx="116">
                    <c:v>2024</c:v>
                  </c:pt>
                  <c:pt idx="117">
                    <c:v>2024</c:v>
                  </c:pt>
                  <c:pt idx="118">
                    <c:v>2024</c:v>
                  </c:pt>
                  <c:pt idx="119">
                    <c:v>2024</c:v>
                  </c:pt>
                  <c:pt idx="120">
                    <c:v>2024</c:v>
                  </c:pt>
                  <c:pt idx="121">
                    <c:v>2024</c:v>
                  </c:pt>
                  <c:pt idx="122">
                    <c:v>2024</c:v>
                  </c:pt>
                  <c:pt idx="123">
                    <c:v>2024</c:v>
                  </c:pt>
                  <c:pt idx="124">
                    <c:v>2024</c:v>
                  </c:pt>
                  <c:pt idx="125">
                    <c:v>2024</c:v>
                  </c:pt>
                  <c:pt idx="126">
                    <c:v>2024</c:v>
                  </c:pt>
                  <c:pt idx="127">
                    <c:v>2024</c:v>
                  </c:pt>
                  <c:pt idx="128">
                    <c:v>2024</c:v>
                  </c:pt>
                  <c:pt idx="129">
                    <c:v>2024</c:v>
                  </c:pt>
                  <c:pt idx="130">
                    <c:v>2024</c:v>
                  </c:pt>
                  <c:pt idx="131">
                    <c:v>2024</c:v>
                  </c:pt>
                  <c:pt idx="132">
                    <c:v>2024</c:v>
                  </c:pt>
                  <c:pt idx="133">
                    <c:v>2024</c:v>
                  </c:pt>
                  <c:pt idx="134">
                    <c:v>2024</c:v>
                  </c:pt>
                  <c:pt idx="135">
                    <c:v>2024</c:v>
                  </c:pt>
                  <c:pt idx="136">
                    <c:v>2024</c:v>
                  </c:pt>
                  <c:pt idx="137">
                    <c:v>2024</c:v>
                  </c:pt>
                  <c:pt idx="138">
                    <c:v>2024</c:v>
                  </c:pt>
                  <c:pt idx="139">
                    <c:v>2024</c:v>
                  </c:pt>
                  <c:pt idx="140">
                    <c:v>2024</c:v>
                  </c:pt>
                  <c:pt idx="141">
                    <c:v>2024</c:v>
                  </c:pt>
                  <c:pt idx="142">
                    <c:v>2024</c:v>
                  </c:pt>
                  <c:pt idx="143">
                    <c:v>2024</c:v>
                  </c:pt>
                  <c:pt idx="144">
                    <c:v>2024</c:v>
                  </c:pt>
                  <c:pt idx="145">
                    <c:v>2024</c:v>
                  </c:pt>
                  <c:pt idx="146">
                    <c:v>2024</c:v>
                  </c:pt>
                  <c:pt idx="147">
                    <c:v>2024</c:v>
                  </c:pt>
                  <c:pt idx="148">
                    <c:v>2024</c:v>
                  </c:pt>
                  <c:pt idx="149">
                    <c:v>2024</c:v>
                  </c:pt>
                  <c:pt idx="150">
                    <c:v>2024</c:v>
                  </c:pt>
                  <c:pt idx="151">
                    <c:v>2024</c:v>
                  </c:pt>
                  <c:pt idx="152">
                    <c:v>2024</c:v>
                  </c:pt>
                  <c:pt idx="153">
                    <c:v>2024</c:v>
                  </c:pt>
                  <c:pt idx="154">
                    <c:v>2024</c:v>
                  </c:pt>
                  <c:pt idx="155">
                    <c:v>2024</c:v>
                  </c:pt>
                  <c:pt idx="156">
                    <c:v>2024</c:v>
                  </c:pt>
                  <c:pt idx="157">
                    <c:v>2024</c:v>
                  </c:pt>
                  <c:pt idx="158">
                    <c:v>2024</c:v>
                  </c:pt>
                  <c:pt idx="159">
                    <c:v>2024</c:v>
                  </c:pt>
                  <c:pt idx="160">
                    <c:v>2024</c:v>
                  </c:pt>
                  <c:pt idx="161">
                    <c:v>2024</c:v>
                  </c:pt>
                  <c:pt idx="162">
                    <c:v>2024</c:v>
                  </c:pt>
                  <c:pt idx="163">
                    <c:v>2024</c:v>
                  </c:pt>
                  <c:pt idx="164">
                    <c:v>2024</c:v>
                  </c:pt>
                  <c:pt idx="165">
                    <c:v>2024</c:v>
                  </c:pt>
                  <c:pt idx="166">
                    <c:v>2024</c:v>
                  </c:pt>
                  <c:pt idx="167">
                    <c:v>2024</c:v>
                  </c:pt>
                  <c:pt idx="168">
                    <c:v>2024</c:v>
                  </c:pt>
                  <c:pt idx="169">
                    <c:v>2024</c:v>
                  </c:pt>
                  <c:pt idx="170">
                    <c:v>2024</c:v>
                  </c:pt>
                  <c:pt idx="171">
                    <c:v>2024</c:v>
                  </c:pt>
                  <c:pt idx="172">
                    <c:v>2024</c:v>
                  </c:pt>
                  <c:pt idx="173">
                    <c:v>2024</c:v>
                  </c:pt>
                  <c:pt idx="174">
                    <c:v>2024</c:v>
                  </c:pt>
                  <c:pt idx="175">
                    <c:v>2024</c:v>
                  </c:pt>
                  <c:pt idx="176">
                    <c:v>2024</c:v>
                  </c:pt>
                  <c:pt idx="177">
                    <c:v>2024</c:v>
                  </c:pt>
                  <c:pt idx="178">
                    <c:v>2024</c:v>
                  </c:pt>
                  <c:pt idx="179">
                    <c:v>2024</c:v>
                  </c:pt>
                  <c:pt idx="180">
                    <c:v>2024</c:v>
                  </c:pt>
                  <c:pt idx="181">
                    <c:v>2024</c:v>
                  </c:pt>
                  <c:pt idx="182">
                    <c:v>2024</c:v>
                  </c:pt>
                  <c:pt idx="183">
                    <c:v>2024</c:v>
                  </c:pt>
                  <c:pt idx="184">
                    <c:v>2024</c:v>
                  </c:pt>
                  <c:pt idx="185">
                    <c:v>2024</c:v>
                  </c:pt>
                  <c:pt idx="186">
                    <c:v>2024</c:v>
                  </c:pt>
                  <c:pt idx="187">
                    <c:v>2024</c:v>
                  </c:pt>
                  <c:pt idx="188">
                    <c:v>2024</c:v>
                  </c:pt>
                  <c:pt idx="189">
                    <c:v>2024</c:v>
                  </c:pt>
                  <c:pt idx="190">
                    <c:v>2024</c:v>
                  </c:pt>
                  <c:pt idx="191">
                    <c:v>2024</c:v>
                  </c:pt>
                  <c:pt idx="192">
                    <c:v>2024</c:v>
                  </c:pt>
                  <c:pt idx="193">
                    <c:v>2024</c:v>
                  </c:pt>
                  <c:pt idx="194">
                    <c:v>2024</c:v>
                  </c:pt>
                  <c:pt idx="195">
                    <c:v>2024</c:v>
                  </c:pt>
                  <c:pt idx="196">
                    <c:v>2024</c:v>
                  </c:pt>
                  <c:pt idx="197">
                    <c:v>2024</c:v>
                  </c:pt>
                  <c:pt idx="198">
                    <c:v>2024</c:v>
                  </c:pt>
                  <c:pt idx="199">
                    <c:v>2024</c:v>
                  </c:pt>
                  <c:pt idx="200">
                    <c:v>2024</c:v>
                  </c:pt>
                  <c:pt idx="201">
                    <c:v>2024</c:v>
                  </c:pt>
                  <c:pt idx="202">
                    <c:v>2024</c:v>
                  </c:pt>
                  <c:pt idx="203">
                    <c:v>2024</c:v>
                  </c:pt>
                  <c:pt idx="204">
                    <c:v>2024</c:v>
                  </c:pt>
                  <c:pt idx="205">
                    <c:v>2024</c:v>
                  </c:pt>
                  <c:pt idx="206">
                    <c:v>2024</c:v>
                  </c:pt>
                  <c:pt idx="207">
                    <c:v>2024</c:v>
                  </c:pt>
                  <c:pt idx="208">
                    <c:v>2025</c:v>
                  </c:pt>
                  <c:pt idx="209">
                    <c:v>2025</c:v>
                  </c:pt>
                  <c:pt idx="210">
                    <c:v>2025</c:v>
                  </c:pt>
                  <c:pt idx="211">
                    <c:v>2025</c:v>
                  </c:pt>
                  <c:pt idx="212">
                    <c:v>2025</c:v>
                  </c:pt>
                  <c:pt idx="213">
                    <c:v>2025</c:v>
                  </c:pt>
                  <c:pt idx="214">
                    <c:v>2025</c:v>
                  </c:pt>
                  <c:pt idx="215">
                    <c:v>2025</c:v>
                  </c:pt>
                  <c:pt idx="216">
                    <c:v>2025</c:v>
                  </c:pt>
                  <c:pt idx="217">
                    <c:v>2025</c:v>
                  </c:pt>
                  <c:pt idx="218">
                    <c:v>2025</c:v>
                  </c:pt>
                  <c:pt idx="219">
                    <c:v>2025</c:v>
                  </c:pt>
                  <c:pt idx="220">
                    <c:v>2025</c:v>
                  </c:pt>
                  <c:pt idx="221">
                    <c:v>2025</c:v>
                  </c:pt>
                  <c:pt idx="222">
                    <c:v>2025</c:v>
                  </c:pt>
                  <c:pt idx="223">
                    <c:v>2025</c:v>
                  </c:pt>
                  <c:pt idx="224">
                    <c:v>2025</c:v>
                  </c:pt>
                  <c:pt idx="225">
                    <c:v>2025</c:v>
                  </c:pt>
                  <c:pt idx="226">
                    <c:v>2025</c:v>
                  </c:pt>
                  <c:pt idx="227">
                    <c:v>2025</c:v>
                  </c:pt>
                  <c:pt idx="228">
                    <c:v>2025</c:v>
                  </c:pt>
                  <c:pt idx="229">
                    <c:v>2025</c:v>
                  </c:pt>
                  <c:pt idx="230">
                    <c:v>2025</c:v>
                  </c:pt>
                  <c:pt idx="231">
                    <c:v>2025</c:v>
                  </c:pt>
                  <c:pt idx="232">
                    <c:v>2025</c:v>
                  </c:pt>
                  <c:pt idx="233">
                    <c:v>2025</c:v>
                  </c:pt>
                  <c:pt idx="234">
                    <c:v>2025</c:v>
                  </c:pt>
                  <c:pt idx="235">
                    <c:v>2025</c:v>
                  </c:pt>
                  <c:pt idx="236">
                    <c:v>2025</c:v>
                  </c:pt>
                  <c:pt idx="237">
                    <c:v>2025</c:v>
                  </c:pt>
                </c:lvl>
                <c:lvl>
                  <c:pt idx="0">
                    <c:v>24-mar-23</c:v>
                  </c:pt>
                  <c:pt idx="1">
                    <c:v>27-mar-23</c:v>
                  </c:pt>
                  <c:pt idx="2">
                    <c:v>28-mar-23</c:v>
                  </c:pt>
                  <c:pt idx="3">
                    <c:v>29-mar-23</c:v>
                  </c:pt>
                  <c:pt idx="4">
                    <c:v>30-mar-23</c:v>
                  </c:pt>
                  <c:pt idx="5">
                    <c:v>31-mar-23</c:v>
                  </c:pt>
                  <c:pt idx="6">
                    <c:v>3-abr-23</c:v>
                  </c:pt>
                  <c:pt idx="7">
                    <c:v>4-abr-23</c:v>
                  </c:pt>
                  <c:pt idx="8">
                    <c:v>10-abr-23</c:v>
                  </c:pt>
                  <c:pt idx="9">
                    <c:v>11-abr-23</c:v>
                  </c:pt>
                  <c:pt idx="10">
                    <c:v>12-abr-23</c:v>
                  </c:pt>
                  <c:pt idx="11">
                    <c:v>14-abr-23</c:v>
                  </c:pt>
                  <c:pt idx="12">
                    <c:v>19-abr-23</c:v>
                  </c:pt>
                  <c:pt idx="13">
                    <c:v>20-abr-23</c:v>
                  </c:pt>
                  <c:pt idx="14">
                    <c:v>21-abr-23</c:v>
                  </c:pt>
                  <c:pt idx="15">
                    <c:v>3-may-23</c:v>
                  </c:pt>
                  <c:pt idx="16">
                    <c:v>10-may-23</c:v>
                  </c:pt>
                  <c:pt idx="17">
                    <c:v>17-may-23</c:v>
                  </c:pt>
                  <c:pt idx="18">
                    <c:v>31-may-23</c:v>
                  </c:pt>
                  <c:pt idx="19">
                    <c:v>28-jun-23</c:v>
                  </c:pt>
                  <c:pt idx="20">
                    <c:v>30-jun-23</c:v>
                  </c:pt>
                  <c:pt idx="21">
                    <c:v>24-jul-23</c:v>
                  </c:pt>
                  <c:pt idx="22">
                    <c:v>25-jul-23</c:v>
                  </c:pt>
                  <c:pt idx="23">
                    <c:v>26-jul-23</c:v>
                  </c:pt>
                  <c:pt idx="24">
                    <c:v>28-jul-23</c:v>
                  </c:pt>
                  <c:pt idx="25">
                    <c:v>15-ago-23</c:v>
                  </c:pt>
                  <c:pt idx="26">
                    <c:v>16-ago-23</c:v>
                  </c:pt>
                  <c:pt idx="27">
                    <c:v>17-ago-23</c:v>
                  </c:pt>
                  <c:pt idx="28">
                    <c:v>18-ago-23</c:v>
                  </c:pt>
                  <c:pt idx="29">
                    <c:v>22-ago-23</c:v>
                  </c:pt>
                  <c:pt idx="30">
                    <c:v>23-ago-23</c:v>
                  </c:pt>
                  <c:pt idx="31">
                    <c:v>24-ago-23</c:v>
                  </c:pt>
                  <c:pt idx="32">
                    <c:v>28-ago-23</c:v>
                  </c:pt>
                  <c:pt idx="33">
                    <c:v>29-ago-23</c:v>
                  </c:pt>
                  <c:pt idx="34">
                    <c:v>30-ago-23</c:v>
                  </c:pt>
                  <c:pt idx="35">
                    <c:v>31-ago-23</c:v>
                  </c:pt>
                  <c:pt idx="36">
                    <c:v>4-sep-23</c:v>
                  </c:pt>
                  <c:pt idx="37">
                    <c:v>5-sep-23</c:v>
                  </c:pt>
                  <c:pt idx="38">
                    <c:v>7-sep-23</c:v>
                  </c:pt>
                  <c:pt idx="39">
                    <c:v>11-sep-23</c:v>
                  </c:pt>
                  <c:pt idx="40">
                    <c:v>12-sep-23</c:v>
                  </c:pt>
                  <c:pt idx="41">
                    <c:v>13-sep-23</c:v>
                  </c:pt>
                  <c:pt idx="42">
                    <c:v>15-sep-23</c:v>
                  </c:pt>
                  <c:pt idx="43">
                    <c:v>19-sep-23</c:v>
                  </c:pt>
                  <c:pt idx="44">
                    <c:v>20-sep-23</c:v>
                  </c:pt>
                  <c:pt idx="45">
                    <c:v>21-sep-23</c:v>
                  </c:pt>
                  <c:pt idx="46">
                    <c:v>25-sep-23</c:v>
                  </c:pt>
                  <c:pt idx="47">
                    <c:v>26-sep-23</c:v>
                  </c:pt>
                  <c:pt idx="48">
                    <c:v>28-sep-23</c:v>
                  </c:pt>
                  <c:pt idx="49">
                    <c:v>2-oct-23</c:v>
                  </c:pt>
                  <c:pt idx="50">
                    <c:v>4-oct-23</c:v>
                  </c:pt>
                  <c:pt idx="51">
                    <c:v>18-oct-23</c:v>
                  </c:pt>
                  <c:pt idx="52">
                    <c:v>19-oct-23</c:v>
                  </c:pt>
                  <c:pt idx="53">
                    <c:v>20-oct-23</c:v>
                  </c:pt>
                  <c:pt idx="54">
                    <c:v>23-oct-23</c:v>
                  </c:pt>
                  <c:pt idx="55">
                    <c:v>25-oct-23</c:v>
                  </c:pt>
                  <c:pt idx="56">
                    <c:v>27-oct-23</c:v>
                  </c:pt>
                  <c:pt idx="57">
                    <c:v>30-oct-23</c:v>
                  </c:pt>
                  <c:pt idx="58">
                    <c:v>31-oct-23</c:v>
                  </c:pt>
                  <c:pt idx="59">
                    <c:v>1-nov-23</c:v>
                  </c:pt>
                  <c:pt idx="60">
                    <c:v>2-nov-23</c:v>
                  </c:pt>
                  <c:pt idx="61">
                    <c:v>3-nov-23</c:v>
                  </c:pt>
                  <c:pt idx="62">
                    <c:v>7-nov-23</c:v>
                  </c:pt>
                  <c:pt idx="63">
                    <c:v>9-nov-23</c:v>
                  </c:pt>
                  <c:pt idx="64">
                    <c:v>14-nov-23</c:v>
                  </c:pt>
                  <c:pt idx="65">
                    <c:v>15-nov-23</c:v>
                  </c:pt>
                  <c:pt idx="66">
                    <c:v>16-nov-23</c:v>
                  </c:pt>
                  <c:pt idx="67">
                    <c:v>22-nov-23</c:v>
                  </c:pt>
                  <c:pt idx="68">
                    <c:v>28-nov-23</c:v>
                  </c:pt>
                  <c:pt idx="69">
                    <c:v>29-nov-23</c:v>
                  </c:pt>
                  <c:pt idx="70">
                    <c:v>4-dic-23</c:v>
                  </c:pt>
                  <c:pt idx="71">
                    <c:v>5-dic-23</c:v>
                  </c:pt>
                  <c:pt idx="72">
                    <c:v>19-feb-24</c:v>
                  </c:pt>
                  <c:pt idx="73">
                    <c:v>19-feb-24</c:v>
                  </c:pt>
                  <c:pt idx="74">
                    <c:v>20-feb-24</c:v>
                  </c:pt>
                  <c:pt idx="75">
                    <c:v>20-feb-24</c:v>
                  </c:pt>
                  <c:pt idx="76">
                    <c:v>21-feb-24</c:v>
                  </c:pt>
                  <c:pt idx="77">
                    <c:v>21-feb-24</c:v>
                  </c:pt>
                  <c:pt idx="78">
                    <c:v>22-feb-24</c:v>
                  </c:pt>
                  <c:pt idx="79">
                    <c:v>23-feb-24</c:v>
                  </c:pt>
                  <c:pt idx="80">
                    <c:v>26-feb-24</c:v>
                  </c:pt>
                  <c:pt idx="81">
                    <c:v>26-feb-24</c:v>
                  </c:pt>
                  <c:pt idx="82">
                    <c:v>27-feb-24</c:v>
                  </c:pt>
                  <c:pt idx="83">
                    <c:v>27-feb-24</c:v>
                  </c:pt>
                  <c:pt idx="84">
                    <c:v>28-feb-24</c:v>
                  </c:pt>
                  <c:pt idx="85">
                    <c:v>28-feb-24</c:v>
                  </c:pt>
                  <c:pt idx="86">
                    <c:v>29-feb-24</c:v>
                  </c:pt>
                  <c:pt idx="87">
                    <c:v>29-feb-24</c:v>
                  </c:pt>
                  <c:pt idx="88">
                    <c:v>1-mar-24</c:v>
                  </c:pt>
                  <c:pt idx="89">
                    <c:v>1-mar-24</c:v>
                  </c:pt>
                  <c:pt idx="90">
                    <c:v>4-mar-24</c:v>
                  </c:pt>
                  <c:pt idx="91">
                    <c:v>4-mar-24</c:v>
                  </c:pt>
                  <c:pt idx="92">
                    <c:v>5-mar-24</c:v>
                  </c:pt>
                  <c:pt idx="93">
                    <c:v>5-mar-24</c:v>
                  </c:pt>
                  <c:pt idx="94">
                    <c:v>6-mar-24</c:v>
                  </c:pt>
                  <c:pt idx="95">
                    <c:v>6-mar-24</c:v>
                  </c:pt>
                  <c:pt idx="96">
                    <c:v>7-mar-24</c:v>
                  </c:pt>
                  <c:pt idx="97">
                    <c:v>7-mar-24</c:v>
                  </c:pt>
                  <c:pt idx="98">
                    <c:v>13-mar-24</c:v>
                  </c:pt>
                  <c:pt idx="99">
                    <c:v>13-mar-24</c:v>
                  </c:pt>
                  <c:pt idx="100">
                    <c:v>14-mar-24</c:v>
                  </c:pt>
                  <c:pt idx="101">
                    <c:v>14-mar-24</c:v>
                  </c:pt>
                  <c:pt idx="102">
                    <c:v>15-mar-24</c:v>
                  </c:pt>
                  <c:pt idx="103">
                    <c:v>15-mar-24</c:v>
                  </c:pt>
                  <c:pt idx="104">
                    <c:v>20-mar-24</c:v>
                  </c:pt>
                  <c:pt idx="105">
                    <c:v>20-mar-24</c:v>
                  </c:pt>
                  <c:pt idx="106">
                    <c:v>21-mar-24</c:v>
                  </c:pt>
                  <c:pt idx="107">
                    <c:v>21-mar-24</c:v>
                  </c:pt>
                  <c:pt idx="108">
                    <c:v>22-mar-24</c:v>
                  </c:pt>
                  <c:pt idx="109">
                    <c:v>22-mar-24</c:v>
                  </c:pt>
                  <c:pt idx="110">
                    <c:v>1-abr-24</c:v>
                  </c:pt>
                  <c:pt idx="111">
                    <c:v>1-abr-24</c:v>
                  </c:pt>
                  <c:pt idx="112">
                    <c:v>2-abr-24</c:v>
                  </c:pt>
                  <c:pt idx="113">
                    <c:v>2-abr-24</c:v>
                  </c:pt>
                  <c:pt idx="114">
                    <c:v>12-abr-24</c:v>
                  </c:pt>
                  <c:pt idx="115">
                    <c:v>29-abr-24</c:v>
                  </c:pt>
                  <c:pt idx="116">
                    <c:v>30-abr-24</c:v>
                  </c:pt>
                  <c:pt idx="117">
                    <c:v>2-may-24</c:v>
                  </c:pt>
                  <c:pt idx="118">
                    <c:v>3-may-24</c:v>
                  </c:pt>
                  <c:pt idx="119">
                    <c:v>6-may-24</c:v>
                  </c:pt>
                  <c:pt idx="120">
                    <c:v>6-may-24</c:v>
                  </c:pt>
                  <c:pt idx="121">
                    <c:v>7-may-24</c:v>
                  </c:pt>
                  <c:pt idx="122">
                    <c:v>7-may-24</c:v>
                  </c:pt>
                  <c:pt idx="123">
                    <c:v>9-may-24</c:v>
                  </c:pt>
                  <c:pt idx="124">
                    <c:v>9-may-24</c:v>
                  </c:pt>
                  <c:pt idx="125">
                    <c:v>15-may-24</c:v>
                  </c:pt>
                  <c:pt idx="126">
                    <c:v>15-may-24</c:v>
                  </c:pt>
                  <c:pt idx="127">
                    <c:v>16-may-24</c:v>
                  </c:pt>
                  <c:pt idx="128">
                    <c:v>16-may-24</c:v>
                  </c:pt>
                  <c:pt idx="129">
                    <c:v>17-may-24</c:v>
                  </c:pt>
                  <c:pt idx="130">
                    <c:v>17-may-24</c:v>
                  </c:pt>
                  <c:pt idx="131">
                    <c:v>20-may-24</c:v>
                  </c:pt>
                  <c:pt idx="132">
                    <c:v>20-may-24</c:v>
                  </c:pt>
                  <c:pt idx="133">
                    <c:v>21-may-24</c:v>
                  </c:pt>
                  <c:pt idx="134">
                    <c:v>21-may-24</c:v>
                  </c:pt>
                  <c:pt idx="135">
                    <c:v>22-may-24</c:v>
                  </c:pt>
                  <c:pt idx="136">
                    <c:v>22-may-24</c:v>
                  </c:pt>
                  <c:pt idx="137">
                    <c:v>23-may-24</c:v>
                  </c:pt>
                  <c:pt idx="138">
                    <c:v>23-may-24</c:v>
                  </c:pt>
                  <c:pt idx="139">
                    <c:v>28-may-24</c:v>
                  </c:pt>
                  <c:pt idx="140">
                    <c:v>28-may-24</c:v>
                  </c:pt>
                  <c:pt idx="141">
                    <c:v>29-may-24</c:v>
                  </c:pt>
                  <c:pt idx="142">
                    <c:v>29-may-24</c:v>
                  </c:pt>
                  <c:pt idx="143">
                    <c:v>30-may-24</c:v>
                  </c:pt>
                  <c:pt idx="144">
                    <c:v>31-may-24</c:v>
                  </c:pt>
                  <c:pt idx="145">
                    <c:v>4-jun-24</c:v>
                  </c:pt>
                  <c:pt idx="146">
                    <c:v>5-jun-24</c:v>
                  </c:pt>
                  <c:pt idx="147">
                    <c:v>6-jun-24</c:v>
                  </c:pt>
                  <c:pt idx="148">
                    <c:v>7-jun-24</c:v>
                  </c:pt>
                  <c:pt idx="149">
                    <c:v>7-jun-24</c:v>
                  </c:pt>
                  <c:pt idx="150">
                    <c:v>11-jun-24</c:v>
                  </c:pt>
                  <c:pt idx="151">
                    <c:v>11-jun-24</c:v>
                  </c:pt>
                  <c:pt idx="152">
                    <c:v>18-jun-24</c:v>
                  </c:pt>
                  <c:pt idx="153">
                    <c:v>18-jun-24</c:v>
                  </c:pt>
                  <c:pt idx="154">
                    <c:v>19-jun-24</c:v>
                  </c:pt>
                  <c:pt idx="155">
                    <c:v>26-jun-24</c:v>
                  </c:pt>
                  <c:pt idx="156">
                    <c:v>27-jun-24</c:v>
                  </c:pt>
                  <c:pt idx="157">
                    <c:v>27-jun-24</c:v>
                  </c:pt>
                  <c:pt idx="158">
                    <c:v>23-jul-24</c:v>
                  </c:pt>
                  <c:pt idx="159">
                    <c:v>9-ago-24</c:v>
                  </c:pt>
                  <c:pt idx="160">
                    <c:v>12-ago-24</c:v>
                  </c:pt>
                  <c:pt idx="161">
                    <c:v>13-ago-24</c:v>
                  </c:pt>
                  <c:pt idx="162">
                    <c:v>14-ago-24</c:v>
                  </c:pt>
                  <c:pt idx="163">
                    <c:v>15-ago-24</c:v>
                  </c:pt>
                  <c:pt idx="164">
                    <c:v>16-ago-24</c:v>
                  </c:pt>
                  <c:pt idx="165">
                    <c:v>20-ago-24</c:v>
                  </c:pt>
                  <c:pt idx="166">
                    <c:v>21-ago-24</c:v>
                  </c:pt>
                  <c:pt idx="167">
                    <c:v>22-ago-24</c:v>
                  </c:pt>
                  <c:pt idx="168">
                    <c:v>26-ago-24</c:v>
                  </c:pt>
                  <c:pt idx="169">
                    <c:v>27-ago-24</c:v>
                  </c:pt>
                  <c:pt idx="170">
                    <c:v>28-ago-24</c:v>
                  </c:pt>
                  <c:pt idx="171">
                    <c:v>29-ago-24</c:v>
                  </c:pt>
                  <c:pt idx="172">
                    <c:v>30-ago-24</c:v>
                  </c:pt>
                  <c:pt idx="173">
                    <c:v>2-sep-24</c:v>
                  </c:pt>
                  <c:pt idx="174">
                    <c:v>3-sep-24</c:v>
                  </c:pt>
                  <c:pt idx="175">
                    <c:v>4-sep-24</c:v>
                  </c:pt>
                  <c:pt idx="176">
                    <c:v>5-sep-24</c:v>
                  </c:pt>
                  <c:pt idx="177">
                    <c:v>6-sep-24</c:v>
                  </c:pt>
                  <c:pt idx="178">
                    <c:v>9-sep-24</c:v>
                  </c:pt>
                  <c:pt idx="179">
                    <c:v>10-sep-24</c:v>
                  </c:pt>
                  <c:pt idx="180">
                    <c:v>11-sep-24</c:v>
                  </c:pt>
                  <c:pt idx="181">
                    <c:v>12-sep-24</c:v>
                  </c:pt>
                  <c:pt idx="182">
                    <c:v>13-sep-24</c:v>
                  </c:pt>
                  <c:pt idx="183">
                    <c:v>16-sep-24</c:v>
                  </c:pt>
                  <c:pt idx="184">
                    <c:v>17-sep-24</c:v>
                  </c:pt>
                  <c:pt idx="185">
                    <c:v>19-sep-24</c:v>
                  </c:pt>
                  <c:pt idx="186">
                    <c:v>20-sep-24</c:v>
                  </c:pt>
                  <c:pt idx="187">
                    <c:v>24-sep-24</c:v>
                  </c:pt>
                  <c:pt idx="188">
                    <c:v>25-sep-24</c:v>
                  </c:pt>
                  <c:pt idx="189">
                    <c:v>4-oct-24</c:v>
                  </c:pt>
                  <c:pt idx="190">
                    <c:v>9-oct-24</c:v>
                  </c:pt>
                  <c:pt idx="191">
                    <c:v>10-oct-24</c:v>
                  </c:pt>
                  <c:pt idx="192">
                    <c:v>11-oct-24</c:v>
                  </c:pt>
                  <c:pt idx="193">
                    <c:v>15-oct-24</c:v>
                  </c:pt>
                  <c:pt idx="194">
                    <c:v>16-oct-24</c:v>
                  </c:pt>
                  <c:pt idx="195">
                    <c:v>17-oct-24</c:v>
                  </c:pt>
                  <c:pt idx="196">
                    <c:v>18-oct-24</c:v>
                  </c:pt>
                  <c:pt idx="197">
                    <c:v>8-nov-24</c:v>
                  </c:pt>
                  <c:pt idx="198">
                    <c:v>14-nov-24</c:v>
                  </c:pt>
                  <c:pt idx="199">
                    <c:v>15-nov-24</c:v>
                  </c:pt>
                  <c:pt idx="200">
                    <c:v>18-nov-24</c:v>
                  </c:pt>
                  <c:pt idx="201">
                    <c:v>19-nov-24</c:v>
                  </c:pt>
                  <c:pt idx="202">
                    <c:v>20-nov-24</c:v>
                  </c:pt>
                  <c:pt idx="203">
                    <c:v>22-nov-24</c:v>
                  </c:pt>
                  <c:pt idx="204">
                    <c:v>25-nov-24</c:v>
                  </c:pt>
                  <c:pt idx="205">
                    <c:v>26-nov-24</c:v>
                  </c:pt>
                  <c:pt idx="206">
                    <c:v>27-nov-24</c:v>
                  </c:pt>
                  <c:pt idx="207">
                    <c:v>29-nov-24</c:v>
                  </c:pt>
                  <c:pt idx="208">
                    <c:v>12-feb-25</c:v>
                  </c:pt>
                  <c:pt idx="209">
                    <c:v>13-feb-25</c:v>
                  </c:pt>
                  <c:pt idx="210">
                    <c:v>14-feb-25</c:v>
                  </c:pt>
                  <c:pt idx="211">
                    <c:v>18-feb-25</c:v>
                  </c:pt>
                  <c:pt idx="212">
                    <c:v>19-feb-25</c:v>
                  </c:pt>
                  <c:pt idx="213">
                    <c:v>20-feb-25</c:v>
                  </c:pt>
                  <c:pt idx="214">
                    <c:v>21-feb-25</c:v>
                  </c:pt>
                  <c:pt idx="215">
                    <c:v>24-feb-25</c:v>
                  </c:pt>
                  <c:pt idx="216">
                    <c:v>25-feb-25</c:v>
                  </c:pt>
                  <c:pt idx="217">
                    <c:v>27-feb-25</c:v>
                  </c:pt>
                  <c:pt idx="218">
                    <c:v>28-feb-25</c:v>
                  </c:pt>
                  <c:pt idx="219">
                    <c:v>3-mar-25</c:v>
                  </c:pt>
                  <c:pt idx="220">
                    <c:v>4-mar-25</c:v>
                  </c:pt>
                  <c:pt idx="221">
                    <c:v>5-mar-25</c:v>
                  </c:pt>
                  <c:pt idx="222">
                    <c:v>6-mar-25</c:v>
                  </c:pt>
                  <c:pt idx="223">
                    <c:v>7-mar-25</c:v>
                  </c:pt>
                  <c:pt idx="224">
                    <c:v>10-mar-25</c:v>
                  </c:pt>
                  <c:pt idx="225">
                    <c:v>11-mar-25</c:v>
                  </c:pt>
                  <c:pt idx="226">
                    <c:v>12-mar-25</c:v>
                  </c:pt>
                  <c:pt idx="227">
                    <c:v>13-mar-25</c:v>
                  </c:pt>
                  <c:pt idx="228">
                    <c:v>8-may-25</c:v>
                  </c:pt>
                  <c:pt idx="229">
                    <c:v>9-may-25</c:v>
                  </c:pt>
                  <c:pt idx="230">
                    <c:v>20-may-25</c:v>
                  </c:pt>
                  <c:pt idx="231">
                    <c:v>20-may-25</c:v>
                  </c:pt>
                  <c:pt idx="232">
                    <c:v>3-jun-25</c:v>
                  </c:pt>
                  <c:pt idx="233">
                    <c:v>13-jun-25</c:v>
                  </c:pt>
                  <c:pt idx="234">
                    <c:v>22-jul-25</c:v>
                  </c:pt>
                  <c:pt idx="235">
                    <c:v>25-jul-25</c:v>
                  </c:pt>
                  <c:pt idx="236">
                    <c:v>31-jul-25</c:v>
                  </c:pt>
                  <c:pt idx="237">
                    <c:v>12-ago-25</c:v>
                  </c:pt>
                </c:lvl>
              </c:multiLvlStrCache>
            </c:multiLvlStrRef>
          </c:cat>
          <c:val>
            <c:numRef>
              <c:f>HISTORICO!$W$100:$W$337</c:f>
              <c:numCache>
                <c:formatCode>_("$"* #,##0_);_("$"* \(#,##0\);_("$"* "-"_);_(@_)</c:formatCode>
                <c:ptCount val="2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-27388706162.007813</c:v>
                </c:pt>
                <c:pt idx="232">
                  <c:v>-85929787720.002319</c:v>
                </c:pt>
                <c:pt idx="233">
                  <c:v>0</c:v>
                </c:pt>
                <c:pt idx="234">
                  <c:v>0</c:v>
                </c:pt>
                <c:pt idx="235">
                  <c:v>-556326146415.44238</c:v>
                </c:pt>
                <c:pt idx="236">
                  <c:v>0</c:v>
                </c:pt>
                <c:pt idx="2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0D-44D9-83C3-7829F37E9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807852256"/>
        <c:axId val="807871808"/>
      </c:barChart>
      <c:lineChart>
        <c:grouping val="standard"/>
        <c:varyColors val="0"/>
        <c:ser>
          <c:idx val="2"/>
          <c:order val="2"/>
          <c:tx>
            <c:strRef>
              <c:f>HISTORICO!$X$5</c:f>
              <c:strCache>
                <c:ptCount val="1"/>
                <c:pt idx="0">
                  <c:v>Efecto fiscal neto como % del monto canjeado (eje derecho)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HISTORICO!$D$100:$E$112</c:f>
              <c:multiLvlStrCache>
                <c:ptCount val="13"/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</c:lvl>
                <c:lvl>
                  <c:pt idx="0">
                    <c:v>24-mar-23</c:v>
                  </c:pt>
                  <c:pt idx="1">
                    <c:v>27-mar-23</c:v>
                  </c:pt>
                  <c:pt idx="2">
                    <c:v>28-mar-23</c:v>
                  </c:pt>
                  <c:pt idx="3">
                    <c:v>29-mar-23</c:v>
                  </c:pt>
                  <c:pt idx="4">
                    <c:v>30-mar-23</c:v>
                  </c:pt>
                  <c:pt idx="5">
                    <c:v>31-mar-23</c:v>
                  </c:pt>
                  <c:pt idx="6">
                    <c:v>3-abr-23</c:v>
                  </c:pt>
                  <c:pt idx="7">
                    <c:v>4-abr-23</c:v>
                  </c:pt>
                  <c:pt idx="8">
                    <c:v>10-abr-23</c:v>
                  </c:pt>
                  <c:pt idx="9">
                    <c:v>11-abr-23</c:v>
                  </c:pt>
                  <c:pt idx="10">
                    <c:v>12-abr-23</c:v>
                  </c:pt>
                  <c:pt idx="11">
                    <c:v>14-abr-23</c:v>
                  </c:pt>
                  <c:pt idx="12">
                    <c:v>19-abr-23</c:v>
                  </c:pt>
                </c:lvl>
              </c:multiLvlStrCache>
            </c:multiLvlStrRef>
          </c:cat>
          <c:val>
            <c:numRef>
              <c:f>HISTORICO!$X$100:$X$337</c:f>
              <c:numCache>
                <c:formatCode>0.00%</c:formatCode>
                <c:ptCount val="238"/>
                <c:pt idx="0">
                  <c:v>-5.0616390532544381E-2</c:v>
                </c:pt>
                <c:pt idx="1">
                  <c:v>-5.3497549019607842E-2</c:v>
                </c:pt>
                <c:pt idx="2">
                  <c:v>-7.0401605351170571E-2</c:v>
                </c:pt>
                <c:pt idx="3">
                  <c:v>-8.274582089552239E-2</c:v>
                </c:pt>
                <c:pt idx="4">
                  <c:v>-7.9537476635514012E-2</c:v>
                </c:pt>
                <c:pt idx="5">
                  <c:v>-8.8471219512195123E-2</c:v>
                </c:pt>
                <c:pt idx="6">
                  <c:v>-7.8776486486486483E-2</c:v>
                </c:pt>
                <c:pt idx="7">
                  <c:v>-8.0785120000000002E-2</c:v>
                </c:pt>
                <c:pt idx="8">
                  <c:v>-6.967439024390229E-2</c:v>
                </c:pt>
                <c:pt idx="9">
                  <c:v>-5.5806545454545456E-2</c:v>
                </c:pt>
                <c:pt idx="10">
                  <c:v>-7.6591999999999993E-2</c:v>
                </c:pt>
                <c:pt idx="11">
                  <c:v>4.1809591836734696E-2</c:v>
                </c:pt>
                <c:pt idx="12">
                  <c:v>-7.3532692307692452E-2</c:v>
                </c:pt>
                <c:pt idx="13">
                  <c:v>-8.2322911266201393E-2</c:v>
                </c:pt>
                <c:pt idx="14">
                  <c:v>-8.0350000000000005E-2</c:v>
                </c:pt>
                <c:pt idx="15">
                  <c:v>-6.0818300970873915E-2</c:v>
                </c:pt>
                <c:pt idx="16">
                  <c:v>-8.9214000000000002E-2</c:v>
                </c:pt>
                <c:pt idx="17">
                  <c:v>-8.5293615819209218E-2</c:v>
                </c:pt>
                <c:pt idx="18">
                  <c:v>-8.0090485074626863E-2</c:v>
                </c:pt>
                <c:pt idx="19">
                  <c:v>-9.8176470588235532E-2</c:v>
                </c:pt>
                <c:pt idx="20">
                  <c:v>-9.6118679245283209E-2</c:v>
                </c:pt>
                <c:pt idx="21">
                  <c:v>4.7012941176470136E-3</c:v>
                </c:pt>
                <c:pt idx="22">
                  <c:v>9.6666666666661365E-4</c:v>
                </c:pt>
                <c:pt idx="23">
                  <c:v>1.2612565445042155E-4</c:v>
                </c:pt>
                <c:pt idx="24">
                  <c:v>1.789487179487336E-3</c:v>
                </c:pt>
                <c:pt idx="25">
                  <c:v>-8.2201633487606428E-5</c:v>
                </c:pt>
                <c:pt idx="26">
                  <c:v>9.0776699029052144E-5</c:v>
                </c:pt>
                <c:pt idx="27">
                  <c:v>-4.2186262542379411E-3</c:v>
                </c:pt>
                <c:pt idx="28">
                  <c:v>-4.098284530175441E-4</c:v>
                </c:pt>
                <c:pt idx="29">
                  <c:v>1.6557046979865771E-4</c:v>
                </c:pt>
                <c:pt idx="30">
                  <c:v>4.8749999999999998E-4</c:v>
                </c:pt>
                <c:pt idx="31">
                  <c:v>5.0866444073435378E-4</c:v>
                </c:pt>
                <c:pt idx="32">
                  <c:v>4.5158069883629012E-5</c:v>
                </c:pt>
                <c:pt idx="33">
                  <c:v>3.4054054054054055E-5</c:v>
                </c:pt>
                <c:pt idx="34">
                  <c:v>-1.7284001492208591E-5</c:v>
                </c:pt>
                <c:pt idx="35">
                  <c:v>5.8199999999898273E-5</c:v>
                </c:pt>
                <c:pt idx="36">
                  <c:v>1.1205426356577319E-4</c:v>
                </c:pt>
                <c:pt idx="37">
                  <c:v>1.5463917526559731E-6</c:v>
                </c:pt>
                <c:pt idx="38">
                  <c:v>3.4285714285714284E-5</c:v>
                </c:pt>
                <c:pt idx="39">
                  <c:v>1.3489655172434841E-4</c:v>
                </c:pt>
                <c:pt idx="40">
                  <c:v>-1.9095597645236856E-4</c:v>
                </c:pt>
                <c:pt idx="41">
                  <c:v>1.0687356321839081E-4</c:v>
                </c:pt>
                <c:pt idx="42">
                  <c:v>2.9541984732824428E-5</c:v>
                </c:pt>
                <c:pt idx="43">
                  <c:v>1.9190334572491273E-3</c:v>
                </c:pt>
                <c:pt idx="44">
                  <c:v>2.4717437722419928E-3</c:v>
                </c:pt>
                <c:pt idx="45">
                  <c:v>2.8101626016272571E-4</c:v>
                </c:pt>
                <c:pt idx="46">
                  <c:v>1.3940809968856859E-4</c:v>
                </c:pt>
                <c:pt idx="47">
                  <c:v>5.6379310344840743E-4</c:v>
                </c:pt>
                <c:pt idx="48">
                  <c:v>1.9780487804878048E-5</c:v>
                </c:pt>
                <c:pt idx="49">
                  <c:v>7.5911949685534598E-5</c:v>
                </c:pt>
                <c:pt idx="50">
                  <c:v>3.2701986754966888E-4</c:v>
                </c:pt>
                <c:pt idx="51">
                  <c:v>2.2090000000015258E-4</c:v>
                </c:pt>
                <c:pt idx="52">
                  <c:v>2.8851485148518631E-4</c:v>
                </c:pt>
                <c:pt idx="53">
                  <c:v>4.7054545454531583E-4</c:v>
                </c:pt>
                <c:pt idx="54">
                  <c:v>4.2536312849166273E-4</c:v>
                </c:pt>
                <c:pt idx="55">
                  <c:v>5.6937799043062197E-6</c:v>
                </c:pt>
                <c:pt idx="56">
                  <c:v>4.7908333333330155E-4</c:v>
                </c:pt>
                <c:pt idx="57">
                  <c:v>1.5202127659574467E-3</c:v>
                </c:pt>
                <c:pt idx="58">
                  <c:v>7.7913344309256376E-3</c:v>
                </c:pt>
                <c:pt idx="59">
                  <c:v>-2.6869404799999999E-3</c:v>
                </c:pt>
                <c:pt idx="60">
                  <c:v>-1.858122781E-2</c:v>
                </c:pt>
                <c:pt idx="61">
                  <c:v>-1.3151861249999963E-2</c:v>
                </c:pt>
                <c:pt idx="62">
                  <c:v>-8.636363636349765E-5</c:v>
                </c:pt>
                <c:pt idx="63">
                  <c:v>-2.5956149600000001E-3</c:v>
                </c:pt>
                <c:pt idx="64">
                  <c:v>-1.080476534E-2</c:v>
                </c:pt>
                <c:pt idx="65">
                  <c:v>-4.9415610749999998E-3</c:v>
                </c:pt>
                <c:pt idx="66">
                  <c:v>-2.4868261700000116E-2</c:v>
                </c:pt>
                <c:pt idx="67">
                  <c:v>-1.2085365120000153E-2</c:v>
                </c:pt>
                <c:pt idx="68">
                  <c:v>-6.1376257575757577E-2</c:v>
                </c:pt>
                <c:pt idx="69">
                  <c:v>1.6273333333333333E-3</c:v>
                </c:pt>
                <c:pt idx="70">
                  <c:v>-1.4839324893545745E-3</c:v>
                </c:pt>
                <c:pt idx="71">
                  <c:v>9.7946286111111119E-4</c:v>
                </c:pt>
                <c:pt idx="72">
                  <c:v>-5.1015333333333204E-2</c:v>
                </c:pt>
                <c:pt idx="73">
                  <c:v>8.1850000000000034E-2</c:v>
                </c:pt>
                <c:pt idx="74">
                  <c:v>-4.7568285714285716E-2</c:v>
                </c:pt>
                <c:pt idx="75">
                  <c:v>8.1644999999999968E-2</c:v>
                </c:pt>
                <c:pt idx="76">
                  <c:v>-3.6998999999999997E-2</c:v>
                </c:pt>
                <c:pt idx="77">
                  <c:v>8.3709999999999951E-2</c:v>
                </c:pt>
                <c:pt idx="78">
                  <c:v>-3.7074025104602636E-2</c:v>
                </c:pt>
                <c:pt idx="79">
                  <c:v>-1.4048653846153773E-2</c:v>
                </c:pt>
                <c:pt idx="80">
                  <c:v>-3.1125519125683059E-2</c:v>
                </c:pt>
                <c:pt idx="81">
                  <c:v>9.6025000000000166E-2</c:v>
                </c:pt>
                <c:pt idx="82">
                  <c:v>-3.9404836734693881E-2</c:v>
                </c:pt>
                <c:pt idx="83">
                  <c:v>9.5540000000000042E-2</c:v>
                </c:pt>
                <c:pt idx="84">
                  <c:v>-1.8474444444444446E-2</c:v>
                </c:pt>
                <c:pt idx="85">
                  <c:v>9.7833333333333286E-2</c:v>
                </c:pt>
                <c:pt idx="86">
                  <c:v>-3.8279823223570188E-2</c:v>
                </c:pt>
                <c:pt idx="87">
                  <c:v>9.4780000000000017E-2</c:v>
                </c:pt>
                <c:pt idx="88">
                  <c:v>-4.6715252100840335E-2</c:v>
                </c:pt>
                <c:pt idx="89">
                  <c:v>9.5328000000000232E-2</c:v>
                </c:pt>
                <c:pt idx="90">
                  <c:v>-5.0464158940397248E-2</c:v>
                </c:pt>
                <c:pt idx="91">
                  <c:v>9.8100689655172144E-2</c:v>
                </c:pt>
                <c:pt idx="92">
                  <c:v>-8.3388042944785176E-2</c:v>
                </c:pt>
                <c:pt idx="93">
                  <c:v>9.6091063829787368E-2</c:v>
                </c:pt>
                <c:pt idx="94">
                  <c:v>-6.3808277404921704E-2</c:v>
                </c:pt>
                <c:pt idx="95">
                  <c:v>0.10158428571428564</c:v>
                </c:pt>
                <c:pt idx="96">
                  <c:v>-0.13298138461538461</c:v>
                </c:pt>
                <c:pt idx="97">
                  <c:v>9.5438518518518589E-2</c:v>
                </c:pt>
                <c:pt idx="98">
                  <c:v>-6.9252257668711653E-2</c:v>
                </c:pt>
                <c:pt idx="99">
                  <c:v>0.10889624999999983</c:v>
                </c:pt>
                <c:pt idx="100">
                  <c:v>-9.0271850515463756E-2</c:v>
                </c:pt>
                <c:pt idx="101">
                  <c:v>0.10959203125000001</c:v>
                </c:pt>
                <c:pt idx="102">
                  <c:v>-0.11748217821782186</c:v>
                </c:pt>
                <c:pt idx="103">
                  <c:v>0.11147333333333349</c:v>
                </c:pt>
                <c:pt idx="104">
                  <c:v>-7.9633496688741728E-2</c:v>
                </c:pt>
                <c:pt idx="105">
                  <c:v>0.10639897959183663</c:v>
                </c:pt>
                <c:pt idx="106">
                  <c:v>-9.9376863636363416E-2</c:v>
                </c:pt>
                <c:pt idx="107">
                  <c:v>0.10795828125000022</c:v>
                </c:pt>
                <c:pt idx="108">
                  <c:v>-0.16592543352601155</c:v>
                </c:pt>
                <c:pt idx="109">
                  <c:v>0.11015484848484858</c:v>
                </c:pt>
                <c:pt idx="110">
                  <c:v>-0.11275829834254143</c:v>
                </c:pt>
                <c:pt idx="111">
                  <c:v>0.11664043478260852</c:v>
                </c:pt>
                <c:pt idx="112">
                  <c:v>-6.5943939393939388E-2</c:v>
                </c:pt>
                <c:pt idx="113">
                  <c:v>0.12527198019801994</c:v>
                </c:pt>
                <c:pt idx="114">
                  <c:v>0.12145800000000007</c:v>
                </c:pt>
                <c:pt idx="115">
                  <c:v>5.7131255813953487E-2</c:v>
                </c:pt>
                <c:pt idx="116">
                  <c:v>0.13138641509433974</c:v>
                </c:pt>
                <c:pt idx="117">
                  <c:v>0.12472999999999997</c:v>
                </c:pt>
                <c:pt idx="118">
                  <c:v>0.12399000000000003</c:v>
                </c:pt>
                <c:pt idx="119">
                  <c:v>0.13194999999999985</c:v>
                </c:pt>
                <c:pt idx="120">
                  <c:v>0.12589999999999987</c:v>
                </c:pt>
                <c:pt idx="121">
                  <c:v>0.12681000000000014</c:v>
                </c:pt>
                <c:pt idx="122">
                  <c:v>0.12581000000000001</c:v>
                </c:pt>
                <c:pt idx="123">
                  <c:v>0.13980000000000001</c:v>
                </c:pt>
                <c:pt idx="124">
                  <c:v>0.12849000000000019</c:v>
                </c:pt>
                <c:pt idx="125">
                  <c:v>0.13118000000000002</c:v>
                </c:pt>
                <c:pt idx="126">
                  <c:v>5.7543846153846154E-2</c:v>
                </c:pt>
                <c:pt idx="127">
                  <c:v>8.1960670886075948E-2</c:v>
                </c:pt>
                <c:pt idx="128">
                  <c:v>0.12656000000000012</c:v>
                </c:pt>
                <c:pt idx="129">
                  <c:v>5.928653846153846E-2</c:v>
                </c:pt>
                <c:pt idx="130">
                  <c:v>0.12546999999999994</c:v>
                </c:pt>
                <c:pt idx="131">
                  <c:v>7.8262823920265776E-2</c:v>
                </c:pt>
                <c:pt idx="132">
                  <c:v>0.1315600000000002</c:v>
                </c:pt>
                <c:pt idx="133">
                  <c:v>8.6414659090909202E-2</c:v>
                </c:pt>
                <c:pt idx="134">
                  <c:v>0.12966999999999992</c:v>
                </c:pt>
                <c:pt idx="135">
                  <c:v>0.10217505353319058</c:v>
                </c:pt>
                <c:pt idx="136">
                  <c:v>0.12970000000000001</c:v>
                </c:pt>
                <c:pt idx="137">
                  <c:v>0.10412455445544555</c:v>
                </c:pt>
                <c:pt idx="138">
                  <c:v>0.12950999999999993</c:v>
                </c:pt>
                <c:pt idx="139">
                  <c:v>5.305E-2</c:v>
                </c:pt>
                <c:pt idx="140">
                  <c:v>0.13255</c:v>
                </c:pt>
                <c:pt idx="141">
                  <c:v>8.7909622641509436E-2</c:v>
                </c:pt>
                <c:pt idx="142">
                  <c:v>0.12887000000000001</c:v>
                </c:pt>
                <c:pt idx="143">
                  <c:v>9.2323586744639377E-2</c:v>
                </c:pt>
                <c:pt idx="144">
                  <c:v>7.7764615384615432E-2</c:v>
                </c:pt>
                <c:pt idx="145">
                  <c:v>6.2691999999999998E-2</c:v>
                </c:pt>
                <c:pt idx="146">
                  <c:v>8.8555994318181813E-2</c:v>
                </c:pt>
                <c:pt idx="147">
                  <c:v>0.10983851851851821</c:v>
                </c:pt>
                <c:pt idx="148">
                  <c:v>0.1156334972677594</c:v>
                </c:pt>
                <c:pt idx="149">
                  <c:v>0.12625</c:v>
                </c:pt>
                <c:pt idx="150">
                  <c:v>0.12770017647058823</c:v>
                </c:pt>
                <c:pt idx="151">
                  <c:v>0.12525000000000019</c:v>
                </c:pt>
                <c:pt idx="152">
                  <c:v>6.6749962686567271E-2</c:v>
                </c:pt>
                <c:pt idx="153">
                  <c:v>0.13592999999999994</c:v>
                </c:pt>
                <c:pt idx="154">
                  <c:v>6.9039850746268824E-2</c:v>
                </c:pt>
                <c:pt idx="155">
                  <c:v>6.8818823529411766E-2</c:v>
                </c:pt>
                <c:pt idx="156">
                  <c:v>6.9174999999999848E-2</c:v>
                </c:pt>
                <c:pt idx="157">
                  <c:v>0.13686000000000004</c:v>
                </c:pt>
                <c:pt idx="158">
                  <c:v>1.9244508001178821E-2</c:v>
                </c:pt>
                <c:pt idx="159">
                  <c:v>-1.537002080029632E-2</c:v>
                </c:pt>
                <c:pt idx="160">
                  <c:v>-1.4968035487663721E-2</c:v>
                </c:pt>
                <c:pt idx="161">
                  <c:v>-1.4094340191433526E-2</c:v>
                </c:pt>
                <c:pt idx="162">
                  <c:v>-1.7758578291803669E-2</c:v>
                </c:pt>
                <c:pt idx="163">
                  <c:v>-1.923552187216063E-2</c:v>
                </c:pt>
                <c:pt idx="164">
                  <c:v>-1.6153240640992876E-2</c:v>
                </c:pt>
                <c:pt idx="165">
                  <c:v>-1.9204469642520552E-2</c:v>
                </c:pt>
                <c:pt idx="166">
                  <c:v>-1.9555268794097486E-2</c:v>
                </c:pt>
                <c:pt idx="167">
                  <c:v>-1.5060090097391274E-2</c:v>
                </c:pt>
                <c:pt idx="168">
                  <c:v>-1.8752853898242685E-2</c:v>
                </c:pt>
                <c:pt idx="169">
                  <c:v>-2.084233922569189E-2</c:v>
                </c:pt>
                <c:pt idx="170">
                  <c:v>-1.935067123288205E-2</c:v>
                </c:pt>
                <c:pt idx="171">
                  <c:v>-1.8772628739464503E-2</c:v>
                </c:pt>
                <c:pt idx="172">
                  <c:v>-2.1845280615875901E-2</c:v>
                </c:pt>
                <c:pt idx="173">
                  <c:v>-2.8948970308948659E-2</c:v>
                </c:pt>
                <c:pt idx="174">
                  <c:v>-3.3087127136162811E-2</c:v>
                </c:pt>
                <c:pt idx="175">
                  <c:v>-1.6902598595945926E-2</c:v>
                </c:pt>
                <c:pt idx="176">
                  <c:v>-2.844364758911418E-2</c:v>
                </c:pt>
                <c:pt idx="177">
                  <c:v>-2.1048423474135058E-2</c:v>
                </c:pt>
                <c:pt idx="178">
                  <c:v>-3.601644969115872E-2</c:v>
                </c:pt>
                <c:pt idx="179">
                  <c:v>-3.5706507499324171E-2</c:v>
                </c:pt>
                <c:pt idx="180">
                  <c:v>-4.4543999514643738E-2</c:v>
                </c:pt>
                <c:pt idx="181">
                  <c:v>-1.2334774826850843E-2</c:v>
                </c:pt>
                <c:pt idx="182">
                  <c:v>-2.221827418286015E-2</c:v>
                </c:pt>
                <c:pt idx="183">
                  <c:v>-2.1148354593862748E-2</c:v>
                </c:pt>
                <c:pt idx="184">
                  <c:v>-1.6700774187536092E-2</c:v>
                </c:pt>
                <c:pt idx="185">
                  <c:v>-5.6322970190737592E-2</c:v>
                </c:pt>
                <c:pt idx="186">
                  <c:v>-6.1969363375396082E-2</c:v>
                </c:pt>
                <c:pt idx="187">
                  <c:v>-5.8080770196035421E-2</c:v>
                </c:pt>
                <c:pt idx="188">
                  <c:v>-5.6660892105650798E-2</c:v>
                </c:pt>
                <c:pt idx="189">
                  <c:v>-5.3226269133869498E-2</c:v>
                </c:pt>
                <c:pt idx="190">
                  <c:v>-3.7952094763662889E-2</c:v>
                </c:pt>
                <c:pt idx="191">
                  <c:v>-5.7993943220369742E-2</c:v>
                </c:pt>
                <c:pt idx="192">
                  <c:v>-5.5971260607979176E-2</c:v>
                </c:pt>
                <c:pt idx="193">
                  <c:v>-4.206941287150931E-2</c:v>
                </c:pt>
                <c:pt idx="194">
                  <c:v>-5.6686568541783909E-2</c:v>
                </c:pt>
                <c:pt idx="195">
                  <c:v>-3.2731018796471986E-2</c:v>
                </c:pt>
                <c:pt idx="196">
                  <c:v>-5.0643744861961479E-2</c:v>
                </c:pt>
                <c:pt idx="197">
                  <c:v>-1.733187779086472E-2</c:v>
                </c:pt>
                <c:pt idx="198">
                  <c:v>-6.3316707185295936E-3</c:v>
                </c:pt>
                <c:pt idx="199">
                  <c:v>-1.969636628563252E-4</c:v>
                </c:pt>
                <c:pt idx="200">
                  <c:v>-1.4600334388486525E-2</c:v>
                </c:pt>
                <c:pt idx="201">
                  <c:v>-1.2828750884718573E-2</c:v>
                </c:pt>
                <c:pt idx="202">
                  <c:v>-1.8117729939696434E-2</c:v>
                </c:pt>
                <c:pt idx="203">
                  <c:v>2.7364045989551816E-2</c:v>
                </c:pt>
                <c:pt idx="204">
                  <c:v>2.4433139043087519E-3</c:v>
                </c:pt>
                <c:pt idx="205">
                  <c:v>-1.4058153012042778E-3</c:v>
                </c:pt>
                <c:pt idx="206">
                  <c:v>-2.1649801429494027E-3</c:v>
                </c:pt>
                <c:pt idx="207">
                  <c:v>1.2600253403495734E-2</c:v>
                </c:pt>
                <c:pt idx="208">
                  <c:v>7.1840000000000181E-2</c:v>
                </c:pt>
                <c:pt idx="209">
                  <c:v>8.0125402298850582E-2</c:v>
                </c:pt>
                <c:pt idx="210">
                  <c:v>7.7151176470588237E-2</c:v>
                </c:pt>
                <c:pt idx="211">
                  <c:v>8.0640000000000003E-2</c:v>
                </c:pt>
                <c:pt idx="212">
                  <c:v>7.9869999999999997E-2</c:v>
                </c:pt>
                <c:pt idx="213">
                  <c:v>7.5670000000000001E-2</c:v>
                </c:pt>
                <c:pt idx="214">
                  <c:v>7.1749999999999883E-2</c:v>
                </c:pt>
                <c:pt idx="215">
                  <c:v>6.4040000000000125E-2</c:v>
                </c:pt>
                <c:pt idx="216">
                  <c:v>6.3070000000000001E-2</c:v>
                </c:pt>
                <c:pt idx="217">
                  <c:v>6.5619999999999998E-2</c:v>
                </c:pt>
                <c:pt idx="218">
                  <c:v>5.5260999999999998E-2</c:v>
                </c:pt>
                <c:pt idx="219">
                  <c:v>5.7190000000000116E-2</c:v>
                </c:pt>
                <c:pt idx="220">
                  <c:v>5.0565999999999861E-2</c:v>
                </c:pt>
                <c:pt idx="221">
                  <c:v>5.0616399999999999E-2</c:v>
                </c:pt>
                <c:pt idx="222">
                  <c:v>5.7558999999999999E-2</c:v>
                </c:pt>
                <c:pt idx="223">
                  <c:v>2.6009999999999804E-2</c:v>
                </c:pt>
                <c:pt idx="224">
                  <c:v>3.1920000000000198E-2</c:v>
                </c:pt>
                <c:pt idx="225">
                  <c:v>3.2719999999999777E-2</c:v>
                </c:pt>
                <c:pt idx="226">
                  <c:v>5.8184E-2</c:v>
                </c:pt>
                <c:pt idx="227">
                  <c:v>5.9593867403314918E-2</c:v>
                </c:pt>
                <c:pt idx="228">
                  <c:v>1.3296508474576064E-2</c:v>
                </c:pt>
                <c:pt idx="229">
                  <c:v>2.6716511627906888E-2</c:v>
                </c:pt>
                <c:pt idx="230">
                  <c:v>-5.0395468549599663E-3</c:v>
                </c:pt>
                <c:pt idx="231">
                  <c:v>-9.7767491005636351E-3</c:v>
                </c:pt>
                <c:pt idx="232">
                  <c:v>-2.2377400285493499E-2</c:v>
                </c:pt>
                <c:pt idx="233">
                  <c:v>6.1656203248318595E-2</c:v>
                </c:pt>
                <c:pt idx="234">
                  <c:v>-0.30929737095339804</c:v>
                </c:pt>
                <c:pt idx="235">
                  <c:v>-0.11545026670926624</c:v>
                </c:pt>
                <c:pt idx="236">
                  <c:v>-2.0508197609708022E-2</c:v>
                </c:pt>
                <c:pt idx="237">
                  <c:v>-0.22857507118239032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A0D-44D9-83C3-7829F37E9991}"/>
            </c:ext>
          </c:extLst>
        </c:ser>
        <c:ser>
          <c:idx val="3"/>
          <c:order val="3"/>
          <c:tx>
            <c:strRef>
              <c:f>HISTORICO!$Z$5</c:f>
              <c:strCache>
                <c:ptCount val="1"/>
                <c:pt idx="0">
                  <c:v> Max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HISTORICO!$D$100:$E$112</c:f>
              <c:multiLvlStrCache>
                <c:ptCount val="13"/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</c:lvl>
                <c:lvl>
                  <c:pt idx="0">
                    <c:v>24-mar-23</c:v>
                  </c:pt>
                  <c:pt idx="1">
                    <c:v>27-mar-23</c:v>
                  </c:pt>
                  <c:pt idx="2">
                    <c:v>28-mar-23</c:v>
                  </c:pt>
                  <c:pt idx="3">
                    <c:v>29-mar-23</c:v>
                  </c:pt>
                  <c:pt idx="4">
                    <c:v>30-mar-23</c:v>
                  </c:pt>
                  <c:pt idx="5">
                    <c:v>31-mar-23</c:v>
                  </c:pt>
                  <c:pt idx="6">
                    <c:v>3-abr-23</c:v>
                  </c:pt>
                  <c:pt idx="7">
                    <c:v>4-abr-23</c:v>
                  </c:pt>
                  <c:pt idx="8">
                    <c:v>10-abr-23</c:v>
                  </c:pt>
                  <c:pt idx="9">
                    <c:v>11-abr-23</c:v>
                  </c:pt>
                  <c:pt idx="10">
                    <c:v>12-abr-23</c:v>
                  </c:pt>
                  <c:pt idx="11">
                    <c:v>14-abr-23</c:v>
                  </c:pt>
                  <c:pt idx="12">
                    <c:v>19-abr-23</c:v>
                  </c:pt>
                </c:lvl>
              </c:multiLvlStrCache>
            </c:multiLvlStrRef>
          </c:cat>
          <c:val>
            <c:numRef>
              <c:f>HISTORICO!$Z$6:$Z$31</c:f>
            </c:numRef>
          </c:val>
          <c:smooth val="0"/>
          <c:extLst>
            <c:ext xmlns:c16="http://schemas.microsoft.com/office/drawing/2014/chart" uri="{C3380CC4-5D6E-409C-BE32-E72D297353CC}">
              <c16:uniqueId val="{00000006-0A0D-44D9-83C3-7829F37E9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147728"/>
        <c:axId val="466143152"/>
      </c:lineChart>
      <c:catAx>
        <c:axId val="80785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807871808"/>
        <c:crosses val="autoZero"/>
        <c:auto val="1"/>
        <c:lblAlgn val="ctr"/>
        <c:lblOffset val="100"/>
        <c:noMultiLvlLbl val="1"/>
      </c:catAx>
      <c:valAx>
        <c:axId val="807871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/>
                  <a:t>COP $MM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&quot;$&quot;\ ###0,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807852256"/>
        <c:crosses val="autoZero"/>
        <c:crossBetween val="between"/>
      </c:valAx>
      <c:valAx>
        <c:axId val="466143152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466147728"/>
        <c:crosses val="max"/>
        <c:crossBetween val="between"/>
      </c:valAx>
      <c:catAx>
        <c:axId val="466147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6143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Valor de giro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HISTORICO!$D$6:$D$111</c:f>
              <c:strCache>
                <c:ptCount val="106"/>
                <c:pt idx="0">
                  <c:v>20-sep-11</c:v>
                </c:pt>
                <c:pt idx="1">
                  <c:v>2-oct-14</c:v>
                </c:pt>
                <c:pt idx="2">
                  <c:v>17-may-16</c:v>
                </c:pt>
                <c:pt idx="3">
                  <c:v>4-oct-18</c:v>
                </c:pt>
                <c:pt idx="4">
                  <c:v>19-mar-19</c:v>
                </c:pt>
                <c:pt idx="5">
                  <c:v>22-oct-19</c:v>
                </c:pt>
                <c:pt idx="6">
                  <c:v>23-abr-20</c:v>
                </c:pt>
                <c:pt idx="7">
                  <c:v>12-may-20</c:v>
                </c:pt>
                <c:pt idx="8">
                  <c:v>14-may-20</c:v>
                </c:pt>
                <c:pt idx="9">
                  <c:v>20-may-20</c:v>
                </c:pt>
                <c:pt idx="10">
                  <c:v>21-jul-20</c:v>
                </c:pt>
                <c:pt idx="11">
                  <c:v>4-sep-20</c:v>
                </c:pt>
                <c:pt idx="12">
                  <c:v>11-sep-20</c:v>
                </c:pt>
                <c:pt idx="13">
                  <c:v>11-sep-20</c:v>
                </c:pt>
                <c:pt idx="14">
                  <c:v>22-oct-20</c:v>
                </c:pt>
                <c:pt idx="15">
                  <c:v>16-dic-20</c:v>
                </c:pt>
                <c:pt idx="16">
                  <c:v>12-mar-21</c:v>
                </c:pt>
                <c:pt idx="17">
                  <c:v>13-ago-21</c:v>
                </c:pt>
                <c:pt idx="18">
                  <c:v>26-ago-21</c:v>
                </c:pt>
                <c:pt idx="19">
                  <c:v>21-sep-21</c:v>
                </c:pt>
                <c:pt idx="20">
                  <c:v>1-oct-21</c:v>
                </c:pt>
                <c:pt idx="21">
                  <c:v>22-oct-21</c:v>
                </c:pt>
                <c:pt idx="22">
                  <c:v>13-dic-21</c:v>
                </c:pt>
                <c:pt idx="23">
                  <c:v>14-mar-22</c:v>
                </c:pt>
                <c:pt idx="24">
                  <c:v>15-mar-22</c:v>
                </c:pt>
                <c:pt idx="25">
                  <c:v>16-mar-22</c:v>
                </c:pt>
                <c:pt idx="26">
                  <c:v>17-mar-22</c:v>
                </c:pt>
                <c:pt idx="27">
                  <c:v>18-mar-22</c:v>
                </c:pt>
                <c:pt idx="28">
                  <c:v>29-mar-22</c:v>
                </c:pt>
                <c:pt idx="29">
                  <c:v>30-mar-22</c:v>
                </c:pt>
                <c:pt idx="30">
                  <c:v>31-mar-22</c:v>
                </c:pt>
                <c:pt idx="31">
                  <c:v>1-abr-22</c:v>
                </c:pt>
                <c:pt idx="32">
                  <c:v>4-abr-22</c:v>
                </c:pt>
                <c:pt idx="33">
                  <c:v>5-abr-22</c:v>
                </c:pt>
                <c:pt idx="34">
                  <c:v>6-abr-22</c:v>
                </c:pt>
                <c:pt idx="35">
                  <c:v>7-abr-22</c:v>
                </c:pt>
                <c:pt idx="36">
                  <c:v>8-abr-22</c:v>
                </c:pt>
                <c:pt idx="37">
                  <c:v>19-abr-22</c:v>
                </c:pt>
                <c:pt idx="38">
                  <c:v>16-may-22</c:v>
                </c:pt>
                <c:pt idx="39">
                  <c:v>17-may-22</c:v>
                </c:pt>
                <c:pt idx="40">
                  <c:v>18-may-22</c:v>
                </c:pt>
                <c:pt idx="41">
                  <c:v>19-may-22</c:v>
                </c:pt>
                <c:pt idx="42">
                  <c:v>23-may-22</c:v>
                </c:pt>
                <c:pt idx="43">
                  <c:v>24-may-22</c:v>
                </c:pt>
                <c:pt idx="44">
                  <c:v>25-may-22</c:v>
                </c:pt>
                <c:pt idx="45">
                  <c:v>26-may-22</c:v>
                </c:pt>
                <c:pt idx="46">
                  <c:v>27-may-22</c:v>
                </c:pt>
                <c:pt idx="47">
                  <c:v>31-may-22</c:v>
                </c:pt>
                <c:pt idx="48">
                  <c:v>1-jun-22</c:v>
                </c:pt>
                <c:pt idx="49">
                  <c:v>2-jun-22</c:v>
                </c:pt>
                <c:pt idx="50">
                  <c:v>3-jun-22</c:v>
                </c:pt>
                <c:pt idx="51">
                  <c:v>7-jun-22</c:v>
                </c:pt>
                <c:pt idx="52">
                  <c:v>8-jun-22</c:v>
                </c:pt>
                <c:pt idx="53">
                  <c:v>9-jun-22</c:v>
                </c:pt>
                <c:pt idx="54">
                  <c:v>5-jul-22</c:v>
                </c:pt>
                <c:pt idx="55">
                  <c:v>7-jul-22</c:v>
                </c:pt>
                <c:pt idx="56">
                  <c:v>7-sep-22</c:v>
                </c:pt>
                <c:pt idx="57">
                  <c:v>8-sep-22</c:v>
                </c:pt>
                <c:pt idx="58">
                  <c:v>9-sep-22</c:v>
                </c:pt>
                <c:pt idx="59">
                  <c:v>12-sep-22</c:v>
                </c:pt>
                <c:pt idx="60">
                  <c:v>14-sep-22</c:v>
                </c:pt>
                <c:pt idx="61">
                  <c:v>15-sep-22</c:v>
                </c:pt>
                <c:pt idx="62">
                  <c:v>16-sep-22</c:v>
                </c:pt>
                <c:pt idx="63">
                  <c:v>19-sep-22</c:v>
                </c:pt>
                <c:pt idx="64">
                  <c:v>20-sep-22</c:v>
                </c:pt>
                <c:pt idx="65">
                  <c:v>21-sep-22</c:v>
                </c:pt>
                <c:pt idx="66">
                  <c:v>22-sep-22</c:v>
                </c:pt>
                <c:pt idx="67">
                  <c:v>23-sep-22</c:v>
                </c:pt>
                <c:pt idx="68">
                  <c:v>27-sep-22</c:v>
                </c:pt>
                <c:pt idx="69">
                  <c:v>28-sep-22</c:v>
                </c:pt>
                <c:pt idx="70">
                  <c:v>29-sep-22</c:v>
                </c:pt>
                <c:pt idx="71">
                  <c:v>3-oct-22</c:v>
                </c:pt>
                <c:pt idx="72">
                  <c:v>4-oct-22</c:v>
                </c:pt>
                <c:pt idx="73">
                  <c:v>5-oct-22</c:v>
                </c:pt>
                <c:pt idx="74">
                  <c:v>12-oct-22</c:v>
                </c:pt>
                <c:pt idx="75">
                  <c:v>13-oct-22</c:v>
                </c:pt>
                <c:pt idx="76">
                  <c:v>18-oct-22</c:v>
                </c:pt>
                <c:pt idx="77">
                  <c:v>10-nov-22</c:v>
                </c:pt>
                <c:pt idx="78">
                  <c:v>15-nov-22</c:v>
                </c:pt>
                <c:pt idx="79">
                  <c:v>16-nov-22</c:v>
                </c:pt>
                <c:pt idx="80">
                  <c:v>22-nov-22</c:v>
                </c:pt>
                <c:pt idx="81">
                  <c:v>23-nov-22</c:v>
                </c:pt>
                <c:pt idx="82">
                  <c:v>24-nov-22</c:v>
                </c:pt>
                <c:pt idx="83">
                  <c:v>25-nov-22</c:v>
                </c:pt>
                <c:pt idx="84">
                  <c:v>29-nov-22</c:v>
                </c:pt>
                <c:pt idx="85">
                  <c:v>1-dic-22</c:v>
                </c:pt>
                <c:pt idx="86">
                  <c:v>2-dic-22</c:v>
                </c:pt>
                <c:pt idx="87">
                  <c:v>5-nov-22</c:v>
                </c:pt>
                <c:pt idx="88">
                  <c:v>6-nov-22</c:v>
                </c:pt>
                <c:pt idx="89">
                  <c:v>7-dic-22</c:v>
                </c:pt>
                <c:pt idx="90">
                  <c:v>12-dic-22</c:v>
                </c:pt>
                <c:pt idx="91">
                  <c:v>13-dic-22</c:v>
                </c:pt>
                <c:pt idx="92">
                  <c:v>14-dic-22</c:v>
                </c:pt>
                <c:pt idx="93">
                  <c:v>22-dic-22</c:v>
                </c:pt>
                <c:pt idx="94">
                  <c:v>24-mar-23</c:v>
                </c:pt>
                <c:pt idx="95">
                  <c:v>27-mar-23</c:v>
                </c:pt>
                <c:pt idx="96">
                  <c:v>28-mar-23</c:v>
                </c:pt>
                <c:pt idx="97">
                  <c:v>29-mar-23</c:v>
                </c:pt>
                <c:pt idx="98">
                  <c:v>30-mar-23</c:v>
                </c:pt>
                <c:pt idx="99">
                  <c:v>31-mar-23</c:v>
                </c:pt>
                <c:pt idx="100">
                  <c:v>3-abr-23</c:v>
                </c:pt>
                <c:pt idx="101">
                  <c:v>4-abr-23</c:v>
                </c:pt>
                <c:pt idx="102">
                  <c:v>10-abr-23</c:v>
                </c:pt>
                <c:pt idx="103">
                  <c:v>11-abr-23</c:v>
                </c:pt>
                <c:pt idx="104">
                  <c:v>12-abr-23</c:v>
                </c:pt>
                <c:pt idx="105">
                  <c:v>14-abr-23</c:v>
                </c:pt>
              </c:strCache>
            </c:strRef>
          </c:cat>
          <c:val>
            <c:numRef>
              <c:f>HISTORICO!$I$6:$I$111</c:f>
              <c:numCache>
                <c:formatCode>#,##0_ ;[Red]\-#,##0\ </c:formatCode>
                <c:ptCount val="106"/>
                <c:pt idx="0">
                  <c:v>20428039516</c:v>
                </c:pt>
                <c:pt idx="1">
                  <c:v>214636396794.00101</c:v>
                </c:pt>
                <c:pt idx="2">
                  <c:v>3620197491.7990699</c:v>
                </c:pt>
                <c:pt idx="3">
                  <c:v>787726256.75</c:v>
                </c:pt>
                <c:pt idx="4">
                  <c:v>282295679199.58002</c:v>
                </c:pt>
                <c:pt idx="5">
                  <c:v>11771598.699999999</c:v>
                </c:pt>
                <c:pt idx="6">
                  <c:v>120346497365.74023</c:v>
                </c:pt>
                <c:pt idx="7">
                  <c:v>209655.740234375</c:v>
                </c:pt>
                <c:pt idx="8">
                  <c:v>354431.0703125</c:v>
                </c:pt>
                <c:pt idx="9">
                  <c:v>266451.46270751953</c:v>
                </c:pt>
                <c:pt idx="10">
                  <c:v>45294.4794921875</c:v>
                </c:pt>
                <c:pt idx="11">
                  <c:v>360903.53039550781</c:v>
                </c:pt>
                <c:pt idx="12">
                  <c:v>60885.282989501953</c:v>
                </c:pt>
                <c:pt idx="13">
                  <c:v>2123</c:v>
                </c:pt>
                <c:pt idx="14">
                  <c:v>10496119787.024902</c:v>
                </c:pt>
                <c:pt idx="15">
                  <c:v>95087.5</c:v>
                </c:pt>
                <c:pt idx="16">
                  <c:v>103402231561.63965</c:v>
                </c:pt>
                <c:pt idx="17">
                  <c:v>53664.700927734375</c:v>
                </c:pt>
                <c:pt idx="18">
                  <c:v>334496984424.30859</c:v>
                </c:pt>
                <c:pt idx="19">
                  <c:v>59848872143.040039</c:v>
                </c:pt>
                <c:pt idx="20">
                  <c:v>60717971423.459961</c:v>
                </c:pt>
                <c:pt idx="21">
                  <c:v>1896555059.5799561</c:v>
                </c:pt>
                <c:pt idx="22">
                  <c:v>3316480.2697753906</c:v>
                </c:pt>
                <c:pt idx="23">
                  <c:v>1467370995.8599968</c:v>
                </c:pt>
                <c:pt idx="24">
                  <c:v>10071304838.920013</c:v>
                </c:pt>
                <c:pt idx="25">
                  <c:v>11563784356</c:v>
                </c:pt>
                <c:pt idx="26">
                  <c:v>15060503636.320068</c:v>
                </c:pt>
                <c:pt idx="27">
                  <c:v>6771752064.1999969</c:v>
                </c:pt>
                <c:pt idx="28">
                  <c:v>6915914962.6299744</c:v>
                </c:pt>
                <c:pt idx="29">
                  <c:v>8601361640.6499634</c:v>
                </c:pt>
                <c:pt idx="30">
                  <c:v>25908465782.479858</c:v>
                </c:pt>
                <c:pt idx="31">
                  <c:v>19530611856.719971</c:v>
                </c:pt>
                <c:pt idx="32">
                  <c:v>16723502896.809998</c:v>
                </c:pt>
                <c:pt idx="33">
                  <c:v>16212772480.22995</c:v>
                </c:pt>
                <c:pt idx="34">
                  <c:v>13119614551.730011</c:v>
                </c:pt>
                <c:pt idx="35">
                  <c:v>7530269083.0512085</c:v>
                </c:pt>
                <c:pt idx="36">
                  <c:v>7373111425.5392761</c:v>
                </c:pt>
                <c:pt idx="37">
                  <c:v>22400928182.399994</c:v>
                </c:pt>
                <c:pt idx="38">
                  <c:v>131728909841.81006</c:v>
                </c:pt>
                <c:pt idx="39">
                  <c:v>5696782741.5900059</c:v>
                </c:pt>
                <c:pt idx="40">
                  <c:v>16108434957.43</c:v>
                </c:pt>
                <c:pt idx="41">
                  <c:v>5019426092.5</c:v>
                </c:pt>
                <c:pt idx="42">
                  <c:v>30299736494.220032</c:v>
                </c:pt>
                <c:pt idx="43">
                  <c:v>20696929685.76001</c:v>
                </c:pt>
                <c:pt idx="44">
                  <c:v>14043939834.01001</c:v>
                </c:pt>
                <c:pt idx="45">
                  <c:v>69571517121.210022</c:v>
                </c:pt>
                <c:pt idx="46">
                  <c:v>34888320469.389984</c:v>
                </c:pt>
                <c:pt idx="47">
                  <c:v>39061238992.149933</c:v>
                </c:pt>
                <c:pt idx="48">
                  <c:v>12862355982.379999</c:v>
                </c:pt>
                <c:pt idx="49">
                  <c:v>15955760778.5</c:v>
                </c:pt>
                <c:pt idx="50">
                  <c:v>24592603696.659973</c:v>
                </c:pt>
                <c:pt idx="51">
                  <c:v>32502389853.109978</c:v>
                </c:pt>
                <c:pt idx="52">
                  <c:v>17260182213.839989</c:v>
                </c:pt>
                <c:pt idx="53">
                  <c:v>32004286024.949982</c:v>
                </c:pt>
                <c:pt idx="54">
                  <c:v>27000051975.080017</c:v>
                </c:pt>
                <c:pt idx="55">
                  <c:v>13556701685.12999</c:v>
                </c:pt>
                <c:pt idx="56">
                  <c:v>12700841325.809998</c:v>
                </c:pt>
                <c:pt idx="57">
                  <c:v>6191516565.9599991</c:v>
                </c:pt>
                <c:pt idx="58">
                  <c:v>12894043322.87999</c:v>
                </c:pt>
                <c:pt idx="59">
                  <c:v>5302006034.1900024</c:v>
                </c:pt>
                <c:pt idx="60">
                  <c:v>47734525575.150024</c:v>
                </c:pt>
                <c:pt idx="61">
                  <c:v>25229001897.900024</c:v>
                </c:pt>
                <c:pt idx="62">
                  <c:v>3855680435.75</c:v>
                </c:pt>
                <c:pt idx="63">
                  <c:v>17746367906.25</c:v>
                </c:pt>
                <c:pt idx="64">
                  <c:v>5820093822.8300018</c:v>
                </c:pt>
                <c:pt idx="65">
                  <c:v>9075844454.5999985</c:v>
                </c:pt>
                <c:pt idx="66">
                  <c:v>6348166753.840004</c:v>
                </c:pt>
                <c:pt idx="67">
                  <c:v>16523126408.759995</c:v>
                </c:pt>
                <c:pt idx="68">
                  <c:v>8703462473.3699951</c:v>
                </c:pt>
                <c:pt idx="69">
                  <c:v>10185941273.699997</c:v>
                </c:pt>
                <c:pt idx="70">
                  <c:v>8575250253.5699997</c:v>
                </c:pt>
                <c:pt idx="71">
                  <c:v>5200038239.7600021</c:v>
                </c:pt>
                <c:pt idx="72">
                  <c:v>13477275168</c:v>
                </c:pt>
                <c:pt idx="73">
                  <c:v>3686280418.7999992</c:v>
                </c:pt>
                <c:pt idx="74">
                  <c:v>8826761553.8300018</c:v>
                </c:pt>
                <c:pt idx="75">
                  <c:v>11669263264.259995</c:v>
                </c:pt>
                <c:pt idx="76">
                  <c:v>860798048.05999947</c:v>
                </c:pt>
                <c:pt idx="77">
                  <c:v>4087963402.1999969</c:v>
                </c:pt>
                <c:pt idx="78">
                  <c:v>6304557374.5</c:v>
                </c:pt>
                <c:pt idx="79">
                  <c:v>9553964810.4000092</c:v>
                </c:pt>
                <c:pt idx="80">
                  <c:v>14681992617</c:v>
                </c:pt>
                <c:pt idx="81">
                  <c:v>18561329792.460007</c:v>
                </c:pt>
                <c:pt idx="82">
                  <c:v>7682870930.1699982</c:v>
                </c:pt>
                <c:pt idx="83">
                  <c:v>4190698936.7999992</c:v>
                </c:pt>
                <c:pt idx="84">
                  <c:v>19931481779.87999</c:v>
                </c:pt>
                <c:pt idx="85">
                  <c:v>26894153455.040001</c:v>
                </c:pt>
                <c:pt idx="86">
                  <c:v>44728638264.820007</c:v>
                </c:pt>
                <c:pt idx="87">
                  <c:v>16966870100.799988</c:v>
                </c:pt>
                <c:pt idx="88">
                  <c:v>11974092511.099991</c:v>
                </c:pt>
                <c:pt idx="89">
                  <c:v>12629510028</c:v>
                </c:pt>
                <c:pt idx="90">
                  <c:v>19070088187.5</c:v>
                </c:pt>
                <c:pt idx="91">
                  <c:v>27445314202.230011</c:v>
                </c:pt>
                <c:pt idx="92">
                  <c:v>271888067100.33008</c:v>
                </c:pt>
                <c:pt idx="93">
                  <c:v>23151919752.04406</c:v>
                </c:pt>
                <c:pt idx="94">
                  <c:v>10591660000</c:v>
                </c:pt>
                <c:pt idx="95">
                  <c:v>8892250000</c:v>
                </c:pt>
                <c:pt idx="96">
                  <c:v>5037420000</c:v>
                </c:pt>
                <c:pt idx="97">
                  <c:v>2105885000</c:v>
                </c:pt>
                <c:pt idx="98">
                  <c:v>4847450000</c:v>
                </c:pt>
                <c:pt idx="99">
                  <c:v>548580000</c:v>
                </c:pt>
                <c:pt idx="100">
                  <c:v>876350000</c:v>
                </c:pt>
                <c:pt idx="101">
                  <c:v>871220000</c:v>
                </c:pt>
                <c:pt idx="102">
                  <c:v>3166750000.0000305</c:v>
                </c:pt>
                <c:pt idx="103">
                  <c:v>6815700000</c:v>
                </c:pt>
                <c:pt idx="104">
                  <c:v>1631600000</c:v>
                </c:pt>
                <c:pt idx="105">
                  <c:v>139460100000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B-4BB2-89F9-75EEE80DE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323376"/>
        <c:axId val="804317136"/>
      </c:barChart>
      <c:catAx>
        <c:axId val="80432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4317136"/>
        <c:crosses val="autoZero"/>
        <c:auto val="1"/>
        <c:lblAlgn val="ctr"/>
        <c:lblOffset val="100"/>
        <c:noMultiLvlLbl val="0"/>
      </c:catAx>
      <c:valAx>
        <c:axId val="8043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432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1"/>
              <a:t>Efecto Fiscal Neto Acumulado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Valor de Giro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HISTORICO!$D$100:$D$171</c:f>
              <c:strCache>
                <c:ptCount val="72"/>
                <c:pt idx="0">
                  <c:v>24-mar-23</c:v>
                </c:pt>
                <c:pt idx="1">
                  <c:v>27-mar-23</c:v>
                </c:pt>
                <c:pt idx="2">
                  <c:v>28-mar-23</c:v>
                </c:pt>
                <c:pt idx="3">
                  <c:v>29-mar-23</c:v>
                </c:pt>
                <c:pt idx="4">
                  <c:v>30-mar-23</c:v>
                </c:pt>
                <c:pt idx="5">
                  <c:v>31-mar-23</c:v>
                </c:pt>
                <c:pt idx="6">
                  <c:v>3-abr-23</c:v>
                </c:pt>
                <c:pt idx="7">
                  <c:v>4-abr-23</c:v>
                </c:pt>
                <c:pt idx="8">
                  <c:v>10-abr-23</c:v>
                </c:pt>
                <c:pt idx="9">
                  <c:v>11-abr-23</c:v>
                </c:pt>
                <c:pt idx="10">
                  <c:v>12-abr-23</c:v>
                </c:pt>
                <c:pt idx="11">
                  <c:v>14-abr-23</c:v>
                </c:pt>
                <c:pt idx="12">
                  <c:v>19-abr-23</c:v>
                </c:pt>
                <c:pt idx="13">
                  <c:v>20-abr-23</c:v>
                </c:pt>
                <c:pt idx="14">
                  <c:v>21-abr-23</c:v>
                </c:pt>
                <c:pt idx="15">
                  <c:v>3-may-23</c:v>
                </c:pt>
                <c:pt idx="16">
                  <c:v>10-may-23</c:v>
                </c:pt>
                <c:pt idx="17">
                  <c:v>17-may-23</c:v>
                </c:pt>
                <c:pt idx="18">
                  <c:v>31-may-23</c:v>
                </c:pt>
                <c:pt idx="19">
                  <c:v>28-jun-23</c:v>
                </c:pt>
                <c:pt idx="20">
                  <c:v>30-jun-23</c:v>
                </c:pt>
                <c:pt idx="21">
                  <c:v>24-jul-23</c:v>
                </c:pt>
                <c:pt idx="22">
                  <c:v>25-jul-23</c:v>
                </c:pt>
                <c:pt idx="23">
                  <c:v>26-jul-23</c:v>
                </c:pt>
                <c:pt idx="24">
                  <c:v>28-jul-23</c:v>
                </c:pt>
                <c:pt idx="25">
                  <c:v>15-ago-23</c:v>
                </c:pt>
                <c:pt idx="26">
                  <c:v>16-ago-23</c:v>
                </c:pt>
                <c:pt idx="27">
                  <c:v>17-ago-23</c:v>
                </c:pt>
                <c:pt idx="28">
                  <c:v>18-ago-23</c:v>
                </c:pt>
                <c:pt idx="29">
                  <c:v>22-ago-23</c:v>
                </c:pt>
                <c:pt idx="30">
                  <c:v>23-ago-23</c:v>
                </c:pt>
                <c:pt idx="31">
                  <c:v>24-ago-23</c:v>
                </c:pt>
                <c:pt idx="32">
                  <c:v>28-ago-23</c:v>
                </c:pt>
                <c:pt idx="33">
                  <c:v>29-ago-23</c:v>
                </c:pt>
                <c:pt idx="34">
                  <c:v>30-ago-23</c:v>
                </c:pt>
                <c:pt idx="35">
                  <c:v>31-ago-23</c:v>
                </c:pt>
                <c:pt idx="36">
                  <c:v>4-sep-23</c:v>
                </c:pt>
                <c:pt idx="37">
                  <c:v>5-sep-23</c:v>
                </c:pt>
                <c:pt idx="38">
                  <c:v>7-sep-23</c:v>
                </c:pt>
                <c:pt idx="39">
                  <c:v>11-sep-23</c:v>
                </c:pt>
                <c:pt idx="40">
                  <c:v>12-sep-23</c:v>
                </c:pt>
                <c:pt idx="41">
                  <c:v>13-sep-23</c:v>
                </c:pt>
                <c:pt idx="42">
                  <c:v>15-sep-23</c:v>
                </c:pt>
                <c:pt idx="43">
                  <c:v>19-sep-23</c:v>
                </c:pt>
                <c:pt idx="44">
                  <c:v>20-sep-23</c:v>
                </c:pt>
                <c:pt idx="45">
                  <c:v>21-sep-23</c:v>
                </c:pt>
                <c:pt idx="46">
                  <c:v>25-sep-23</c:v>
                </c:pt>
                <c:pt idx="47">
                  <c:v>26-sep-23</c:v>
                </c:pt>
                <c:pt idx="48">
                  <c:v>28-sep-23</c:v>
                </c:pt>
                <c:pt idx="49">
                  <c:v>2-oct-23</c:v>
                </c:pt>
                <c:pt idx="50">
                  <c:v>4-oct-23</c:v>
                </c:pt>
                <c:pt idx="51">
                  <c:v>18-oct-23</c:v>
                </c:pt>
                <c:pt idx="52">
                  <c:v>19-oct-23</c:v>
                </c:pt>
                <c:pt idx="53">
                  <c:v>20-oct-23</c:v>
                </c:pt>
                <c:pt idx="54">
                  <c:v>23-oct-23</c:v>
                </c:pt>
                <c:pt idx="55">
                  <c:v>25-oct-23</c:v>
                </c:pt>
                <c:pt idx="56">
                  <c:v>27-oct-23</c:v>
                </c:pt>
                <c:pt idx="57">
                  <c:v>30-oct-23</c:v>
                </c:pt>
                <c:pt idx="58">
                  <c:v>31-oct-23</c:v>
                </c:pt>
                <c:pt idx="59">
                  <c:v>1-nov-23</c:v>
                </c:pt>
                <c:pt idx="60">
                  <c:v>2-nov-23</c:v>
                </c:pt>
                <c:pt idx="61">
                  <c:v>3-nov-23</c:v>
                </c:pt>
                <c:pt idx="62">
                  <c:v>7-nov-23</c:v>
                </c:pt>
                <c:pt idx="63">
                  <c:v>9-nov-23</c:v>
                </c:pt>
                <c:pt idx="64">
                  <c:v>14-nov-23</c:v>
                </c:pt>
                <c:pt idx="65">
                  <c:v>15-nov-23</c:v>
                </c:pt>
                <c:pt idx="66">
                  <c:v>16-nov-23</c:v>
                </c:pt>
                <c:pt idx="67">
                  <c:v>22-nov-23</c:v>
                </c:pt>
                <c:pt idx="68">
                  <c:v>28-nov-23</c:v>
                </c:pt>
                <c:pt idx="69">
                  <c:v>29-nov-23</c:v>
                </c:pt>
                <c:pt idx="70">
                  <c:v>4-dic-23</c:v>
                </c:pt>
                <c:pt idx="71">
                  <c:v>5-dic-23</c:v>
                </c:pt>
              </c:strCache>
            </c:strRef>
          </c:cat>
          <c:val>
            <c:numRef>
              <c:f>HISTORICO!$AG$100:$AG$171</c:f>
              <c:numCache>
                <c:formatCode>#,##0_ ;[Red]\-#,##0\ </c:formatCode>
                <c:ptCount val="72"/>
                <c:pt idx="0">
                  <c:v>10591660000</c:v>
                </c:pt>
                <c:pt idx="1">
                  <c:v>19483910000</c:v>
                </c:pt>
                <c:pt idx="2">
                  <c:v>24521330000</c:v>
                </c:pt>
                <c:pt idx="3">
                  <c:v>26627215000</c:v>
                </c:pt>
                <c:pt idx="4">
                  <c:v>31474665000</c:v>
                </c:pt>
                <c:pt idx="5">
                  <c:v>32023245000</c:v>
                </c:pt>
                <c:pt idx="6">
                  <c:v>32899595000</c:v>
                </c:pt>
                <c:pt idx="7">
                  <c:v>33770815000</c:v>
                </c:pt>
                <c:pt idx="8">
                  <c:v>36937565000.000031</c:v>
                </c:pt>
                <c:pt idx="9">
                  <c:v>43753265000.000031</c:v>
                </c:pt>
                <c:pt idx="10">
                  <c:v>45384865000.000031</c:v>
                </c:pt>
                <c:pt idx="11">
                  <c:v>184844965000.00003</c:v>
                </c:pt>
                <c:pt idx="12">
                  <c:v>185702565000</c:v>
                </c:pt>
                <c:pt idx="13">
                  <c:v>186640125000</c:v>
                </c:pt>
                <c:pt idx="14">
                  <c:v>186998375000</c:v>
                </c:pt>
                <c:pt idx="15">
                  <c:v>192664804999.99997</c:v>
                </c:pt>
                <c:pt idx="16">
                  <c:v>192818404999.99997</c:v>
                </c:pt>
                <c:pt idx="17">
                  <c:v>193293934999.99994</c:v>
                </c:pt>
                <c:pt idx="18">
                  <c:v>198629684999.99994</c:v>
                </c:pt>
                <c:pt idx="19">
                  <c:v>199094684999.99988</c:v>
                </c:pt>
                <c:pt idx="20">
                  <c:v>199711814999.99985</c:v>
                </c:pt>
                <c:pt idx="21">
                  <c:v>200511034999.99985</c:v>
                </c:pt>
                <c:pt idx="22">
                  <c:v>200650234999.99985</c:v>
                </c:pt>
                <c:pt idx="23">
                  <c:v>200674324999.99988</c:v>
                </c:pt>
                <c:pt idx="24">
                  <c:v>201023274999.99991</c:v>
                </c:pt>
                <c:pt idx="25">
                  <c:v>201023366423.99988</c:v>
                </c:pt>
                <c:pt idx="26">
                  <c:v>201032716423.99988</c:v>
                </c:pt>
                <c:pt idx="27">
                  <c:v>201032747455.99988</c:v>
                </c:pt>
                <c:pt idx="28">
                  <c:v>201032797839.99988</c:v>
                </c:pt>
                <c:pt idx="29">
                  <c:v>201057467839.99988</c:v>
                </c:pt>
                <c:pt idx="30">
                  <c:v>201213467839.99988</c:v>
                </c:pt>
                <c:pt idx="31">
                  <c:v>201365812839.99982</c:v>
                </c:pt>
                <c:pt idx="32">
                  <c:v>201379382839.99985</c:v>
                </c:pt>
                <c:pt idx="33">
                  <c:v>201391982839.99985</c:v>
                </c:pt>
                <c:pt idx="34">
                  <c:v>201392024776.99982</c:v>
                </c:pt>
                <c:pt idx="35">
                  <c:v>201409484776.99979</c:v>
                </c:pt>
                <c:pt idx="36">
                  <c:v>201423939776.99976</c:v>
                </c:pt>
                <c:pt idx="37">
                  <c:v>201424239776.99976</c:v>
                </c:pt>
                <c:pt idx="38">
                  <c:v>201429399776.99976</c:v>
                </c:pt>
                <c:pt idx="39">
                  <c:v>201448959776.99979</c:v>
                </c:pt>
                <c:pt idx="40">
                  <c:v>201449060512.99982</c:v>
                </c:pt>
                <c:pt idx="41">
                  <c:v>201472305512.99982</c:v>
                </c:pt>
                <c:pt idx="42">
                  <c:v>201476175512.99982</c:v>
                </c:pt>
                <c:pt idx="43">
                  <c:v>201734285512.99982</c:v>
                </c:pt>
                <c:pt idx="44">
                  <c:v>202081565512.99982</c:v>
                </c:pt>
                <c:pt idx="45">
                  <c:v>202116130512.99982</c:v>
                </c:pt>
                <c:pt idx="46">
                  <c:v>202138505512.99982</c:v>
                </c:pt>
                <c:pt idx="47">
                  <c:v>202171205512.99982</c:v>
                </c:pt>
                <c:pt idx="48">
                  <c:v>202175260512.99982</c:v>
                </c:pt>
                <c:pt idx="49">
                  <c:v>202181295512.99982</c:v>
                </c:pt>
                <c:pt idx="50">
                  <c:v>202230675512.99982</c:v>
                </c:pt>
                <c:pt idx="51">
                  <c:v>202241720512.99982</c:v>
                </c:pt>
                <c:pt idx="52">
                  <c:v>202300000512.99982</c:v>
                </c:pt>
                <c:pt idx="53">
                  <c:v>202351760512.99982</c:v>
                </c:pt>
                <c:pt idx="54">
                  <c:v>202427900512.99982</c:v>
                </c:pt>
                <c:pt idx="55">
                  <c:v>202429090512.99982</c:v>
                </c:pt>
                <c:pt idx="56">
                  <c:v>202486580512.99982</c:v>
                </c:pt>
                <c:pt idx="57">
                  <c:v>202593755512.99982</c:v>
                </c:pt>
                <c:pt idx="58">
                  <c:v>213349897602.5498</c:v>
                </c:pt>
                <c:pt idx="59">
                  <c:v>221866209506.5498</c:v>
                </c:pt>
                <c:pt idx="60">
                  <c:v>224486980475.5498</c:v>
                </c:pt>
                <c:pt idx="61">
                  <c:v>232028170725.5498</c:v>
                </c:pt>
                <c:pt idx="62">
                  <c:v>245759170725.54984</c:v>
                </c:pt>
                <c:pt idx="63">
                  <c:v>250594659229.54984</c:v>
                </c:pt>
                <c:pt idx="64">
                  <c:v>258609281161.54984</c:v>
                </c:pt>
                <c:pt idx="65">
                  <c:v>267800750196.54984</c:v>
                </c:pt>
                <c:pt idx="66">
                  <c:v>272957435356.5498</c:v>
                </c:pt>
                <c:pt idx="67">
                  <c:v>280609962332.5498</c:v>
                </c:pt>
                <c:pt idx="68">
                  <c:v>280855797332.5498</c:v>
                </c:pt>
                <c:pt idx="69">
                  <c:v>281343997332.5498</c:v>
                </c:pt>
                <c:pt idx="70">
                  <c:v>281344069661.5498</c:v>
                </c:pt>
                <c:pt idx="71">
                  <c:v>281696676291.5498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4-486C-8A41-62B0DE84A2E7}"/>
            </c:ext>
          </c:extLst>
        </c:ser>
        <c:ser>
          <c:idx val="1"/>
          <c:order val="1"/>
          <c:tx>
            <c:v>Efecto Cupón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HISTORICO!$D$100:$D$171</c:f>
              <c:strCache>
                <c:ptCount val="72"/>
                <c:pt idx="0">
                  <c:v>24-mar-23</c:v>
                </c:pt>
                <c:pt idx="1">
                  <c:v>27-mar-23</c:v>
                </c:pt>
                <c:pt idx="2">
                  <c:v>28-mar-23</c:v>
                </c:pt>
                <c:pt idx="3">
                  <c:v>29-mar-23</c:v>
                </c:pt>
                <c:pt idx="4">
                  <c:v>30-mar-23</c:v>
                </c:pt>
                <c:pt idx="5">
                  <c:v>31-mar-23</c:v>
                </c:pt>
                <c:pt idx="6">
                  <c:v>3-abr-23</c:v>
                </c:pt>
                <c:pt idx="7">
                  <c:v>4-abr-23</c:v>
                </c:pt>
                <c:pt idx="8">
                  <c:v>10-abr-23</c:v>
                </c:pt>
                <c:pt idx="9">
                  <c:v>11-abr-23</c:v>
                </c:pt>
                <c:pt idx="10">
                  <c:v>12-abr-23</c:v>
                </c:pt>
                <c:pt idx="11">
                  <c:v>14-abr-23</c:v>
                </c:pt>
                <c:pt idx="12">
                  <c:v>19-abr-23</c:v>
                </c:pt>
                <c:pt idx="13">
                  <c:v>20-abr-23</c:v>
                </c:pt>
                <c:pt idx="14">
                  <c:v>21-abr-23</c:v>
                </c:pt>
                <c:pt idx="15">
                  <c:v>3-may-23</c:v>
                </c:pt>
                <c:pt idx="16">
                  <c:v>10-may-23</c:v>
                </c:pt>
                <c:pt idx="17">
                  <c:v>17-may-23</c:v>
                </c:pt>
                <c:pt idx="18">
                  <c:v>31-may-23</c:v>
                </c:pt>
                <c:pt idx="19">
                  <c:v>28-jun-23</c:v>
                </c:pt>
                <c:pt idx="20">
                  <c:v>30-jun-23</c:v>
                </c:pt>
                <c:pt idx="21">
                  <c:v>24-jul-23</c:v>
                </c:pt>
                <c:pt idx="22">
                  <c:v>25-jul-23</c:v>
                </c:pt>
                <c:pt idx="23">
                  <c:v>26-jul-23</c:v>
                </c:pt>
                <c:pt idx="24">
                  <c:v>28-jul-23</c:v>
                </c:pt>
                <c:pt idx="25">
                  <c:v>15-ago-23</c:v>
                </c:pt>
                <c:pt idx="26">
                  <c:v>16-ago-23</c:v>
                </c:pt>
                <c:pt idx="27">
                  <c:v>17-ago-23</c:v>
                </c:pt>
                <c:pt idx="28">
                  <c:v>18-ago-23</c:v>
                </c:pt>
                <c:pt idx="29">
                  <c:v>22-ago-23</c:v>
                </c:pt>
                <c:pt idx="30">
                  <c:v>23-ago-23</c:v>
                </c:pt>
                <c:pt idx="31">
                  <c:v>24-ago-23</c:v>
                </c:pt>
                <c:pt idx="32">
                  <c:v>28-ago-23</c:v>
                </c:pt>
                <c:pt idx="33">
                  <c:v>29-ago-23</c:v>
                </c:pt>
                <c:pt idx="34">
                  <c:v>30-ago-23</c:v>
                </c:pt>
                <c:pt idx="35">
                  <c:v>31-ago-23</c:v>
                </c:pt>
                <c:pt idx="36">
                  <c:v>4-sep-23</c:v>
                </c:pt>
                <c:pt idx="37">
                  <c:v>5-sep-23</c:v>
                </c:pt>
                <c:pt idx="38">
                  <c:v>7-sep-23</c:v>
                </c:pt>
                <c:pt idx="39">
                  <c:v>11-sep-23</c:v>
                </c:pt>
                <c:pt idx="40">
                  <c:v>12-sep-23</c:v>
                </c:pt>
                <c:pt idx="41">
                  <c:v>13-sep-23</c:v>
                </c:pt>
                <c:pt idx="42">
                  <c:v>15-sep-23</c:v>
                </c:pt>
                <c:pt idx="43">
                  <c:v>19-sep-23</c:v>
                </c:pt>
                <c:pt idx="44">
                  <c:v>20-sep-23</c:v>
                </c:pt>
                <c:pt idx="45">
                  <c:v>21-sep-23</c:v>
                </c:pt>
                <c:pt idx="46">
                  <c:v>25-sep-23</c:v>
                </c:pt>
                <c:pt idx="47">
                  <c:v>26-sep-23</c:v>
                </c:pt>
                <c:pt idx="48">
                  <c:v>28-sep-23</c:v>
                </c:pt>
                <c:pt idx="49">
                  <c:v>2-oct-23</c:v>
                </c:pt>
                <c:pt idx="50">
                  <c:v>4-oct-23</c:v>
                </c:pt>
                <c:pt idx="51">
                  <c:v>18-oct-23</c:v>
                </c:pt>
                <c:pt idx="52">
                  <c:v>19-oct-23</c:v>
                </c:pt>
                <c:pt idx="53">
                  <c:v>20-oct-23</c:v>
                </c:pt>
                <c:pt idx="54">
                  <c:v>23-oct-23</c:v>
                </c:pt>
                <c:pt idx="55">
                  <c:v>25-oct-23</c:v>
                </c:pt>
                <c:pt idx="56">
                  <c:v>27-oct-23</c:v>
                </c:pt>
                <c:pt idx="57">
                  <c:v>30-oct-23</c:v>
                </c:pt>
                <c:pt idx="58">
                  <c:v>31-oct-23</c:v>
                </c:pt>
                <c:pt idx="59">
                  <c:v>1-nov-23</c:v>
                </c:pt>
                <c:pt idx="60">
                  <c:v>2-nov-23</c:v>
                </c:pt>
                <c:pt idx="61">
                  <c:v>3-nov-23</c:v>
                </c:pt>
                <c:pt idx="62">
                  <c:v>7-nov-23</c:v>
                </c:pt>
                <c:pt idx="63">
                  <c:v>9-nov-23</c:v>
                </c:pt>
                <c:pt idx="64">
                  <c:v>14-nov-23</c:v>
                </c:pt>
                <c:pt idx="65">
                  <c:v>15-nov-23</c:v>
                </c:pt>
                <c:pt idx="66">
                  <c:v>16-nov-23</c:v>
                </c:pt>
                <c:pt idx="67">
                  <c:v>22-nov-23</c:v>
                </c:pt>
                <c:pt idx="68">
                  <c:v>28-nov-23</c:v>
                </c:pt>
                <c:pt idx="69">
                  <c:v>29-nov-23</c:v>
                </c:pt>
                <c:pt idx="70">
                  <c:v>4-dic-23</c:v>
                </c:pt>
                <c:pt idx="71">
                  <c:v>5-dic-23</c:v>
                </c:pt>
              </c:strCache>
            </c:strRef>
          </c:cat>
          <c:val>
            <c:numRef>
              <c:f>HISTORICO!$AH$100:$AH$171</c:f>
              <c:numCache>
                <c:formatCode>#,##0_ ;[Red]\-#,##0\ </c:formatCode>
                <c:ptCount val="72"/>
                <c:pt idx="0">
                  <c:v>-27700000000</c:v>
                </c:pt>
                <c:pt idx="1">
                  <c:v>-52962500000</c:v>
                </c:pt>
                <c:pt idx="2">
                  <c:v>-79050000000</c:v>
                </c:pt>
                <c:pt idx="3">
                  <c:v>-106103750000</c:v>
                </c:pt>
                <c:pt idx="4">
                  <c:v>-153503750000</c:v>
                </c:pt>
                <c:pt idx="5">
                  <c:v>-175816250000</c:v>
                </c:pt>
                <c:pt idx="6">
                  <c:v>-191266250000</c:v>
                </c:pt>
                <c:pt idx="7">
                  <c:v>-212333750000</c:v>
                </c:pt>
                <c:pt idx="8">
                  <c:v>-229783750000</c:v>
                </c:pt>
                <c:pt idx="9">
                  <c:v>-251946250000</c:v>
                </c:pt>
                <c:pt idx="10">
                  <c:v>-268896250000</c:v>
                </c:pt>
                <c:pt idx="11">
                  <c:v>-346896250000</c:v>
                </c:pt>
                <c:pt idx="12">
                  <c:v>-355401250000</c:v>
                </c:pt>
                <c:pt idx="13">
                  <c:v>-397623750000</c:v>
                </c:pt>
                <c:pt idx="14">
                  <c:v>-406418750000</c:v>
                </c:pt>
                <c:pt idx="15">
                  <c:v>-424613750000</c:v>
                </c:pt>
                <c:pt idx="16">
                  <c:v>-433688750000</c:v>
                </c:pt>
                <c:pt idx="17">
                  <c:v>-449261250000</c:v>
                </c:pt>
                <c:pt idx="18">
                  <c:v>-476061250000</c:v>
                </c:pt>
                <c:pt idx="19">
                  <c:v>-501561250000</c:v>
                </c:pt>
                <c:pt idx="20">
                  <c:v>-517461250000</c:v>
                </c:pt>
                <c:pt idx="21">
                  <c:v>-517461250000</c:v>
                </c:pt>
                <c:pt idx="22">
                  <c:v>-517461250000</c:v>
                </c:pt>
                <c:pt idx="23">
                  <c:v>-517461250000</c:v>
                </c:pt>
                <c:pt idx="24">
                  <c:v>-517461250000</c:v>
                </c:pt>
                <c:pt idx="25">
                  <c:v>-517461250000</c:v>
                </c:pt>
                <c:pt idx="26">
                  <c:v>-517461250000</c:v>
                </c:pt>
                <c:pt idx="27">
                  <c:v>-517461250000</c:v>
                </c:pt>
                <c:pt idx="28">
                  <c:v>-517461250000</c:v>
                </c:pt>
                <c:pt idx="29">
                  <c:v>-517461250000</c:v>
                </c:pt>
                <c:pt idx="30">
                  <c:v>-517461250000</c:v>
                </c:pt>
                <c:pt idx="31">
                  <c:v>-517461250000</c:v>
                </c:pt>
                <c:pt idx="32">
                  <c:v>-517461250000</c:v>
                </c:pt>
                <c:pt idx="33">
                  <c:v>-517461250000</c:v>
                </c:pt>
                <c:pt idx="34">
                  <c:v>-517461250000</c:v>
                </c:pt>
                <c:pt idx="35">
                  <c:v>-517461250000</c:v>
                </c:pt>
                <c:pt idx="36">
                  <c:v>-517461250000</c:v>
                </c:pt>
                <c:pt idx="37">
                  <c:v>-517461250000</c:v>
                </c:pt>
                <c:pt idx="38">
                  <c:v>-517461250000</c:v>
                </c:pt>
                <c:pt idx="39">
                  <c:v>-517461250000</c:v>
                </c:pt>
                <c:pt idx="40">
                  <c:v>-517461250000</c:v>
                </c:pt>
                <c:pt idx="41">
                  <c:v>-517461250000</c:v>
                </c:pt>
                <c:pt idx="42">
                  <c:v>-517461250000</c:v>
                </c:pt>
                <c:pt idx="43">
                  <c:v>-517461250000</c:v>
                </c:pt>
                <c:pt idx="44">
                  <c:v>-517461250000</c:v>
                </c:pt>
                <c:pt idx="45">
                  <c:v>-517461250000</c:v>
                </c:pt>
                <c:pt idx="46">
                  <c:v>-517461250000</c:v>
                </c:pt>
                <c:pt idx="47">
                  <c:v>-517461250000</c:v>
                </c:pt>
                <c:pt idx="48">
                  <c:v>-517461250000</c:v>
                </c:pt>
                <c:pt idx="49">
                  <c:v>-517461250000</c:v>
                </c:pt>
                <c:pt idx="50">
                  <c:v>-517461250000</c:v>
                </c:pt>
                <c:pt idx="51">
                  <c:v>-517461250000</c:v>
                </c:pt>
                <c:pt idx="52">
                  <c:v>-517461250000</c:v>
                </c:pt>
                <c:pt idx="53">
                  <c:v>-517461250000</c:v>
                </c:pt>
                <c:pt idx="54">
                  <c:v>-517461250000</c:v>
                </c:pt>
                <c:pt idx="55">
                  <c:v>-517461250000</c:v>
                </c:pt>
                <c:pt idx="56">
                  <c:v>-517461250000</c:v>
                </c:pt>
                <c:pt idx="57">
                  <c:v>-517461250000</c:v>
                </c:pt>
                <c:pt idx="58">
                  <c:v>-526693787500</c:v>
                </c:pt>
                <c:pt idx="59">
                  <c:v>-535747487500</c:v>
                </c:pt>
                <c:pt idx="60">
                  <c:v>-540226381250</c:v>
                </c:pt>
                <c:pt idx="61">
                  <c:v>-550397943750</c:v>
                </c:pt>
                <c:pt idx="62">
                  <c:v>-564147943750</c:v>
                </c:pt>
                <c:pt idx="63">
                  <c:v>-569242993750</c:v>
                </c:pt>
                <c:pt idx="64">
                  <c:v>-579418568750</c:v>
                </c:pt>
                <c:pt idx="65">
                  <c:v>-589598350000</c:v>
                </c:pt>
                <c:pt idx="66">
                  <c:v>-599728687500</c:v>
                </c:pt>
                <c:pt idx="67">
                  <c:v>-609798287500</c:v>
                </c:pt>
                <c:pt idx="68">
                  <c:v>-609798287500</c:v>
                </c:pt>
                <c:pt idx="69">
                  <c:v>-609798287500</c:v>
                </c:pt>
                <c:pt idx="70">
                  <c:v>-609798287500</c:v>
                </c:pt>
                <c:pt idx="71">
                  <c:v>-609798287500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14-486C-8A41-62B0DE84A2E7}"/>
            </c:ext>
          </c:extLst>
        </c:ser>
        <c:ser>
          <c:idx val="2"/>
          <c:order val="2"/>
          <c:tx>
            <c:v>Indexación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HISTORICO!$D$100:$D$171</c:f>
              <c:strCache>
                <c:ptCount val="72"/>
                <c:pt idx="0">
                  <c:v>24-mar-23</c:v>
                </c:pt>
                <c:pt idx="1">
                  <c:v>27-mar-23</c:v>
                </c:pt>
                <c:pt idx="2">
                  <c:v>28-mar-23</c:v>
                </c:pt>
                <c:pt idx="3">
                  <c:v>29-mar-23</c:v>
                </c:pt>
                <c:pt idx="4">
                  <c:v>30-mar-23</c:v>
                </c:pt>
                <c:pt idx="5">
                  <c:v>31-mar-23</c:v>
                </c:pt>
                <c:pt idx="6">
                  <c:v>3-abr-23</c:v>
                </c:pt>
                <c:pt idx="7">
                  <c:v>4-abr-23</c:v>
                </c:pt>
                <c:pt idx="8">
                  <c:v>10-abr-23</c:v>
                </c:pt>
                <c:pt idx="9">
                  <c:v>11-abr-23</c:v>
                </c:pt>
                <c:pt idx="10">
                  <c:v>12-abr-23</c:v>
                </c:pt>
                <c:pt idx="11">
                  <c:v>14-abr-23</c:v>
                </c:pt>
                <c:pt idx="12">
                  <c:v>19-abr-23</c:v>
                </c:pt>
                <c:pt idx="13">
                  <c:v>20-abr-23</c:v>
                </c:pt>
                <c:pt idx="14">
                  <c:v>21-abr-23</c:v>
                </c:pt>
                <c:pt idx="15">
                  <c:v>3-may-23</c:v>
                </c:pt>
                <c:pt idx="16">
                  <c:v>10-may-23</c:v>
                </c:pt>
                <c:pt idx="17">
                  <c:v>17-may-23</c:v>
                </c:pt>
                <c:pt idx="18">
                  <c:v>31-may-23</c:v>
                </c:pt>
                <c:pt idx="19">
                  <c:v>28-jun-23</c:v>
                </c:pt>
                <c:pt idx="20">
                  <c:v>30-jun-23</c:v>
                </c:pt>
                <c:pt idx="21">
                  <c:v>24-jul-23</c:v>
                </c:pt>
                <c:pt idx="22">
                  <c:v>25-jul-23</c:v>
                </c:pt>
                <c:pt idx="23">
                  <c:v>26-jul-23</c:v>
                </c:pt>
                <c:pt idx="24">
                  <c:v>28-jul-23</c:v>
                </c:pt>
                <c:pt idx="25">
                  <c:v>15-ago-23</c:v>
                </c:pt>
                <c:pt idx="26">
                  <c:v>16-ago-23</c:v>
                </c:pt>
                <c:pt idx="27">
                  <c:v>17-ago-23</c:v>
                </c:pt>
                <c:pt idx="28">
                  <c:v>18-ago-23</c:v>
                </c:pt>
                <c:pt idx="29">
                  <c:v>22-ago-23</c:v>
                </c:pt>
                <c:pt idx="30">
                  <c:v>23-ago-23</c:v>
                </c:pt>
                <c:pt idx="31">
                  <c:v>24-ago-23</c:v>
                </c:pt>
                <c:pt idx="32">
                  <c:v>28-ago-23</c:v>
                </c:pt>
                <c:pt idx="33">
                  <c:v>29-ago-23</c:v>
                </c:pt>
                <c:pt idx="34">
                  <c:v>30-ago-23</c:v>
                </c:pt>
                <c:pt idx="35">
                  <c:v>31-ago-23</c:v>
                </c:pt>
                <c:pt idx="36">
                  <c:v>4-sep-23</c:v>
                </c:pt>
                <c:pt idx="37">
                  <c:v>5-sep-23</c:v>
                </c:pt>
                <c:pt idx="38">
                  <c:v>7-sep-23</c:v>
                </c:pt>
                <c:pt idx="39">
                  <c:v>11-sep-23</c:v>
                </c:pt>
                <c:pt idx="40">
                  <c:v>12-sep-23</c:v>
                </c:pt>
                <c:pt idx="41">
                  <c:v>13-sep-23</c:v>
                </c:pt>
                <c:pt idx="42">
                  <c:v>15-sep-23</c:v>
                </c:pt>
                <c:pt idx="43">
                  <c:v>19-sep-23</c:v>
                </c:pt>
                <c:pt idx="44">
                  <c:v>20-sep-23</c:v>
                </c:pt>
                <c:pt idx="45">
                  <c:v>21-sep-23</c:v>
                </c:pt>
                <c:pt idx="46">
                  <c:v>25-sep-23</c:v>
                </c:pt>
                <c:pt idx="47">
                  <c:v>26-sep-23</c:v>
                </c:pt>
                <c:pt idx="48">
                  <c:v>28-sep-23</c:v>
                </c:pt>
                <c:pt idx="49">
                  <c:v>2-oct-23</c:v>
                </c:pt>
                <c:pt idx="50">
                  <c:v>4-oct-23</c:v>
                </c:pt>
                <c:pt idx="51">
                  <c:v>18-oct-23</c:v>
                </c:pt>
                <c:pt idx="52">
                  <c:v>19-oct-23</c:v>
                </c:pt>
                <c:pt idx="53">
                  <c:v>20-oct-23</c:v>
                </c:pt>
                <c:pt idx="54">
                  <c:v>23-oct-23</c:v>
                </c:pt>
                <c:pt idx="55">
                  <c:v>25-oct-23</c:v>
                </c:pt>
                <c:pt idx="56">
                  <c:v>27-oct-23</c:v>
                </c:pt>
                <c:pt idx="57">
                  <c:v>30-oct-23</c:v>
                </c:pt>
                <c:pt idx="58">
                  <c:v>31-oct-23</c:v>
                </c:pt>
                <c:pt idx="59">
                  <c:v>1-nov-23</c:v>
                </c:pt>
                <c:pt idx="60">
                  <c:v>2-nov-23</c:v>
                </c:pt>
                <c:pt idx="61">
                  <c:v>3-nov-23</c:v>
                </c:pt>
                <c:pt idx="62">
                  <c:v>7-nov-23</c:v>
                </c:pt>
                <c:pt idx="63">
                  <c:v>9-nov-23</c:v>
                </c:pt>
                <c:pt idx="64">
                  <c:v>14-nov-23</c:v>
                </c:pt>
                <c:pt idx="65">
                  <c:v>15-nov-23</c:v>
                </c:pt>
                <c:pt idx="66">
                  <c:v>16-nov-23</c:v>
                </c:pt>
                <c:pt idx="67">
                  <c:v>22-nov-23</c:v>
                </c:pt>
                <c:pt idx="68">
                  <c:v>28-nov-23</c:v>
                </c:pt>
                <c:pt idx="69">
                  <c:v>29-nov-23</c:v>
                </c:pt>
                <c:pt idx="70">
                  <c:v>4-dic-23</c:v>
                </c:pt>
                <c:pt idx="71">
                  <c:v>5-dic-23</c:v>
                </c:pt>
              </c:strCache>
            </c:strRef>
          </c:cat>
          <c:val>
            <c:numRef>
              <c:f>HISTORICO!$AJ$100:$AJ$107</c:f>
              <c:numCache>
                <c:formatCode>#,##0_ ;[Red]\-#,##0\ 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14-486C-8A41-62B0DE84A2E7}"/>
            </c:ext>
          </c:extLst>
        </c:ser>
        <c:ser>
          <c:idx val="3"/>
          <c:order val="3"/>
          <c:tx>
            <c:v>Saldo de Deuda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HISTORICO!$D$100:$D$171</c:f>
              <c:strCache>
                <c:ptCount val="72"/>
                <c:pt idx="0">
                  <c:v>24-mar-23</c:v>
                </c:pt>
                <c:pt idx="1">
                  <c:v>27-mar-23</c:v>
                </c:pt>
                <c:pt idx="2">
                  <c:v>28-mar-23</c:v>
                </c:pt>
                <c:pt idx="3">
                  <c:v>29-mar-23</c:v>
                </c:pt>
                <c:pt idx="4">
                  <c:v>30-mar-23</c:v>
                </c:pt>
                <c:pt idx="5">
                  <c:v>31-mar-23</c:v>
                </c:pt>
                <c:pt idx="6">
                  <c:v>3-abr-23</c:v>
                </c:pt>
                <c:pt idx="7">
                  <c:v>4-abr-23</c:v>
                </c:pt>
                <c:pt idx="8">
                  <c:v>10-abr-23</c:v>
                </c:pt>
                <c:pt idx="9">
                  <c:v>11-abr-23</c:v>
                </c:pt>
                <c:pt idx="10">
                  <c:v>12-abr-23</c:v>
                </c:pt>
                <c:pt idx="11">
                  <c:v>14-abr-23</c:v>
                </c:pt>
                <c:pt idx="12">
                  <c:v>19-abr-23</c:v>
                </c:pt>
                <c:pt idx="13">
                  <c:v>20-abr-23</c:v>
                </c:pt>
                <c:pt idx="14">
                  <c:v>21-abr-23</c:v>
                </c:pt>
                <c:pt idx="15">
                  <c:v>3-may-23</c:v>
                </c:pt>
                <c:pt idx="16">
                  <c:v>10-may-23</c:v>
                </c:pt>
                <c:pt idx="17">
                  <c:v>17-may-23</c:v>
                </c:pt>
                <c:pt idx="18">
                  <c:v>31-may-23</c:v>
                </c:pt>
                <c:pt idx="19">
                  <c:v>28-jun-23</c:v>
                </c:pt>
                <c:pt idx="20">
                  <c:v>30-jun-23</c:v>
                </c:pt>
                <c:pt idx="21">
                  <c:v>24-jul-23</c:v>
                </c:pt>
                <c:pt idx="22">
                  <c:v>25-jul-23</c:v>
                </c:pt>
                <c:pt idx="23">
                  <c:v>26-jul-23</c:v>
                </c:pt>
                <c:pt idx="24">
                  <c:v>28-jul-23</c:v>
                </c:pt>
                <c:pt idx="25">
                  <c:v>15-ago-23</c:v>
                </c:pt>
                <c:pt idx="26">
                  <c:v>16-ago-23</c:v>
                </c:pt>
                <c:pt idx="27">
                  <c:v>17-ago-23</c:v>
                </c:pt>
                <c:pt idx="28">
                  <c:v>18-ago-23</c:v>
                </c:pt>
                <c:pt idx="29">
                  <c:v>22-ago-23</c:v>
                </c:pt>
                <c:pt idx="30">
                  <c:v>23-ago-23</c:v>
                </c:pt>
                <c:pt idx="31">
                  <c:v>24-ago-23</c:v>
                </c:pt>
                <c:pt idx="32">
                  <c:v>28-ago-23</c:v>
                </c:pt>
                <c:pt idx="33">
                  <c:v>29-ago-23</c:v>
                </c:pt>
                <c:pt idx="34">
                  <c:v>30-ago-23</c:v>
                </c:pt>
                <c:pt idx="35">
                  <c:v>31-ago-23</c:v>
                </c:pt>
                <c:pt idx="36">
                  <c:v>4-sep-23</c:v>
                </c:pt>
                <c:pt idx="37">
                  <c:v>5-sep-23</c:v>
                </c:pt>
                <c:pt idx="38">
                  <c:v>7-sep-23</c:v>
                </c:pt>
                <c:pt idx="39">
                  <c:v>11-sep-23</c:v>
                </c:pt>
                <c:pt idx="40">
                  <c:v>12-sep-23</c:v>
                </c:pt>
                <c:pt idx="41">
                  <c:v>13-sep-23</c:v>
                </c:pt>
                <c:pt idx="42">
                  <c:v>15-sep-23</c:v>
                </c:pt>
                <c:pt idx="43">
                  <c:v>19-sep-23</c:v>
                </c:pt>
                <c:pt idx="44">
                  <c:v>20-sep-23</c:v>
                </c:pt>
                <c:pt idx="45">
                  <c:v>21-sep-23</c:v>
                </c:pt>
                <c:pt idx="46">
                  <c:v>25-sep-23</c:v>
                </c:pt>
                <c:pt idx="47">
                  <c:v>26-sep-23</c:v>
                </c:pt>
                <c:pt idx="48">
                  <c:v>28-sep-23</c:v>
                </c:pt>
                <c:pt idx="49">
                  <c:v>2-oct-23</c:v>
                </c:pt>
                <c:pt idx="50">
                  <c:v>4-oct-23</c:v>
                </c:pt>
                <c:pt idx="51">
                  <c:v>18-oct-23</c:v>
                </c:pt>
                <c:pt idx="52">
                  <c:v>19-oct-23</c:v>
                </c:pt>
                <c:pt idx="53">
                  <c:v>20-oct-23</c:v>
                </c:pt>
                <c:pt idx="54">
                  <c:v>23-oct-23</c:v>
                </c:pt>
                <c:pt idx="55">
                  <c:v>25-oct-23</c:v>
                </c:pt>
                <c:pt idx="56">
                  <c:v>27-oct-23</c:v>
                </c:pt>
                <c:pt idx="57">
                  <c:v>30-oct-23</c:v>
                </c:pt>
                <c:pt idx="58">
                  <c:v>31-oct-23</c:v>
                </c:pt>
                <c:pt idx="59">
                  <c:v>1-nov-23</c:v>
                </c:pt>
                <c:pt idx="60">
                  <c:v>2-nov-23</c:v>
                </c:pt>
                <c:pt idx="61">
                  <c:v>3-nov-23</c:v>
                </c:pt>
                <c:pt idx="62">
                  <c:v>7-nov-23</c:v>
                </c:pt>
                <c:pt idx="63">
                  <c:v>9-nov-23</c:v>
                </c:pt>
                <c:pt idx="64">
                  <c:v>14-nov-23</c:v>
                </c:pt>
                <c:pt idx="65">
                  <c:v>15-nov-23</c:v>
                </c:pt>
                <c:pt idx="66">
                  <c:v>16-nov-23</c:v>
                </c:pt>
                <c:pt idx="67">
                  <c:v>22-nov-23</c:v>
                </c:pt>
                <c:pt idx="68">
                  <c:v>28-nov-23</c:v>
                </c:pt>
                <c:pt idx="69">
                  <c:v>29-nov-23</c:v>
                </c:pt>
                <c:pt idx="70">
                  <c:v>4-dic-23</c:v>
                </c:pt>
                <c:pt idx="71">
                  <c:v>5-dic-23</c:v>
                </c:pt>
              </c:strCache>
            </c:strRef>
          </c:cat>
          <c:val>
            <c:numRef>
              <c:f>HISTORICO!$AL$100:$AL$171</c:f>
              <c:numCache>
                <c:formatCode>#,##0_ ;[Red]\-#,##0\ 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-8600000</c:v>
                </c:pt>
                <c:pt idx="26">
                  <c:v>-8600000</c:v>
                </c:pt>
                <c:pt idx="27">
                  <c:v>-457700000</c:v>
                </c:pt>
                <c:pt idx="28">
                  <c:v>-504900000</c:v>
                </c:pt>
                <c:pt idx="29">
                  <c:v>-504900000</c:v>
                </c:pt>
                <c:pt idx="30">
                  <c:v>-504900000</c:v>
                </c:pt>
                <c:pt idx="31">
                  <c:v>-504900000</c:v>
                </c:pt>
                <c:pt idx="32">
                  <c:v>-504900000</c:v>
                </c:pt>
                <c:pt idx="33">
                  <c:v>-504900000</c:v>
                </c:pt>
                <c:pt idx="34">
                  <c:v>-506800000</c:v>
                </c:pt>
                <c:pt idx="35">
                  <c:v>-506800000</c:v>
                </c:pt>
                <c:pt idx="36">
                  <c:v>-506800000</c:v>
                </c:pt>
                <c:pt idx="37">
                  <c:v>-506800000</c:v>
                </c:pt>
                <c:pt idx="38">
                  <c:v>-506800000</c:v>
                </c:pt>
                <c:pt idx="39">
                  <c:v>-506800000</c:v>
                </c:pt>
                <c:pt idx="40">
                  <c:v>-526000000</c:v>
                </c:pt>
                <c:pt idx="41">
                  <c:v>-526000000</c:v>
                </c:pt>
                <c:pt idx="42">
                  <c:v>-526000000</c:v>
                </c:pt>
                <c:pt idx="43">
                  <c:v>-526000000</c:v>
                </c:pt>
                <c:pt idx="44">
                  <c:v>-526000000</c:v>
                </c:pt>
                <c:pt idx="45">
                  <c:v>-526000000</c:v>
                </c:pt>
                <c:pt idx="46">
                  <c:v>-526000000</c:v>
                </c:pt>
                <c:pt idx="47">
                  <c:v>-526000000</c:v>
                </c:pt>
                <c:pt idx="48">
                  <c:v>-526000000</c:v>
                </c:pt>
                <c:pt idx="49">
                  <c:v>-526000000</c:v>
                </c:pt>
                <c:pt idx="50">
                  <c:v>-526000000</c:v>
                </c:pt>
                <c:pt idx="51">
                  <c:v>-526000000</c:v>
                </c:pt>
                <c:pt idx="52">
                  <c:v>-526000000</c:v>
                </c:pt>
                <c:pt idx="53">
                  <c:v>-526000000</c:v>
                </c:pt>
                <c:pt idx="54">
                  <c:v>-526000000</c:v>
                </c:pt>
                <c:pt idx="55">
                  <c:v>-526000000</c:v>
                </c:pt>
                <c:pt idx="56">
                  <c:v>-526000000</c:v>
                </c:pt>
                <c:pt idx="57">
                  <c:v>-526000000</c:v>
                </c:pt>
                <c:pt idx="58">
                  <c:v>-526097000</c:v>
                </c:pt>
                <c:pt idx="59">
                  <c:v>-526097000</c:v>
                </c:pt>
                <c:pt idx="60">
                  <c:v>-526097000</c:v>
                </c:pt>
                <c:pt idx="61">
                  <c:v>-526097000</c:v>
                </c:pt>
                <c:pt idx="62">
                  <c:v>-526097000</c:v>
                </c:pt>
                <c:pt idx="63">
                  <c:v>-526097000</c:v>
                </c:pt>
                <c:pt idx="64">
                  <c:v>-526097000</c:v>
                </c:pt>
                <c:pt idx="65">
                  <c:v>-526097000</c:v>
                </c:pt>
                <c:pt idx="66">
                  <c:v>-526097000</c:v>
                </c:pt>
                <c:pt idx="67">
                  <c:v>-526097000</c:v>
                </c:pt>
                <c:pt idx="68">
                  <c:v>-21026097000</c:v>
                </c:pt>
                <c:pt idx="69">
                  <c:v>-21026097000</c:v>
                </c:pt>
                <c:pt idx="70">
                  <c:v>-21323397000</c:v>
                </c:pt>
                <c:pt idx="71">
                  <c:v>-21323397000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14-486C-8A41-62B0DE84A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8520576"/>
        <c:axId val="506159887"/>
      </c:barChart>
      <c:lineChart>
        <c:grouping val="stacked"/>
        <c:varyColors val="0"/>
        <c:ser>
          <c:idx val="4"/>
          <c:order val="4"/>
          <c:tx>
            <c:v>CFN(%)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val>
            <c:numRef>
              <c:f>HISTORICO!$AS$100:$AS$171</c:f>
              <c:numCache>
                <c:formatCode>0.00%</c:formatCode>
                <c:ptCount val="72"/>
                <c:pt idx="0">
                  <c:v>-5.0616390532544381E-2</c:v>
                </c:pt>
                <c:pt idx="1">
                  <c:v>-5.1985388198757761E-2</c:v>
                </c:pt>
                <c:pt idx="2">
                  <c:v>-5.7824676564156949E-2</c:v>
                </c:pt>
                <c:pt idx="3">
                  <c:v>-6.3862221775813577E-2</c:v>
                </c:pt>
                <c:pt idx="4">
                  <c:v>-6.85749283506603E-2</c:v>
                </c:pt>
                <c:pt idx="5">
                  <c:v>-7.099136262651197E-2</c:v>
                </c:pt>
                <c:pt idx="6">
                  <c:v>-7.1642911106084603E-2</c:v>
                </c:pt>
                <c:pt idx="7">
                  <c:v>-7.257180857549278E-2</c:v>
                </c:pt>
                <c:pt idx="8">
                  <c:v>-7.2348972050271979E-2</c:v>
                </c:pt>
                <c:pt idx="9">
                  <c:v>-7.0801899336847468E-2</c:v>
                </c:pt>
                <c:pt idx="10">
                  <c:v>-7.1170636841267301E-2</c:v>
                </c:pt>
                <c:pt idx="11">
                  <c:v>-3.5148310378483892E-2</c:v>
                </c:pt>
                <c:pt idx="12">
                  <c:v>-3.5995054618729455E-2</c:v>
                </c:pt>
                <c:pt idx="13">
                  <c:v>-4.0449314608895705E-2</c:v>
                </c:pt>
                <c:pt idx="14">
                  <c:v>-4.1236680135312911E-2</c:v>
                </c:pt>
                <c:pt idx="15">
                  <c:v>-4.1966518002533024E-2</c:v>
                </c:pt>
                <c:pt idx="16">
                  <c:v>-4.2806174693442334E-2</c:v>
                </c:pt>
                <c:pt idx="17">
                  <c:v>-4.4101880599586502E-2</c:v>
                </c:pt>
                <c:pt idx="18">
                  <c:v>-4.5690310441370237E-2</c:v>
                </c:pt>
                <c:pt idx="19">
                  <c:v>-4.7805684368579127E-2</c:v>
                </c:pt>
                <c:pt idx="20">
                  <c:v>-4.8990045482577876E-2</c:v>
                </c:pt>
                <c:pt idx="21">
                  <c:v>-4.7618722205528867E-2</c:v>
                </c:pt>
                <c:pt idx="22">
                  <c:v>-4.6589855147058844E-2</c:v>
                </c:pt>
                <c:pt idx="23">
                  <c:v>-4.5313535259619529E-2</c:v>
                </c:pt>
                <c:pt idx="24">
                  <c:v>-4.4035343028110234E-2</c:v>
                </c:pt>
                <c:pt idx="25">
                  <c:v>-4.3411223024827778E-2</c:v>
                </c:pt>
                <c:pt idx="26">
                  <c:v>-4.280510861712087E-2</c:v>
                </c:pt>
                <c:pt idx="27">
                  <c:v>-4.2257366319588673E-2</c:v>
                </c:pt>
                <c:pt idx="28">
                  <c:v>-4.1625052298035703E-2</c:v>
                </c:pt>
                <c:pt idx="29">
                  <c:v>-4.0822939859280538E-2</c:v>
                </c:pt>
                <c:pt idx="30">
                  <c:v>-3.9187491048038349E-2</c:v>
                </c:pt>
                <c:pt idx="31">
                  <c:v>-3.7769180088400564E-2</c:v>
                </c:pt>
                <c:pt idx="32">
                  <c:v>-3.6460507716631611E-2</c:v>
                </c:pt>
                <c:pt idx="33">
                  <c:v>-3.4968960102959863E-2</c:v>
                </c:pt>
                <c:pt idx="34">
                  <c:v>-3.4558789391761623E-2</c:v>
                </c:pt>
                <c:pt idx="35">
                  <c:v>-3.3461057839205846E-2</c:v>
                </c:pt>
                <c:pt idx="36">
                  <c:v>-3.3009425492351731E-2</c:v>
                </c:pt>
                <c:pt idx="37">
                  <c:v>-3.235484133593082E-2</c:v>
                </c:pt>
                <c:pt idx="38">
                  <c:v>-3.1864146723052399E-2</c:v>
                </c:pt>
                <c:pt idx="39">
                  <c:v>-3.1403797666154989E-2</c:v>
                </c:pt>
                <c:pt idx="40">
                  <c:v>-3.1097100006130269E-2</c:v>
                </c:pt>
                <c:pt idx="41">
                  <c:v>-3.0444298844344752E-2</c:v>
                </c:pt>
                <c:pt idx="42">
                  <c:v>-3.0065095492236276E-2</c:v>
                </c:pt>
                <c:pt idx="43">
                  <c:v>-2.9661620079241991E-2</c:v>
                </c:pt>
                <c:pt idx="44">
                  <c:v>-2.9243686568030496E-2</c:v>
                </c:pt>
                <c:pt idx="45">
                  <c:v>-2.8911296306191589E-2</c:v>
                </c:pt>
                <c:pt idx="46">
                  <c:v>-2.849070933867557E-2</c:v>
                </c:pt>
                <c:pt idx="47">
                  <c:v>-2.8339492790756246E-2</c:v>
                </c:pt>
                <c:pt idx="48">
                  <c:v>-2.7827232882099324E-2</c:v>
                </c:pt>
                <c:pt idx="49">
                  <c:v>-2.7633130859307683E-2</c:v>
                </c:pt>
                <c:pt idx="50">
                  <c:v>-2.7268523295944945E-2</c:v>
                </c:pt>
                <c:pt idx="51">
                  <c:v>-2.715033523180568E-2</c:v>
                </c:pt>
                <c:pt idx="52">
                  <c:v>-2.6681870917327162E-2</c:v>
                </c:pt>
                <c:pt idx="53">
                  <c:v>-2.6431754994043492E-2</c:v>
                </c:pt>
                <c:pt idx="54">
                  <c:v>-2.6035120050647981E-2</c:v>
                </c:pt>
                <c:pt idx="55">
                  <c:v>-2.5593697558770726E-2</c:v>
                </c:pt>
                <c:pt idx="56">
                  <c:v>-2.5342384078478185E-2</c:v>
                </c:pt>
                <c:pt idx="57">
                  <c:v>-2.5191121367239985E-2</c:v>
                </c:pt>
                <c:pt idx="58">
                  <c:v>-2.4663468543426825E-2</c:v>
                </c:pt>
                <c:pt idx="59">
                  <c:v>-2.4323368785548222E-2</c:v>
                </c:pt>
                <c:pt idx="60">
                  <c:v>-2.4279278435324115E-2</c:v>
                </c:pt>
                <c:pt idx="61">
                  <c:v>-2.4110981813609215E-2</c:v>
                </c:pt>
                <c:pt idx="62">
                  <c:v>-2.3717826348876821E-2</c:v>
                </c:pt>
                <c:pt idx="63">
                  <c:v>-2.3561868949637813E-2</c:v>
                </c:pt>
                <c:pt idx="64">
                  <c:v>-2.3376224367405631E-2</c:v>
                </c:pt>
                <c:pt idx="65">
                  <c:v>-2.3111806384858515E-2</c:v>
                </c:pt>
                <c:pt idx="66">
                  <c:v>-2.3136643881633612E-2</c:v>
                </c:pt>
                <c:pt idx="67">
                  <c:v>-2.2982550125252587E-2</c:v>
                </c:pt>
                <c:pt idx="68">
                  <c:v>-2.3846001684514225E-2</c:v>
                </c:pt>
                <c:pt idx="69">
                  <c:v>-2.3335635978368335E-2</c:v>
                </c:pt>
                <c:pt idx="70">
                  <c:v>-2.3047190394224891E-2</c:v>
                </c:pt>
                <c:pt idx="71">
                  <c:v>-2.2490368916801961E-2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14-486C-8A41-62B0DE84A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009040"/>
        <c:axId val="799513855"/>
      </c:lineChart>
      <c:catAx>
        <c:axId val="118852057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6159887"/>
        <c:crosses val="autoZero"/>
        <c:auto val="1"/>
        <c:lblAlgn val="ctr"/>
        <c:lblOffset val="100"/>
        <c:noMultiLvlLbl val="0"/>
      </c:catAx>
      <c:valAx>
        <c:axId val="506159887"/>
        <c:scaling>
          <c:orientation val="minMax"/>
        </c:scaling>
        <c:delete val="0"/>
        <c:axPos val="l"/>
        <c:numFmt formatCode="#,##0_ ;[Red]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8520576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valAx>
        <c:axId val="79951385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0009040"/>
        <c:crosses val="max"/>
        <c:crossBetween val="between"/>
      </c:valAx>
      <c:catAx>
        <c:axId val="1180009040"/>
        <c:scaling>
          <c:orientation val="minMax"/>
        </c:scaling>
        <c:delete val="1"/>
        <c:axPos val="b"/>
        <c:majorTickMark val="out"/>
        <c:minorTickMark val="none"/>
        <c:tickLblPos val="nextTo"/>
        <c:crossAx val="7995138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57760517633556"/>
          <c:y val="1.6434430624180055E-2"/>
          <c:w val="0.82740831332414322"/>
          <c:h val="0.645289801192062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'Nuevo metod Cupón 2.0'!$G$5</c:f>
              <c:strCache>
                <c:ptCount val="1"/>
                <c:pt idx="0">
                  <c:v> Valor de giro (Eje Izquierdo)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'Nuevo metod Cupón 2.0'!$C$6:$C$31</c:f>
              <c:strCache>
                <c:ptCount val="26"/>
                <c:pt idx="0">
                  <c:v>20-sep-11</c:v>
                </c:pt>
                <c:pt idx="1">
                  <c:v>2-oct-14</c:v>
                </c:pt>
                <c:pt idx="2">
                  <c:v>17-may-16</c:v>
                </c:pt>
                <c:pt idx="3">
                  <c:v>4-oct-18</c:v>
                </c:pt>
                <c:pt idx="4">
                  <c:v>*19-mar-19</c:v>
                </c:pt>
                <c:pt idx="5">
                  <c:v>22-oct-19</c:v>
                </c:pt>
                <c:pt idx="6">
                  <c:v>23-abr-20</c:v>
                </c:pt>
                <c:pt idx="7">
                  <c:v>12-may-20</c:v>
                </c:pt>
                <c:pt idx="8">
                  <c:v>14-may-20</c:v>
                </c:pt>
                <c:pt idx="9">
                  <c:v>20-may-20</c:v>
                </c:pt>
                <c:pt idx="10">
                  <c:v>21-jul-20</c:v>
                </c:pt>
                <c:pt idx="11">
                  <c:v>4-sep-20</c:v>
                </c:pt>
                <c:pt idx="12">
                  <c:v>11-sep-20 (1)</c:v>
                </c:pt>
                <c:pt idx="13">
                  <c:v>11-sep-20 (2)</c:v>
                </c:pt>
                <c:pt idx="14">
                  <c:v>22-oct-20</c:v>
                </c:pt>
                <c:pt idx="15">
                  <c:v>16-dic-20</c:v>
                </c:pt>
                <c:pt idx="16">
                  <c:v>12-mar-21</c:v>
                </c:pt>
                <c:pt idx="17">
                  <c:v>13-ago-21</c:v>
                </c:pt>
                <c:pt idx="18">
                  <c:v>26-ago-21</c:v>
                </c:pt>
                <c:pt idx="19">
                  <c:v>21-sep-21</c:v>
                </c:pt>
                <c:pt idx="20">
                  <c:v>1-oct-21</c:v>
                </c:pt>
                <c:pt idx="21">
                  <c:v>22-oct-21</c:v>
                </c:pt>
                <c:pt idx="22">
                  <c:v>13-dic-21</c:v>
                </c:pt>
                <c:pt idx="23">
                  <c:v>14-mar-22</c:v>
                </c:pt>
                <c:pt idx="24">
                  <c:v>15-mar-22</c:v>
                </c:pt>
                <c:pt idx="25">
                  <c:v>16-mar-22</c:v>
                </c:pt>
              </c:strCache>
            </c:strRef>
          </c:cat>
          <c:val>
            <c:numRef>
              <c:f>'Nuevo metod Cupón 2.0'!$G$6:$G$31</c:f>
              <c:numCache>
                <c:formatCode>#,##0_ ;[Red]\-#,##0\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7-4AF6-B95A-2DE716EF682A}"/>
            </c:ext>
          </c:extLst>
        </c:ser>
        <c:ser>
          <c:idx val="1"/>
          <c:order val="1"/>
          <c:tx>
            <c:strRef>
              <c:f>'Nuevo metod Cupón 2.0'!$H$5</c:f>
              <c:strCache>
                <c:ptCount val="1"/>
                <c:pt idx="0">
                  <c:v> Efecto cupones 2.0 (Eje Izquierdo)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'Nuevo metod Cupón 2.0'!$C$6:$C$31</c:f>
              <c:strCache>
                <c:ptCount val="26"/>
                <c:pt idx="0">
                  <c:v>20-sep-11</c:v>
                </c:pt>
                <c:pt idx="1">
                  <c:v>2-oct-14</c:v>
                </c:pt>
                <c:pt idx="2">
                  <c:v>17-may-16</c:v>
                </c:pt>
                <c:pt idx="3">
                  <c:v>4-oct-18</c:v>
                </c:pt>
                <c:pt idx="4">
                  <c:v>*19-mar-19</c:v>
                </c:pt>
                <c:pt idx="5">
                  <c:v>22-oct-19</c:v>
                </c:pt>
                <c:pt idx="6">
                  <c:v>23-abr-20</c:v>
                </c:pt>
                <c:pt idx="7">
                  <c:v>12-may-20</c:v>
                </c:pt>
                <c:pt idx="8">
                  <c:v>14-may-20</c:v>
                </c:pt>
                <c:pt idx="9">
                  <c:v>20-may-20</c:v>
                </c:pt>
                <c:pt idx="10">
                  <c:v>21-jul-20</c:v>
                </c:pt>
                <c:pt idx="11">
                  <c:v>4-sep-20</c:v>
                </c:pt>
                <c:pt idx="12">
                  <c:v>11-sep-20 (1)</c:v>
                </c:pt>
                <c:pt idx="13">
                  <c:v>11-sep-20 (2)</c:v>
                </c:pt>
                <c:pt idx="14">
                  <c:v>22-oct-20</c:v>
                </c:pt>
                <c:pt idx="15">
                  <c:v>16-dic-20</c:v>
                </c:pt>
                <c:pt idx="16">
                  <c:v>12-mar-21</c:v>
                </c:pt>
                <c:pt idx="17">
                  <c:v>13-ago-21</c:v>
                </c:pt>
                <c:pt idx="18">
                  <c:v>26-ago-21</c:v>
                </c:pt>
                <c:pt idx="19">
                  <c:v>21-sep-21</c:v>
                </c:pt>
                <c:pt idx="20">
                  <c:v>1-oct-21</c:v>
                </c:pt>
                <c:pt idx="21">
                  <c:v>22-oct-21</c:v>
                </c:pt>
                <c:pt idx="22">
                  <c:v>13-dic-21</c:v>
                </c:pt>
                <c:pt idx="23">
                  <c:v>14-mar-22</c:v>
                </c:pt>
                <c:pt idx="24">
                  <c:v>15-mar-22</c:v>
                </c:pt>
                <c:pt idx="25">
                  <c:v>16-mar-22</c:v>
                </c:pt>
              </c:strCache>
            </c:strRef>
          </c:cat>
          <c:val>
            <c:numRef>
              <c:f>'Nuevo metod Cupón 2.0'!$H$6:$H$31</c:f>
              <c:numCache>
                <c:formatCode>#,##0_ ;[Red]\-#,##0\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B7-4AF6-B95A-2DE716EF682A}"/>
            </c:ext>
          </c:extLst>
        </c:ser>
        <c:ser>
          <c:idx val="3"/>
          <c:order val="3"/>
          <c:tx>
            <c:strRef>
              <c:f>'Nuevo metod Cupón 2.0'!$K$5</c:f>
              <c:strCache>
                <c:ptCount val="1"/>
                <c:pt idx="0">
                  <c:v> CFN+IND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'Nuevo metod Cupón 2.0'!$C$6:$C$28</c:f>
              <c:strCache>
                <c:ptCount val="23"/>
                <c:pt idx="0">
                  <c:v>20-sep-11</c:v>
                </c:pt>
                <c:pt idx="1">
                  <c:v>2-oct-14</c:v>
                </c:pt>
                <c:pt idx="2">
                  <c:v>17-may-16</c:v>
                </c:pt>
                <c:pt idx="3">
                  <c:v>4-oct-18</c:v>
                </c:pt>
                <c:pt idx="4">
                  <c:v>*19-mar-19</c:v>
                </c:pt>
                <c:pt idx="5">
                  <c:v>22-oct-19</c:v>
                </c:pt>
                <c:pt idx="6">
                  <c:v>23-abr-20</c:v>
                </c:pt>
                <c:pt idx="7">
                  <c:v>12-may-20</c:v>
                </c:pt>
                <c:pt idx="8">
                  <c:v>14-may-20</c:v>
                </c:pt>
                <c:pt idx="9">
                  <c:v>20-may-20</c:v>
                </c:pt>
                <c:pt idx="10">
                  <c:v>21-jul-20</c:v>
                </c:pt>
                <c:pt idx="11">
                  <c:v>4-sep-20</c:v>
                </c:pt>
                <c:pt idx="12">
                  <c:v>11-sep-20 (1)</c:v>
                </c:pt>
                <c:pt idx="13">
                  <c:v>11-sep-20 (2)</c:v>
                </c:pt>
                <c:pt idx="14">
                  <c:v>22-oct-20</c:v>
                </c:pt>
                <c:pt idx="15">
                  <c:v>16-dic-20</c:v>
                </c:pt>
                <c:pt idx="16">
                  <c:v>12-mar-21</c:v>
                </c:pt>
                <c:pt idx="17">
                  <c:v>13-ago-21</c:v>
                </c:pt>
                <c:pt idx="18">
                  <c:v>26-ago-21</c:v>
                </c:pt>
                <c:pt idx="19">
                  <c:v>21-sep-21</c:v>
                </c:pt>
                <c:pt idx="20">
                  <c:v>1-oct-21</c:v>
                </c:pt>
                <c:pt idx="21">
                  <c:v>22-oct-21</c:v>
                </c:pt>
                <c:pt idx="22">
                  <c:v>13-dic-21</c:v>
                </c:pt>
              </c:strCache>
            </c:strRef>
          </c:cat>
          <c:val>
            <c:numRef>
              <c:f>'Nuevo metod Cupón 2.0'!$K$6:$K$28</c:f>
              <c:numCache>
                <c:formatCode>#,##0_ ;[Red]\-#,##0\ 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86B7-4AF6-B95A-2DE716EF682A}"/>
            </c:ext>
          </c:extLst>
        </c:ser>
        <c:ser>
          <c:idx val="5"/>
          <c:order val="5"/>
          <c:tx>
            <c:strRef>
              <c:f>'Nuevo metod Cupón 2.0'!$L$5</c:f>
              <c:strCache>
                <c:ptCount val="1"/>
                <c:pt idx="0">
                  <c:v> Saldo de la deuda (Eje izquierdo)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'Nuevo metod Cupón 2.0'!$L$6:$L$31</c:f>
              <c:numCache>
                <c:formatCode>#,##0_ ;[Red]\-#,##0\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B7-4AF6-B95A-2DE716EF682A}"/>
            </c:ext>
          </c:extLst>
        </c:ser>
        <c:ser>
          <c:idx val="2"/>
          <c:order val="2"/>
          <c:tx>
            <c:strRef>
              <c:f>'Nuevo metod Cupón 2.0'!$J$5</c:f>
              <c:strCache>
                <c:ptCount val="1"/>
                <c:pt idx="0">
                  <c:v> Indexaciones (Eje Izquierdo)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'Nuevo metod Cupón 2.0'!$C$6:$C$31</c:f>
              <c:strCache>
                <c:ptCount val="26"/>
                <c:pt idx="0">
                  <c:v>20-sep-11</c:v>
                </c:pt>
                <c:pt idx="1">
                  <c:v>2-oct-14</c:v>
                </c:pt>
                <c:pt idx="2">
                  <c:v>17-may-16</c:v>
                </c:pt>
                <c:pt idx="3">
                  <c:v>4-oct-18</c:v>
                </c:pt>
                <c:pt idx="4">
                  <c:v>*19-mar-19</c:v>
                </c:pt>
                <c:pt idx="5">
                  <c:v>22-oct-19</c:v>
                </c:pt>
                <c:pt idx="6">
                  <c:v>23-abr-20</c:v>
                </c:pt>
                <c:pt idx="7">
                  <c:v>12-may-20</c:v>
                </c:pt>
                <c:pt idx="8">
                  <c:v>14-may-20</c:v>
                </c:pt>
                <c:pt idx="9">
                  <c:v>20-may-20</c:v>
                </c:pt>
                <c:pt idx="10">
                  <c:v>21-jul-20</c:v>
                </c:pt>
                <c:pt idx="11">
                  <c:v>4-sep-20</c:v>
                </c:pt>
                <c:pt idx="12">
                  <c:v>11-sep-20 (1)</c:v>
                </c:pt>
                <c:pt idx="13">
                  <c:v>11-sep-20 (2)</c:v>
                </c:pt>
                <c:pt idx="14">
                  <c:v>22-oct-20</c:v>
                </c:pt>
                <c:pt idx="15">
                  <c:v>16-dic-20</c:v>
                </c:pt>
                <c:pt idx="16">
                  <c:v>12-mar-21</c:v>
                </c:pt>
                <c:pt idx="17">
                  <c:v>13-ago-21</c:v>
                </c:pt>
                <c:pt idx="18">
                  <c:v>26-ago-21</c:v>
                </c:pt>
                <c:pt idx="19">
                  <c:v>21-sep-21</c:v>
                </c:pt>
                <c:pt idx="20">
                  <c:v>1-oct-21</c:v>
                </c:pt>
                <c:pt idx="21">
                  <c:v>22-oct-21</c:v>
                </c:pt>
                <c:pt idx="22">
                  <c:v>13-dic-21</c:v>
                </c:pt>
                <c:pt idx="23">
                  <c:v>14-mar-22</c:v>
                </c:pt>
                <c:pt idx="24">
                  <c:v>15-mar-22</c:v>
                </c:pt>
                <c:pt idx="25">
                  <c:v>16-mar-22</c:v>
                </c:pt>
              </c:strCache>
            </c:strRef>
          </c:cat>
          <c:val>
            <c:numRef>
              <c:f>'Nuevo metod Cupón 2.0'!$J$6:$J$31</c:f>
              <c:numCache>
                <c:formatCode>#,##0_ ;[Red]\-#,##0\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B7-4AF6-B95A-2DE716EF6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2023712"/>
        <c:axId val="2112008736"/>
        <c:extLst/>
      </c:barChart>
      <c:lineChart>
        <c:grouping val="standard"/>
        <c:varyColors val="0"/>
        <c:ser>
          <c:idx val="4"/>
          <c:order val="4"/>
          <c:tx>
            <c:strRef>
              <c:f>'Nuevo metod Cupón 2.0'!$O$5</c:f>
              <c:strCache>
                <c:ptCount val="1"/>
                <c:pt idx="0">
                  <c:v>CFN+INX/mc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'Nuevo metod Cupón 2.0'!$C$6:$C$28</c:f>
              <c:strCache>
                <c:ptCount val="23"/>
                <c:pt idx="0">
                  <c:v>20-sep-11</c:v>
                </c:pt>
                <c:pt idx="1">
                  <c:v>2-oct-14</c:v>
                </c:pt>
                <c:pt idx="2">
                  <c:v>17-may-16</c:v>
                </c:pt>
                <c:pt idx="3">
                  <c:v>4-oct-18</c:v>
                </c:pt>
                <c:pt idx="4">
                  <c:v>*19-mar-19</c:v>
                </c:pt>
                <c:pt idx="5">
                  <c:v>22-oct-19</c:v>
                </c:pt>
                <c:pt idx="6">
                  <c:v>23-abr-20</c:v>
                </c:pt>
                <c:pt idx="7">
                  <c:v>12-may-20</c:v>
                </c:pt>
                <c:pt idx="8">
                  <c:v>14-may-20</c:v>
                </c:pt>
                <c:pt idx="9">
                  <c:v>20-may-20</c:v>
                </c:pt>
                <c:pt idx="10">
                  <c:v>21-jul-20</c:v>
                </c:pt>
                <c:pt idx="11">
                  <c:v>4-sep-20</c:v>
                </c:pt>
                <c:pt idx="12">
                  <c:v>11-sep-20 (1)</c:v>
                </c:pt>
                <c:pt idx="13">
                  <c:v>11-sep-20 (2)</c:v>
                </c:pt>
                <c:pt idx="14">
                  <c:v>22-oct-20</c:v>
                </c:pt>
                <c:pt idx="15">
                  <c:v>16-dic-20</c:v>
                </c:pt>
                <c:pt idx="16">
                  <c:v>12-mar-21</c:v>
                </c:pt>
                <c:pt idx="17">
                  <c:v>13-ago-21</c:v>
                </c:pt>
                <c:pt idx="18">
                  <c:v>26-ago-21</c:v>
                </c:pt>
                <c:pt idx="19">
                  <c:v>21-sep-21</c:v>
                </c:pt>
                <c:pt idx="20">
                  <c:v>1-oct-21</c:v>
                </c:pt>
                <c:pt idx="21">
                  <c:v>22-oct-21</c:v>
                </c:pt>
                <c:pt idx="22">
                  <c:v>13-dic-21</c:v>
                </c:pt>
              </c:strCache>
            </c:strRef>
          </c:cat>
          <c:val>
            <c:numRef>
              <c:f>'Nuevo metod Cupón 2.0'!$O$6:$O$31</c:f>
              <c:numCache>
                <c:formatCode>0.00%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6B7-4AF6-B95A-2DE716EF682A}"/>
            </c:ext>
          </c:extLst>
        </c:ser>
        <c:ser>
          <c:idx val="6"/>
          <c:order val="6"/>
          <c:tx>
            <c:strRef>
              <c:f>HISTORICO!$Z$5</c:f>
              <c:strCache>
                <c:ptCount val="1"/>
                <c:pt idx="0">
                  <c:v> Max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HISTORICO!$Z$6:$Z$31</c:f>
            </c:numRef>
          </c:val>
          <c:smooth val="0"/>
          <c:extLst>
            <c:ext xmlns:c16="http://schemas.microsoft.com/office/drawing/2014/chart" uri="{C3380CC4-5D6E-409C-BE32-E72D297353CC}">
              <c16:uniqueId val="{00000006-86B7-4AF6-B95A-2DE716EF682A}"/>
            </c:ext>
          </c:extLst>
        </c:ser>
        <c:ser>
          <c:idx val="7"/>
          <c:order val="7"/>
          <c:tx>
            <c:strRef>
              <c:f>HISTORICO!$AA$5</c:f>
              <c:strCache>
                <c:ptCount val="1"/>
                <c:pt idx="0">
                  <c:v> Min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HISTORICO!$AA$6:$AA$31</c:f>
            </c:numRef>
          </c:val>
          <c:smooth val="0"/>
          <c:extLst>
            <c:ext xmlns:c16="http://schemas.microsoft.com/office/drawing/2014/chart" uri="{C3380CC4-5D6E-409C-BE32-E72D297353CC}">
              <c16:uniqueId val="{00000007-86B7-4AF6-B95A-2DE716EF6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866912"/>
        <c:axId val="344857344"/>
      </c:lineChart>
      <c:catAx>
        <c:axId val="211202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2112008736"/>
        <c:crosses val="autoZero"/>
        <c:auto val="1"/>
        <c:lblAlgn val="ctr"/>
        <c:lblOffset val="100"/>
        <c:noMultiLvlLbl val="0"/>
      </c:catAx>
      <c:valAx>
        <c:axId val="2112008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/>
                  <a:t>Miles</a:t>
                </a:r>
                <a:r>
                  <a:rPr lang="es-CO" baseline="0"/>
                  <a:t> de millones de pesos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#,##0,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2112023712"/>
        <c:crosses val="autoZero"/>
        <c:crossBetween val="between"/>
      </c:valAx>
      <c:valAx>
        <c:axId val="344857344"/>
        <c:scaling>
          <c:orientation val="minMax"/>
          <c:min val="-8.0000000000000016E-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/>
                  <a:t>Como % del</a:t>
                </a:r>
                <a:r>
                  <a:rPr lang="es-CO" baseline="0"/>
                  <a:t> monto total canjeado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344866912"/>
        <c:crosses val="max"/>
        <c:crossBetween val="between"/>
      </c:valAx>
      <c:catAx>
        <c:axId val="344866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44857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'Nuevo metod Cupón 2.0'!$U$5</c:f>
              <c:strCache>
                <c:ptCount val="1"/>
                <c:pt idx="0">
                  <c:v>Efecto fiscal neto (tesorería)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'Nuevo metod Cupón 2.0'!$U$6:$U$31</c:f>
              <c:numCache>
                <c:formatCode>_("$"* #,##0_);_("$"* \(#,##0\);_("$"* "-"_);_(@_)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'Nuevo metod Cupón 2.0'!$C$6:$C$31</c15:sqref>
                        </c15:formulaRef>
                      </c:ext>
                    </c:extLst>
                    <c:strCache>
                      <c:ptCount val="26"/>
                      <c:pt idx="0">
                        <c:v>20-sep-11</c:v>
                      </c:pt>
                      <c:pt idx="1">
                        <c:v>2-oct-14</c:v>
                      </c:pt>
                      <c:pt idx="2">
                        <c:v>17-may-16</c:v>
                      </c:pt>
                      <c:pt idx="3">
                        <c:v>4-oct-18</c:v>
                      </c:pt>
                      <c:pt idx="4">
                        <c:v>*19-mar-19</c:v>
                      </c:pt>
                      <c:pt idx="5">
                        <c:v>22-oct-19</c:v>
                      </c:pt>
                      <c:pt idx="6">
                        <c:v>23-abr-20</c:v>
                      </c:pt>
                      <c:pt idx="7">
                        <c:v>12-may-20</c:v>
                      </c:pt>
                      <c:pt idx="8">
                        <c:v>14-may-20</c:v>
                      </c:pt>
                      <c:pt idx="9">
                        <c:v>20-may-20</c:v>
                      </c:pt>
                      <c:pt idx="10">
                        <c:v>21-jul-20</c:v>
                      </c:pt>
                      <c:pt idx="11">
                        <c:v>4-sep-20</c:v>
                      </c:pt>
                      <c:pt idx="12">
                        <c:v>11-sep-20 (1)</c:v>
                      </c:pt>
                      <c:pt idx="13">
                        <c:v>11-sep-20 (2)</c:v>
                      </c:pt>
                      <c:pt idx="14">
                        <c:v>22-oct-20</c:v>
                      </c:pt>
                      <c:pt idx="15">
                        <c:v>16-dic-20</c:v>
                      </c:pt>
                      <c:pt idx="16">
                        <c:v>12-mar-21</c:v>
                      </c:pt>
                      <c:pt idx="17">
                        <c:v>13-ago-21</c:v>
                      </c:pt>
                      <c:pt idx="18">
                        <c:v>26-ago-21</c:v>
                      </c:pt>
                      <c:pt idx="19">
                        <c:v>21-sep-21</c:v>
                      </c:pt>
                      <c:pt idx="20">
                        <c:v>1-oct-21</c:v>
                      </c:pt>
                      <c:pt idx="21">
                        <c:v>22-oct-21</c:v>
                      </c:pt>
                      <c:pt idx="22">
                        <c:v>13-dic-21</c:v>
                      </c:pt>
                      <c:pt idx="23">
                        <c:v>14-mar-22</c:v>
                      </c:pt>
                      <c:pt idx="24">
                        <c:v>15-mar-22</c:v>
                      </c:pt>
                      <c:pt idx="25">
                        <c:v>16-mar-22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64E-4F4F-8A2D-D0E010520800}"/>
            </c:ext>
          </c:extLst>
        </c:ser>
        <c:ser>
          <c:idx val="2"/>
          <c:order val="2"/>
          <c:tx>
            <c:strRef>
              <c:f>'Nuevo metod Cupón 2.0'!$V$5</c:f>
              <c:strCache>
                <c:ptCount val="1"/>
                <c:pt idx="0">
                  <c:v>Efecto fiscal neto (mercado)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'Nuevo metod Cupón 2.0'!$V$6:$V$31</c:f>
              <c:numCache>
                <c:formatCode>_("$"* #,##0_);_("$"* \(#,##0\);_("$"* "-"_);_(@_)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'Nuevo metod Cupón 2.0'!$C$6:$C$31</c15:sqref>
                        </c15:formulaRef>
                      </c:ext>
                    </c:extLst>
                    <c:strCache>
                      <c:ptCount val="26"/>
                      <c:pt idx="0">
                        <c:v>20-sep-11</c:v>
                      </c:pt>
                      <c:pt idx="1">
                        <c:v>2-oct-14</c:v>
                      </c:pt>
                      <c:pt idx="2">
                        <c:v>17-may-16</c:v>
                      </c:pt>
                      <c:pt idx="3">
                        <c:v>4-oct-18</c:v>
                      </c:pt>
                      <c:pt idx="4">
                        <c:v>*19-mar-19</c:v>
                      </c:pt>
                      <c:pt idx="5">
                        <c:v>22-oct-19</c:v>
                      </c:pt>
                      <c:pt idx="6">
                        <c:v>23-abr-20</c:v>
                      </c:pt>
                      <c:pt idx="7">
                        <c:v>12-may-20</c:v>
                      </c:pt>
                      <c:pt idx="8">
                        <c:v>14-may-20</c:v>
                      </c:pt>
                      <c:pt idx="9">
                        <c:v>20-may-20</c:v>
                      </c:pt>
                      <c:pt idx="10">
                        <c:v>21-jul-20</c:v>
                      </c:pt>
                      <c:pt idx="11">
                        <c:v>4-sep-20</c:v>
                      </c:pt>
                      <c:pt idx="12">
                        <c:v>11-sep-20 (1)</c:v>
                      </c:pt>
                      <c:pt idx="13">
                        <c:v>11-sep-20 (2)</c:v>
                      </c:pt>
                      <c:pt idx="14">
                        <c:v>22-oct-20</c:v>
                      </c:pt>
                      <c:pt idx="15">
                        <c:v>16-dic-20</c:v>
                      </c:pt>
                      <c:pt idx="16">
                        <c:v>12-mar-21</c:v>
                      </c:pt>
                      <c:pt idx="17">
                        <c:v>13-ago-21</c:v>
                      </c:pt>
                      <c:pt idx="18">
                        <c:v>26-ago-21</c:v>
                      </c:pt>
                      <c:pt idx="19">
                        <c:v>21-sep-21</c:v>
                      </c:pt>
                      <c:pt idx="20">
                        <c:v>1-oct-21</c:v>
                      </c:pt>
                      <c:pt idx="21">
                        <c:v>22-oct-21</c:v>
                      </c:pt>
                      <c:pt idx="22">
                        <c:v>13-dic-21</c:v>
                      </c:pt>
                      <c:pt idx="23">
                        <c:v>14-mar-22</c:v>
                      </c:pt>
                      <c:pt idx="24">
                        <c:v>15-mar-22</c:v>
                      </c:pt>
                      <c:pt idx="25">
                        <c:v>16-mar-22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64E-4F4F-8A2D-D0E010520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39837407"/>
        <c:axId val="839836159"/>
      </c:barChart>
      <c:lineChart>
        <c:grouping val="standard"/>
        <c:varyColors val="0"/>
        <c:ser>
          <c:idx val="0"/>
          <c:order val="0"/>
          <c:tx>
            <c:strRef>
              <c:f>'Nuevo metod Cupón 2.0'!$U$2</c:f>
              <c:strCache>
                <c:ptCount val="1"/>
                <c:pt idx="0">
                  <c:v>Efecto fiscal neto como % del monto canjeado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9"/>
            <c:spPr>
              <a:solidFill>
                <a:schemeClr val="bg1">
                  <a:lumMod val="65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'Nuevo metod Cupón 2.0'!$T$6:$T$31</c:f>
              <c:numCache>
                <c:formatCode>_("$"* #,##0_);_("$"* \(#,##0\);_("$"* "-"_);_(@_)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'Nuevo metod Cupón 2.0'!$C$6:$C$31</c15:sqref>
                        </c15:formulaRef>
                      </c:ext>
                    </c:extLst>
                    <c:strCache>
                      <c:ptCount val="26"/>
                      <c:pt idx="0">
                        <c:v>20-sep-11</c:v>
                      </c:pt>
                      <c:pt idx="1">
                        <c:v>2-oct-14</c:v>
                      </c:pt>
                      <c:pt idx="2">
                        <c:v>17-may-16</c:v>
                      </c:pt>
                      <c:pt idx="3">
                        <c:v>4-oct-18</c:v>
                      </c:pt>
                      <c:pt idx="4">
                        <c:v>*19-mar-19</c:v>
                      </c:pt>
                      <c:pt idx="5">
                        <c:v>22-oct-19</c:v>
                      </c:pt>
                      <c:pt idx="6">
                        <c:v>23-abr-20</c:v>
                      </c:pt>
                      <c:pt idx="7">
                        <c:v>12-may-20</c:v>
                      </c:pt>
                      <c:pt idx="8">
                        <c:v>14-may-20</c:v>
                      </c:pt>
                      <c:pt idx="9">
                        <c:v>20-may-20</c:v>
                      </c:pt>
                      <c:pt idx="10">
                        <c:v>21-jul-20</c:v>
                      </c:pt>
                      <c:pt idx="11">
                        <c:v>4-sep-20</c:v>
                      </c:pt>
                      <c:pt idx="12">
                        <c:v>11-sep-20 (1)</c:v>
                      </c:pt>
                      <c:pt idx="13">
                        <c:v>11-sep-20 (2)</c:v>
                      </c:pt>
                      <c:pt idx="14">
                        <c:v>22-oct-20</c:v>
                      </c:pt>
                      <c:pt idx="15">
                        <c:v>16-dic-20</c:v>
                      </c:pt>
                      <c:pt idx="16">
                        <c:v>12-mar-21</c:v>
                      </c:pt>
                      <c:pt idx="17">
                        <c:v>13-ago-21</c:v>
                      </c:pt>
                      <c:pt idx="18">
                        <c:v>26-ago-21</c:v>
                      </c:pt>
                      <c:pt idx="19">
                        <c:v>21-sep-21</c:v>
                      </c:pt>
                      <c:pt idx="20">
                        <c:v>1-oct-21</c:v>
                      </c:pt>
                      <c:pt idx="21">
                        <c:v>22-oct-21</c:v>
                      </c:pt>
                      <c:pt idx="22">
                        <c:v>13-dic-21</c:v>
                      </c:pt>
                      <c:pt idx="23">
                        <c:v>14-mar-22</c:v>
                      </c:pt>
                      <c:pt idx="24">
                        <c:v>15-mar-22</c:v>
                      </c:pt>
                      <c:pt idx="25">
                        <c:v>16-mar-22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64E-4F4F-8A2D-D0E010520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837407"/>
        <c:axId val="839836159"/>
      </c:lineChart>
      <c:catAx>
        <c:axId val="8398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839836159"/>
        <c:crosses val="autoZero"/>
        <c:auto val="1"/>
        <c:lblAlgn val="ctr"/>
        <c:lblOffset val="100"/>
        <c:noMultiLvlLbl val="0"/>
      </c:catAx>
      <c:valAx>
        <c:axId val="839836159"/>
        <c:scaling>
          <c:orientation val="minMax"/>
          <c:max val="350000000000"/>
          <c:min val="-350000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/>
                  <a:t>COP $MM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&quot;$&quot;\ ###0,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83983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4647228760839"/>
          <c:y val="9.9805607831571733E-2"/>
          <c:w val="0.77861031633137012"/>
          <c:h val="0.6910669874477708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'Nuevo metod Cupón 2.0'!$U$4</c:f>
              <c:strCache>
                <c:ptCount val="1"/>
                <c:pt idx="0">
                  <c:v>DGCPTN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'Nuevo metod Cupón 2.0'!$U$6:$U$61</c:f>
              <c:numCache>
                <c:formatCode>_("$"* #,##0_);_("$"* \(#,##0\);_("$"* "-"_);_(@_)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'Nuevo metod Cupón 2.0'!$C$6:$C$61</c15:sqref>
                        </c15:formulaRef>
                      </c:ext>
                    </c:extLst>
                    <c:strCache>
                      <c:ptCount val="56"/>
                      <c:pt idx="0">
                        <c:v>20-sep-11</c:v>
                      </c:pt>
                      <c:pt idx="1">
                        <c:v>2-oct-14</c:v>
                      </c:pt>
                      <c:pt idx="2">
                        <c:v>17-may-16</c:v>
                      </c:pt>
                      <c:pt idx="3">
                        <c:v>4-oct-18</c:v>
                      </c:pt>
                      <c:pt idx="4">
                        <c:v>*19-mar-19</c:v>
                      </c:pt>
                      <c:pt idx="5">
                        <c:v>22-oct-19</c:v>
                      </c:pt>
                      <c:pt idx="6">
                        <c:v>23-abr-20</c:v>
                      </c:pt>
                      <c:pt idx="7">
                        <c:v>12-may-20</c:v>
                      </c:pt>
                      <c:pt idx="8">
                        <c:v>14-may-20</c:v>
                      </c:pt>
                      <c:pt idx="9">
                        <c:v>20-may-20</c:v>
                      </c:pt>
                      <c:pt idx="10">
                        <c:v>21-jul-20</c:v>
                      </c:pt>
                      <c:pt idx="11">
                        <c:v>4-sep-20</c:v>
                      </c:pt>
                      <c:pt idx="12">
                        <c:v>11-sep-20 (1)</c:v>
                      </c:pt>
                      <c:pt idx="13">
                        <c:v>11-sep-20 (2)</c:v>
                      </c:pt>
                      <c:pt idx="14">
                        <c:v>22-oct-20</c:v>
                      </c:pt>
                      <c:pt idx="15">
                        <c:v>16-dic-20</c:v>
                      </c:pt>
                      <c:pt idx="16">
                        <c:v>12-mar-21</c:v>
                      </c:pt>
                      <c:pt idx="17">
                        <c:v>13-ago-21</c:v>
                      </c:pt>
                      <c:pt idx="18">
                        <c:v>26-ago-21</c:v>
                      </c:pt>
                      <c:pt idx="19">
                        <c:v>21-sep-21</c:v>
                      </c:pt>
                      <c:pt idx="20">
                        <c:v>1-oct-21</c:v>
                      </c:pt>
                      <c:pt idx="21">
                        <c:v>22-oct-21</c:v>
                      </c:pt>
                      <c:pt idx="22">
                        <c:v>13-dic-21</c:v>
                      </c:pt>
                      <c:pt idx="23">
                        <c:v>14-mar-22</c:v>
                      </c:pt>
                      <c:pt idx="24">
                        <c:v>15-mar-22</c:v>
                      </c:pt>
                      <c:pt idx="25">
                        <c:v>16-mar-22</c:v>
                      </c:pt>
                      <c:pt idx="26">
                        <c:v>17-mar-22</c:v>
                      </c:pt>
                      <c:pt idx="27">
                        <c:v>18-mar-22</c:v>
                      </c:pt>
                      <c:pt idx="28">
                        <c:v>29-mar-22</c:v>
                      </c:pt>
                      <c:pt idx="29">
                        <c:v>30-mar-22</c:v>
                      </c:pt>
                      <c:pt idx="30">
                        <c:v>31-mar-22</c:v>
                      </c:pt>
                      <c:pt idx="31">
                        <c:v>1-abr-22</c:v>
                      </c:pt>
                      <c:pt idx="32">
                        <c:v>4-abr-22</c:v>
                      </c:pt>
                      <c:pt idx="33">
                        <c:v>5-abr-22</c:v>
                      </c:pt>
                      <c:pt idx="34">
                        <c:v>6-abr-22</c:v>
                      </c:pt>
                      <c:pt idx="35">
                        <c:v>7-abr-22</c:v>
                      </c:pt>
                      <c:pt idx="36">
                        <c:v>8-abr-22</c:v>
                      </c:pt>
                      <c:pt idx="37">
                        <c:v>19-abr-22</c:v>
                      </c:pt>
                      <c:pt idx="38">
                        <c:v>16-may-22</c:v>
                      </c:pt>
                      <c:pt idx="39">
                        <c:v>17-may-22</c:v>
                      </c:pt>
                      <c:pt idx="40">
                        <c:v>18-may-22</c:v>
                      </c:pt>
                      <c:pt idx="41">
                        <c:v>19-may-22</c:v>
                      </c:pt>
                      <c:pt idx="42">
                        <c:v>23-may-22</c:v>
                      </c:pt>
                      <c:pt idx="43">
                        <c:v>24-may-22</c:v>
                      </c:pt>
                      <c:pt idx="44">
                        <c:v>25-may-22</c:v>
                      </c:pt>
                      <c:pt idx="45">
                        <c:v>26-may-22</c:v>
                      </c:pt>
                      <c:pt idx="46">
                        <c:v>27-may-22</c:v>
                      </c:pt>
                      <c:pt idx="47">
                        <c:v>31-may-22</c:v>
                      </c:pt>
                      <c:pt idx="48">
                        <c:v>1-jun-22</c:v>
                      </c:pt>
                      <c:pt idx="49">
                        <c:v>2-jun-22</c:v>
                      </c:pt>
                      <c:pt idx="50">
                        <c:v>3-jun-22</c:v>
                      </c:pt>
                      <c:pt idx="51">
                        <c:v>7-jun-22</c:v>
                      </c:pt>
                      <c:pt idx="52">
                        <c:v>8-jun-22</c:v>
                      </c:pt>
                      <c:pt idx="53">
                        <c:v>9-jun-22</c:v>
                      </c:pt>
                      <c:pt idx="54">
                        <c:v>5-jul-22</c:v>
                      </c:pt>
                      <c:pt idx="55">
                        <c:v>7-jul-22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F44-4801-88A6-4EEDC98B7C0B}"/>
            </c:ext>
          </c:extLst>
        </c:ser>
        <c:ser>
          <c:idx val="1"/>
          <c:order val="1"/>
          <c:tx>
            <c:strRef>
              <c:f>'Nuevo metod Cupón 2.0'!$V$4</c:f>
              <c:strCache>
                <c:ptCount val="1"/>
                <c:pt idx="0">
                  <c:v>Mercado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'Nuevo metod Cupón 2.0'!$V$6:$V$61</c:f>
              <c:numCache>
                <c:formatCode>_("$"* #,##0_);_("$"* \(#,##0\);_("$"* "-"_);_(@_)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'Nuevo metod Cupón 2.0'!$C$6:$C$61</c15:sqref>
                        </c15:formulaRef>
                      </c:ext>
                    </c:extLst>
                    <c:strCache>
                      <c:ptCount val="56"/>
                      <c:pt idx="0">
                        <c:v>20-sep-11</c:v>
                      </c:pt>
                      <c:pt idx="1">
                        <c:v>2-oct-14</c:v>
                      </c:pt>
                      <c:pt idx="2">
                        <c:v>17-may-16</c:v>
                      </c:pt>
                      <c:pt idx="3">
                        <c:v>4-oct-18</c:v>
                      </c:pt>
                      <c:pt idx="4">
                        <c:v>*19-mar-19</c:v>
                      </c:pt>
                      <c:pt idx="5">
                        <c:v>22-oct-19</c:v>
                      </c:pt>
                      <c:pt idx="6">
                        <c:v>23-abr-20</c:v>
                      </c:pt>
                      <c:pt idx="7">
                        <c:v>12-may-20</c:v>
                      </c:pt>
                      <c:pt idx="8">
                        <c:v>14-may-20</c:v>
                      </c:pt>
                      <c:pt idx="9">
                        <c:v>20-may-20</c:v>
                      </c:pt>
                      <c:pt idx="10">
                        <c:v>21-jul-20</c:v>
                      </c:pt>
                      <c:pt idx="11">
                        <c:v>4-sep-20</c:v>
                      </c:pt>
                      <c:pt idx="12">
                        <c:v>11-sep-20 (1)</c:v>
                      </c:pt>
                      <c:pt idx="13">
                        <c:v>11-sep-20 (2)</c:v>
                      </c:pt>
                      <c:pt idx="14">
                        <c:v>22-oct-20</c:v>
                      </c:pt>
                      <c:pt idx="15">
                        <c:v>16-dic-20</c:v>
                      </c:pt>
                      <c:pt idx="16">
                        <c:v>12-mar-21</c:v>
                      </c:pt>
                      <c:pt idx="17">
                        <c:v>13-ago-21</c:v>
                      </c:pt>
                      <c:pt idx="18">
                        <c:v>26-ago-21</c:v>
                      </c:pt>
                      <c:pt idx="19">
                        <c:v>21-sep-21</c:v>
                      </c:pt>
                      <c:pt idx="20">
                        <c:v>1-oct-21</c:v>
                      </c:pt>
                      <c:pt idx="21">
                        <c:v>22-oct-21</c:v>
                      </c:pt>
                      <c:pt idx="22">
                        <c:v>13-dic-21</c:v>
                      </c:pt>
                      <c:pt idx="23">
                        <c:v>14-mar-22</c:v>
                      </c:pt>
                      <c:pt idx="24">
                        <c:v>15-mar-22</c:v>
                      </c:pt>
                      <c:pt idx="25">
                        <c:v>16-mar-22</c:v>
                      </c:pt>
                      <c:pt idx="26">
                        <c:v>17-mar-22</c:v>
                      </c:pt>
                      <c:pt idx="27">
                        <c:v>18-mar-22</c:v>
                      </c:pt>
                      <c:pt idx="28">
                        <c:v>29-mar-22</c:v>
                      </c:pt>
                      <c:pt idx="29">
                        <c:v>30-mar-22</c:v>
                      </c:pt>
                      <c:pt idx="30">
                        <c:v>31-mar-22</c:v>
                      </c:pt>
                      <c:pt idx="31">
                        <c:v>1-abr-22</c:v>
                      </c:pt>
                      <c:pt idx="32">
                        <c:v>4-abr-22</c:v>
                      </c:pt>
                      <c:pt idx="33">
                        <c:v>5-abr-22</c:v>
                      </c:pt>
                      <c:pt idx="34">
                        <c:v>6-abr-22</c:v>
                      </c:pt>
                      <c:pt idx="35">
                        <c:v>7-abr-22</c:v>
                      </c:pt>
                      <c:pt idx="36">
                        <c:v>8-abr-22</c:v>
                      </c:pt>
                      <c:pt idx="37">
                        <c:v>19-abr-22</c:v>
                      </c:pt>
                      <c:pt idx="38">
                        <c:v>16-may-22</c:v>
                      </c:pt>
                      <c:pt idx="39">
                        <c:v>17-may-22</c:v>
                      </c:pt>
                      <c:pt idx="40">
                        <c:v>18-may-22</c:v>
                      </c:pt>
                      <c:pt idx="41">
                        <c:v>19-may-22</c:v>
                      </c:pt>
                      <c:pt idx="42">
                        <c:v>23-may-22</c:v>
                      </c:pt>
                      <c:pt idx="43">
                        <c:v>24-may-22</c:v>
                      </c:pt>
                      <c:pt idx="44">
                        <c:v>25-may-22</c:v>
                      </c:pt>
                      <c:pt idx="45">
                        <c:v>26-may-22</c:v>
                      </c:pt>
                      <c:pt idx="46">
                        <c:v>27-may-22</c:v>
                      </c:pt>
                      <c:pt idx="47">
                        <c:v>31-may-22</c:v>
                      </c:pt>
                      <c:pt idx="48">
                        <c:v>1-jun-22</c:v>
                      </c:pt>
                      <c:pt idx="49">
                        <c:v>2-jun-22</c:v>
                      </c:pt>
                      <c:pt idx="50">
                        <c:v>3-jun-22</c:v>
                      </c:pt>
                      <c:pt idx="51">
                        <c:v>7-jun-22</c:v>
                      </c:pt>
                      <c:pt idx="52">
                        <c:v>8-jun-22</c:v>
                      </c:pt>
                      <c:pt idx="53">
                        <c:v>9-jun-22</c:v>
                      </c:pt>
                      <c:pt idx="54">
                        <c:v>5-jul-22</c:v>
                      </c:pt>
                      <c:pt idx="55">
                        <c:v>7-jul-22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F44-4801-88A6-4EEDC98B7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807852256"/>
        <c:axId val="807871808"/>
      </c:barChart>
      <c:lineChart>
        <c:grouping val="standard"/>
        <c:varyColors val="0"/>
        <c:ser>
          <c:idx val="2"/>
          <c:order val="2"/>
          <c:tx>
            <c:strRef>
              <c:f>'Nuevo metod Cupón 2.0'!$W$5</c:f>
              <c:strCache>
                <c:ptCount val="1"/>
                <c:pt idx="0">
                  <c:v>Efecto fiscal neto como % del monto canjeado (eje derecho)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'Nuevo metod Cupón 2.0'!$W$6:$W$61</c:f>
              <c:numCache>
                <c:formatCode>0.0%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'Nuevo metod Cupón 2.0'!$C$6:$C$61</c15:sqref>
                        </c15:formulaRef>
                      </c:ext>
                    </c:extLst>
                    <c:strCache>
                      <c:ptCount val="56"/>
                      <c:pt idx="0">
                        <c:v>20-sep-11</c:v>
                      </c:pt>
                      <c:pt idx="1">
                        <c:v>2-oct-14</c:v>
                      </c:pt>
                      <c:pt idx="2">
                        <c:v>17-may-16</c:v>
                      </c:pt>
                      <c:pt idx="3">
                        <c:v>4-oct-18</c:v>
                      </c:pt>
                      <c:pt idx="4">
                        <c:v>*19-mar-19</c:v>
                      </c:pt>
                      <c:pt idx="5">
                        <c:v>22-oct-19</c:v>
                      </c:pt>
                      <c:pt idx="6">
                        <c:v>23-abr-20</c:v>
                      </c:pt>
                      <c:pt idx="7">
                        <c:v>12-may-20</c:v>
                      </c:pt>
                      <c:pt idx="8">
                        <c:v>14-may-20</c:v>
                      </c:pt>
                      <c:pt idx="9">
                        <c:v>20-may-20</c:v>
                      </c:pt>
                      <c:pt idx="10">
                        <c:v>21-jul-20</c:v>
                      </c:pt>
                      <c:pt idx="11">
                        <c:v>4-sep-20</c:v>
                      </c:pt>
                      <c:pt idx="12">
                        <c:v>11-sep-20 (1)</c:v>
                      </c:pt>
                      <c:pt idx="13">
                        <c:v>11-sep-20 (2)</c:v>
                      </c:pt>
                      <c:pt idx="14">
                        <c:v>22-oct-20</c:v>
                      </c:pt>
                      <c:pt idx="15">
                        <c:v>16-dic-20</c:v>
                      </c:pt>
                      <c:pt idx="16">
                        <c:v>12-mar-21</c:v>
                      </c:pt>
                      <c:pt idx="17">
                        <c:v>13-ago-21</c:v>
                      </c:pt>
                      <c:pt idx="18">
                        <c:v>26-ago-21</c:v>
                      </c:pt>
                      <c:pt idx="19">
                        <c:v>21-sep-21</c:v>
                      </c:pt>
                      <c:pt idx="20">
                        <c:v>1-oct-21</c:v>
                      </c:pt>
                      <c:pt idx="21">
                        <c:v>22-oct-21</c:v>
                      </c:pt>
                      <c:pt idx="22">
                        <c:v>13-dic-21</c:v>
                      </c:pt>
                      <c:pt idx="23">
                        <c:v>14-mar-22</c:v>
                      </c:pt>
                      <c:pt idx="24">
                        <c:v>15-mar-22</c:v>
                      </c:pt>
                      <c:pt idx="25">
                        <c:v>16-mar-22</c:v>
                      </c:pt>
                      <c:pt idx="26">
                        <c:v>17-mar-22</c:v>
                      </c:pt>
                      <c:pt idx="27">
                        <c:v>18-mar-22</c:v>
                      </c:pt>
                      <c:pt idx="28">
                        <c:v>29-mar-22</c:v>
                      </c:pt>
                      <c:pt idx="29">
                        <c:v>30-mar-22</c:v>
                      </c:pt>
                      <c:pt idx="30">
                        <c:v>31-mar-22</c:v>
                      </c:pt>
                      <c:pt idx="31">
                        <c:v>1-abr-22</c:v>
                      </c:pt>
                      <c:pt idx="32">
                        <c:v>4-abr-22</c:v>
                      </c:pt>
                      <c:pt idx="33">
                        <c:v>5-abr-22</c:v>
                      </c:pt>
                      <c:pt idx="34">
                        <c:v>6-abr-22</c:v>
                      </c:pt>
                      <c:pt idx="35">
                        <c:v>7-abr-22</c:v>
                      </c:pt>
                      <c:pt idx="36">
                        <c:v>8-abr-22</c:v>
                      </c:pt>
                      <c:pt idx="37">
                        <c:v>19-abr-22</c:v>
                      </c:pt>
                      <c:pt idx="38">
                        <c:v>16-may-22</c:v>
                      </c:pt>
                      <c:pt idx="39">
                        <c:v>17-may-22</c:v>
                      </c:pt>
                      <c:pt idx="40">
                        <c:v>18-may-22</c:v>
                      </c:pt>
                      <c:pt idx="41">
                        <c:v>19-may-22</c:v>
                      </c:pt>
                      <c:pt idx="42">
                        <c:v>23-may-22</c:v>
                      </c:pt>
                      <c:pt idx="43">
                        <c:v>24-may-22</c:v>
                      </c:pt>
                      <c:pt idx="44">
                        <c:v>25-may-22</c:v>
                      </c:pt>
                      <c:pt idx="45">
                        <c:v>26-may-22</c:v>
                      </c:pt>
                      <c:pt idx="46">
                        <c:v>27-may-22</c:v>
                      </c:pt>
                      <c:pt idx="47">
                        <c:v>31-may-22</c:v>
                      </c:pt>
                      <c:pt idx="48">
                        <c:v>1-jun-22</c:v>
                      </c:pt>
                      <c:pt idx="49">
                        <c:v>2-jun-22</c:v>
                      </c:pt>
                      <c:pt idx="50">
                        <c:v>3-jun-22</c:v>
                      </c:pt>
                      <c:pt idx="51">
                        <c:v>7-jun-22</c:v>
                      </c:pt>
                      <c:pt idx="52">
                        <c:v>8-jun-22</c:v>
                      </c:pt>
                      <c:pt idx="53">
                        <c:v>9-jun-22</c:v>
                      </c:pt>
                      <c:pt idx="54">
                        <c:v>5-jul-22</c:v>
                      </c:pt>
                      <c:pt idx="55">
                        <c:v>7-jul-22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F44-4801-88A6-4EEDC98B7C0B}"/>
            </c:ext>
          </c:extLst>
        </c:ser>
        <c:ser>
          <c:idx val="3"/>
          <c:order val="3"/>
          <c:tx>
            <c:strRef>
              <c:f>HISTORICO!$Z$5</c:f>
              <c:strCache>
                <c:ptCount val="1"/>
                <c:pt idx="0">
                  <c:v> Max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val>
            <c:numRef>
              <c:f>HISTORICO!$Z$6:$Z$31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HISTORICO!$D$6:$D$61</c15:sqref>
                        </c15:formulaRef>
                      </c:ext>
                    </c:extLst>
                    <c:strCache>
                      <c:ptCount val="56"/>
                      <c:pt idx="0">
                        <c:v>20-sep-11</c:v>
                      </c:pt>
                      <c:pt idx="1">
                        <c:v>2-oct-14</c:v>
                      </c:pt>
                      <c:pt idx="2">
                        <c:v>17-may-16</c:v>
                      </c:pt>
                      <c:pt idx="3">
                        <c:v>4-oct-18</c:v>
                      </c:pt>
                      <c:pt idx="4">
                        <c:v>19-mar-19</c:v>
                      </c:pt>
                      <c:pt idx="5">
                        <c:v>22-oct-19</c:v>
                      </c:pt>
                      <c:pt idx="6">
                        <c:v>23-abr-20</c:v>
                      </c:pt>
                      <c:pt idx="7">
                        <c:v>12-may-20</c:v>
                      </c:pt>
                      <c:pt idx="8">
                        <c:v>14-may-20</c:v>
                      </c:pt>
                      <c:pt idx="9">
                        <c:v>20-may-20</c:v>
                      </c:pt>
                      <c:pt idx="10">
                        <c:v>21-jul-20</c:v>
                      </c:pt>
                      <c:pt idx="11">
                        <c:v>4-sep-20</c:v>
                      </c:pt>
                      <c:pt idx="12">
                        <c:v>11-sep-20</c:v>
                      </c:pt>
                      <c:pt idx="13">
                        <c:v>11-sep-20</c:v>
                      </c:pt>
                      <c:pt idx="14">
                        <c:v>22-oct-20</c:v>
                      </c:pt>
                      <c:pt idx="15">
                        <c:v>16-dic-20</c:v>
                      </c:pt>
                      <c:pt idx="16">
                        <c:v>12-mar-21</c:v>
                      </c:pt>
                      <c:pt idx="17">
                        <c:v>13-ago-21</c:v>
                      </c:pt>
                      <c:pt idx="18">
                        <c:v>26-ago-21</c:v>
                      </c:pt>
                      <c:pt idx="19">
                        <c:v>21-sep-21</c:v>
                      </c:pt>
                      <c:pt idx="20">
                        <c:v>1-oct-21</c:v>
                      </c:pt>
                      <c:pt idx="21">
                        <c:v>22-oct-21</c:v>
                      </c:pt>
                      <c:pt idx="22">
                        <c:v>13-dic-21</c:v>
                      </c:pt>
                      <c:pt idx="23">
                        <c:v>14-mar-22</c:v>
                      </c:pt>
                      <c:pt idx="24">
                        <c:v>15-mar-22</c:v>
                      </c:pt>
                      <c:pt idx="25">
                        <c:v>16-mar-22</c:v>
                      </c:pt>
                      <c:pt idx="26">
                        <c:v>17-mar-22</c:v>
                      </c:pt>
                      <c:pt idx="27">
                        <c:v>18-mar-22</c:v>
                      </c:pt>
                      <c:pt idx="28">
                        <c:v>29-mar-22</c:v>
                      </c:pt>
                      <c:pt idx="29">
                        <c:v>30-mar-22</c:v>
                      </c:pt>
                      <c:pt idx="30">
                        <c:v>31-mar-22</c:v>
                      </c:pt>
                      <c:pt idx="31">
                        <c:v>1-abr-22</c:v>
                      </c:pt>
                      <c:pt idx="32">
                        <c:v>4-abr-22</c:v>
                      </c:pt>
                      <c:pt idx="33">
                        <c:v>5-abr-22</c:v>
                      </c:pt>
                      <c:pt idx="34">
                        <c:v>6-abr-22</c:v>
                      </c:pt>
                      <c:pt idx="35">
                        <c:v>7-abr-22</c:v>
                      </c:pt>
                      <c:pt idx="36">
                        <c:v>8-abr-22</c:v>
                      </c:pt>
                      <c:pt idx="37">
                        <c:v>19-abr-22</c:v>
                      </c:pt>
                      <c:pt idx="38">
                        <c:v>16-may-22</c:v>
                      </c:pt>
                      <c:pt idx="39">
                        <c:v>17-may-22</c:v>
                      </c:pt>
                      <c:pt idx="40">
                        <c:v>18-may-22</c:v>
                      </c:pt>
                      <c:pt idx="41">
                        <c:v>19-may-22</c:v>
                      </c:pt>
                      <c:pt idx="42">
                        <c:v>23-may-22</c:v>
                      </c:pt>
                      <c:pt idx="43">
                        <c:v>24-may-22</c:v>
                      </c:pt>
                      <c:pt idx="44">
                        <c:v>25-may-22</c:v>
                      </c:pt>
                      <c:pt idx="45">
                        <c:v>26-may-22</c:v>
                      </c:pt>
                      <c:pt idx="46">
                        <c:v>27-may-22</c:v>
                      </c:pt>
                      <c:pt idx="47">
                        <c:v>31-may-22</c:v>
                      </c:pt>
                      <c:pt idx="48">
                        <c:v>1-jun-22</c:v>
                      </c:pt>
                      <c:pt idx="49">
                        <c:v>2-jun-22</c:v>
                      </c:pt>
                      <c:pt idx="50">
                        <c:v>3-jun-22</c:v>
                      </c:pt>
                      <c:pt idx="51">
                        <c:v>7-jun-22</c:v>
                      </c:pt>
                      <c:pt idx="52">
                        <c:v>8-jun-22</c:v>
                      </c:pt>
                      <c:pt idx="53">
                        <c:v>9-jun-22</c:v>
                      </c:pt>
                      <c:pt idx="54">
                        <c:v>5-jul-22</c:v>
                      </c:pt>
                      <c:pt idx="55">
                        <c:v>7-jul-22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5F44-4801-88A6-4EEDC98B7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147728"/>
        <c:axId val="466143152"/>
      </c:lineChart>
      <c:catAx>
        <c:axId val="80785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807871808"/>
        <c:crosses val="autoZero"/>
        <c:auto val="1"/>
        <c:lblAlgn val="ctr"/>
        <c:lblOffset val="100"/>
        <c:noMultiLvlLbl val="0"/>
      </c:catAx>
      <c:valAx>
        <c:axId val="807871808"/>
        <c:scaling>
          <c:orientation val="minMax"/>
          <c:max val="600000000000"/>
          <c:min val="-600000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/>
                  <a:t>COP $MM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&quot;$&quot;\ ###0,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807852256"/>
        <c:crosses val="autoZero"/>
        <c:crossBetween val="between"/>
      </c:valAx>
      <c:valAx>
        <c:axId val="466143152"/>
        <c:scaling>
          <c:orientation val="minMax"/>
          <c:max val="0.15000000000000002"/>
          <c:min val="-0.1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466147728"/>
        <c:crosses val="max"/>
        <c:crossBetween val="between"/>
      </c:valAx>
      <c:catAx>
        <c:axId val="466147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6143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nrep.gov.co/es/estadisticas/inflacion-total-y-meta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396843</xdr:colOff>
      <xdr:row>372</xdr:row>
      <xdr:rowOff>138907</xdr:rowOff>
    </xdr:from>
    <xdr:to>
      <xdr:col>15</xdr:col>
      <xdr:colOff>464932</xdr:colOff>
      <xdr:row>396</xdr:row>
      <xdr:rowOff>29754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65B654E-F811-4101-8E91-460709E9B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83255" y="40513701"/>
          <a:ext cx="5954987" cy="4452687"/>
        </a:xfrm>
        <a:prstGeom prst="rect">
          <a:avLst/>
        </a:prstGeom>
      </xdr:spPr>
    </xdr:pic>
    <xdr:clientData/>
  </xdr:twoCellAnchor>
  <xdr:twoCellAnchor>
    <xdr:from>
      <xdr:col>2</xdr:col>
      <xdr:colOff>1056428</xdr:colOff>
      <xdr:row>401</xdr:row>
      <xdr:rowOff>138314</xdr:rowOff>
    </xdr:from>
    <xdr:to>
      <xdr:col>10</xdr:col>
      <xdr:colOff>1538844</xdr:colOff>
      <xdr:row>425</xdr:row>
      <xdr:rowOff>98628</xdr:rowOff>
    </xdr:to>
    <xdr:graphicFrame macro="">
      <xdr:nvGraphicFramePr>
        <xdr:cNvPr id="15" name="Gráfico 8">
          <a:extLst>
            <a:ext uri="{FF2B5EF4-FFF2-40B4-BE49-F238E27FC236}">
              <a16:creationId xmlns:a16="http://schemas.microsoft.com/office/drawing/2014/main" id="{4DF9F608-664A-4CBC-8F72-41E037E7BD11}"/>
            </a:ext>
            <a:ext uri="{147F2762-F138-4A5C-976F-8EAC2B608ADB}">
              <a16:predDERef xmlns:a16="http://schemas.microsoft.com/office/drawing/2014/main" pred="{765B654E-F811-4101-8E91-460709E9B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1979612</xdr:colOff>
      <xdr:row>382</xdr:row>
      <xdr:rowOff>47624</xdr:rowOff>
    </xdr:from>
    <xdr:to>
      <xdr:col>32</xdr:col>
      <xdr:colOff>552450</xdr:colOff>
      <xdr:row>415</xdr:row>
      <xdr:rowOff>138545</xdr:rowOff>
    </xdr:to>
    <xdr:graphicFrame macro="">
      <xdr:nvGraphicFramePr>
        <xdr:cNvPr id="2" name="Gráfico 4">
          <a:extLst>
            <a:ext uri="{FF2B5EF4-FFF2-40B4-BE49-F238E27FC236}">
              <a16:creationId xmlns:a16="http://schemas.microsoft.com/office/drawing/2014/main" id="{CE3CC865-CCD9-48DA-856B-F2CA3C35B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27780</xdr:colOff>
      <xdr:row>371</xdr:row>
      <xdr:rowOff>97631</xdr:rowOff>
    </xdr:from>
    <xdr:to>
      <xdr:col>11</xdr:col>
      <xdr:colOff>298449</xdr:colOff>
      <xdr:row>398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2EB5D92-809E-48C7-A9A0-35FDD69F6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173181</xdr:colOff>
      <xdr:row>401</xdr:row>
      <xdr:rowOff>34635</xdr:rowOff>
    </xdr:from>
    <xdr:to>
      <xdr:col>16</xdr:col>
      <xdr:colOff>242454</xdr:colOff>
      <xdr:row>436</xdr:row>
      <xdr:rowOff>17316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1F1B9E4-B259-E4BB-BCBA-1435B14C8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257735</xdr:colOff>
      <xdr:row>366</xdr:row>
      <xdr:rowOff>112059</xdr:rowOff>
    </xdr:from>
    <xdr:to>
      <xdr:col>44</xdr:col>
      <xdr:colOff>1367117</xdr:colOff>
      <xdr:row>396</xdr:row>
      <xdr:rowOff>78441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63851B8-9D14-A537-3394-CDF0ED24F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251166</xdr:colOff>
      <xdr:row>119</xdr:row>
      <xdr:rowOff>138907</xdr:rowOff>
    </xdr:from>
    <xdr:to>
      <xdr:col>12</xdr:col>
      <xdr:colOff>1678976</xdr:colOff>
      <xdr:row>143</xdr:row>
      <xdr:rowOff>19594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BF97E8-0670-4D46-BFE1-8EE0A105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58166" y="23103682"/>
          <a:ext cx="5942660" cy="4452687"/>
        </a:xfrm>
        <a:prstGeom prst="rect">
          <a:avLst/>
        </a:prstGeom>
      </xdr:spPr>
    </xdr:pic>
    <xdr:clientData/>
  </xdr:twoCellAnchor>
  <xdr:twoCellAnchor>
    <xdr:from>
      <xdr:col>6</xdr:col>
      <xdr:colOff>1984187</xdr:colOff>
      <xdr:row>152</xdr:row>
      <xdr:rowOff>117285</xdr:rowOff>
    </xdr:from>
    <xdr:to>
      <xdr:col>10</xdr:col>
      <xdr:colOff>492126</xdr:colOff>
      <xdr:row>176</xdr:row>
      <xdr:rowOff>77599</xdr:rowOff>
    </xdr:to>
    <xdr:graphicFrame macro="">
      <xdr:nvGraphicFramePr>
        <xdr:cNvPr id="3" name="Gráfico 8">
          <a:extLst>
            <a:ext uri="{FF2B5EF4-FFF2-40B4-BE49-F238E27FC236}">
              <a16:creationId xmlns:a16="http://schemas.microsoft.com/office/drawing/2014/main" id="{AE9630EF-6047-49CB-AF40-02C6F0A338CA}"/>
            </a:ext>
            <a:ext uri="{147F2762-F138-4A5C-976F-8EAC2B608ADB}">
              <a16:predDERef xmlns:a16="http://schemas.microsoft.com/office/drawing/2014/main" pred="{765B654E-F811-4101-8E91-460709E9B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1979612</xdr:colOff>
      <xdr:row>131</xdr:row>
      <xdr:rowOff>47625</xdr:rowOff>
    </xdr:from>
    <xdr:to>
      <xdr:col>29</xdr:col>
      <xdr:colOff>552450</xdr:colOff>
      <xdr:row>150</xdr:row>
      <xdr:rowOff>150019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A5459D9F-CD2C-4B4F-8365-91D8DE5A9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202405</xdr:colOff>
      <xdr:row>121</xdr:row>
      <xdr:rowOff>97631</xdr:rowOff>
    </xdr:from>
    <xdr:to>
      <xdr:col>9</xdr:col>
      <xdr:colOff>466724</xdr:colOff>
      <xdr:row>148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F559E7D-89D6-406B-BF76-6BFD838D9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104775</xdr:rowOff>
    </xdr:from>
    <xdr:to>
      <xdr:col>3</xdr:col>
      <xdr:colOff>552450</xdr:colOff>
      <xdr:row>3</xdr:row>
      <xdr:rowOff>180975</xdr:rowOff>
    </xdr:to>
    <xdr:sp macro="" textlink="">
      <xdr:nvSpPr>
        <xdr:cNvPr id="2" name="Diagrama de flujo: cinta perfo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995245-E328-42A1-A28C-D5F2FA5D8AC7}"/>
            </a:ext>
          </a:extLst>
        </xdr:cNvPr>
        <xdr:cNvSpPr/>
      </xdr:nvSpPr>
      <xdr:spPr>
        <a:xfrm>
          <a:off x="200025" y="104775"/>
          <a:ext cx="2638425" cy="647700"/>
        </a:xfrm>
        <a:prstGeom prst="flowChartPunchedTap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104775</xdr:colOff>
      <xdr:row>1</xdr:row>
      <xdr:rowOff>114300</xdr:rowOff>
    </xdr:from>
    <xdr:to>
      <xdr:col>2</xdr:col>
      <xdr:colOff>752475</xdr:colOff>
      <xdr:row>2</xdr:row>
      <xdr:rowOff>114300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93FCBBF-AEC8-47C7-B804-AA850CDF29EE}"/>
            </a:ext>
          </a:extLst>
        </xdr:cNvPr>
        <xdr:cNvSpPr txBox="1"/>
      </xdr:nvSpPr>
      <xdr:spPr>
        <a:xfrm>
          <a:off x="866775" y="304800"/>
          <a:ext cx="14097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>
              <a:latin typeface="Arial" panose="020B0604020202020204" pitchFamily="34" charset="0"/>
              <a:cs typeface="Arial" panose="020B0604020202020204" pitchFamily="34" charset="0"/>
            </a:rPr>
            <a:t>FUENTE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131</xdr:col>
      <xdr:colOff>857250</xdr:colOff>
      <xdr:row>16</xdr:row>
      <xdr:rowOff>190501</xdr:rowOff>
    </xdr:from>
    <xdr:to>
      <xdr:col>137</xdr:col>
      <xdr:colOff>315584</xdr:colOff>
      <xdr:row>27</xdr:row>
      <xdr:rowOff>105914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B1ABC4-BC88-4764-AD78-CE611BF5D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885900" y="4105276"/>
          <a:ext cx="5773407" cy="21003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gangarita\Dropbox\minhacienda\MFMP%202020\cleaned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ichan\AppData\Local\Microsoft\Windows\INetCache\Content.Outlook\PIZSLKV2\Weekly%20report\EXCEL\SF%20So%20Far%20Response%20-%20Rating%20Actions%20Snapshot%20As%20of%2015%20Ma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uda\Informes\Perfiles\GNC\Perfil%20Total\2025\Formato%20Actualizado\Perfil%20Deuda%20Bruta%20GNC%20Junio%202025.xls" TargetMode="External"/><Relationship Id="rId1" Type="http://schemas.openxmlformats.org/officeDocument/2006/relationships/externalLinkPath" Target="/Deuda/Informes/Perfiles/GNC/Perfil%20Total/2025/Formato%20Actualizado/Perfil%20Deuda%20Bruta%20GNC%20Junio%20202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nhaciendagovco-my.sharepoint.com/personal/subriesgo_minhacienda_gov_co/Documents/Grupo%20de%20Investigaci&#243;n%20y%20Desarrollo%20(I+D)/2023/OMD/Seguimiento%20operaciones/Gr&#225;ficos%20Comit&#233;%20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inhaciendagovco-my.sharepoint.com/personal/subriesgo_minhacienda_gov_co/Documents/Grupo%20de%20Investigaci&#243;n%20y%20Desarrollo%20(I+D)/2025/OPERACIONES%20DE%20MANEJO%20DE%20DEUDA/Seguimiento%20OMD/Calculadora/02%20Febrero/Calculadora%20Canjes%20Riesgo%20COP25%20%20-%20250214.xlsm" TargetMode="External"/><Relationship Id="rId2" Type="http://schemas.microsoft.com/office/2019/04/relationships/externalLinkLongPath" Target="https://minhaciendagovco-my.sharepoint.com/personal/subriesgo_minhacienda_gov_co/Documents/Grupo%20de%20Investigaci&#243;n%20y%20Desarrollo%20(I+D)/2025/OPERACIONES%20DE%20MANEJO%20DE%20DEUDA/Seguimiento%20OMD/Calculadora/02%20Febrero/Calculadora%20Canjes%20Riesgo%20COP25%20%20-%20250214.xlsm?18975A18" TargetMode="External"/><Relationship Id="rId1" Type="http://schemas.openxmlformats.org/officeDocument/2006/relationships/externalLinkPath" Target="file:///\\18975A18\Calculadora%20Canjes%20Riesgo%20COP25%20%20-%202502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GIROS SITUAD.FISCAL- 2000"/>
      <sheetName val="TCN"/>
      <sheetName val="CARBOCOL"/>
      <sheetName val="ANUAL1"/>
      <sheetName val="EMBI"/>
      <sheetName val="Seguimiento CSF"/>
      <sheetName val="Resumen OPEF"/>
      <sheetName val="Resumen MES OP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All Actions 1 Mar - 15 May"/>
      <sheetName val="Chart by Asset Class"/>
      <sheetName val="Chart Timeline of actions"/>
      <sheetName val="DISCLAIMER"/>
    </sheetNames>
    <sheetDataSet>
      <sheetData sheetId="0"/>
      <sheetData sheetId="1"/>
      <sheetData sheetId="2" refreshError="1"/>
      <sheetData sheetId="3" refreshError="1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le Page"/>
      <sheetName val="Resumen-Total"/>
      <sheetName val="Total Gra."/>
      <sheetName val="Resumen Interna"/>
      <sheetName val="Interna Gra."/>
      <sheetName val="Resumen Externa"/>
      <sheetName val="Externa Gra."/>
      <sheetName val="Title Data (HIDE)"/>
    </sheetNames>
    <sheetDataSet>
      <sheetData sheetId="0"/>
      <sheetData sheetId="1"/>
      <sheetData sheetId="2"/>
      <sheetData sheetId="3">
        <row r="13">
          <cell r="H13" t="str">
            <v>Perfil de vencimientos</v>
          </cell>
        </row>
        <row r="14">
          <cell r="H14" t="str">
            <v>Periodo</v>
          </cell>
          <cell r="I14" t="str">
            <v>TES</v>
          </cell>
          <cell r="J14" t="str">
            <v>Total interna GNC</v>
          </cell>
          <cell r="K14" t="str">
            <v>%</v>
          </cell>
        </row>
        <row r="15">
          <cell r="H15">
            <v>2025</v>
          </cell>
          <cell r="I15">
            <v>13006267.300000001</v>
          </cell>
          <cell r="J15">
            <v>120847016.65210332</v>
          </cell>
          <cell r="K15">
            <v>0.1696153507913804</v>
          </cell>
        </row>
        <row r="16">
          <cell r="H16">
            <v>2026</v>
          </cell>
          <cell r="I16">
            <v>40258143.200000003</v>
          </cell>
          <cell r="J16">
            <v>49668966.5</v>
          </cell>
          <cell r="K16">
            <v>6.9713091888695733E-2</v>
          </cell>
        </row>
        <row r="17">
          <cell r="H17">
            <v>2027</v>
          </cell>
          <cell r="I17">
            <v>46505338.7193112</v>
          </cell>
          <cell r="J17">
            <v>46506006.364333197</v>
          </cell>
          <cell r="K17">
            <v>6.5273705565285486E-2</v>
          </cell>
        </row>
        <row r="18">
          <cell r="H18">
            <v>2028</v>
          </cell>
          <cell r="I18">
            <v>40127203.5</v>
          </cell>
          <cell r="J18">
            <v>40507588.345156901</v>
          </cell>
          <cell r="K18">
            <v>5.6854600115252715E-2</v>
          </cell>
        </row>
        <row r="19">
          <cell r="H19">
            <v>2029</v>
          </cell>
          <cell r="I19">
            <v>42412430.980834797</v>
          </cell>
          <cell r="J19">
            <v>42412430.980834797</v>
          </cell>
          <cell r="K19">
            <v>5.952815020199588E-2</v>
          </cell>
        </row>
        <row r="20">
          <cell r="H20">
            <v>2030</v>
          </cell>
          <cell r="I20">
            <v>27749357.399999999</v>
          </cell>
          <cell r="J20">
            <v>27749357.814999998</v>
          </cell>
          <cell r="K20">
            <v>3.8947730696377421E-2</v>
          </cell>
        </row>
        <row r="21">
          <cell r="H21">
            <v>2031</v>
          </cell>
          <cell r="I21">
            <v>35351313.799999997</v>
          </cell>
          <cell r="J21">
            <v>35351320.454999998</v>
          </cell>
          <cell r="K21">
            <v>4.9617498106511712E-2</v>
          </cell>
        </row>
        <row r="22">
          <cell r="H22">
            <v>2032</v>
          </cell>
          <cell r="I22">
            <v>27992627</v>
          </cell>
          <cell r="J22">
            <v>29468261.352874801</v>
          </cell>
          <cell r="K22">
            <v>4.1360305161434394E-2</v>
          </cell>
        </row>
        <row r="23">
          <cell r="H23">
            <v>2033</v>
          </cell>
          <cell r="I23">
            <v>47461545.339681596</v>
          </cell>
          <cell r="J23">
            <v>47461545.339681596</v>
          </cell>
          <cell r="K23">
            <v>6.6614856410284307E-2</v>
          </cell>
        </row>
        <row r="24">
          <cell r="H24">
            <v>2034</v>
          </cell>
          <cell r="I24">
            <v>28484312.199999999</v>
          </cell>
          <cell r="J24">
            <v>28484312.199999999</v>
          </cell>
          <cell r="K24">
            <v>3.9979279089386664E-2</v>
          </cell>
        </row>
        <row r="25">
          <cell r="H25">
            <v>2035</v>
          </cell>
          <cell r="I25">
            <v>37750683.004702806</v>
          </cell>
          <cell r="J25">
            <v>37750683.004702806</v>
          </cell>
          <cell r="K25">
            <v>5.2985133748814181E-2</v>
          </cell>
        </row>
        <row r="26">
          <cell r="H26">
            <v>2036</v>
          </cell>
          <cell r="I26">
            <v>28868528.800000001</v>
          </cell>
          <cell r="J26">
            <v>28868528.800000001</v>
          </cell>
          <cell r="K26">
            <v>4.0518547953395788E-2</v>
          </cell>
        </row>
        <row r="27">
          <cell r="H27">
            <v>2037</v>
          </cell>
          <cell r="I27">
            <v>43566793.506429605</v>
          </cell>
          <cell r="J27">
            <v>43566793.506429605</v>
          </cell>
          <cell r="K27">
            <v>6.1148360697409705E-2</v>
          </cell>
        </row>
        <row r="28">
          <cell r="H28">
            <v>2038</v>
          </cell>
          <cell r="I28">
            <v>0</v>
          </cell>
          <cell r="J28">
            <v>0</v>
          </cell>
          <cell r="K28">
            <v>0</v>
          </cell>
        </row>
        <row r="29">
          <cell r="H29">
            <v>2039</v>
          </cell>
          <cell r="I29">
            <v>0</v>
          </cell>
          <cell r="J29">
            <v>0</v>
          </cell>
          <cell r="K29">
            <v>0</v>
          </cell>
        </row>
        <row r="30">
          <cell r="H30">
            <v>2040</v>
          </cell>
          <cell r="I30">
            <v>2728167.3</v>
          </cell>
          <cell r="J30">
            <v>2728167.3</v>
          </cell>
          <cell r="K30">
            <v>3.8291309659651347E-3</v>
          </cell>
        </row>
        <row r="31">
          <cell r="H31">
            <v>2041</v>
          </cell>
          <cell r="I31">
            <v>4998438.7661736002</v>
          </cell>
          <cell r="J31">
            <v>4998438.7661736002</v>
          </cell>
          <cell r="K31">
            <v>7.0155802618981225E-3</v>
          </cell>
        </row>
        <row r="32">
          <cell r="H32">
            <v>2042</v>
          </cell>
          <cell r="I32">
            <v>50337060.899999999</v>
          </cell>
          <cell r="J32">
            <v>50337060.899999999</v>
          </cell>
          <cell r="K32">
            <v>7.0650798661747324E-2</v>
          </cell>
        </row>
        <row r="33">
          <cell r="H33">
            <v>2043</v>
          </cell>
          <cell r="I33">
            <v>0</v>
          </cell>
          <cell r="J33">
            <v>0</v>
          </cell>
          <cell r="K33">
            <v>0</v>
          </cell>
        </row>
        <row r="34">
          <cell r="H34">
            <v>2044</v>
          </cell>
          <cell r="I34">
            <v>0</v>
          </cell>
          <cell r="J34">
            <v>0</v>
          </cell>
          <cell r="K34">
            <v>0</v>
          </cell>
        </row>
        <row r="35">
          <cell r="H35">
            <v>2045</v>
          </cell>
          <cell r="I35">
            <v>0</v>
          </cell>
          <cell r="J35">
            <v>0</v>
          </cell>
          <cell r="K35">
            <v>0</v>
          </cell>
        </row>
        <row r="36">
          <cell r="H36">
            <v>2046</v>
          </cell>
          <cell r="I36">
            <v>38547370.700000003</v>
          </cell>
          <cell r="J36">
            <v>38547370.700000003</v>
          </cell>
          <cell r="K36">
            <v>5.410332819541791E-2</v>
          </cell>
        </row>
        <row r="37">
          <cell r="H37">
            <v>2047</v>
          </cell>
          <cell r="I37">
            <v>0</v>
          </cell>
          <cell r="J37">
            <v>0</v>
          </cell>
          <cell r="K37">
            <v>0</v>
          </cell>
        </row>
        <row r="38">
          <cell r="H38">
            <v>2048</v>
          </cell>
          <cell r="I38">
            <v>0</v>
          </cell>
          <cell r="J38">
            <v>0</v>
          </cell>
          <cell r="K38">
            <v>0</v>
          </cell>
        </row>
        <row r="39">
          <cell r="H39">
            <v>2049</v>
          </cell>
          <cell r="I39">
            <v>35418438.695257202</v>
          </cell>
          <cell r="J39">
            <v>35418438.695257202</v>
          </cell>
          <cell r="K39">
            <v>4.971170220174808E-2</v>
          </cell>
        </row>
        <row r="40">
          <cell r="H40">
            <v>2050</v>
          </cell>
          <cell r="I40">
            <v>46631082.100000001</v>
          </cell>
          <cell r="J40">
            <v>46631082.100000001</v>
          </cell>
          <cell r="K40">
            <v>6.5449256152865884E-2</v>
          </cell>
        </row>
        <row r="41">
          <cell r="H41">
            <v>2051</v>
          </cell>
          <cell r="I41">
            <v>0</v>
          </cell>
          <cell r="J41">
            <v>0</v>
          </cell>
          <cell r="K41">
            <v>0</v>
          </cell>
        </row>
        <row r="42">
          <cell r="H42">
            <v>2052</v>
          </cell>
          <cell r="I42">
            <v>0</v>
          </cell>
          <cell r="J42">
            <v>0</v>
          </cell>
          <cell r="K42">
            <v>0</v>
          </cell>
        </row>
        <row r="43">
          <cell r="H43">
            <v>2053</v>
          </cell>
          <cell r="I43">
            <v>0</v>
          </cell>
          <cell r="J43">
            <v>0</v>
          </cell>
          <cell r="K43">
            <v>0</v>
          </cell>
        </row>
        <row r="44">
          <cell r="H44">
            <v>2054</v>
          </cell>
          <cell r="I44">
            <v>0</v>
          </cell>
          <cell r="J44">
            <v>0</v>
          </cell>
          <cell r="K44">
            <v>0</v>
          </cell>
        </row>
        <row r="45">
          <cell r="H45">
            <v>2055</v>
          </cell>
          <cell r="I45">
            <v>7812533.8002096014</v>
          </cell>
          <cell r="J45">
            <v>7812533.8002096014</v>
          </cell>
          <cell r="K45">
            <v>1.0965315469117989E-2</v>
          </cell>
        </row>
        <row r="46">
          <cell r="H46">
            <v>2056</v>
          </cell>
          <cell r="I46">
            <v>0</v>
          </cell>
          <cell r="J46">
            <v>0</v>
          </cell>
          <cell r="K46">
            <v>0</v>
          </cell>
        </row>
        <row r="47">
          <cell r="H47">
            <v>2057</v>
          </cell>
          <cell r="I47">
            <v>0</v>
          </cell>
          <cell r="J47">
            <v>0</v>
          </cell>
          <cell r="K47">
            <v>0</v>
          </cell>
        </row>
        <row r="48">
          <cell r="H48">
            <v>2058</v>
          </cell>
          <cell r="I48">
            <v>0</v>
          </cell>
          <cell r="J48">
            <v>0</v>
          </cell>
          <cell r="K48">
            <v>0</v>
          </cell>
        </row>
        <row r="49">
          <cell r="H49">
            <v>2059</v>
          </cell>
          <cell r="I49">
            <v>0</v>
          </cell>
          <cell r="J49">
            <v>0</v>
          </cell>
          <cell r="K49">
            <v>0</v>
          </cell>
        </row>
        <row r="50">
          <cell r="H50">
            <v>2060</v>
          </cell>
          <cell r="I50">
            <v>0</v>
          </cell>
          <cell r="J50">
            <v>0</v>
          </cell>
          <cell r="K50">
            <v>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IPGNC"/>
      <sheetName val="Gráfica méxico"/>
      <sheetName val="Tabla méxico Completa"/>
      <sheetName val="Vis. Estaciones Públicas"/>
      <sheetName val="Tabla din Visitantes"/>
      <sheetName val="RC Grafico"/>
      <sheetName val="RC EEUU"/>
      <sheetName val="RC Int"/>
      <sheetName val="RC EUU Mensual"/>
      <sheetName val="Inventarios OCDE"/>
      <sheetName val="Consulta Inventarios"/>
      <sheetName val="Posiciones Brent"/>
      <sheetName val="Posiciones 2"/>
      <sheetName val="Simulación de coberturas"/>
      <sheetName val="Frecuencias Jul-Jun"/>
      <sheetName val="Spread 1m 12m"/>
      <sheetName val="25 Deltas y 100 str"/>
      <sheetName val="Evol. Curva de futuros"/>
      <sheetName val="Canjes por canasta cupón origin"/>
      <sheetName val="Canjes por canasta"/>
      <sheetName val="Canjes por canasta cupón 2.0"/>
      <sheetName val="Cal. Interpolación"/>
      <sheetName val="Canjes UVR-23"/>
      <sheetName val="Canjes cop-22"/>
      <sheetName val="Brent-vas-cas"/>
      <sheetName val="Brent"/>
      <sheetName val="Capex IEA"/>
      <sheetName val="Castilla vs Brent"/>
      <sheetName val="Vasconia vs Brent"/>
      <sheetName val="BP Refinamiento"/>
      <sheetName val="Crack spread"/>
      <sheetName val="Crecimiento PIB y Crudo"/>
      <sheetName val="Var. Prod. USA"/>
      <sheetName val="SPR USA"/>
      <sheetName val="Hoja2"/>
      <sheetName val="Hoja1"/>
      <sheetName val="Vis. Estaciones Públicas_prueb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A3" t="str">
            <v>Operación</v>
          </cell>
          <cell r="B3" t="str">
            <v>Canje</v>
          </cell>
          <cell r="C3" t="str">
            <v>Etiqueta</v>
          </cell>
          <cell r="D3" t="str">
            <v>Denomicación</v>
          </cell>
          <cell r="E3" t="str">
            <v>Monto Canejado (MC)</v>
          </cell>
          <cell r="F3" t="str">
            <v>Monto Entregado</v>
          </cell>
          <cell r="G3" t="str">
            <v>Valor de giro (Eje Izquierdo)</v>
          </cell>
          <cell r="H3" t="str">
            <v>Efecto cupones (Eje Izquierdo)</v>
          </cell>
          <cell r="I3" t="str">
            <v>Indexaciones (Eje Izquierdo)</v>
          </cell>
          <cell r="J3" t="str">
            <v>Saldo de la deuda (Eje izquierdo)</v>
          </cell>
          <cell r="K3" t="str">
            <v>Efecto Fiscal Neto</v>
          </cell>
          <cell r="L3" t="str">
            <v>EFN (%MC)</v>
          </cell>
          <cell r="M3" t="str">
            <v>Promedio TES COP (subastas)</v>
          </cell>
          <cell r="N3" t="str">
            <v>Promedio TES UVR (subastas)</v>
          </cell>
          <cell r="O3" t="str">
            <v>Costo de oportunidad</v>
          </cell>
          <cell r="P3" t="str">
            <v>Total</v>
          </cell>
          <cell r="Q3" t="str">
            <v>COP</v>
          </cell>
          <cell r="R3" t="str">
            <v>UVR</v>
          </cell>
          <cell r="S3" t="str">
            <v>Lineamientos</v>
          </cell>
        </row>
        <row r="4">
          <cell r="A4">
            <v>24</v>
          </cell>
          <cell r="B4" t="str">
            <v>Tesorería</v>
          </cell>
          <cell r="C4" t="str">
            <v>14-mar-22</v>
          </cell>
          <cell r="D4" t="str">
            <v>COP-22</v>
          </cell>
          <cell r="E4">
            <v>30922.5</v>
          </cell>
          <cell r="F4">
            <v>30922.401999999998</v>
          </cell>
          <cell r="G4">
            <v>1467.3709958599968</v>
          </cell>
          <cell r="H4">
            <v>288.58204749999999</v>
          </cell>
          <cell r="I4">
            <v>400.81</v>
          </cell>
          <cell r="J4">
            <v>-9.8000000000000004E-2</v>
          </cell>
          <cell r="K4">
            <v>2156.6650433599966</v>
          </cell>
          <cell r="L4">
            <v>6.9744200609911766E-2</v>
          </cell>
          <cell r="M4">
            <v>0.1381</v>
          </cell>
          <cell r="N4">
            <v>0.13837584442230755</v>
          </cell>
          <cell r="O4">
            <v>0.10481781287371966</v>
          </cell>
          <cell r="P4">
            <v>2156.6650433599971</v>
          </cell>
          <cell r="Q4">
            <v>1968.1190433599968</v>
          </cell>
          <cell r="R4"/>
          <cell r="S4"/>
        </row>
        <row r="5">
          <cell r="A5">
            <v>25</v>
          </cell>
          <cell r="B5" t="str">
            <v>Tesorería</v>
          </cell>
          <cell r="C5" t="str">
            <v>15-mar-22</v>
          </cell>
          <cell r="D5" t="str">
            <v>COP-22</v>
          </cell>
          <cell r="E5">
            <v>245370.3</v>
          </cell>
          <cell r="F5">
            <v>245370.21799999999</v>
          </cell>
          <cell r="G5">
            <v>10071.304838920014</v>
          </cell>
          <cell r="H5">
            <v>2057.871677499998</v>
          </cell>
          <cell r="I5">
            <v>3396.8380000000075</v>
          </cell>
          <cell r="J5">
            <v>-8.2000000000000003E-2</v>
          </cell>
          <cell r="K5">
            <v>15525.93251642002</v>
          </cell>
          <cell r="L5">
            <v>6.3275516704426008E-2</v>
          </cell>
          <cell r="M5">
            <v>0.1381</v>
          </cell>
          <cell r="N5">
            <v>0.13837584442230755</v>
          </cell>
          <cell r="O5">
            <v>0.10459051878081921</v>
          </cell>
          <cell r="P5">
            <v>15525.932516420018</v>
          </cell>
          <cell r="Q5">
            <v>13928.119516420011</v>
          </cell>
          <cell r="R5"/>
          <cell r="S5"/>
        </row>
        <row r="6">
          <cell r="A6">
            <v>26</v>
          </cell>
          <cell r="B6" t="str">
            <v>Tesorería</v>
          </cell>
          <cell r="C6" t="str">
            <v>16-mar-22</v>
          </cell>
          <cell r="D6" t="str">
            <v>COP-22</v>
          </cell>
          <cell r="E6">
            <v>271825.59999999998</v>
          </cell>
          <cell r="F6">
            <v>271825.5</v>
          </cell>
          <cell r="G6">
            <v>11563.784356</v>
          </cell>
          <cell r="H6">
            <v>2243.6886249999998</v>
          </cell>
          <cell r="I6">
            <v>3784.971</v>
          </cell>
          <cell r="J6">
            <v>-0.1</v>
          </cell>
          <cell r="K6">
            <v>17592.343981000002</v>
          </cell>
          <cell r="L6">
            <v>6.4719231672807867E-2</v>
          </cell>
          <cell r="M6">
            <v>0.1381</v>
          </cell>
          <cell r="N6">
            <v>0.13837584442230755</v>
          </cell>
          <cell r="O6">
            <v>0.10516039789358096</v>
          </cell>
          <cell r="P6">
            <v>17592.343981000002</v>
          </cell>
          <cell r="Q6">
            <v>15812.06298099999</v>
          </cell>
          <cell r="R6"/>
          <cell r="S6"/>
        </row>
        <row r="7">
          <cell r="A7">
            <v>27</v>
          </cell>
          <cell r="B7" t="str">
            <v>Tesorería</v>
          </cell>
          <cell r="C7" t="str">
            <v>17-mar-22</v>
          </cell>
          <cell r="D7" t="str">
            <v>COP-22</v>
          </cell>
          <cell r="E7">
            <v>355185.2</v>
          </cell>
          <cell r="F7">
            <v>355185.10399999999</v>
          </cell>
          <cell r="G7">
            <v>15060.503636320069</v>
          </cell>
          <cell r="H7">
            <v>3097.6822199999961</v>
          </cell>
          <cell r="I7">
            <v>4766.4719999999998</v>
          </cell>
          <cell r="J7">
            <v>-9.6000000000000002E-2</v>
          </cell>
          <cell r="K7">
            <v>22924.561856320066</v>
          </cell>
          <cell r="L7">
            <v>6.4542559364298022E-2</v>
          </cell>
          <cell r="M7">
            <v>0.1381</v>
          </cell>
          <cell r="N7">
            <v>0.13837584442230755</v>
          </cell>
          <cell r="O7">
            <v>0.10526249034385761</v>
          </cell>
          <cell r="P7">
            <v>22924.561856320066</v>
          </cell>
          <cell r="Q7">
            <v>20682.745856320063</v>
          </cell>
          <cell r="R7"/>
          <cell r="S7"/>
        </row>
        <row r="8">
          <cell r="A8">
            <v>28</v>
          </cell>
          <cell r="B8" t="str">
            <v>Tesorería</v>
          </cell>
          <cell r="C8" t="str">
            <v>18-mar-22</v>
          </cell>
          <cell r="D8" t="str">
            <v>COP-22</v>
          </cell>
          <cell r="E8">
            <v>148676</v>
          </cell>
          <cell r="F8">
            <v>148675.94</v>
          </cell>
          <cell r="G8">
            <v>6771.7520641999972</v>
          </cell>
          <cell r="H8">
            <v>1304.9835749999982</v>
          </cell>
          <cell r="I8">
            <v>1979.9699999999962</v>
          </cell>
          <cell r="J8">
            <v>-0.06</v>
          </cell>
          <cell r="K8">
            <v>10056.645639199991</v>
          </cell>
          <cell r="L8">
            <v>6.7641351927681614E-2</v>
          </cell>
          <cell r="M8">
            <v>0.1381</v>
          </cell>
          <cell r="N8">
            <v>0.13837584442230755</v>
          </cell>
          <cell r="O8">
            <v>0.10512879746427922</v>
          </cell>
          <cell r="P8">
            <v>10056.645639199993</v>
          </cell>
          <cell r="Q8">
            <v>9125.4656391999924</v>
          </cell>
          <cell r="R8"/>
          <cell r="S8"/>
        </row>
        <row r="9">
          <cell r="A9">
            <v>29</v>
          </cell>
          <cell r="B9" t="str">
            <v>Tesorería</v>
          </cell>
          <cell r="C9" t="str">
            <v>29-mar-22</v>
          </cell>
          <cell r="D9" t="str">
            <v>UVR-23</v>
          </cell>
          <cell r="E9">
            <v>352572.56303720002</v>
          </cell>
          <cell r="F9">
            <v>352572.41399999999</v>
          </cell>
          <cell r="G9">
            <v>6915.9149626299741</v>
          </cell>
          <cell r="H9">
            <v>21226.439875</v>
          </cell>
          <cell r="I9">
            <v>-11023.698618900016</v>
          </cell>
          <cell r="J9">
            <v>-0.14903720001220702</v>
          </cell>
          <cell r="K9">
            <v>17118.507181529945</v>
          </cell>
          <cell r="L9">
            <v>4.8553146149729658E-2</v>
          </cell>
          <cell r="M9">
            <v>0.1381</v>
          </cell>
          <cell r="N9">
            <v>0.13837584442230755</v>
          </cell>
          <cell r="O9">
            <v>0.11624259391794581</v>
          </cell>
          <cell r="P9">
            <v>17118.507181529945</v>
          </cell>
          <cell r="Q9"/>
          <cell r="R9">
            <v>17118.507181529945</v>
          </cell>
          <cell r="S9"/>
        </row>
        <row r="10">
          <cell r="A10">
            <v>30</v>
          </cell>
          <cell r="B10" t="str">
            <v>Tesorería</v>
          </cell>
          <cell r="C10" t="str">
            <v>30-mar-22</v>
          </cell>
          <cell r="D10" t="str">
            <v>UVR-23</v>
          </cell>
          <cell r="E10">
            <v>442473.88438159996</v>
          </cell>
          <cell r="F10">
            <v>442473.837</v>
          </cell>
          <cell r="G10">
            <v>8601.3616406499641</v>
          </cell>
          <cell r="H10">
            <v>26803.980942499998</v>
          </cell>
          <cell r="I10">
            <v>-14047.627016400009</v>
          </cell>
          <cell r="J10">
            <v>-4.7381599975585935E-2</v>
          </cell>
          <cell r="K10">
            <v>21357.668185149978</v>
          </cell>
          <cell r="L10">
            <v>4.8268765545336954E-2</v>
          </cell>
          <cell r="M10">
            <v>0.1381</v>
          </cell>
          <cell r="N10">
            <v>0.13837584442230755</v>
          </cell>
          <cell r="O10">
            <v>0.1160685911984736</v>
          </cell>
          <cell r="P10">
            <v>21357.668185149978</v>
          </cell>
          <cell r="Q10"/>
          <cell r="R10">
            <v>21357.668185149978</v>
          </cell>
          <cell r="S10"/>
        </row>
        <row r="11">
          <cell r="A11">
            <v>31</v>
          </cell>
          <cell r="B11" t="str">
            <v>Tesorería</v>
          </cell>
          <cell r="C11" t="str">
            <v>31-mar-22</v>
          </cell>
          <cell r="D11" t="str">
            <v>COP-22</v>
          </cell>
          <cell r="E11">
            <v>535084.80000000005</v>
          </cell>
          <cell r="F11">
            <v>535084.71339359996</v>
          </cell>
          <cell r="G11">
            <v>25908.46578247986</v>
          </cell>
          <cell r="H11">
            <v>-5082.1500032040021</v>
          </cell>
          <cell r="I11">
            <v>17019.446451000047</v>
          </cell>
          <cell r="J11">
            <v>-8.6606400024414068E-2</v>
          </cell>
          <cell r="K11">
            <v>37845.675623875875</v>
          </cell>
          <cell r="L11">
            <v>7.0728369828251286E-2</v>
          </cell>
          <cell r="M11">
            <v>0.1381</v>
          </cell>
          <cell r="N11">
            <v>0.13837584442230755</v>
          </cell>
          <cell r="O11">
            <v>0.11648657220723196</v>
          </cell>
          <cell r="P11">
            <v>37845.675623875883</v>
          </cell>
          <cell r="Q11">
            <v>29847.570041275871</v>
          </cell>
          <cell r="R11"/>
          <cell r="S11"/>
        </row>
        <row r="12">
          <cell r="A12">
            <v>32</v>
          </cell>
          <cell r="B12" t="str">
            <v>Tesorería</v>
          </cell>
          <cell r="C12" t="str">
            <v>1-abr-22</v>
          </cell>
          <cell r="D12" t="str">
            <v>UVR-23</v>
          </cell>
          <cell r="E12">
            <v>696763.904583</v>
          </cell>
          <cell r="F12">
            <v>696763.67200000002</v>
          </cell>
          <cell r="G12">
            <v>19530.61185671997</v>
          </cell>
          <cell r="H12">
            <v>42101.571532499998</v>
          </cell>
          <cell r="I12">
            <v>-22181.434597674652</v>
          </cell>
          <cell r="J12">
            <v>-0.23258300000000001</v>
          </cell>
          <cell r="K12">
            <v>39450.516208545319</v>
          </cell>
          <cell r="L12">
            <v>5.6619632488218094E-2</v>
          </cell>
          <cell r="M12">
            <v>0.1381</v>
          </cell>
          <cell r="N12">
            <v>0.13837584442230755</v>
          </cell>
          <cell r="O12">
            <v>0.1160679424342928</v>
          </cell>
          <cell r="P12">
            <v>39450.516208545312</v>
          </cell>
          <cell r="Q12"/>
          <cell r="R12">
            <v>39450.516208545312</v>
          </cell>
          <cell r="S12"/>
        </row>
        <row r="13">
          <cell r="A13">
            <v>33</v>
          </cell>
          <cell r="B13" t="str">
            <v>Tesorería</v>
          </cell>
          <cell r="C13" t="str">
            <v>4-abr-22</v>
          </cell>
          <cell r="D13" t="str">
            <v>UVR-23</v>
          </cell>
          <cell r="E13">
            <v>420584.78212040005</v>
          </cell>
          <cell r="F13">
            <v>420584.59850000002</v>
          </cell>
          <cell r="G13">
            <v>16723.502896809998</v>
          </cell>
          <cell r="H13">
            <v>19656.25</v>
          </cell>
          <cell r="I13">
            <v>-13315.369303599991</v>
          </cell>
          <cell r="J13">
            <v>-0.18362040002441407</v>
          </cell>
          <cell r="K13">
            <v>23064.199972809984</v>
          </cell>
          <cell r="L13">
            <v>5.4838408219457249E-2</v>
          </cell>
          <cell r="M13">
            <v>0.1381</v>
          </cell>
          <cell r="N13">
            <v>0.13837584442230755</v>
          </cell>
          <cell r="O13">
            <v>0.11477470149202057</v>
          </cell>
          <cell r="P13">
            <v>23064.19997280998</v>
          </cell>
          <cell r="Q13"/>
          <cell r="R13">
            <v>23064.19997280998</v>
          </cell>
          <cell r="S13"/>
        </row>
        <row r="14">
          <cell r="A14">
            <v>34</v>
          </cell>
          <cell r="B14" t="str">
            <v>Tesorería</v>
          </cell>
          <cell r="C14" t="str">
            <v>5-abr-22</v>
          </cell>
          <cell r="D14" t="str">
            <v>UVR-23</v>
          </cell>
          <cell r="E14">
            <v>398457.73877499998</v>
          </cell>
          <cell r="F14">
            <v>398457.50624999998</v>
          </cell>
          <cell r="G14">
            <v>16212.772480229951</v>
          </cell>
          <cell r="H14">
            <v>18500</v>
          </cell>
          <cell r="I14">
            <v>-13497.412695000046</v>
          </cell>
          <cell r="J14">
            <v>-0.23252500000000001</v>
          </cell>
          <cell r="K14">
            <v>21215.127260229903</v>
          </cell>
          <cell r="L14">
            <v>5.3243105091778889E-2</v>
          </cell>
          <cell r="M14">
            <v>0.1381</v>
          </cell>
          <cell r="N14">
            <v>0.1457181745715348</v>
          </cell>
          <cell r="O14">
            <v>0.11650782101983229</v>
          </cell>
          <cell r="P14">
            <v>21215.127260229903</v>
          </cell>
          <cell r="Q14"/>
          <cell r="R14">
            <v>21215.127260229903</v>
          </cell>
          <cell r="S14"/>
        </row>
        <row r="15">
          <cell r="A15">
            <v>35</v>
          </cell>
          <cell r="B15" t="str">
            <v>Tesorería</v>
          </cell>
          <cell r="C15" t="str">
            <v>6-abr-22</v>
          </cell>
          <cell r="D15" t="str">
            <v>UVR-23</v>
          </cell>
          <cell r="E15">
            <v>288863.32595099998</v>
          </cell>
          <cell r="F15">
            <v>288863.10399999999</v>
          </cell>
          <cell r="G15">
            <v>13119.61455173001</v>
          </cell>
          <cell r="H15">
            <v>13412.5</v>
          </cell>
          <cell r="I15">
            <v>-9748.1588235865638</v>
          </cell>
          <cell r="J15">
            <v>-0.22195100000000001</v>
          </cell>
          <cell r="K15">
            <v>16783.733777143447</v>
          </cell>
          <cell r="L15">
            <v>5.8102681335153221E-2</v>
          </cell>
          <cell r="M15">
            <v>0.1381</v>
          </cell>
          <cell r="N15">
            <v>0.1457181745715348</v>
          </cell>
          <cell r="O15">
            <v>0.11995638483875824</v>
          </cell>
          <cell r="P15">
            <v>16783.733777143447</v>
          </cell>
          <cell r="Q15"/>
          <cell r="R15">
            <v>16783.733777143447</v>
          </cell>
          <cell r="S15"/>
        </row>
        <row r="16">
          <cell r="A16">
            <v>36</v>
          </cell>
          <cell r="B16" t="str">
            <v>Tesorería</v>
          </cell>
          <cell r="C16" t="str">
            <v>7-abr-22</v>
          </cell>
          <cell r="D16" t="str">
            <v>UVR-23</v>
          </cell>
          <cell r="E16">
            <v>187960.1677736</v>
          </cell>
          <cell r="F16">
            <v>187960.07199999999</v>
          </cell>
          <cell r="G16">
            <v>7530.2690830512083</v>
          </cell>
          <cell r="H16">
            <v>8787.5</v>
          </cell>
          <cell r="I16">
            <v>-6362.1962474999928</v>
          </cell>
          <cell r="J16">
            <v>-9.5773600006103521E-2</v>
          </cell>
          <cell r="K16">
            <v>9955.4770619512092</v>
          </cell>
          <cell r="L16">
            <v>5.2965887293432753E-2</v>
          </cell>
          <cell r="M16">
            <v>0.1381</v>
          </cell>
          <cell r="N16">
            <v>0.1457181745715348</v>
          </cell>
          <cell r="O16">
            <v>0.12032398958276594</v>
          </cell>
          <cell r="P16">
            <v>9955.4770619512092</v>
          </cell>
          <cell r="Q16"/>
          <cell r="R16">
            <v>9955.4770619512092</v>
          </cell>
          <cell r="S16"/>
        </row>
        <row r="17">
          <cell r="A17">
            <v>37</v>
          </cell>
          <cell r="B17" t="str">
            <v>Tesorería</v>
          </cell>
          <cell r="C17" t="str">
            <v>8-abr-22</v>
          </cell>
          <cell r="D17" t="str">
            <v>UVR-23</v>
          </cell>
          <cell r="E17">
            <v>156007.45136499999</v>
          </cell>
          <cell r="F17">
            <v>156007.17600000001</v>
          </cell>
          <cell r="G17">
            <v>7373.1114255392758</v>
          </cell>
          <cell r="H17">
            <v>7215</v>
          </cell>
          <cell r="I17">
            <v>-5203.5956411866455</v>
          </cell>
          <cell r="J17">
            <v>-0.27536500000000003</v>
          </cell>
          <cell r="K17">
            <v>9384.2404193526309</v>
          </cell>
          <cell r="L17">
            <v>6.0152514109066267E-2</v>
          </cell>
          <cell r="M17">
            <v>0.1381</v>
          </cell>
          <cell r="N17">
            <v>0.1457181745715348</v>
          </cell>
          <cell r="O17">
            <v>0.12139354823504429</v>
          </cell>
          <cell r="P17">
            <v>9384.240419352629</v>
          </cell>
          <cell r="Q17"/>
          <cell r="R17">
            <v>9384.240419352629</v>
          </cell>
          <cell r="S17"/>
        </row>
        <row r="18">
          <cell r="A18">
            <v>38</v>
          </cell>
          <cell r="B18" t="str">
            <v>Tesorería</v>
          </cell>
          <cell r="C18" t="str">
            <v>19-abr-22</v>
          </cell>
          <cell r="D18" t="str">
            <v>UVR-23</v>
          </cell>
          <cell r="E18">
            <v>470189.63195040001</v>
          </cell>
          <cell r="F18">
            <v>470189.34399999998</v>
          </cell>
          <cell r="G18">
            <v>22400.928182399995</v>
          </cell>
          <cell r="H18">
            <v>21737.5</v>
          </cell>
          <cell r="I18">
            <v>-15011.34747840001</v>
          </cell>
          <cell r="J18">
            <v>-0.28795040002441408</v>
          </cell>
          <cell r="K18">
            <v>29126.792753599959</v>
          </cell>
          <cell r="L18">
            <v>6.194690561928963E-2</v>
          </cell>
          <cell r="M18">
            <v>0.1381</v>
          </cell>
          <cell r="N18">
            <v>0.14403992768028284</v>
          </cell>
          <cell r="O18">
            <v>0.12229208971834019</v>
          </cell>
          <cell r="P18">
            <v>29126.792753599959</v>
          </cell>
          <cell r="Q18"/>
          <cell r="R18">
            <v>29126.792753599959</v>
          </cell>
          <cell r="S18"/>
        </row>
        <row r="19">
          <cell r="A19">
            <v>39</v>
          </cell>
          <cell r="B19" t="str">
            <v>Mercado</v>
          </cell>
          <cell r="C19" t="str">
            <v>16-may-22</v>
          </cell>
          <cell r="D19" t="str">
            <v>UVR-23</v>
          </cell>
          <cell r="E19">
            <v>2573927.9221506002</v>
          </cell>
          <cell r="F19">
            <v>2573927.3219506</v>
          </cell>
          <cell r="G19">
            <v>131728.90984181006</v>
          </cell>
          <cell r="H19">
            <v>22824.633999999998</v>
          </cell>
          <cell r="I19">
            <v>-13813.600800000366</v>
          </cell>
          <cell r="J19">
            <v>-0.60020000012207031</v>
          </cell>
          <cell r="K19">
            <v>140739.34284180956</v>
          </cell>
          <cell r="L19">
            <v>5.4678820502563751E-2</v>
          </cell>
          <cell r="M19">
            <v>0.1381</v>
          </cell>
          <cell r="N19">
            <v>0.14403992768028284</v>
          </cell>
          <cell r="O19">
            <v>0.12991028582779535</v>
          </cell>
          <cell r="P19">
            <v>140739.34284180956</v>
          </cell>
          <cell r="Q19"/>
          <cell r="R19">
            <v>140739.34284180956</v>
          </cell>
          <cell r="S19"/>
        </row>
        <row r="20">
          <cell r="A20">
            <v>40</v>
          </cell>
          <cell r="B20" t="str">
            <v>Tesorería</v>
          </cell>
          <cell r="C20" t="str">
            <v>17-may-22</v>
          </cell>
          <cell r="D20" t="str">
            <v>UVR-23</v>
          </cell>
          <cell r="E20">
            <v>84398.209747899993</v>
          </cell>
          <cell r="F20">
            <v>84397.920499999993</v>
          </cell>
          <cell r="G20">
            <v>5696.7827415900056</v>
          </cell>
          <cell r="H20">
            <v>1650</v>
          </cell>
          <cell r="I20">
            <v>-1226.0759048999939</v>
          </cell>
          <cell r="J20">
            <v>-0.28924789999294281</v>
          </cell>
          <cell r="K20">
            <v>6120.4175887900192</v>
          </cell>
          <cell r="L20">
            <v>7.2518334299647963E-2</v>
          </cell>
          <cell r="M20">
            <v>0.1381</v>
          </cell>
          <cell r="N20">
            <v>0.14403992768028284</v>
          </cell>
          <cell r="O20">
            <v>0.14056803105459015</v>
          </cell>
          <cell r="P20">
            <v>6120.4175887900183</v>
          </cell>
          <cell r="Q20"/>
          <cell r="R20">
            <v>6120.4175887900183</v>
          </cell>
          <cell r="S20"/>
        </row>
        <row r="21">
          <cell r="A21">
            <v>41</v>
          </cell>
          <cell r="B21" t="str">
            <v>Tesorería</v>
          </cell>
          <cell r="C21" t="str">
            <v>18-may-22</v>
          </cell>
          <cell r="D21" t="str">
            <v>UVR-23</v>
          </cell>
          <cell r="E21">
            <v>226818.7422564</v>
          </cell>
          <cell r="F21">
            <v>226818.5815</v>
          </cell>
          <cell r="G21">
            <v>16108.434957429999</v>
          </cell>
          <cell r="H21">
            <v>5250</v>
          </cell>
          <cell r="I21">
            <v>-3883.5453539999999</v>
          </cell>
          <cell r="J21">
            <v>-0.16075639999389649</v>
          </cell>
          <cell r="K21">
            <v>17474.728847030008</v>
          </cell>
          <cell r="L21">
            <v>7.7042702349862519E-2</v>
          </cell>
          <cell r="M21">
            <v>0.1381</v>
          </cell>
          <cell r="N21">
            <v>0.14403992768028284</v>
          </cell>
          <cell r="O21">
            <v>0.13443742720373181</v>
          </cell>
          <cell r="P21">
            <v>17474.728847030005</v>
          </cell>
          <cell r="Q21"/>
          <cell r="R21">
            <v>17474.728847030005</v>
          </cell>
          <cell r="S21"/>
        </row>
        <row r="22">
          <cell r="A22">
            <v>42</v>
          </cell>
          <cell r="B22" t="str">
            <v>Tesorería</v>
          </cell>
          <cell r="C22" t="str">
            <v>19-may-22</v>
          </cell>
          <cell r="D22" t="str">
            <v>UVR-23</v>
          </cell>
          <cell r="E22">
            <v>74832.457850999999</v>
          </cell>
          <cell r="F22">
            <v>74832.356</v>
          </cell>
          <cell r="G22">
            <v>5019.4260924999999</v>
          </cell>
          <cell r="H22">
            <v>1500</v>
          </cell>
          <cell r="I22">
            <v>-1104.5665889999923</v>
          </cell>
          <cell r="J22">
            <v>-0.1018510000038147</v>
          </cell>
          <cell r="K22">
            <v>5414.757652500004</v>
          </cell>
          <cell r="L22">
            <v>7.2358409813044061E-2</v>
          </cell>
          <cell r="M22">
            <v>0.1381</v>
          </cell>
          <cell r="N22">
            <v>0.14403992768028284</v>
          </cell>
          <cell r="O22">
            <v>0.1336395532156949</v>
          </cell>
          <cell r="P22">
            <v>5414.7576525000031</v>
          </cell>
          <cell r="Q22"/>
          <cell r="R22">
            <v>5414.7576525000031</v>
          </cell>
          <cell r="S22"/>
        </row>
        <row r="23">
          <cell r="A23">
            <v>43</v>
          </cell>
          <cell r="B23" t="str">
            <v>Tesorería</v>
          </cell>
          <cell r="C23" t="str">
            <v>23-may-22</v>
          </cell>
          <cell r="D23" t="str">
            <v>UVR-23</v>
          </cell>
          <cell r="E23">
            <v>416047.67885940004</v>
          </cell>
          <cell r="F23">
            <v>416047.49650000001</v>
          </cell>
          <cell r="G23">
            <v>30299.736494220033</v>
          </cell>
          <cell r="H23">
            <v>6375</v>
          </cell>
          <cell r="I23">
            <v>-4609.0939356000063</v>
          </cell>
          <cell r="J23">
            <v>-0.18235940002441406</v>
          </cell>
          <cell r="K23">
            <v>32065.460199220001</v>
          </cell>
          <cell r="L23">
            <v>7.7071599791465883E-2</v>
          </cell>
          <cell r="M23">
            <v>0.1381</v>
          </cell>
          <cell r="N23">
            <v>0.14403992768028284</v>
          </cell>
          <cell r="O23">
            <v>0.14435077991247611</v>
          </cell>
          <cell r="P23">
            <v>32065.460199220008</v>
          </cell>
          <cell r="Q23"/>
          <cell r="R23">
            <v>32065.460199220008</v>
          </cell>
          <cell r="S23"/>
        </row>
        <row r="24">
          <cell r="A24">
            <v>44</v>
          </cell>
          <cell r="B24" t="str">
            <v>Tesorería</v>
          </cell>
          <cell r="C24" t="str">
            <v>24-may-22</v>
          </cell>
          <cell r="D24" t="str">
            <v>UVR-23</v>
          </cell>
          <cell r="E24">
            <v>295871.49976959999</v>
          </cell>
          <cell r="F24">
            <v>295871.39199999999</v>
          </cell>
          <cell r="G24">
            <v>20696.929685760009</v>
          </cell>
          <cell r="H24">
            <v>3075</v>
          </cell>
          <cell r="I24">
            <v>-2212.9311281000059</v>
          </cell>
          <cell r="J24">
            <v>-0.10776959997558594</v>
          </cell>
          <cell r="K24">
            <v>21558.890788060027</v>
          </cell>
          <cell r="L24">
            <v>7.2865723142811284E-2</v>
          </cell>
          <cell r="M24">
            <v>0.1381</v>
          </cell>
          <cell r="N24">
            <v>0.14403992768028284</v>
          </cell>
          <cell r="O24">
            <v>0.14628818244925351</v>
          </cell>
          <cell r="P24">
            <v>21558.890788060031</v>
          </cell>
          <cell r="Q24"/>
          <cell r="R24">
            <v>21558.890788060031</v>
          </cell>
          <cell r="S24"/>
        </row>
        <row r="25">
          <cell r="A25">
            <v>45</v>
          </cell>
          <cell r="B25" t="str">
            <v>Tesorería</v>
          </cell>
          <cell r="C25" t="str">
            <v>25-may-22</v>
          </cell>
          <cell r="D25" t="str">
            <v>UVR-23</v>
          </cell>
          <cell r="E25">
            <v>194669.98661250001</v>
          </cell>
          <cell r="F25">
            <v>194669.78750000001</v>
          </cell>
          <cell r="G25">
            <v>14043.939834010011</v>
          </cell>
          <cell r="H25">
            <v>5325</v>
          </cell>
          <cell r="I25">
            <v>-3814.3388205000001</v>
          </cell>
          <cell r="J25">
            <v>-0.1991125</v>
          </cell>
          <cell r="K25">
            <v>15554.401901010009</v>
          </cell>
          <cell r="L25">
            <v>7.990138681198862E-2</v>
          </cell>
          <cell r="M25">
            <v>0.1381</v>
          </cell>
          <cell r="N25">
            <v>0.14403992768028284</v>
          </cell>
          <cell r="O25">
            <v>0.13859309305958092</v>
          </cell>
          <cell r="P25">
            <v>15554.401901010007</v>
          </cell>
          <cell r="Q25"/>
          <cell r="R25">
            <v>15554.401901010007</v>
          </cell>
          <cell r="S25"/>
        </row>
        <row r="26">
          <cell r="A26">
            <v>46</v>
          </cell>
          <cell r="B26" t="str">
            <v>Tesorería</v>
          </cell>
          <cell r="C26" t="str">
            <v>26-may-22</v>
          </cell>
          <cell r="D26" t="str">
            <v>UVR-23</v>
          </cell>
          <cell r="E26">
            <v>1042395.4778479</v>
          </cell>
          <cell r="F26">
            <v>1042395.19625</v>
          </cell>
          <cell r="G26">
            <v>69571.517121210025</v>
          </cell>
          <cell r="H26">
            <v>8587.5</v>
          </cell>
          <cell r="I26">
            <v>-6122.6260708000491</v>
          </cell>
          <cell r="J26">
            <v>-0.28159790002441404</v>
          </cell>
          <cell r="K26">
            <v>72036.109452509947</v>
          </cell>
          <cell r="L26">
            <v>6.9106314238079433E-2</v>
          </cell>
          <cell r="M26">
            <v>0.1381</v>
          </cell>
          <cell r="N26">
            <v>0.14403992768028284</v>
          </cell>
          <cell r="O26">
            <v>0.14818497031522815</v>
          </cell>
          <cell r="P26">
            <v>72036.109452509947</v>
          </cell>
          <cell r="Q26"/>
          <cell r="R26">
            <v>72036.109452509947</v>
          </cell>
          <cell r="S26"/>
        </row>
        <row r="27">
          <cell r="A27">
            <v>47</v>
          </cell>
          <cell r="B27" t="str">
            <v>Tesorería</v>
          </cell>
          <cell r="C27" t="str">
            <v>27-may-22</v>
          </cell>
          <cell r="D27" t="str">
            <v>UVR-23</v>
          </cell>
          <cell r="E27">
            <v>514087.85628759995</v>
          </cell>
          <cell r="F27">
            <v>514087.62825000001</v>
          </cell>
          <cell r="G27">
            <v>34888.320469389982</v>
          </cell>
          <cell r="H27">
            <v>2400</v>
          </cell>
          <cell r="I27">
            <v>-1703.1092663999634</v>
          </cell>
          <cell r="J27">
            <v>-0.22803759997558593</v>
          </cell>
          <cell r="K27">
            <v>35584.983165390047</v>
          </cell>
          <cell r="L27">
            <v>6.9219653275533657E-2</v>
          </cell>
          <cell r="M27">
            <v>0.1381</v>
          </cell>
          <cell r="N27">
            <v>0.14403992768028284</v>
          </cell>
          <cell r="O27">
            <v>0.15107627558971276</v>
          </cell>
          <cell r="P27">
            <v>35584.98316539004</v>
          </cell>
          <cell r="Q27"/>
          <cell r="R27">
            <v>35584.98316539004</v>
          </cell>
          <cell r="S27"/>
        </row>
        <row r="28">
          <cell r="A28">
            <v>48</v>
          </cell>
          <cell r="B28" t="str">
            <v>Tesorería</v>
          </cell>
          <cell r="C28" t="str">
            <v>31-may-22</v>
          </cell>
          <cell r="D28" t="str">
            <v>UVR-23</v>
          </cell>
          <cell r="E28">
            <v>530052.90310500003</v>
          </cell>
          <cell r="F28">
            <v>530052.79</v>
          </cell>
          <cell r="G28">
            <v>39061.238992149934</v>
          </cell>
          <cell r="H28">
            <v>1875</v>
          </cell>
          <cell r="I28">
            <v>-1305.5095349999999</v>
          </cell>
          <cell r="J28">
            <v>-0.113105</v>
          </cell>
          <cell r="K28">
            <v>39630.616352149933</v>
          </cell>
          <cell r="L28">
            <v>7.4767284774779105E-2</v>
          </cell>
          <cell r="M28">
            <v>0.1381</v>
          </cell>
          <cell r="N28">
            <v>0.14403992768028284</v>
          </cell>
          <cell r="O28">
            <v>0.14926675617402888</v>
          </cell>
          <cell r="P28">
            <v>39630.61635214994</v>
          </cell>
          <cell r="Q28"/>
          <cell r="R28">
            <v>39630.61635214994</v>
          </cell>
          <cell r="S28"/>
        </row>
        <row r="29">
          <cell r="A29">
            <v>49</v>
          </cell>
          <cell r="B29" t="str">
            <v>Tesorería</v>
          </cell>
          <cell r="C29" t="str">
            <v>1-jun-22</v>
          </cell>
          <cell r="D29" t="str">
            <v>UVR-23</v>
          </cell>
          <cell r="E29">
            <v>210356.43762700001</v>
          </cell>
          <cell r="F29">
            <v>210356.26199999999</v>
          </cell>
          <cell r="G29">
            <v>12862.355982379999</v>
          </cell>
          <cell r="H29">
            <v>3375</v>
          </cell>
          <cell r="I29">
            <v>-2338.6577840104064</v>
          </cell>
          <cell r="J29">
            <v>-0.17562700000000001</v>
          </cell>
          <cell r="K29">
            <v>13898.522571369593</v>
          </cell>
          <cell r="L29">
            <v>6.6071296548642772E-2</v>
          </cell>
          <cell r="M29">
            <v>0.1381</v>
          </cell>
          <cell r="N29">
            <v>0.14403992768028284</v>
          </cell>
          <cell r="O29">
            <v>0.143217359248347</v>
          </cell>
          <cell r="P29">
            <v>13898.522571369591</v>
          </cell>
          <cell r="Q29"/>
          <cell r="R29">
            <v>13898.522571369591</v>
          </cell>
          <cell r="S29"/>
        </row>
        <row r="30">
          <cell r="A30">
            <v>50</v>
          </cell>
          <cell r="B30" t="str">
            <v>Tesorería</v>
          </cell>
          <cell r="C30" t="str">
            <v>2-jun-22</v>
          </cell>
          <cell r="D30" t="str">
            <v>UVR-23</v>
          </cell>
          <cell r="E30">
            <v>224480.81034400003</v>
          </cell>
          <cell r="F30">
            <v>224480.61499999999</v>
          </cell>
          <cell r="G30">
            <v>15955.7607785</v>
          </cell>
          <cell r="H30">
            <v>1500</v>
          </cell>
          <cell r="I30">
            <v>-1034.4100143999785</v>
          </cell>
          <cell r="J30">
            <v>-0.19534400003051758</v>
          </cell>
          <cell r="K30">
            <v>16421.155420099993</v>
          </cell>
          <cell r="L30">
            <v>7.3151711252894186E-2</v>
          </cell>
          <cell r="M30">
            <v>0.1381</v>
          </cell>
          <cell r="N30">
            <v>0.14403992768028284</v>
          </cell>
          <cell r="O30">
            <v>0.15059561868222632</v>
          </cell>
          <cell r="P30">
            <v>16421.155420099993</v>
          </cell>
          <cell r="Q30"/>
          <cell r="R30">
            <v>16421.155420099993</v>
          </cell>
          <cell r="S30"/>
        </row>
        <row r="31">
          <cell r="A31">
            <v>51</v>
          </cell>
          <cell r="B31" t="str">
            <v>Tesorería</v>
          </cell>
          <cell r="C31" t="str">
            <v>3-jun-22</v>
          </cell>
          <cell r="D31" t="str">
            <v>UVR-23</v>
          </cell>
          <cell r="E31">
            <v>302630.34646079998</v>
          </cell>
          <cell r="F31">
            <v>302630.03999999998</v>
          </cell>
          <cell r="G31">
            <v>24592.603696659975</v>
          </cell>
          <cell r="H31">
            <v>0</v>
          </cell>
          <cell r="I31">
            <v>-1.5773500061035155E-2</v>
          </cell>
          <cell r="J31">
            <v>-0.30646079998779296</v>
          </cell>
          <cell r="K31">
            <v>24592.281462359926</v>
          </cell>
          <cell r="L31">
            <v>8.1261782732503965E-2</v>
          </cell>
          <cell r="M31">
            <v>0.1381</v>
          </cell>
          <cell r="N31">
            <v>0.14403992768028284</v>
          </cell>
          <cell r="O31">
            <v>0.15511830671729943</v>
          </cell>
          <cell r="P31">
            <v>24592.281462359926</v>
          </cell>
          <cell r="Q31"/>
          <cell r="R31">
            <v>24592.281462359926</v>
          </cell>
          <cell r="S31"/>
        </row>
        <row r="32">
          <cell r="A32">
            <v>52</v>
          </cell>
          <cell r="B32" t="str">
            <v>Tesorería</v>
          </cell>
          <cell r="C32" t="str">
            <v>7-jun-22</v>
          </cell>
          <cell r="D32" t="str">
            <v>UVR-23</v>
          </cell>
          <cell r="E32">
            <v>405177.47495240002</v>
          </cell>
          <cell r="F32">
            <v>405177.16800000001</v>
          </cell>
          <cell r="G32">
            <v>32502.389853109977</v>
          </cell>
          <cell r="H32">
            <v>0</v>
          </cell>
          <cell r="I32">
            <v>-1.6496599975585939E-2</v>
          </cell>
          <cell r="J32">
            <v>-0.30695240002441404</v>
          </cell>
          <cell r="K32">
            <v>32502.066404109977</v>
          </cell>
          <cell r="L32">
            <v>8.0216863999975074E-2</v>
          </cell>
          <cell r="M32">
            <v>0.1381</v>
          </cell>
          <cell r="N32">
            <v>0.15033335352247734</v>
          </cell>
          <cell r="O32">
            <v>0.15987889300000013</v>
          </cell>
          <cell r="P32">
            <v>32502.066404109977</v>
          </cell>
          <cell r="Q32"/>
          <cell r="R32">
            <v>32502.066404109977</v>
          </cell>
          <cell r="S32"/>
        </row>
        <row r="33">
          <cell r="A33">
            <v>53</v>
          </cell>
          <cell r="B33" t="str">
            <v>Tesorería</v>
          </cell>
          <cell r="C33" t="str">
            <v>8-jun-22</v>
          </cell>
          <cell r="D33" t="str">
            <v>UVR-23</v>
          </cell>
          <cell r="E33">
            <v>198066.70375399999</v>
          </cell>
          <cell r="F33">
            <v>198063.633</v>
          </cell>
          <cell r="G33">
            <v>17260.182213839988</v>
          </cell>
          <cell r="H33">
            <v>0</v>
          </cell>
          <cell r="I33">
            <v>-0.164214</v>
          </cell>
          <cell r="J33">
            <v>-3.070754</v>
          </cell>
          <cell r="K33">
            <v>17256.947245839991</v>
          </cell>
          <cell r="L33">
            <v>8.7126947229218404E-2</v>
          </cell>
          <cell r="M33">
            <v>0.1381</v>
          </cell>
          <cell r="N33">
            <v>0.15033335352247734</v>
          </cell>
          <cell r="O33">
            <v>0.16110502524031012</v>
          </cell>
          <cell r="P33">
            <v>17256.947245839987</v>
          </cell>
          <cell r="Q33"/>
          <cell r="R33">
            <v>17256.947245839987</v>
          </cell>
          <cell r="S33"/>
        </row>
        <row r="34">
          <cell r="A34">
            <v>54</v>
          </cell>
          <cell r="B34" t="str">
            <v>Tesorería</v>
          </cell>
          <cell r="C34" t="str">
            <v>9-jun-22</v>
          </cell>
          <cell r="D34" t="str">
            <v>UVR-23</v>
          </cell>
          <cell r="E34">
            <v>336151.0370295</v>
          </cell>
          <cell r="F34">
            <v>336150.82250000001</v>
          </cell>
          <cell r="G34">
            <v>32004.286024949983</v>
          </cell>
          <cell r="H34">
            <v>7125</v>
          </cell>
          <cell r="I34">
            <v>-5054.9823867000423</v>
          </cell>
          <cell r="J34">
            <v>-0.21452950000000001</v>
          </cell>
          <cell r="K34">
            <v>34074.08910874994</v>
          </cell>
          <cell r="L34">
            <v>0.10136541421932208</v>
          </cell>
          <cell r="M34">
            <v>0.1381</v>
          </cell>
          <cell r="N34">
            <v>0.15033335352247734</v>
          </cell>
          <cell r="O34">
            <v>0.14244519812849382</v>
          </cell>
          <cell r="P34">
            <v>34074.089108749933</v>
          </cell>
          <cell r="Q34"/>
          <cell r="R34">
            <v>34074.089108749933</v>
          </cell>
          <cell r="S34"/>
        </row>
        <row r="35">
          <cell r="A35">
            <v>55</v>
          </cell>
          <cell r="B35" t="str">
            <v>Tesorería</v>
          </cell>
          <cell r="C35" t="str">
            <v>5-jul-22</v>
          </cell>
          <cell r="D35" t="str">
            <v>UVR-23</v>
          </cell>
          <cell r="E35">
            <v>283469.57652</v>
          </cell>
          <cell r="F35">
            <v>283469.5</v>
          </cell>
          <cell r="G35">
            <v>27000.051975080016</v>
          </cell>
          <cell r="H35">
            <v>0</v>
          </cell>
          <cell r="I35">
            <v>-1367.2801042000121</v>
          </cell>
          <cell r="J35">
            <v>-7.6520000000000005E-2</v>
          </cell>
          <cell r="K35">
            <v>25632.695350880003</v>
          </cell>
          <cell r="L35">
            <v>9.0424854989937534E-2</v>
          </cell>
          <cell r="M35">
            <v>0.1381</v>
          </cell>
          <cell r="N35">
            <v>0.15599743678045264</v>
          </cell>
          <cell r="O35">
            <v>0.15531182254454093</v>
          </cell>
          <cell r="P35">
            <v>25632.695350880003</v>
          </cell>
          <cell r="Q35"/>
          <cell r="R35">
            <v>25632.695350880003</v>
          </cell>
          <cell r="S35"/>
        </row>
        <row r="36">
          <cell r="A36">
            <v>56</v>
          </cell>
          <cell r="B36" t="str">
            <v>Tesorería</v>
          </cell>
          <cell r="C36" t="str">
            <v>7-jul-22</v>
          </cell>
          <cell r="D36" t="str">
            <v>UVR-23</v>
          </cell>
          <cell r="E36">
            <v>135482.4474528</v>
          </cell>
          <cell r="F36">
            <v>135482.28400000001</v>
          </cell>
          <cell r="G36">
            <v>13556.70168512999</v>
          </cell>
          <cell r="H36">
            <v>0</v>
          </cell>
          <cell r="I36">
            <v>-482.73599400000001</v>
          </cell>
          <cell r="J36">
            <v>-0.16345280000305176</v>
          </cell>
          <cell r="K36">
            <v>13073.802238329987</v>
          </cell>
          <cell r="L36">
            <v>9.649812565487273E-2</v>
          </cell>
          <cell r="M36">
            <v>0.1381</v>
          </cell>
          <cell r="N36">
            <v>0.15599743678045264</v>
          </cell>
          <cell r="O36">
            <v>0.15905153746598941</v>
          </cell>
          <cell r="P36">
            <v>13073.802238329987</v>
          </cell>
          <cell r="Q36"/>
          <cell r="R36">
            <v>13073.802238329987</v>
          </cell>
          <cell r="S36"/>
        </row>
        <row r="37">
          <cell r="A37">
            <v>57</v>
          </cell>
          <cell r="B37" t="str">
            <v>Tesorería</v>
          </cell>
          <cell r="C37" t="str">
            <v>7-sep-22</v>
          </cell>
          <cell r="D37" t="str">
            <v>UVR-23</v>
          </cell>
          <cell r="E37">
            <v>106754.227982</v>
          </cell>
          <cell r="F37">
            <v>106753.914</v>
          </cell>
          <cell r="G37">
            <v>12700.841325809997</v>
          </cell>
          <cell r="H37">
            <v>0</v>
          </cell>
          <cell r="I37">
            <v>-1.0900196533203125E-2</v>
          </cell>
          <cell r="J37">
            <v>-0.31398199999999998</v>
          </cell>
          <cell r="K37">
            <v>12700.516443613464</v>
          </cell>
          <cell r="L37">
            <v>0.11896968095497742</v>
          </cell>
          <cell r="M37">
            <v>0.1381</v>
          </cell>
          <cell r="N37">
            <v>0.16889895975695168</v>
          </cell>
          <cell r="O37">
            <v>0.14815785000000004</v>
          </cell>
          <cell r="P37">
            <v>12700.516443613464</v>
          </cell>
          <cell r="Q37"/>
          <cell r="R37">
            <v>12700.516443613464</v>
          </cell>
          <cell r="S37"/>
        </row>
        <row r="38">
          <cell r="A38">
            <v>58</v>
          </cell>
          <cell r="B38" t="str">
            <v>Tesorería</v>
          </cell>
          <cell r="C38" t="str">
            <v>8-sep-22</v>
          </cell>
          <cell r="D38" t="str">
            <v>UVR-23</v>
          </cell>
          <cell r="E38">
            <v>51820.527000000002</v>
          </cell>
          <cell r="F38">
            <v>51820.527000000002</v>
          </cell>
          <cell r="G38">
            <v>6191.5165659599988</v>
          </cell>
          <cell r="H38">
            <v>0</v>
          </cell>
          <cell r="I38">
            <v>0</v>
          </cell>
          <cell r="J38">
            <v>0</v>
          </cell>
          <cell r="K38">
            <v>6191.5165659599988</v>
          </cell>
          <cell r="L38">
            <v>0.11947999999999998</v>
          </cell>
          <cell r="M38">
            <v>0.1381</v>
          </cell>
          <cell r="N38">
            <v>0.16889895975695168</v>
          </cell>
          <cell r="O38">
            <v>0.14814700000000003</v>
          </cell>
          <cell r="P38">
            <v>6191.5165659599988</v>
          </cell>
          <cell r="Q38"/>
          <cell r="R38">
            <v>6191.5165659599988</v>
          </cell>
          <cell r="S38"/>
        </row>
        <row r="39">
          <cell r="A39">
            <v>59</v>
          </cell>
          <cell r="B39" t="str">
            <v>Tesorería</v>
          </cell>
          <cell r="C39" t="str">
            <v>9-sep-22</v>
          </cell>
          <cell r="D39" t="str">
            <v>UVR-23</v>
          </cell>
          <cell r="E39">
            <v>106809.504</v>
          </cell>
          <cell r="F39">
            <v>106809.504</v>
          </cell>
          <cell r="G39">
            <v>12894.04332287999</v>
          </cell>
          <cell r="H39">
            <v>0</v>
          </cell>
          <cell r="I39">
            <v>0</v>
          </cell>
          <cell r="J39">
            <v>0</v>
          </cell>
          <cell r="K39">
            <v>12894.04332287999</v>
          </cell>
          <cell r="L39">
            <v>0.12071999999999991</v>
          </cell>
          <cell r="M39">
            <v>0.1381</v>
          </cell>
          <cell r="N39">
            <v>0.16889895975695168</v>
          </cell>
          <cell r="O39">
            <v>0.14829890000000012</v>
          </cell>
          <cell r="P39">
            <v>12894.04332287999</v>
          </cell>
          <cell r="Q39"/>
          <cell r="R39">
            <v>12894.04332287999</v>
          </cell>
          <cell r="S39"/>
        </row>
        <row r="40">
          <cell r="A40">
            <v>60</v>
          </cell>
          <cell r="B40" t="str">
            <v>Tesorería</v>
          </cell>
          <cell r="C40" t="str">
            <v>12-sep-22</v>
          </cell>
          <cell r="D40" t="str">
            <v>UVR-23</v>
          </cell>
          <cell r="E40">
            <v>43228.748749999999</v>
          </cell>
          <cell r="F40">
            <v>43228.748749999999</v>
          </cell>
          <cell r="G40">
            <v>5302.0060341900025</v>
          </cell>
          <cell r="H40">
            <v>0</v>
          </cell>
          <cell r="I40">
            <v>0</v>
          </cell>
          <cell r="J40">
            <v>0</v>
          </cell>
          <cell r="K40">
            <v>5302.0060341900025</v>
          </cell>
          <cell r="L40">
            <v>0.12265000000005789</v>
          </cell>
          <cell r="M40">
            <v>0.1381</v>
          </cell>
          <cell r="N40">
            <v>0.16889895975695168</v>
          </cell>
          <cell r="O40">
            <v>0.14863525000000011</v>
          </cell>
          <cell r="P40">
            <v>5302.0060341900025</v>
          </cell>
          <cell r="Q40"/>
          <cell r="R40">
            <v>5302.0060341900025</v>
          </cell>
          <cell r="S40"/>
        </row>
        <row r="41">
          <cell r="A41">
            <v>61</v>
          </cell>
          <cell r="B41" t="str">
            <v>Tesorería</v>
          </cell>
          <cell r="C41" t="str">
            <v>14-sep-22</v>
          </cell>
          <cell r="D41" t="str">
            <v>UVR-23</v>
          </cell>
          <cell r="E41">
            <v>365669.72249999997</v>
          </cell>
          <cell r="F41">
            <v>365669.72249999997</v>
          </cell>
          <cell r="G41">
            <v>47734.525575150023</v>
          </cell>
          <cell r="H41">
            <v>0</v>
          </cell>
          <cell r="I41">
            <v>0</v>
          </cell>
          <cell r="J41">
            <v>0</v>
          </cell>
          <cell r="K41">
            <v>47734.525575150023</v>
          </cell>
          <cell r="L41">
            <v>0.13054000000000007</v>
          </cell>
          <cell r="M41">
            <v>0.1381</v>
          </cell>
          <cell r="N41">
            <v>0.16889895975695168</v>
          </cell>
          <cell r="O41">
            <v>0.14966600000000008</v>
          </cell>
          <cell r="P41">
            <v>47734.525575150023</v>
          </cell>
          <cell r="Q41"/>
          <cell r="R41">
            <v>47734.525575150023</v>
          </cell>
          <cell r="S41"/>
        </row>
        <row r="42">
          <cell r="A42">
            <v>62</v>
          </cell>
          <cell r="B42" t="str">
            <v>Tesorería</v>
          </cell>
          <cell r="C42" t="str">
            <v>15-sep-22</v>
          </cell>
          <cell r="D42" t="str">
            <v>UVR-23</v>
          </cell>
          <cell r="E42">
            <v>195074.63</v>
          </cell>
          <cell r="F42">
            <v>195074.63</v>
          </cell>
          <cell r="G42">
            <v>25229.001897900023</v>
          </cell>
          <cell r="H42">
            <v>0</v>
          </cell>
          <cell r="I42">
            <v>0</v>
          </cell>
          <cell r="J42">
            <v>0</v>
          </cell>
          <cell r="K42">
            <v>25229.001897900023</v>
          </cell>
          <cell r="L42">
            <v>0.12933000000000011</v>
          </cell>
          <cell r="M42">
            <v>0.1381</v>
          </cell>
          <cell r="N42">
            <v>0.16889895975695168</v>
          </cell>
          <cell r="O42">
            <v>0.14954665</v>
          </cell>
          <cell r="P42">
            <v>25229.001897900023</v>
          </cell>
          <cell r="Q42"/>
          <cell r="R42">
            <v>25229.001897900023</v>
          </cell>
          <cell r="S42"/>
        </row>
        <row r="43">
          <cell r="A43">
            <v>63</v>
          </cell>
          <cell r="B43" t="str">
            <v>Tesorería</v>
          </cell>
          <cell r="C43" t="str">
            <v>16-sep-22</v>
          </cell>
          <cell r="D43" t="str">
            <v>UVR-23</v>
          </cell>
          <cell r="E43">
            <v>29900.584999999999</v>
          </cell>
          <cell r="F43">
            <v>29900.584999999999</v>
          </cell>
          <cell r="G43">
            <v>3855.68043575</v>
          </cell>
          <cell r="H43">
            <v>0</v>
          </cell>
          <cell r="I43">
            <v>0</v>
          </cell>
          <cell r="J43">
            <v>0</v>
          </cell>
          <cell r="K43">
            <v>3855.68043575</v>
          </cell>
          <cell r="L43">
            <v>0.12895000000000001</v>
          </cell>
          <cell r="M43">
            <v>0.1381</v>
          </cell>
          <cell r="N43">
            <v>0.16889895975695168</v>
          </cell>
          <cell r="O43">
            <v>0.14944899999999994</v>
          </cell>
          <cell r="P43">
            <v>3855.68043575</v>
          </cell>
          <cell r="Q43"/>
          <cell r="R43">
            <v>3855.68043575</v>
          </cell>
          <cell r="S43"/>
        </row>
        <row r="44">
          <cell r="A44">
            <v>64</v>
          </cell>
          <cell r="B44" t="str">
            <v>Tesorería</v>
          </cell>
          <cell r="C44" t="str">
            <v>19-sep-22</v>
          </cell>
          <cell r="D44" t="str">
            <v>UVR-23</v>
          </cell>
          <cell r="E44">
            <v>141778.125</v>
          </cell>
          <cell r="F44">
            <v>141778.125</v>
          </cell>
          <cell r="G44">
            <v>17746.367906250001</v>
          </cell>
          <cell r="H44">
            <v>0</v>
          </cell>
          <cell r="I44">
            <v>0</v>
          </cell>
          <cell r="J44">
            <v>0</v>
          </cell>
          <cell r="K44">
            <v>17746.367906250001</v>
          </cell>
          <cell r="L44">
            <v>0.12517</v>
          </cell>
          <cell r="M44">
            <v>0.1381</v>
          </cell>
          <cell r="N44">
            <v>0.16889895975695168</v>
          </cell>
          <cell r="O44">
            <v>0.1490149999999999</v>
          </cell>
          <cell r="P44">
            <v>17746.367906250001</v>
          </cell>
          <cell r="Q44"/>
          <cell r="R44">
            <v>17746.367906250001</v>
          </cell>
          <cell r="S44"/>
        </row>
        <row r="45">
          <cell r="A45">
            <v>65</v>
          </cell>
          <cell r="B45" t="str">
            <v>Tesorería</v>
          </cell>
          <cell r="C45" t="str">
            <v>20-sep-22</v>
          </cell>
          <cell r="D45" t="str">
            <v>UVR-23</v>
          </cell>
          <cell r="E45">
            <v>44911.596749999997</v>
          </cell>
          <cell r="F45">
            <v>44911.596749999997</v>
          </cell>
          <cell r="G45">
            <v>5820.093822830002</v>
          </cell>
          <cell r="H45">
            <v>0</v>
          </cell>
          <cell r="I45">
            <v>0</v>
          </cell>
          <cell r="J45">
            <v>0</v>
          </cell>
          <cell r="K45">
            <v>5820.093822830002</v>
          </cell>
          <cell r="L45">
            <v>0.12958999999994439</v>
          </cell>
          <cell r="M45">
            <v>0.1381</v>
          </cell>
          <cell r="N45">
            <v>0.16889895975695168</v>
          </cell>
          <cell r="O45">
            <v>0.14966600000000008</v>
          </cell>
          <cell r="P45">
            <v>5820.093822830002</v>
          </cell>
          <cell r="Q45"/>
          <cell r="R45">
            <v>5820.093822830002</v>
          </cell>
          <cell r="S45"/>
        </row>
        <row r="46">
          <cell r="A46">
            <v>66</v>
          </cell>
          <cell r="B46" t="str">
            <v>Tesorería</v>
          </cell>
          <cell r="C46" t="str">
            <v>21-sep-22</v>
          </cell>
          <cell r="D46" t="str">
            <v>UVR-23</v>
          </cell>
          <cell r="E46">
            <v>69360.676000000007</v>
          </cell>
          <cell r="F46">
            <v>69360.676000000007</v>
          </cell>
          <cell r="G46">
            <v>9075.8444545999992</v>
          </cell>
          <cell r="H46">
            <v>0</v>
          </cell>
          <cell r="I46">
            <v>0</v>
          </cell>
          <cell r="J46">
            <v>0</v>
          </cell>
          <cell r="K46">
            <v>9075.8444545999992</v>
          </cell>
          <cell r="L46">
            <v>0.13084999999999997</v>
          </cell>
          <cell r="M46">
            <v>0.1381</v>
          </cell>
          <cell r="N46">
            <v>0.16889895975695168</v>
          </cell>
          <cell r="O46">
            <v>0.14989384999999977</v>
          </cell>
          <cell r="P46">
            <v>9075.8444545999992</v>
          </cell>
          <cell r="Q46"/>
          <cell r="R46">
            <v>9075.8444545999992</v>
          </cell>
          <cell r="S46"/>
        </row>
        <row r="47">
          <cell r="A47">
            <v>67</v>
          </cell>
          <cell r="B47" t="str">
            <v>Tesorería</v>
          </cell>
          <cell r="C47" t="str">
            <v>22-sep-22</v>
          </cell>
          <cell r="D47" t="str">
            <v>UVR-23</v>
          </cell>
          <cell r="E47">
            <v>48095.815999999999</v>
          </cell>
          <cell r="F47">
            <v>48095.815999999999</v>
          </cell>
          <cell r="G47">
            <v>6348.1667538400043</v>
          </cell>
          <cell r="H47">
            <v>0</v>
          </cell>
          <cell r="I47">
            <v>0</v>
          </cell>
          <cell r="J47">
            <v>0</v>
          </cell>
          <cell r="K47">
            <v>6348.1667538400043</v>
          </cell>
          <cell r="L47">
            <v>0.13199000000000008</v>
          </cell>
          <cell r="M47">
            <v>0.1381</v>
          </cell>
          <cell r="N47">
            <v>0.16889895975695168</v>
          </cell>
          <cell r="O47">
            <v>0.15007829999999989</v>
          </cell>
          <cell r="P47">
            <v>6348.1667538400043</v>
          </cell>
          <cell r="Q47"/>
          <cell r="R47">
            <v>6348.1667538400043</v>
          </cell>
          <cell r="S47"/>
        </row>
        <row r="48">
          <cell r="A48">
            <v>68</v>
          </cell>
          <cell r="B48" t="str">
            <v>Tesorería</v>
          </cell>
          <cell r="C48" t="str">
            <v>23-sep-22</v>
          </cell>
          <cell r="D48" t="str">
            <v>UVR-23</v>
          </cell>
          <cell r="E48">
            <v>124618.1945</v>
          </cell>
          <cell r="F48">
            <v>124618.1945</v>
          </cell>
          <cell r="G48">
            <v>16523.126408759996</v>
          </cell>
          <cell r="H48">
            <v>0</v>
          </cell>
          <cell r="I48">
            <v>0</v>
          </cell>
          <cell r="J48">
            <v>0</v>
          </cell>
          <cell r="K48">
            <v>16523.126408759996</v>
          </cell>
          <cell r="L48">
            <v>0.13259000000004009</v>
          </cell>
          <cell r="M48">
            <v>0.1381</v>
          </cell>
          <cell r="N48">
            <v>0.16889895975695168</v>
          </cell>
          <cell r="O48">
            <v>0.15020849999999997</v>
          </cell>
          <cell r="P48">
            <v>16523.126408759996</v>
          </cell>
          <cell r="Q48"/>
          <cell r="R48">
            <v>16523.126408759996</v>
          </cell>
          <cell r="S48"/>
        </row>
        <row r="49">
          <cell r="A49">
            <v>69</v>
          </cell>
          <cell r="B49" t="str">
            <v>Tesorería</v>
          </cell>
          <cell r="C49" t="str">
            <v>27-sep-22</v>
          </cell>
          <cell r="D49" t="str">
            <v>UVR-23</v>
          </cell>
          <cell r="E49">
            <v>66342.422999999995</v>
          </cell>
          <cell r="F49">
            <v>66342.422999999995</v>
          </cell>
          <cell r="G49">
            <v>8703.4624733699948</v>
          </cell>
          <cell r="H49">
            <v>0</v>
          </cell>
          <cell r="I49">
            <v>7.6293945312499997E-12</v>
          </cell>
          <cell r="J49">
            <v>-7.6293945312499997E-12</v>
          </cell>
          <cell r="K49">
            <v>8703.4624733699948</v>
          </cell>
          <cell r="L49">
            <v>0.13118999999999992</v>
          </cell>
          <cell r="M49">
            <v>0.1381</v>
          </cell>
          <cell r="N49">
            <v>0.16889895975695168</v>
          </cell>
          <cell r="O49">
            <v>0.15041464999999987</v>
          </cell>
          <cell r="P49">
            <v>8703.4624733699948</v>
          </cell>
          <cell r="Q49"/>
          <cell r="R49">
            <v>8703.4624733699948</v>
          </cell>
          <cell r="S49"/>
        </row>
        <row r="50">
          <cell r="A50">
            <v>70</v>
          </cell>
          <cell r="B50" t="str">
            <v>Tesorería</v>
          </cell>
          <cell r="C50" t="str">
            <v>28-sep-22</v>
          </cell>
          <cell r="D50" t="str">
            <v>UVR-23</v>
          </cell>
          <cell r="E50">
            <v>79795.857999999993</v>
          </cell>
          <cell r="F50">
            <v>79795.857999999993</v>
          </cell>
          <cell r="G50">
            <v>10185.941273699997</v>
          </cell>
          <cell r="H50">
            <v>0</v>
          </cell>
          <cell r="I50">
            <v>0</v>
          </cell>
          <cell r="J50">
            <v>0</v>
          </cell>
          <cell r="K50">
            <v>10185.941273699997</v>
          </cell>
          <cell r="L50">
            <v>0.12764999999999996</v>
          </cell>
          <cell r="M50">
            <v>0.1381</v>
          </cell>
          <cell r="N50">
            <v>0.16889895975695168</v>
          </cell>
          <cell r="O50">
            <v>0.14993725000000002</v>
          </cell>
          <cell r="P50">
            <v>10185.941273699997</v>
          </cell>
          <cell r="Q50"/>
          <cell r="R50">
            <v>10185.941273699997</v>
          </cell>
          <cell r="S50"/>
        </row>
        <row r="51">
          <cell r="A51">
            <v>71</v>
          </cell>
          <cell r="B51" t="str">
            <v>Tesorería</v>
          </cell>
          <cell r="C51" t="str">
            <v>29-sep-22</v>
          </cell>
          <cell r="D51" t="str">
            <v>UVR-23</v>
          </cell>
          <cell r="E51">
            <v>66387.321000000011</v>
          </cell>
          <cell r="F51">
            <v>66387.320999999996</v>
          </cell>
          <cell r="G51">
            <v>8575.2502535700005</v>
          </cell>
          <cell r="H51">
            <v>0</v>
          </cell>
          <cell r="I51">
            <v>0</v>
          </cell>
          <cell r="J51">
            <v>7.6293945312499997E-12</v>
          </cell>
          <cell r="K51">
            <v>8575.2502535700078</v>
          </cell>
          <cell r="L51">
            <v>0.12917000000000009</v>
          </cell>
          <cell r="M51">
            <v>0.1381</v>
          </cell>
          <cell r="N51">
            <v>0.16889895975695168</v>
          </cell>
          <cell r="O51">
            <v>0.15013254999999992</v>
          </cell>
          <cell r="P51">
            <v>8575.2502535700078</v>
          </cell>
          <cell r="Q51"/>
          <cell r="R51">
            <v>8575.2502535700078</v>
          </cell>
          <cell r="S51"/>
        </row>
        <row r="52">
          <cell r="A52">
            <v>72</v>
          </cell>
          <cell r="B52" t="str">
            <v>Tesorería</v>
          </cell>
          <cell r="C52" t="str">
            <v>3-oct-22</v>
          </cell>
          <cell r="D52" t="str">
            <v>UVR-23</v>
          </cell>
          <cell r="E52">
            <v>41152.565999999999</v>
          </cell>
          <cell r="F52">
            <v>41152.565999999999</v>
          </cell>
          <cell r="G52">
            <v>5200.0382397600024</v>
          </cell>
          <cell r="H52">
            <v>0</v>
          </cell>
          <cell r="I52">
            <v>0</v>
          </cell>
          <cell r="J52">
            <v>0</v>
          </cell>
          <cell r="K52">
            <v>5200.0382397600024</v>
          </cell>
          <cell r="L52">
            <v>0.12636000000000006</v>
          </cell>
          <cell r="M52">
            <v>0.1381</v>
          </cell>
          <cell r="N52">
            <v>0.16889895975695168</v>
          </cell>
          <cell r="O52">
            <v>0.14988299999999999</v>
          </cell>
          <cell r="P52">
            <v>5200.0382397600024</v>
          </cell>
          <cell r="Q52"/>
          <cell r="R52">
            <v>5200.0382397600024</v>
          </cell>
          <cell r="S52"/>
        </row>
        <row r="53">
          <cell r="A53">
            <v>73</v>
          </cell>
          <cell r="B53" t="str">
            <v>Tesorería</v>
          </cell>
          <cell r="C53" t="str">
            <v>4-oct-22</v>
          </cell>
          <cell r="D53" t="str">
            <v>UVR-23</v>
          </cell>
          <cell r="E53">
            <v>105291.21225</v>
          </cell>
          <cell r="F53">
            <v>105291.21225</v>
          </cell>
          <cell r="G53">
            <v>13477.275168</v>
          </cell>
          <cell r="H53">
            <v>0</v>
          </cell>
          <cell r="I53">
            <v>0</v>
          </cell>
          <cell r="J53">
            <v>0</v>
          </cell>
          <cell r="K53">
            <v>13477.275168</v>
          </cell>
          <cell r="L53">
            <v>0.128</v>
          </cell>
          <cell r="M53">
            <v>0.1381</v>
          </cell>
          <cell r="N53">
            <v>0.16889895975695168</v>
          </cell>
          <cell r="O53">
            <v>0.15010000000000012</v>
          </cell>
          <cell r="P53">
            <v>13477.275168</v>
          </cell>
          <cell r="Q53"/>
          <cell r="R53">
            <v>13477.275168</v>
          </cell>
          <cell r="S53"/>
        </row>
        <row r="54">
          <cell r="A54">
            <v>74</v>
          </cell>
          <cell r="B54" t="str">
            <v>Tesorería</v>
          </cell>
          <cell r="C54" t="str">
            <v>5-oct-22</v>
          </cell>
          <cell r="D54" t="str">
            <v>UVR-23</v>
          </cell>
          <cell r="E54">
            <v>28509.516</v>
          </cell>
          <cell r="F54">
            <v>28509.516</v>
          </cell>
          <cell r="G54">
            <v>3686.2804187999991</v>
          </cell>
          <cell r="H54">
            <v>0</v>
          </cell>
          <cell r="I54">
            <v>0</v>
          </cell>
          <cell r="J54">
            <v>0</v>
          </cell>
          <cell r="K54">
            <v>3686.2804187999991</v>
          </cell>
          <cell r="L54">
            <v>0.12929999999999997</v>
          </cell>
          <cell r="M54">
            <v>0.1381</v>
          </cell>
          <cell r="N54">
            <v>0.17708041335180469</v>
          </cell>
          <cell r="O54">
            <v>0.16525871000000003</v>
          </cell>
          <cell r="P54">
            <v>3686.2804187999991</v>
          </cell>
          <cell r="Q54"/>
          <cell r="R54">
            <v>3686.2804187999991</v>
          </cell>
          <cell r="S54"/>
        </row>
        <row r="55">
          <cell r="A55">
            <v>75</v>
          </cell>
          <cell r="B55" t="str">
            <v>Tesorería</v>
          </cell>
          <cell r="C55" t="str">
            <v>12-oct-22</v>
          </cell>
          <cell r="D55" t="str">
            <v>UVR-23</v>
          </cell>
          <cell r="E55">
            <v>65886.105499999991</v>
          </cell>
          <cell r="F55">
            <v>65886.105500000005</v>
          </cell>
          <cell r="G55">
            <v>8826.7615538300015</v>
          </cell>
          <cell r="H55">
            <v>0</v>
          </cell>
          <cell r="I55">
            <v>7.6293945312499997E-12</v>
          </cell>
          <cell r="J55">
            <v>-7.6293945312499997E-12</v>
          </cell>
          <cell r="K55">
            <v>8826.7615538300015</v>
          </cell>
          <cell r="L55">
            <v>0.13396999999992415</v>
          </cell>
          <cell r="M55">
            <v>0.1381</v>
          </cell>
          <cell r="N55">
            <v>0.17708041335180469</v>
          </cell>
          <cell r="O55">
            <v>0.16592909999999983</v>
          </cell>
          <cell r="P55">
            <v>8826.7615538300015</v>
          </cell>
          <cell r="Q55"/>
          <cell r="R55">
            <v>8826.7615538300015</v>
          </cell>
          <cell r="S55"/>
        </row>
        <row r="56">
          <cell r="A56">
            <v>76</v>
          </cell>
          <cell r="B56" t="str">
            <v>Tesorería</v>
          </cell>
          <cell r="C56" t="str">
            <v>13-oct-22</v>
          </cell>
          <cell r="D56" t="str">
            <v>UVR-23</v>
          </cell>
          <cell r="E56">
            <v>86554.392999999996</v>
          </cell>
          <cell r="F56">
            <v>86554.392999999996</v>
          </cell>
          <cell r="G56">
            <v>11669.263264259995</v>
          </cell>
          <cell r="H56">
            <v>0</v>
          </cell>
          <cell r="I56">
            <v>0</v>
          </cell>
          <cell r="J56">
            <v>0</v>
          </cell>
          <cell r="K56">
            <v>11669.263264259995</v>
          </cell>
          <cell r="L56">
            <v>0.13481999999999994</v>
          </cell>
          <cell r="M56">
            <v>0.1381</v>
          </cell>
          <cell r="N56">
            <v>0.17708041335180469</v>
          </cell>
          <cell r="O56">
            <v>0.16603899999999983</v>
          </cell>
          <cell r="P56">
            <v>11669.263264259995</v>
          </cell>
          <cell r="Q56"/>
          <cell r="R56">
            <v>11669.263264259995</v>
          </cell>
          <cell r="S56"/>
        </row>
        <row r="57">
          <cell r="A57">
            <v>77</v>
          </cell>
          <cell r="B57" t="str">
            <v>Tesorería</v>
          </cell>
          <cell r="C57" t="str">
            <v>18-oct-22</v>
          </cell>
          <cell r="D57" t="str">
            <v>UVR-23</v>
          </cell>
          <cell r="E57">
            <v>6362.6139999999996</v>
          </cell>
          <cell r="F57">
            <v>6362.6139999999996</v>
          </cell>
          <cell r="G57">
            <v>860.79804805999947</v>
          </cell>
          <cell r="H57">
            <v>0</v>
          </cell>
          <cell r="I57">
            <v>0</v>
          </cell>
          <cell r="J57">
            <v>0</v>
          </cell>
          <cell r="K57">
            <v>860.79804805999947</v>
          </cell>
          <cell r="L57">
            <v>0.13528999999999994</v>
          </cell>
          <cell r="M57">
            <v>0.1381</v>
          </cell>
          <cell r="N57">
            <v>0.17708041335180469</v>
          </cell>
          <cell r="O57">
            <v>0.16713800000000001</v>
          </cell>
          <cell r="P57">
            <v>860.79804805999947</v>
          </cell>
          <cell r="Q57"/>
          <cell r="R57">
            <v>860.79804805999947</v>
          </cell>
          <cell r="S57"/>
        </row>
        <row r="58">
          <cell r="A58">
            <v>78</v>
          </cell>
          <cell r="B58" t="str">
            <v>Tesorería</v>
          </cell>
          <cell r="C58" t="str">
            <v>10-nov-22</v>
          </cell>
          <cell r="D58" t="str">
            <v>UVR-23</v>
          </cell>
          <cell r="E58">
            <v>38438.771999999997</v>
          </cell>
          <cell r="F58">
            <v>38438.771999999997</v>
          </cell>
          <cell r="G58">
            <v>4087.9634021999968</v>
          </cell>
          <cell r="H58">
            <v>0</v>
          </cell>
          <cell r="I58">
            <v>0</v>
          </cell>
          <cell r="J58">
            <v>0</v>
          </cell>
          <cell r="K58">
            <v>4087.9634021999968</v>
          </cell>
          <cell r="L58">
            <v>0.10634999999999993</v>
          </cell>
          <cell r="M58">
            <v>0.1381</v>
          </cell>
          <cell r="N58">
            <v>0.17708041335180469</v>
          </cell>
          <cell r="O58">
            <v>0.18792240000000016</v>
          </cell>
          <cell r="P58">
            <v>4087.9634021999968</v>
          </cell>
          <cell r="Q58"/>
          <cell r="R58">
            <v>4087.9634021999968</v>
          </cell>
          <cell r="S58"/>
        </row>
        <row r="59">
          <cell r="A59">
            <v>79</v>
          </cell>
          <cell r="B59" t="str">
            <v>Tesorería</v>
          </cell>
          <cell r="C59" t="str">
            <v>15-nov-22</v>
          </cell>
          <cell r="D59" t="str">
            <v>UVR-23</v>
          </cell>
          <cell r="E59">
            <v>56140.315000000002</v>
          </cell>
          <cell r="F59">
            <v>56140.315000000002</v>
          </cell>
          <cell r="G59">
            <v>6304.5573745000002</v>
          </cell>
          <cell r="H59">
            <v>0</v>
          </cell>
          <cell r="I59">
            <v>0</v>
          </cell>
          <cell r="J59">
            <v>0</v>
          </cell>
          <cell r="K59">
            <v>6304.5573745000002</v>
          </cell>
          <cell r="L59">
            <v>0.1123</v>
          </cell>
          <cell r="M59">
            <v>0.1381</v>
          </cell>
          <cell r="N59">
            <v>0.17708041335180469</v>
          </cell>
          <cell r="O59">
            <v>0.18870835999999991</v>
          </cell>
          <cell r="P59">
            <v>6304.5573745000002</v>
          </cell>
          <cell r="Q59"/>
          <cell r="R59">
            <v>6304.5573745000002</v>
          </cell>
          <cell r="S59"/>
        </row>
        <row r="60">
          <cell r="A60">
            <v>80</v>
          </cell>
          <cell r="B60" t="str">
            <v>Tesorería</v>
          </cell>
          <cell r="C60" t="str">
            <v>16-nov-22</v>
          </cell>
          <cell r="D60" t="str">
            <v>UVR-23</v>
          </cell>
          <cell r="E60">
            <v>77010.84</v>
          </cell>
          <cell r="F60">
            <v>77010.84</v>
          </cell>
          <cell r="G60">
            <v>9553.9648104000098</v>
          </cell>
          <cell r="H60">
            <v>0</v>
          </cell>
          <cell r="I60">
            <v>0</v>
          </cell>
          <cell r="J60">
            <v>0</v>
          </cell>
          <cell r="K60">
            <v>9553.9648104000098</v>
          </cell>
          <cell r="L60">
            <v>0.12406000000000013</v>
          </cell>
          <cell r="M60">
            <v>0.1381</v>
          </cell>
          <cell r="N60">
            <v>0.17708041335180469</v>
          </cell>
          <cell r="O60">
            <v>0.19050484000000001</v>
          </cell>
          <cell r="P60">
            <v>9553.9648104000098</v>
          </cell>
          <cell r="Q60"/>
          <cell r="R60">
            <v>9553.9648104000098</v>
          </cell>
          <cell r="S60"/>
        </row>
        <row r="61">
          <cell r="A61">
            <v>81</v>
          </cell>
          <cell r="B61" t="str">
            <v>Tesorería</v>
          </cell>
          <cell r="C61" t="str">
            <v>22-nov-22</v>
          </cell>
          <cell r="D61" t="str">
            <v>UVR-23</v>
          </cell>
          <cell r="E61">
            <v>96401.79</v>
          </cell>
          <cell r="F61">
            <v>96401.79</v>
          </cell>
          <cell r="G61">
            <v>14681.992617</v>
          </cell>
          <cell r="H61">
            <v>0</v>
          </cell>
          <cell r="I61">
            <v>0</v>
          </cell>
          <cell r="J61">
            <v>0</v>
          </cell>
          <cell r="K61">
            <v>14681.992617</v>
          </cell>
          <cell r="L61">
            <v>0.15230000000000002</v>
          </cell>
          <cell r="M61">
            <v>0.1381</v>
          </cell>
          <cell r="N61">
            <v>0.17708041335180469</v>
          </cell>
          <cell r="O61">
            <v>0.19465920000000003</v>
          </cell>
          <cell r="P61">
            <v>14681.992617</v>
          </cell>
          <cell r="Q61"/>
          <cell r="R61">
            <v>14681.992617</v>
          </cell>
          <cell r="S61"/>
        </row>
        <row r="62">
          <cell r="A62">
            <v>82</v>
          </cell>
          <cell r="B62" t="str">
            <v>Tesorería</v>
          </cell>
          <cell r="C62" t="str">
            <v>23-nov-22</v>
          </cell>
          <cell r="D62" t="str">
            <v>UVR-23</v>
          </cell>
          <cell r="E62">
            <v>122138.118</v>
          </cell>
          <cell r="F62">
            <v>122138.11799999999</v>
          </cell>
          <cell r="G62">
            <v>18561.329792460008</v>
          </cell>
          <cell r="H62">
            <v>0</v>
          </cell>
          <cell r="I62">
            <v>0</v>
          </cell>
          <cell r="J62">
            <v>-1.5258789062499999E-11</v>
          </cell>
          <cell r="K62">
            <v>18561.32979245999</v>
          </cell>
          <cell r="L62">
            <v>0.15196999999999991</v>
          </cell>
          <cell r="M62">
            <v>0.1381</v>
          </cell>
          <cell r="N62">
            <v>0.17708041335180469</v>
          </cell>
          <cell r="O62">
            <v>0.19520937199999988</v>
          </cell>
          <cell r="P62">
            <v>18561.329792459994</v>
          </cell>
          <cell r="Q62"/>
          <cell r="R62">
            <v>18561.329792459994</v>
          </cell>
          <cell r="S62"/>
        </row>
        <row r="63">
          <cell r="A63">
            <v>83</v>
          </cell>
          <cell r="B63" t="str">
            <v>Tesorería</v>
          </cell>
          <cell r="C63" t="str">
            <v>24-nov-22</v>
          </cell>
          <cell r="D63" t="str">
            <v>UVR-23</v>
          </cell>
          <cell r="E63">
            <v>50635.147499999999</v>
          </cell>
          <cell r="F63">
            <v>50635.147499999999</v>
          </cell>
          <cell r="G63">
            <v>7682.8709301699982</v>
          </cell>
          <cell r="H63">
            <v>0</v>
          </cell>
          <cell r="I63">
            <v>0</v>
          </cell>
          <cell r="J63">
            <v>0</v>
          </cell>
          <cell r="K63">
            <v>7682.8709301699982</v>
          </cell>
          <cell r="L63">
            <v>0.15172999999990122</v>
          </cell>
          <cell r="M63">
            <v>0.1381</v>
          </cell>
          <cell r="N63">
            <v>0.17708041335180469</v>
          </cell>
          <cell r="O63">
            <v>0.19522060000000008</v>
          </cell>
          <cell r="P63">
            <v>7682.8709301699982</v>
          </cell>
          <cell r="Q63"/>
          <cell r="R63">
            <v>7682.8709301699982</v>
          </cell>
          <cell r="S63"/>
        </row>
        <row r="64">
          <cell r="A64">
            <v>84</v>
          </cell>
          <cell r="B64" t="str">
            <v>Tesorería</v>
          </cell>
          <cell r="C64" t="str">
            <v>25-nov-22</v>
          </cell>
          <cell r="D64" t="str">
            <v>UVR-23</v>
          </cell>
          <cell r="E64">
            <v>25725.592000000001</v>
          </cell>
          <cell r="F64">
            <v>25725.592000000001</v>
          </cell>
          <cell r="G64">
            <v>4190.6989367999995</v>
          </cell>
          <cell r="H64">
            <v>0</v>
          </cell>
          <cell r="I64">
            <v>0</v>
          </cell>
          <cell r="J64">
            <v>0</v>
          </cell>
          <cell r="K64">
            <v>4190.6989367999995</v>
          </cell>
          <cell r="L64">
            <v>0.16289999999999999</v>
          </cell>
          <cell r="M64">
            <v>0.1381</v>
          </cell>
          <cell r="N64">
            <v>0.17708041335180469</v>
          </cell>
          <cell r="O64">
            <v>0.19634340000000017</v>
          </cell>
          <cell r="P64">
            <v>4190.6989367999995</v>
          </cell>
          <cell r="Q64"/>
          <cell r="R64">
            <v>4190.6989367999995</v>
          </cell>
          <cell r="S64"/>
        </row>
        <row r="65">
          <cell r="A65">
            <v>85</v>
          </cell>
          <cell r="B65" t="str">
            <v>Tesorería</v>
          </cell>
          <cell r="C65" t="str">
            <v>29-nov-22</v>
          </cell>
          <cell r="D65" t="str">
            <v>UVR-23</v>
          </cell>
          <cell r="E65">
            <v>127946.34600000001</v>
          </cell>
          <cell r="F65">
            <v>127946.34599999999</v>
          </cell>
          <cell r="G65">
            <v>19931.481779879989</v>
          </cell>
          <cell r="H65">
            <v>0</v>
          </cell>
          <cell r="I65">
            <v>-1.5258789062499999E-11</v>
          </cell>
          <cell r="J65">
            <v>-1.5258789062499999E-11</v>
          </cell>
          <cell r="K65">
            <v>19931.48177987996</v>
          </cell>
          <cell r="L65">
            <v>0.15577999999999967</v>
          </cell>
          <cell r="M65">
            <v>0.1381</v>
          </cell>
          <cell r="N65">
            <v>0.17708041335180469</v>
          </cell>
          <cell r="O65">
            <v>0.19510832000000011</v>
          </cell>
          <cell r="P65">
            <v>19931.48177987996</v>
          </cell>
          <cell r="Q65"/>
          <cell r="R65">
            <v>19931.48177987996</v>
          </cell>
          <cell r="S65"/>
        </row>
        <row r="66">
          <cell r="A66">
            <v>86</v>
          </cell>
          <cell r="B66" t="str">
            <v>Tesorería</v>
          </cell>
          <cell r="C66" t="str">
            <v>1-dic-22</v>
          </cell>
          <cell r="D66" t="str">
            <v>UVR-23</v>
          </cell>
          <cell r="E66">
            <v>166643.62424160002</v>
          </cell>
          <cell r="F66">
            <v>166643.79199999999</v>
          </cell>
          <cell r="G66">
            <v>26894.153455039999</v>
          </cell>
          <cell r="H66">
            <v>0</v>
          </cell>
          <cell r="I66">
            <v>-1218.7011635999831</v>
          </cell>
          <cell r="J66">
            <v>0.1677583999938965</v>
          </cell>
          <cell r="K66">
            <v>25675.62004984001</v>
          </cell>
          <cell r="L66">
            <v>0.15407502187191682</v>
          </cell>
          <cell r="M66">
            <v>0.1381</v>
          </cell>
          <cell r="N66">
            <v>0.17708041335180469</v>
          </cell>
          <cell r="O66">
            <v>0.14609218640000002</v>
          </cell>
          <cell r="P66">
            <v>25675.62004984001</v>
          </cell>
          <cell r="Q66"/>
          <cell r="R66">
            <v>25675.62004984001</v>
          </cell>
          <cell r="S66"/>
        </row>
        <row r="67">
          <cell r="A67">
            <v>87</v>
          </cell>
          <cell r="B67" t="str">
            <v>Tesorería</v>
          </cell>
          <cell r="C67" t="str">
            <v>2-dic-22</v>
          </cell>
          <cell r="D67" t="str">
            <v>UVR-23</v>
          </cell>
          <cell r="E67">
            <v>330586.82046059996</v>
          </cell>
          <cell r="F67">
            <v>330586.56300000002</v>
          </cell>
          <cell r="G67">
            <v>44728.638264820009</v>
          </cell>
          <cell r="H67">
            <v>0</v>
          </cell>
          <cell r="I67">
            <v>-952.42757610000615</v>
          </cell>
          <cell r="J67">
            <v>-0.25746059994506837</v>
          </cell>
          <cell r="K67">
            <v>43775.953228120059</v>
          </cell>
          <cell r="L67">
            <v>0.13241893057662704</v>
          </cell>
          <cell r="M67">
            <v>0.1381</v>
          </cell>
          <cell r="N67">
            <v>0.17708041335180469</v>
          </cell>
          <cell r="O67">
            <v>0.16913905091957421</v>
          </cell>
          <cell r="P67">
            <v>43775.953228120059</v>
          </cell>
          <cell r="Q67"/>
          <cell r="R67">
            <v>43775.953228120059</v>
          </cell>
          <cell r="S67"/>
        </row>
        <row r="68">
          <cell r="A68">
            <v>88</v>
          </cell>
          <cell r="B68" t="str">
            <v>Tesorería</v>
          </cell>
          <cell r="C68" t="str">
            <v>5-dic-22</v>
          </cell>
          <cell r="D68" t="str">
            <v>UVR-23</v>
          </cell>
          <cell r="E68">
            <v>124973.39683860001</v>
          </cell>
          <cell r="F68">
            <v>124973.251</v>
          </cell>
          <cell r="G68">
            <v>16966.870100799988</v>
          </cell>
          <cell r="H68">
            <v>0</v>
          </cell>
          <cell r="I68">
            <v>-379.32947669999697</v>
          </cell>
          <cell r="J68">
            <v>-0.14583860000610352</v>
          </cell>
          <cell r="K68">
            <v>16587.394785499986</v>
          </cell>
          <cell r="L68">
            <v>0.13272740603283903</v>
          </cell>
          <cell r="M68">
            <v>0.1381</v>
          </cell>
          <cell r="N68">
            <v>0.1803320167036051</v>
          </cell>
          <cell r="O68">
            <v>0.16750333999999995</v>
          </cell>
          <cell r="P68">
            <v>16587.394785499986</v>
          </cell>
          <cell r="Q68"/>
          <cell r="R68">
            <v>16587.394785499986</v>
          </cell>
          <cell r="S68"/>
        </row>
        <row r="69">
          <cell r="A69">
            <v>89</v>
          </cell>
          <cell r="B69" t="str">
            <v>Tesorería</v>
          </cell>
          <cell r="C69" t="str">
            <v>6-dic-22</v>
          </cell>
          <cell r="D69" t="str">
            <v>UVR-23</v>
          </cell>
          <cell r="E69">
            <v>92380.179855599999</v>
          </cell>
          <cell r="F69">
            <v>92380.055999999997</v>
          </cell>
          <cell r="G69">
            <v>11974.092511099991</v>
          </cell>
          <cell r="H69">
            <v>0</v>
          </cell>
          <cell r="I69">
            <v>-121.77657000000001</v>
          </cell>
          <cell r="J69">
            <v>-0.12385560000610352</v>
          </cell>
          <cell r="K69">
            <v>11852.192085499984</v>
          </cell>
          <cell r="L69">
            <v>0.12829799751446919</v>
          </cell>
          <cell r="M69">
            <v>0.1381</v>
          </cell>
          <cell r="N69">
            <v>0.1803320167036051</v>
          </cell>
          <cell r="O69">
            <v>0.18256178844000001</v>
          </cell>
          <cell r="P69">
            <v>11852.192085499984</v>
          </cell>
          <cell r="Q69"/>
          <cell r="R69">
            <v>11852.192085499984</v>
          </cell>
          <cell r="S69"/>
        </row>
        <row r="70">
          <cell r="A70">
            <v>90</v>
          </cell>
          <cell r="B70" t="str">
            <v>Tesorería</v>
          </cell>
          <cell r="C70" t="str">
            <v>7-dic-22</v>
          </cell>
          <cell r="D70" t="str">
            <v>UVR-23</v>
          </cell>
          <cell r="E70">
            <v>96748.2</v>
          </cell>
          <cell r="F70">
            <v>96748.2</v>
          </cell>
          <cell r="G70">
            <v>12629.510028000001</v>
          </cell>
          <cell r="H70">
            <v>0</v>
          </cell>
          <cell r="I70">
            <v>-1.5258789062499999E-11</v>
          </cell>
          <cell r="J70">
            <v>1.5258789062499999E-11</v>
          </cell>
          <cell r="K70">
            <v>12629.510028000001</v>
          </cell>
          <cell r="L70">
            <v>0.13054000000000002</v>
          </cell>
          <cell r="M70">
            <v>0.1381</v>
          </cell>
          <cell r="N70">
            <v>0.1803320167036051</v>
          </cell>
          <cell r="O70">
            <v>0.19484354000000015</v>
          </cell>
          <cell r="P70">
            <v>12629.510028000001</v>
          </cell>
          <cell r="Q70"/>
          <cell r="R70">
            <v>12629.510028000001</v>
          </cell>
          <cell r="S70"/>
        </row>
        <row r="71">
          <cell r="A71">
            <v>91</v>
          </cell>
          <cell r="B71" t="str">
            <v>Tesorería</v>
          </cell>
          <cell r="C71" t="str">
            <v>12-dic-22</v>
          </cell>
          <cell r="D71" t="str">
            <v>UVR-23</v>
          </cell>
          <cell r="E71">
            <v>121079.925</v>
          </cell>
          <cell r="F71">
            <v>121079.925</v>
          </cell>
          <cell r="G71">
            <v>19070.088187500001</v>
          </cell>
          <cell r="H71">
            <v>0</v>
          </cell>
          <cell r="I71">
            <v>0</v>
          </cell>
          <cell r="J71">
            <v>0</v>
          </cell>
          <cell r="K71">
            <v>19070.088187500001</v>
          </cell>
          <cell r="L71">
            <v>0.1575</v>
          </cell>
          <cell r="M71">
            <v>0.1381</v>
          </cell>
          <cell r="N71">
            <v>0.1803320167036051</v>
          </cell>
          <cell r="O71">
            <v>0.19844449999999991</v>
          </cell>
          <cell r="P71">
            <v>19070.088187500001</v>
          </cell>
          <cell r="Q71"/>
          <cell r="R71">
            <v>19070.088187500001</v>
          </cell>
          <cell r="S71"/>
        </row>
        <row r="72">
          <cell r="A72">
            <v>92</v>
          </cell>
          <cell r="B72" t="str">
            <v>Tesorería</v>
          </cell>
          <cell r="C72" t="str">
            <v>13-dic-22</v>
          </cell>
          <cell r="D72" t="str">
            <v>UVR-23</v>
          </cell>
          <cell r="E72">
            <v>184085.54699999999</v>
          </cell>
          <cell r="F72">
            <v>164844.92562756001</v>
          </cell>
          <cell r="G72">
            <v>27445.314202230013</v>
          </cell>
          <cell r="H72">
            <v>0</v>
          </cell>
          <cell r="I72">
            <v>0</v>
          </cell>
          <cell r="J72">
            <v>0</v>
          </cell>
          <cell r="K72">
            <v>27445.314202230013</v>
          </cell>
          <cell r="L72">
            <v>0.14909000000000008</v>
          </cell>
          <cell r="M72">
            <v>0.1381</v>
          </cell>
          <cell r="N72">
            <v>0.1803320167036051</v>
          </cell>
          <cell r="O72">
            <v>0.19731920000000014</v>
          </cell>
          <cell r="P72">
            <v>27445.314202230013</v>
          </cell>
          <cell r="Q72"/>
          <cell r="R72">
            <v>27445.314202230013</v>
          </cell>
          <cell r="S72"/>
        </row>
        <row r="73">
          <cell r="A73">
            <v>93</v>
          </cell>
          <cell r="B73" t="str">
            <v>Tesorería</v>
          </cell>
          <cell r="C73">
            <v>44909</v>
          </cell>
          <cell r="D73" t="str">
            <v>UVR-23</v>
          </cell>
          <cell r="E73">
            <v>1661237.4833171999</v>
          </cell>
          <cell r="F73">
            <v>1661237.3459313998</v>
          </cell>
          <cell r="G73">
            <v>271888.06710033008</v>
          </cell>
          <cell r="H73">
            <v>0</v>
          </cell>
          <cell r="I73">
            <v>-3032.3412859999999</v>
          </cell>
          <cell r="J73">
            <v>-0.13738580004882814</v>
          </cell>
          <cell r="K73">
            <v>268855.58842853003</v>
          </cell>
          <cell r="L73">
            <v>0.16184055026959335</v>
          </cell>
          <cell r="M73">
            <v>0.1381</v>
          </cell>
          <cell r="N73">
            <v>0.1803320167036051</v>
          </cell>
          <cell r="O73">
            <v>0.1765102754899999</v>
          </cell>
          <cell r="P73">
            <v>268855.58842853003</v>
          </cell>
          <cell r="Q73"/>
          <cell r="R73">
            <v>268855.58842853003</v>
          </cell>
          <cell r="S73"/>
        </row>
        <row r="74">
          <cell r="A74">
            <v>94</v>
          </cell>
          <cell r="B74" t="str">
            <v>Tesorería</v>
          </cell>
          <cell r="C74" t="str">
            <v>22-dic-22</v>
          </cell>
          <cell r="D74" t="str">
            <v>UVR-23</v>
          </cell>
          <cell r="E74">
            <v>141768.2046</v>
          </cell>
          <cell r="F74">
            <v>141767.89085500001</v>
          </cell>
          <cell r="G74">
            <v>23151.919752044061</v>
          </cell>
          <cell r="H74">
            <v>0</v>
          </cell>
          <cell r="I74">
            <v>-291.49998599941256</v>
          </cell>
          <cell r="J74">
            <v>-0.313745</v>
          </cell>
          <cell r="K74">
            <v>22860.106021044649</v>
          </cell>
          <cell r="L74">
            <v>0.16124988029258466</v>
          </cell>
          <cell r="M74">
            <v>0.1381</v>
          </cell>
          <cell r="N74">
            <v>0.1803320167036051</v>
          </cell>
          <cell r="O74">
            <v>0.15024749210000002</v>
          </cell>
          <cell r="P74">
            <v>22860.106021044649</v>
          </cell>
          <cell r="Q74"/>
          <cell r="R74">
            <v>22860.106021044649</v>
          </cell>
        </row>
        <row r="75">
          <cell r="A75">
            <v>95</v>
          </cell>
          <cell r="B75" t="str">
            <v>Tesorería</v>
          </cell>
          <cell r="C75" t="str">
            <v>24-mar-23</v>
          </cell>
          <cell r="D75" t="str">
            <v>COP-24</v>
          </cell>
          <cell r="E75">
            <v>338000</v>
          </cell>
          <cell r="F75">
            <v>338000</v>
          </cell>
          <cell r="G75">
            <v>10591.66</v>
          </cell>
          <cell r="H75">
            <v>-27700</v>
          </cell>
          <cell r="I75">
            <v>0</v>
          </cell>
          <cell r="J75">
            <v>0</v>
          </cell>
          <cell r="K75">
            <v>-17108.34</v>
          </cell>
          <cell r="L75">
            <v>-5.0616390532544381E-2</v>
          </cell>
          <cell r="M75">
            <v>0.12814001603581682</v>
          </cell>
          <cell r="N75">
            <v>0.19326284356947854</v>
          </cell>
          <cell r="O75">
            <v>0.12404</v>
          </cell>
          <cell r="P75">
            <v>-17108.34</v>
          </cell>
          <cell r="Q75">
            <v>-17108.34</v>
          </cell>
          <cell r="R75"/>
          <cell r="S75">
            <v>-3.1E-2</v>
          </cell>
        </row>
        <row r="76">
          <cell r="A76">
            <v>96</v>
          </cell>
          <cell r="B76" t="str">
            <v>Tesorería</v>
          </cell>
          <cell r="C76" t="str">
            <v>27-mar-23</v>
          </cell>
          <cell r="D76" t="str">
            <v>COP-24</v>
          </cell>
          <cell r="E76">
            <v>306000</v>
          </cell>
          <cell r="F76">
            <v>306000</v>
          </cell>
          <cell r="G76">
            <v>8892.25</v>
          </cell>
          <cell r="H76">
            <v>-25262.5</v>
          </cell>
          <cell r="I76">
            <v>0</v>
          </cell>
          <cell r="J76">
            <v>0</v>
          </cell>
          <cell r="K76">
            <v>-16370.25</v>
          </cell>
          <cell r="L76">
            <v>-5.3497549019607842E-2</v>
          </cell>
          <cell r="M76">
            <v>0.12814001603581682</v>
          </cell>
          <cell r="N76">
            <v>0.19326284356947854</v>
          </cell>
          <cell r="O76">
            <v>0.12330999999999999</v>
          </cell>
          <cell r="P76">
            <v>-16370.25</v>
          </cell>
          <cell r="Q76">
            <v>-16370.25</v>
          </cell>
          <cell r="R76"/>
          <cell r="S76">
            <v>-6.1282000000000003E-2</v>
          </cell>
        </row>
        <row r="77">
          <cell r="A77">
            <v>97</v>
          </cell>
          <cell r="B77" t="str">
            <v>Tesorería</v>
          </cell>
          <cell r="C77" t="str">
            <v>28-mar-23</v>
          </cell>
          <cell r="D77" t="str">
            <v>COP-24</v>
          </cell>
          <cell r="E77">
            <v>299000</v>
          </cell>
          <cell r="F77">
            <v>299000</v>
          </cell>
          <cell r="G77">
            <v>5037.42</v>
          </cell>
          <cell r="H77">
            <v>-26087.5</v>
          </cell>
          <cell r="I77">
            <v>0</v>
          </cell>
          <cell r="J77">
            <v>0</v>
          </cell>
          <cell r="K77">
            <v>-21050.080000000002</v>
          </cell>
          <cell r="L77">
            <v>-7.0401605351170571E-2</v>
          </cell>
          <cell r="M77">
            <v>0.12814001603581682</v>
          </cell>
          <cell r="N77">
            <v>0.19326284356947854</v>
          </cell>
          <cell r="O77">
            <v>0.12391999999999999</v>
          </cell>
          <cell r="P77">
            <v>-21050.080000000002</v>
          </cell>
          <cell r="Q77">
            <v>-21050.080000000002</v>
          </cell>
          <cell r="R77"/>
          <cell r="S77">
            <v>-6.1282000000000003E-2</v>
          </cell>
        </row>
        <row r="78">
          <cell r="A78">
            <v>98</v>
          </cell>
          <cell r="B78" t="str">
            <v>Tesorería</v>
          </cell>
          <cell r="C78" t="str">
            <v>29-mar-23</v>
          </cell>
          <cell r="D78" t="str">
            <v>COP-24</v>
          </cell>
          <cell r="E78">
            <v>301500</v>
          </cell>
          <cell r="F78">
            <v>535000</v>
          </cell>
          <cell r="G78">
            <v>2105.8850000000002</v>
          </cell>
          <cell r="H78">
            <v>-27053.75</v>
          </cell>
          <cell r="I78">
            <v>0</v>
          </cell>
          <cell r="J78">
            <v>0</v>
          </cell>
          <cell r="K78">
            <v>-24947.865000000002</v>
          </cell>
          <cell r="L78">
            <v>-8.274582089552239E-2</v>
          </cell>
          <cell r="M78">
            <v>0.12814001603581682</v>
          </cell>
          <cell r="N78">
            <v>0.19326284356947854</v>
          </cell>
          <cell r="O78">
            <v>0.1232</v>
          </cell>
          <cell r="P78">
            <v>-24947.864999999998</v>
          </cell>
          <cell r="Q78">
            <v>-24947.864999999998</v>
          </cell>
          <cell r="R78"/>
          <cell r="S78">
            <v>-6.1282000000000003E-2</v>
          </cell>
        </row>
        <row r="79">
          <cell r="A79">
            <v>99</v>
          </cell>
          <cell r="B79" t="str">
            <v>Tesorería</v>
          </cell>
          <cell r="C79" t="str">
            <v>30-mar-23</v>
          </cell>
          <cell r="D79" t="str">
            <v>COP-24</v>
          </cell>
          <cell r="E79">
            <v>535000</v>
          </cell>
          <cell r="F79">
            <v>535000</v>
          </cell>
          <cell r="G79">
            <v>4847.45</v>
          </cell>
          <cell r="H79">
            <v>-47400</v>
          </cell>
          <cell r="I79">
            <v>0</v>
          </cell>
          <cell r="J79">
            <v>0</v>
          </cell>
          <cell r="K79">
            <v>-42552.55</v>
          </cell>
          <cell r="L79">
            <v>-7.9537476635514026E-2</v>
          </cell>
          <cell r="M79">
            <v>0.12814001603581682</v>
          </cell>
          <cell r="N79">
            <v>0.19326284356947854</v>
          </cell>
          <cell r="O79">
            <v>0.12254</v>
          </cell>
          <cell r="P79">
            <v>-42552.55</v>
          </cell>
          <cell r="Q79">
            <v>-42552.55</v>
          </cell>
          <cell r="R79"/>
          <cell r="S79">
            <v>-6.1282000000000003E-2</v>
          </cell>
        </row>
        <row r="80">
          <cell r="A80">
            <v>100</v>
          </cell>
          <cell r="B80" t="str">
            <v>Tesorería</v>
          </cell>
          <cell r="C80" t="str">
            <v>31-mar-23</v>
          </cell>
          <cell r="D80" t="str">
            <v>COP-24</v>
          </cell>
          <cell r="E80">
            <v>246000</v>
          </cell>
          <cell r="F80">
            <v>246000</v>
          </cell>
          <cell r="G80">
            <v>548.58000000000004</v>
          </cell>
          <cell r="H80">
            <v>-22312.5</v>
          </cell>
          <cell r="I80">
            <v>0</v>
          </cell>
          <cell r="J80">
            <v>0</v>
          </cell>
          <cell r="K80">
            <v>-21763.919999999998</v>
          </cell>
          <cell r="L80">
            <v>-8.8471219512195109E-2</v>
          </cell>
          <cell r="M80">
            <v>0.12814001603581682</v>
          </cell>
          <cell r="N80">
            <v>0.19326284356947854</v>
          </cell>
          <cell r="O80">
            <v>0.1202</v>
          </cell>
          <cell r="P80">
            <v>-21763.919999999998</v>
          </cell>
          <cell r="Q80">
            <v>-21763.919999999998</v>
          </cell>
          <cell r="R80"/>
          <cell r="S80">
            <v>-6.1282000000000003E-2</v>
          </cell>
        </row>
        <row r="81">
          <cell r="A81">
            <v>101</v>
          </cell>
          <cell r="B81" t="str">
            <v>Tesorería</v>
          </cell>
          <cell r="C81" t="str">
            <v>3-abr-23</v>
          </cell>
          <cell r="D81" t="str">
            <v>COP-24</v>
          </cell>
          <cell r="E81">
            <v>185000</v>
          </cell>
          <cell r="F81">
            <v>185000</v>
          </cell>
          <cell r="G81">
            <v>876.35</v>
          </cell>
          <cell r="H81">
            <v>-15450</v>
          </cell>
          <cell r="I81">
            <v>0</v>
          </cell>
          <cell r="J81">
            <v>0</v>
          </cell>
          <cell r="K81">
            <v>-14573.65</v>
          </cell>
          <cell r="L81">
            <v>-7.8776486486486483E-2</v>
          </cell>
          <cell r="M81">
            <v>0.12814001603581682</v>
          </cell>
          <cell r="N81">
            <v>0.19326284356947854</v>
          </cell>
          <cell r="O81">
            <v>0.11800000000000001</v>
          </cell>
          <cell r="P81">
            <v>-14573.65</v>
          </cell>
          <cell r="Q81">
            <v>-14573.65</v>
          </cell>
          <cell r="R81"/>
          <cell r="S81">
            <v>-7.1580000000000005E-2</v>
          </cell>
        </row>
        <row r="82">
          <cell r="A82">
            <v>102</v>
          </cell>
          <cell r="B82" t="str">
            <v>Tesorería</v>
          </cell>
          <cell r="C82" t="str">
            <v>4-abr-23</v>
          </cell>
          <cell r="D82" t="str">
            <v>COP-24</v>
          </cell>
          <cell r="E82">
            <v>250000</v>
          </cell>
          <cell r="F82">
            <v>250000</v>
          </cell>
          <cell r="G82">
            <v>871.22</v>
          </cell>
          <cell r="H82">
            <v>-21067.5</v>
          </cell>
          <cell r="I82">
            <v>0</v>
          </cell>
          <cell r="J82">
            <v>0</v>
          </cell>
          <cell r="K82">
            <v>-20196.28</v>
          </cell>
          <cell r="L82">
            <v>-8.0785120000000002E-2</v>
          </cell>
          <cell r="M82">
            <v>0.12814001603581682</v>
          </cell>
          <cell r="N82">
            <v>0.19392355999999977</v>
          </cell>
          <cell r="O82">
            <v>0.1166</v>
          </cell>
          <cell r="P82">
            <v>-20196.28</v>
          </cell>
          <cell r="Q82">
            <v>-20196.28</v>
          </cell>
          <cell r="R82"/>
          <cell r="S82">
            <v>-7.1580000000000005E-2</v>
          </cell>
        </row>
        <row r="83">
          <cell r="A83">
            <v>103</v>
          </cell>
          <cell r="B83" t="str">
            <v>Tesorería</v>
          </cell>
          <cell r="C83" t="str">
            <v>10-abr-23</v>
          </cell>
          <cell r="D83" t="str">
            <v>COP-24</v>
          </cell>
          <cell r="E83">
            <v>205000</v>
          </cell>
          <cell r="F83">
            <v>205000</v>
          </cell>
          <cell r="G83">
            <v>3166.7500000000305</v>
          </cell>
          <cell r="H83">
            <v>-17450</v>
          </cell>
          <cell r="I83">
            <v>0</v>
          </cell>
          <cell r="J83">
            <v>0</v>
          </cell>
          <cell r="K83">
            <v>-14283.249999999969</v>
          </cell>
          <cell r="L83">
            <v>-6.967439024390229E-2</v>
          </cell>
          <cell r="M83">
            <v>0.12814001603581682</v>
          </cell>
          <cell r="N83">
            <v>0.19392355999999977</v>
          </cell>
          <cell r="O83">
            <v>0.11800000000000001</v>
          </cell>
          <cell r="P83">
            <v>-14283.249999999969</v>
          </cell>
          <cell r="Q83">
            <v>-14283.249999999969</v>
          </cell>
          <cell r="R83"/>
          <cell r="S83">
            <v>-7.8399999999999997E-2</v>
          </cell>
        </row>
        <row r="84">
          <cell r="A84">
            <v>104</v>
          </cell>
          <cell r="B84" t="str">
            <v>Tesorería</v>
          </cell>
          <cell r="C84">
            <v>45027</v>
          </cell>
          <cell r="D84" t="str">
            <v>COP-24</v>
          </cell>
          <cell r="E84">
            <v>275000</v>
          </cell>
          <cell r="F84">
            <v>275000</v>
          </cell>
          <cell r="G84">
            <v>6815.7</v>
          </cell>
          <cell r="H84">
            <v>-22162.5</v>
          </cell>
          <cell r="I84">
            <v>0</v>
          </cell>
          <cell r="J84">
            <v>0</v>
          </cell>
          <cell r="K84">
            <v>-15346.8</v>
          </cell>
          <cell r="L84">
            <v>-5.5806545454545449E-2</v>
          </cell>
          <cell r="M84">
            <v>0.12814001603581682</v>
          </cell>
          <cell r="N84">
            <v>0.19392355999999977</v>
          </cell>
          <cell r="O84">
            <v>0.11960000000000001</v>
          </cell>
          <cell r="P84">
            <v>-15346.8</v>
          </cell>
          <cell r="Q84">
            <v>-15346.8</v>
          </cell>
          <cell r="R84"/>
          <cell r="S84">
            <v>-7.8399999999999997E-2</v>
          </cell>
        </row>
        <row r="85">
          <cell r="A85">
            <v>105</v>
          </cell>
          <cell r="B85" t="str">
            <v>Tesorería</v>
          </cell>
          <cell r="C85">
            <v>45028</v>
          </cell>
          <cell r="D85" t="str">
            <v>COP-24</v>
          </cell>
          <cell r="E85">
            <v>200000</v>
          </cell>
          <cell r="F85">
            <v>200000</v>
          </cell>
          <cell r="G85">
            <v>1631.6</v>
          </cell>
          <cell r="H85">
            <v>-16950</v>
          </cell>
          <cell r="I85">
            <v>0</v>
          </cell>
          <cell r="J85">
            <v>0</v>
          </cell>
          <cell r="K85">
            <v>-15318.4</v>
          </cell>
          <cell r="L85">
            <v>-7.6591999999999993E-2</v>
          </cell>
          <cell r="M85">
            <v>0.12814001603581682</v>
          </cell>
          <cell r="N85">
            <v>0.19392355999999977</v>
          </cell>
          <cell r="O85">
            <v>0.1179</v>
          </cell>
          <cell r="P85">
            <v>-15318.4</v>
          </cell>
          <cell r="Q85">
            <v>-15318.4</v>
          </cell>
          <cell r="R85"/>
          <cell r="S85"/>
        </row>
        <row r="86">
          <cell r="A86">
            <v>106</v>
          </cell>
          <cell r="B86" t="str">
            <v>Tesorería</v>
          </cell>
          <cell r="C86">
            <v>45030</v>
          </cell>
          <cell r="D86" t="str">
            <v>COP-24</v>
          </cell>
          <cell r="E86">
            <v>1470000</v>
          </cell>
          <cell r="F86">
            <v>1470000</v>
          </cell>
          <cell r="G86">
            <v>139460.1</v>
          </cell>
          <cell r="H86">
            <v>-78000</v>
          </cell>
          <cell r="I86">
            <v>0</v>
          </cell>
          <cell r="J86">
            <v>0</v>
          </cell>
          <cell r="K86">
            <v>61460.1</v>
          </cell>
          <cell r="L86">
            <v>4.1809591836734696E-2</v>
          </cell>
          <cell r="M86">
            <v>0.12814001603581682</v>
          </cell>
          <cell r="N86">
            <v>0.19392355999999977</v>
          </cell>
          <cell r="O86">
            <v>0.1164</v>
          </cell>
          <cell r="P86">
            <v>61460.100000000006</v>
          </cell>
          <cell r="Q86">
            <v>61460.100000000006</v>
          </cell>
          <cell r="R86"/>
          <cell r="S86"/>
        </row>
        <row r="87">
          <cell r="A87">
            <v>107</v>
          </cell>
          <cell r="B87" t="str">
            <v>Tesorería</v>
          </cell>
          <cell r="C87">
            <v>45035</v>
          </cell>
          <cell r="D87" t="str">
            <v>COP-24</v>
          </cell>
          <cell r="E87">
            <v>104000</v>
          </cell>
          <cell r="F87">
            <v>104000</v>
          </cell>
          <cell r="G87">
            <v>857.59999999998479</v>
          </cell>
          <cell r="H87">
            <v>-8505</v>
          </cell>
          <cell r="I87">
            <v>0</v>
          </cell>
          <cell r="J87">
            <v>0</v>
          </cell>
          <cell r="K87">
            <v>-7647.4000000000151</v>
          </cell>
          <cell r="L87">
            <v>-7.3532692307692452E-2</v>
          </cell>
          <cell r="M87">
            <v>0.12814001603581682</v>
          </cell>
          <cell r="N87">
            <v>0.19392355999999977</v>
          </cell>
          <cell r="O87">
            <v>0.11753999999999999</v>
          </cell>
          <cell r="P87">
            <v>-7647.4000000000151</v>
          </cell>
          <cell r="Q87">
            <v>-7647.4000000000151</v>
          </cell>
          <cell r="R87"/>
          <cell r="S87"/>
        </row>
        <row r="88">
          <cell r="A88">
            <v>108</v>
          </cell>
          <cell r="B88" t="str">
            <v>Tesorería</v>
          </cell>
          <cell r="C88">
            <v>45036</v>
          </cell>
          <cell r="D88" t="str">
            <v>COP-24</v>
          </cell>
          <cell r="E88">
            <v>501500</v>
          </cell>
          <cell r="F88">
            <v>501500</v>
          </cell>
          <cell r="G88">
            <v>937.56</v>
          </cell>
          <cell r="H88">
            <v>-42222.5</v>
          </cell>
          <cell r="I88">
            <v>0</v>
          </cell>
          <cell r="J88">
            <v>0</v>
          </cell>
          <cell r="K88">
            <v>-41284.94</v>
          </cell>
          <cell r="L88">
            <v>-8.2322911266201407E-2</v>
          </cell>
          <cell r="M88">
            <v>0.12814001603581682</v>
          </cell>
          <cell r="N88">
            <v>0.19392355999999977</v>
          </cell>
          <cell r="O88">
            <v>0.11743000000000001</v>
          </cell>
          <cell r="P88">
            <v>-41284.94</v>
          </cell>
          <cell r="Q88">
            <v>-41284.94</v>
          </cell>
          <cell r="R88"/>
          <cell r="S88"/>
        </row>
        <row r="89">
          <cell r="A89">
            <v>109</v>
          </cell>
          <cell r="B89" t="str">
            <v>Tesorería</v>
          </cell>
          <cell r="C89">
            <v>45037</v>
          </cell>
          <cell r="D89" t="str">
            <v>COP</v>
          </cell>
          <cell r="E89">
            <v>105000</v>
          </cell>
          <cell r="F89">
            <v>105000</v>
          </cell>
          <cell r="G89">
            <v>358.25</v>
          </cell>
          <cell r="H89">
            <v>-8795</v>
          </cell>
          <cell r="I89">
            <v>0</v>
          </cell>
          <cell r="J89">
            <v>0</v>
          </cell>
          <cell r="K89">
            <v>-8436.75</v>
          </cell>
          <cell r="L89">
            <v>-8.0350000000000005E-2</v>
          </cell>
          <cell r="M89">
            <v>0.12814001603581682</v>
          </cell>
          <cell r="N89">
            <v>0.19392355999999977</v>
          </cell>
          <cell r="O89">
            <v>0.11749999999999999</v>
          </cell>
          <cell r="P89">
            <v>-8436.75</v>
          </cell>
          <cell r="Q89">
            <v>-8436.75</v>
          </cell>
          <cell r="R89"/>
          <cell r="S89"/>
        </row>
        <row r="90">
          <cell r="A90">
            <v>110</v>
          </cell>
          <cell r="B90" t="str">
            <v>Tesorería</v>
          </cell>
          <cell r="C90">
            <v>45049</v>
          </cell>
          <cell r="D90" t="str">
            <v>COP</v>
          </cell>
          <cell r="E90">
            <v>206000</v>
          </cell>
          <cell r="F90">
            <v>206000</v>
          </cell>
          <cell r="G90">
            <v>5666.429999999973</v>
          </cell>
          <cell r="H90">
            <v>-18195</v>
          </cell>
          <cell r="I90">
            <v>0</v>
          </cell>
          <cell r="J90">
            <v>0</v>
          </cell>
          <cell r="K90">
            <v>-12528.570000000027</v>
          </cell>
          <cell r="L90">
            <v>-6.0818300970873915E-2</v>
          </cell>
          <cell r="M90">
            <v>0.12814001603581682</v>
          </cell>
          <cell r="N90">
            <v>0.19392355999999977</v>
          </cell>
          <cell r="O90">
            <v>0.11960000000000001</v>
          </cell>
          <cell r="P90">
            <v>-12528.570000000027</v>
          </cell>
          <cell r="Q90">
            <v>-12528.570000000027</v>
          </cell>
          <cell r="R90"/>
          <cell r="S90"/>
        </row>
        <row r="91">
          <cell r="A91">
            <v>111</v>
          </cell>
          <cell r="B91" t="str">
            <v>Tesorería</v>
          </cell>
          <cell r="C91">
            <v>45056</v>
          </cell>
          <cell r="D91" t="str">
            <v>COP</v>
          </cell>
          <cell r="E91">
            <v>100000</v>
          </cell>
          <cell r="F91">
            <v>100000</v>
          </cell>
          <cell r="G91">
            <v>153.6</v>
          </cell>
          <cell r="H91">
            <v>-9075</v>
          </cell>
          <cell r="I91">
            <v>0</v>
          </cell>
          <cell r="J91">
            <v>0</v>
          </cell>
          <cell r="K91">
            <v>-8921.4</v>
          </cell>
          <cell r="L91">
            <v>-8.9214000000000002E-2</v>
          </cell>
          <cell r="M91">
            <v>0.12814001603581682</v>
          </cell>
          <cell r="N91">
            <v>0.19392355999999977</v>
          </cell>
          <cell r="O91">
            <v>0.11710000000000001</v>
          </cell>
          <cell r="P91">
            <v>-8921.4</v>
          </cell>
          <cell r="Q91">
            <v>-8921.4</v>
          </cell>
          <cell r="R91"/>
          <cell r="S91"/>
        </row>
        <row r="92">
          <cell r="A92">
            <v>112</v>
          </cell>
          <cell r="B92" t="str">
            <v>Tesorería</v>
          </cell>
          <cell r="C92">
            <v>45063</v>
          </cell>
          <cell r="D92" t="str">
            <v>COP</v>
          </cell>
          <cell r="E92">
            <v>177000</v>
          </cell>
          <cell r="F92">
            <v>177000</v>
          </cell>
          <cell r="G92">
            <v>475.5299999999695</v>
          </cell>
          <cell r="H92">
            <v>-15572.5</v>
          </cell>
          <cell r="I92">
            <v>0</v>
          </cell>
          <cell r="J92">
            <v>0</v>
          </cell>
          <cell r="K92">
            <v>-15096.97000000003</v>
          </cell>
          <cell r="L92">
            <v>-8.5293615819209204E-2</v>
          </cell>
          <cell r="M92">
            <v>0.12814001603581682</v>
          </cell>
          <cell r="N92">
            <v>0.19392355999999977</v>
          </cell>
          <cell r="O92">
            <v>0.11302</v>
          </cell>
          <cell r="P92">
            <v>-15096.97000000003</v>
          </cell>
          <cell r="Q92">
            <v>-15096.97000000003</v>
          </cell>
          <cell r="R92"/>
          <cell r="S92"/>
        </row>
        <row r="93">
          <cell r="A93">
            <v>113</v>
          </cell>
          <cell r="B93" t="str">
            <v>Tesorería</v>
          </cell>
          <cell r="C93">
            <v>45077</v>
          </cell>
          <cell r="D93" t="str">
            <v>COP</v>
          </cell>
          <cell r="E93">
            <v>268000</v>
          </cell>
          <cell r="F93">
            <v>268000</v>
          </cell>
          <cell r="G93">
            <v>5335.75</v>
          </cell>
          <cell r="H93">
            <v>-26800</v>
          </cell>
          <cell r="I93">
            <v>0</v>
          </cell>
          <cell r="J93">
            <v>0</v>
          </cell>
          <cell r="K93">
            <v>-21464.25</v>
          </cell>
          <cell r="L93">
            <v>-8.0090485074626863E-2</v>
          </cell>
          <cell r="M93">
            <v>0.12814001603581682</v>
          </cell>
          <cell r="N93">
            <v>0.19392355999999977</v>
          </cell>
          <cell r="O93">
            <v>0.11339</v>
          </cell>
          <cell r="P93">
            <v>-21464.25</v>
          </cell>
          <cell r="Q93">
            <v>-21464.25</v>
          </cell>
          <cell r="R93"/>
          <cell r="S93"/>
        </row>
        <row r="94">
          <cell r="A94"/>
          <cell r="B94"/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</row>
        <row r="95">
          <cell r="K95">
            <v>1631541.9430454446</v>
          </cell>
          <cell r="L95">
            <v>-7.1031260413148861E-2</v>
          </cell>
          <cell r="N95"/>
          <cell r="O95"/>
          <cell r="P95"/>
          <cell r="Q95">
            <v>0</v>
          </cell>
          <cell r="R95"/>
          <cell r="S95">
            <v>-1.0274439635817839E-2</v>
          </cell>
        </row>
        <row r="96">
          <cell r="E96">
            <v>13156609.646547601</v>
          </cell>
          <cell r="F96">
            <v>13156600.310094196</v>
          </cell>
          <cell r="K96">
            <v>-162051.28499999995</v>
          </cell>
          <cell r="M96"/>
          <cell r="N96">
            <v>4.8904307032440412E-2</v>
          </cell>
          <cell r="O96">
            <v>5.3374685354412595E-2</v>
          </cell>
          <cell r="P96" t="str">
            <v>Supuesto</v>
          </cell>
          <cell r="Q96"/>
          <cell r="R96"/>
          <cell r="S96">
            <v>0.14813992195315984</v>
          </cell>
        </row>
        <row r="97">
          <cell r="N97">
            <v>0.1803320167036051</v>
          </cell>
          <cell r="O97"/>
          <cell r="P97" t="str">
            <v>Inflación fin 2022</v>
          </cell>
          <cell r="Q97">
            <v>0.12529999999999999</v>
          </cell>
          <cell r="R97"/>
          <cell r="S97"/>
        </row>
        <row r="98">
          <cell r="N98">
            <v>2022</v>
          </cell>
          <cell r="O98">
            <v>2023</v>
          </cell>
          <cell r="P98"/>
          <cell r="Q98"/>
          <cell r="R98"/>
          <cell r="S98"/>
        </row>
        <row r="99">
          <cell r="B99">
            <v>6.9178288228807824E-2</v>
          </cell>
          <cell r="C99">
            <v>0.10396730921109622</v>
          </cell>
          <cell r="D99">
            <v>0.10396731110901958</v>
          </cell>
        </row>
        <row r="100">
          <cell r="B100">
            <v>6.2762091960710545E-2</v>
          </cell>
          <cell r="C100">
            <v>0.10374185940833314</v>
          </cell>
          <cell r="D100">
            <v>0.10374186130214091</v>
          </cell>
        </row>
        <row r="101">
          <cell r="B101">
            <v>6.4194092461534555E-2</v>
          </cell>
          <cell r="C101">
            <v>0.10430711445711791</v>
          </cell>
          <cell r="D101">
            <v>0.10430711636124441</v>
          </cell>
        </row>
        <row r="102">
          <cell r="B102">
            <v>6.4018853692242444E-2</v>
          </cell>
          <cell r="C102">
            <v>0.10440837851763421</v>
          </cell>
          <cell r="D102">
            <v>0.10440838042360928</v>
          </cell>
        </row>
        <row r="103">
          <cell r="B103">
            <v>6.7092502300103496E-2</v>
          </cell>
          <cell r="C103">
            <v>0.10427577043729586</v>
          </cell>
          <cell r="D103">
            <v>0.10427577234085018</v>
          </cell>
        </row>
        <row r="104">
          <cell r="B104">
            <v>4.8159180396198945E-2</v>
          </cell>
          <cell r="C104">
            <v>0.11529938828171324</v>
          </cell>
          <cell r="D104">
            <v>0.11529939038650372</v>
          </cell>
        </row>
        <row r="105">
          <cell r="B105">
            <v>4.7877107288394692E-2</v>
          </cell>
          <cell r="C105">
            <v>0.11512679744010951</v>
          </cell>
          <cell r="D105">
            <v>0.11512679954174934</v>
          </cell>
        </row>
        <row r="106">
          <cell r="B106">
            <v>7.0154471786104719E-2</v>
          </cell>
          <cell r="C106">
            <v>0.11554138690339377</v>
          </cell>
          <cell r="D106">
            <v>0.11554138901260194</v>
          </cell>
        </row>
        <row r="107">
          <cell r="B107">
            <v>5.6160214346516947E-2</v>
          </cell>
          <cell r="C107">
            <v>0.11512615394007511</v>
          </cell>
          <cell r="D107">
            <v>0.11512615604170319</v>
          </cell>
        </row>
        <row r="108">
          <cell r="B108">
            <v>5.4393443134188028E-2</v>
          </cell>
          <cell r="C108">
            <v>0.11384340650198792</v>
          </cell>
          <cell r="D108">
            <v>0.11384340858019944</v>
          </cell>
        </row>
        <row r="109">
          <cell r="B109">
            <v>5.2811084477643787E-2</v>
          </cell>
          <cell r="C109">
            <v>0.11556246330071041</v>
          </cell>
          <cell r="D109">
            <v>0.11556246541030332</v>
          </cell>
        </row>
        <row r="110">
          <cell r="B110">
            <v>5.7631229566327193E-2</v>
          </cell>
          <cell r="C110">
            <v>0.11898304508034004</v>
          </cell>
          <cell r="D110">
            <v>0.11898304725237567</v>
          </cell>
        </row>
        <row r="111">
          <cell r="B111">
            <v>5.2536116056062662E-2</v>
          </cell>
          <cell r="C111">
            <v>0.11934766703761898</v>
          </cell>
          <cell r="D111">
            <v>0.11934766921631079</v>
          </cell>
        </row>
        <row r="112">
          <cell r="B112">
            <v>5.9664429763828068E-2</v>
          </cell>
          <cell r="C112">
            <v>0.12040854716926984</v>
          </cell>
          <cell r="D112">
            <v>0.12040854936732802</v>
          </cell>
        </row>
        <row r="113">
          <cell r="B113">
            <v>6.1444261377123763E-2</v>
          </cell>
          <cell r="C113">
            <v>0.12129979778471026</v>
          </cell>
          <cell r="D113">
            <v>0.12129979999903823</v>
          </cell>
        </row>
        <row r="114">
          <cell r="B114">
            <v>5.4235150330191551E-2</v>
          </cell>
          <cell r="C114">
            <v>0.12885617898393179</v>
          </cell>
          <cell r="D114">
            <v>0.1288561813362015</v>
          </cell>
        </row>
        <row r="115">
          <cell r="B115">
            <v>7.1929912282070588E-2</v>
          </cell>
          <cell r="C115">
            <v>0.13942744605303389</v>
          </cell>
          <cell r="D115">
            <v>0.1394274485982821</v>
          </cell>
        </row>
        <row r="116">
          <cell r="B116">
            <v>7.6417569095022453E-2</v>
          </cell>
          <cell r="C116">
            <v>0.133346586619525</v>
          </cell>
          <cell r="D116">
            <v>0.13334658905376712</v>
          </cell>
        </row>
        <row r="117">
          <cell r="B117">
            <v>7.177128544095146E-2</v>
          </cell>
          <cell r="C117">
            <v>0.13255518667183042</v>
          </cell>
          <cell r="D117">
            <v>0.13255518909162553</v>
          </cell>
        </row>
        <row r="118">
          <cell r="B118">
            <v>7.6446232059495925E-2</v>
          </cell>
          <cell r="C118">
            <v>0.14317950125618492</v>
          </cell>
          <cell r="D118">
            <v>0.14317950386992689</v>
          </cell>
        </row>
        <row r="119">
          <cell r="B119">
            <v>7.227448237262532E-2</v>
          </cell>
          <cell r="C119">
            <v>0.1451011834882896</v>
          </cell>
          <cell r="D119">
            <v>0.14510118613711187</v>
          </cell>
        </row>
        <row r="120">
          <cell r="B120">
            <v>7.9253057866085511E-2</v>
          </cell>
          <cell r="C120">
            <v>0.13746853292967728</v>
          </cell>
          <cell r="D120">
            <v>0.13746853543916554</v>
          </cell>
        </row>
        <row r="121">
          <cell r="B121">
            <v>6.8545577739592259E-2</v>
          </cell>
          <cell r="C121">
            <v>0.14698258060165259</v>
          </cell>
          <cell r="D121">
            <v>0.14698258328481978</v>
          </cell>
        </row>
        <row r="122">
          <cell r="B122">
            <v>6.8657997131197843E-2</v>
          </cell>
          <cell r="C122">
            <v>0.14985042549609021</v>
          </cell>
          <cell r="D122">
            <v>0.14985042823160993</v>
          </cell>
        </row>
        <row r="123">
          <cell r="B123">
            <v>7.4160614517100959E-2</v>
          </cell>
          <cell r="C123">
            <v>0.14805558872688057</v>
          </cell>
          <cell r="D123">
            <v>0.14805559142963554</v>
          </cell>
        </row>
        <row r="124">
          <cell r="B124">
            <v>6.5535186529092945E-2</v>
          </cell>
          <cell r="C124">
            <v>0.1420552772963154</v>
          </cell>
          <cell r="D124">
            <v>0.14205527988953465</v>
          </cell>
        </row>
        <row r="125">
          <cell r="B125">
            <v>7.2558149942635652E-2</v>
          </cell>
          <cell r="C125">
            <v>0.14937366869345309</v>
          </cell>
          <cell r="D125">
            <v>0.14937367142026958</v>
          </cell>
        </row>
        <row r="126">
          <cell r="B126">
            <v>8.060241537927966E-2</v>
          </cell>
          <cell r="C126">
            <v>0.15385965912309754</v>
          </cell>
          <cell r="D126">
            <v>0.15385966193180581</v>
          </cell>
        </row>
        <row r="127">
          <cell r="B127">
            <v>7.9565975236265227E-2</v>
          </cell>
          <cell r="C127">
            <v>0.15858161746691396</v>
          </cell>
          <cell r="D127">
            <v>0.15858162036182158</v>
          </cell>
        </row>
        <row r="128">
          <cell r="B128">
            <v>8.6419989263772923E-2</v>
          </cell>
          <cell r="C128">
            <v>0.15979780073068403</v>
          </cell>
          <cell r="D128">
            <v>0.15979780364779309</v>
          </cell>
        </row>
        <row r="129">
          <cell r="B129">
            <v>0.1005429237122864</v>
          </cell>
          <cell r="C129">
            <v>0.14128938157966578</v>
          </cell>
          <cell r="D129">
            <v>0.14128938415890363</v>
          </cell>
        </row>
        <row r="130">
          <cell r="B130">
            <v>8.9691137425597686E-2</v>
          </cell>
          <cell r="C130">
            <v>0.15405160474089341</v>
          </cell>
          <cell r="D130">
            <v>0.15405160755310565</v>
          </cell>
        </row>
        <row r="131">
          <cell r="B131">
            <v>9.571512888117889E-2</v>
          </cell>
          <cell r="C131">
            <v>0.15776097518986476</v>
          </cell>
          <cell r="D131">
            <v>0.15776097806979159</v>
          </cell>
        </row>
        <row r="133">
          <cell r="B133">
            <v>6.8860610667885777E-2</v>
          </cell>
          <cell r="C133">
            <v>0.13069188730664819</v>
          </cell>
          <cell r="D133">
            <v>0.13069188969242879</v>
          </cell>
        </row>
        <row r="134">
          <cell r="B134" t="str">
            <v>EFN</v>
          </cell>
          <cell r="C134" t="str">
            <v>CO</v>
          </cell>
          <cell r="D134" t="str">
            <v>CO</v>
          </cell>
        </row>
      </sheetData>
      <sheetData sheetId="20">
        <row r="3">
          <cell r="A3" t="str">
            <v>Operación</v>
          </cell>
          <cell r="B3" t="str">
            <v>Canje</v>
          </cell>
          <cell r="C3" t="str">
            <v>Etiqueta</v>
          </cell>
          <cell r="D3" t="str">
            <v>Denomicación</v>
          </cell>
          <cell r="E3" t="str">
            <v>Monto Canejado (MC)</v>
          </cell>
          <cell r="F3" t="str">
            <v>Monto Entregado</v>
          </cell>
          <cell r="G3" t="str">
            <v>Valor de giro (Eje Izquierdo)</v>
          </cell>
          <cell r="H3" t="str">
            <v>Efecto cupones (Eje Izquierdo)</v>
          </cell>
          <cell r="I3" t="str">
            <v>Indexaciones (Eje Izquierdo)</v>
          </cell>
          <cell r="J3" t="str">
            <v>Saldo de la deuda (Eje izquierdo)</v>
          </cell>
          <cell r="K3" t="str">
            <v>Efecto Fiscal Neto</v>
          </cell>
          <cell r="L3" t="str">
            <v>EFN (%MC)</v>
          </cell>
          <cell r="M3" t="str">
            <v>Promedio TES COP (subastas)</v>
          </cell>
          <cell r="N3" t="str">
            <v>Promedio TES UVR (subastas)</v>
          </cell>
          <cell r="O3" t="str">
            <v>Costo de oportunidad</v>
          </cell>
          <cell r="P3" t="str">
            <v>Total</v>
          </cell>
          <cell r="Q3" t="str">
            <v>COP</v>
          </cell>
          <cell r="R3" t="str">
            <v>UVR</v>
          </cell>
          <cell r="S3" t="str">
            <v>Lineamientos</v>
          </cell>
        </row>
        <row r="4">
          <cell r="A4">
            <v>24</v>
          </cell>
          <cell r="B4" t="str">
            <v>Tesorería</v>
          </cell>
          <cell r="C4" t="str">
            <v>14-mar-22</v>
          </cell>
          <cell r="D4" t="str">
            <v>COP-22</v>
          </cell>
          <cell r="E4">
            <v>30922.5</v>
          </cell>
          <cell r="F4">
            <v>30922.401999999998</v>
          </cell>
          <cell r="G4">
            <v>1467.3709958599968</v>
          </cell>
          <cell r="H4">
            <v>288.58204749999999</v>
          </cell>
          <cell r="I4">
            <v>212.26400000000001</v>
          </cell>
          <cell r="J4">
            <v>-9.8000000000000004E-2</v>
          </cell>
          <cell r="K4">
            <v>1968.1190433599968</v>
          </cell>
          <cell r="L4">
            <v>6.3646828146495166E-2</v>
          </cell>
          <cell r="M4">
            <v>0.1381</v>
          </cell>
          <cell r="N4">
            <v>0.13837584442230755</v>
          </cell>
          <cell r="O4">
            <v>0.10481781287371966</v>
          </cell>
          <cell r="P4">
            <v>1968.1190433599968</v>
          </cell>
          <cell r="Q4">
            <v>1968.1190433599968</v>
          </cell>
          <cell r="R4"/>
          <cell r="S4"/>
        </row>
        <row r="5">
          <cell r="A5">
            <v>25</v>
          </cell>
          <cell r="B5" t="str">
            <v>Tesorería</v>
          </cell>
          <cell r="C5" t="str">
            <v>15-mar-22</v>
          </cell>
          <cell r="D5" t="str">
            <v>COP-22</v>
          </cell>
          <cell r="E5">
            <v>245370.3</v>
          </cell>
          <cell r="F5">
            <v>245370.21799999999</v>
          </cell>
          <cell r="G5">
            <v>10071.304838920014</v>
          </cell>
          <cell r="H5">
            <v>2057.871677499998</v>
          </cell>
          <cell r="I5">
            <v>1799.0250000000001</v>
          </cell>
          <cell r="J5">
            <v>-8.2000000000000003E-2</v>
          </cell>
          <cell r="K5">
            <v>13928.119516420011</v>
          </cell>
          <cell r="L5">
            <v>5.676367317650103E-2</v>
          </cell>
          <cell r="M5">
            <v>0.1381</v>
          </cell>
          <cell r="N5">
            <v>0.13837584442230755</v>
          </cell>
          <cell r="O5">
            <v>0.10459051878081921</v>
          </cell>
          <cell r="P5">
            <v>13928.119516420011</v>
          </cell>
          <cell r="Q5">
            <v>13928.119516420011</v>
          </cell>
          <cell r="R5"/>
          <cell r="S5"/>
        </row>
        <row r="6">
          <cell r="A6">
            <v>26</v>
          </cell>
          <cell r="B6" t="str">
            <v>Tesorería</v>
          </cell>
          <cell r="C6" t="str">
            <v>16-mar-22</v>
          </cell>
          <cell r="D6" t="str">
            <v>COP-22</v>
          </cell>
          <cell r="E6">
            <v>271825.59999999998</v>
          </cell>
          <cell r="F6">
            <v>271825.5</v>
          </cell>
          <cell r="G6">
            <v>11563.784356</v>
          </cell>
          <cell r="H6">
            <v>2243.6886249999998</v>
          </cell>
          <cell r="I6">
            <v>2004.6899999999923</v>
          </cell>
          <cell r="J6">
            <v>-0.1</v>
          </cell>
          <cell r="K6">
            <v>15812.062980999992</v>
          </cell>
          <cell r="L6">
            <v>5.8169881648380405E-2</v>
          </cell>
          <cell r="M6">
            <v>0.1381</v>
          </cell>
          <cell r="N6">
            <v>0.13837584442230755</v>
          </cell>
          <cell r="O6">
            <v>0.10516039789358096</v>
          </cell>
          <cell r="P6">
            <v>15812.06298099999</v>
          </cell>
          <cell r="Q6">
            <v>15812.06298099999</v>
          </cell>
          <cell r="R6"/>
          <cell r="S6"/>
        </row>
        <row r="7">
          <cell r="A7">
            <v>27</v>
          </cell>
          <cell r="B7" t="str">
            <v>Tesorería</v>
          </cell>
          <cell r="C7" t="str">
            <v>17-mar-22</v>
          </cell>
          <cell r="D7" t="str">
            <v>COP-22</v>
          </cell>
          <cell r="E7">
            <v>355185.2</v>
          </cell>
          <cell r="F7">
            <v>355185.10399999999</v>
          </cell>
          <cell r="G7">
            <v>15060.503636320069</v>
          </cell>
          <cell r="H7">
            <v>3097.6822199999961</v>
          </cell>
          <cell r="I7">
            <v>2524.6559999999999</v>
          </cell>
          <cell r="J7">
            <v>-9.6000000000000002E-2</v>
          </cell>
          <cell r="K7">
            <v>20682.745856320063</v>
          </cell>
          <cell r="L7">
            <v>5.8230877458633028E-2</v>
          </cell>
          <cell r="M7">
            <v>0.1381</v>
          </cell>
          <cell r="N7">
            <v>0.13837584442230755</v>
          </cell>
          <cell r="O7">
            <v>0.10526249034385761</v>
          </cell>
          <cell r="P7">
            <v>20682.745856320063</v>
          </cell>
          <cell r="Q7">
            <v>20682.745856320063</v>
          </cell>
          <cell r="R7"/>
          <cell r="S7"/>
        </row>
        <row r="8">
          <cell r="A8">
            <v>28</v>
          </cell>
          <cell r="B8" t="str">
            <v>Tesorería</v>
          </cell>
          <cell r="C8" t="str">
            <v>18-mar-22</v>
          </cell>
          <cell r="D8" t="str">
            <v>COP-22</v>
          </cell>
          <cell r="E8">
            <v>148676</v>
          </cell>
          <cell r="F8">
            <v>148675.94</v>
          </cell>
          <cell r="G8">
            <v>6771.7520641999972</v>
          </cell>
          <cell r="H8">
            <v>1304.9835749999982</v>
          </cell>
          <cell r="I8">
            <v>1048.7899999999961</v>
          </cell>
          <cell r="J8">
            <v>-0.06</v>
          </cell>
          <cell r="K8">
            <v>9125.4656391999906</v>
          </cell>
          <cell r="L8">
            <v>6.1378202528989151E-2</v>
          </cell>
          <cell r="M8">
            <v>0.1381</v>
          </cell>
          <cell r="N8">
            <v>0.13837584442230755</v>
          </cell>
          <cell r="O8">
            <v>0.10512879746427922</v>
          </cell>
          <cell r="P8">
            <v>9125.4656391999924</v>
          </cell>
          <cell r="Q8">
            <v>9125.4656391999924</v>
          </cell>
          <cell r="R8"/>
          <cell r="S8"/>
        </row>
        <row r="9">
          <cell r="A9">
            <v>29</v>
          </cell>
          <cell r="B9" t="str">
            <v>Tesorería</v>
          </cell>
          <cell r="C9" t="str">
            <v>29-mar-22</v>
          </cell>
          <cell r="D9" t="str">
            <v>UVR-23</v>
          </cell>
          <cell r="E9">
            <v>352572.56303720002</v>
          </cell>
          <cell r="F9">
            <v>352572.41399999999</v>
          </cell>
          <cell r="G9">
            <v>6915.9149626299741</v>
          </cell>
          <cell r="H9">
            <v>21226.439875</v>
          </cell>
          <cell r="I9">
            <v>-5842.6622693999561</v>
          </cell>
          <cell r="J9">
            <v>-0.14903720001220702</v>
          </cell>
          <cell r="K9">
            <v>22299.543531030005</v>
          </cell>
          <cell r="L9">
            <v>6.3248096615723254E-2</v>
          </cell>
          <cell r="M9">
            <v>0.1381</v>
          </cell>
          <cell r="N9">
            <v>0.13837584442230755</v>
          </cell>
          <cell r="O9">
            <v>0.11624259391794581</v>
          </cell>
          <cell r="P9">
            <v>22299.543531030005</v>
          </cell>
          <cell r="Q9"/>
          <cell r="R9">
            <v>22299.543531030005</v>
          </cell>
          <cell r="S9"/>
        </row>
        <row r="10">
          <cell r="A10">
            <v>30</v>
          </cell>
          <cell r="B10" t="str">
            <v>Tesorería</v>
          </cell>
          <cell r="C10" t="str">
            <v>30-mar-22</v>
          </cell>
          <cell r="D10" t="str">
            <v>UVR-23</v>
          </cell>
          <cell r="E10">
            <v>442473.88438159996</v>
          </cell>
          <cell r="F10">
            <v>442473.837</v>
          </cell>
          <cell r="G10">
            <v>8601.3616406499641</v>
          </cell>
          <cell r="H10">
            <v>26803.980942499998</v>
          </cell>
          <cell r="I10">
            <v>-7445.6939256000214</v>
          </cell>
          <cell r="J10">
            <v>-4.7381599975585935E-2</v>
          </cell>
          <cell r="K10">
            <v>27959.601275949968</v>
          </cell>
          <cell r="L10">
            <v>6.3189268932846099E-2</v>
          </cell>
          <cell r="M10">
            <v>0.1381</v>
          </cell>
          <cell r="N10">
            <v>0.13837584442230755</v>
          </cell>
          <cell r="O10">
            <v>0.1160685911984736</v>
          </cell>
          <cell r="P10">
            <v>27959.601275949964</v>
          </cell>
          <cell r="Q10"/>
          <cell r="R10">
            <v>27959.601275949964</v>
          </cell>
          <cell r="S10"/>
        </row>
        <row r="11">
          <cell r="A11">
            <v>31</v>
          </cell>
          <cell r="B11" t="str">
            <v>Tesorería</v>
          </cell>
          <cell r="C11" t="str">
            <v>31-mar-22</v>
          </cell>
          <cell r="D11" t="str">
            <v>COP-22</v>
          </cell>
          <cell r="E11">
            <v>535084.80000000005</v>
          </cell>
          <cell r="F11">
            <v>535084.71339359996</v>
          </cell>
          <cell r="G11">
            <v>25908.46578247986</v>
          </cell>
          <cell r="H11">
            <v>-5082.1500032040021</v>
          </cell>
          <cell r="I11">
            <v>9021.3408684000406</v>
          </cell>
          <cell r="J11">
            <v>-8.6606400024414068E-2</v>
          </cell>
          <cell r="K11">
            <v>29847.570041275871</v>
          </cell>
          <cell r="L11">
            <v>5.5781008993856428E-2</v>
          </cell>
          <cell r="M11">
            <v>0.1381</v>
          </cell>
          <cell r="N11">
            <v>0.13837584442230755</v>
          </cell>
          <cell r="O11">
            <v>0.11648657220723196</v>
          </cell>
          <cell r="P11">
            <v>29847.570041275871</v>
          </cell>
          <cell r="Q11">
            <v>29847.570041275871</v>
          </cell>
          <cell r="R11"/>
          <cell r="S11"/>
        </row>
        <row r="12">
          <cell r="A12">
            <v>32</v>
          </cell>
          <cell r="B12" t="str">
            <v>Tesorería</v>
          </cell>
          <cell r="C12" t="str">
            <v>1-abr-22</v>
          </cell>
          <cell r="D12" t="str">
            <v>UVR-23</v>
          </cell>
          <cell r="E12">
            <v>696763.904583</v>
          </cell>
          <cell r="F12">
            <v>696763.67200000002</v>
          </cell>
          <cell r="G12">
            <v>19530.61185671997</v>
          </cell>
          <cell r="H12">
            <v>42101.571532499998</v>
          </cell>
          <cell r="I12">
            <v>-11758.147230600036</v>
          </cell>
          <cell r="J12">
            <v>-0.23258300000000001</v>
          </cell>
          <cell r="K12">
            <v>49873.803575619932</v>
          </cell>
          <cell r="L12">
            <v>7.1579200999897466E-2</v>
          </cell>
          <cell r="M12">
            <v>0.1381</v>
          </cell>
          <cell r="N12">
            <v>0.13837584442230755</v>
          </cell>
          <cell r="O12">
            <v>0.1160679424342928</v>
          </cell>
          <cell r="P12">
            <v>49873.803575619932</v>
          </cell>
          <cell r="Q12"/>
          <cell r="R12">
            <v>49873.803575619932</v>
          </cell>
          <cell r="S12"/>
        </row>
        <row r="13">
          <cell r="A13">
            <v>33</v>
          </cell>
          <cell r="B13" t="str">
            <v>Tesorería</v>
          </cell>
          <cell r="C13" t="str">
            <v>4-abr-22</v>
          </cell>
          <cell r="D13" t="str">
            <v>UVR-23</v>
          </cell>
          <cell r="E13">
            <v>420584.78212040005</v>
          </cell>
          <cell r="F13">
            <v>420584.59850000002</v>
          </cell>
          <cell r="G13">
            <v>16723.502896809998</v>
          </cell>
          <cell r="H13">
            <v>19656.25</v>
          </cell>
          <cell r="I13">
            <v>-7059.4375072000275</v>
          </cell>
          <cell r="J13">
            <v>-0.18362040002441407</v>
          </cell>
          <cell r="K13">
            <v>29320.131769209947</v>
          </cell>
          <cell r="L13">
            <v>6.9712773775101849E-2</v>
          </cell>
          <cell r="M13">
            <v>0.1381</v>
          </cell>
          <cell r="N13">
            <v>0.13837584442230755</v>
          </cell>
          <cell r="O13">
            <v>0.11477470149202057</v>
          </cell>
          <cell r="P13">
            <v>29320.131769209944</v>
          </cell>
          <cell r="Q13"/>
          <cell r="R13">
            <v>29320.131769209944</v>
          </cell>
          <cell r="S13"/>
        </row>
        <row r="14">
          <cell r="A14">
            <v>34</v>
          </cell>
          <cell r="B14" t="str">
            <v>Tesorería</v>
          </cell>
          <cell r="C14" t="str">
            <v>5-abr-22</v>
          </cell>
          <cell r="D14" t="str">
            <v>UVR-23</v>
          </cell>
          <cell r="E14">
            <v>398457.73877499998</v>
          </cell>
          <cell r="F14">
            <v>398457.50624999998</v>
          </cell>
          <cell r="G14">
            <v>16212.772480229951</v>
          </cell>
          <cell r="H14">
            <v>18500</v>
          </cell>
          <cell r="I14">
            <v>-6619.2823950000002</v>
          </cell>
          <cell r="J14">
            <v>-0.23252500000000001</v>
          </cell>
          <cell r="K14">
            <v>28093.257560229951</v>
          </cell>
          <cell r="L14">
            <v>7.0504986668344205E-2</v>
          </cell>
          <cell r="M14">
            <v>0.1381</v>
          </cell>
          <cell r="N14">
            <v>0.1457181745715348</v>
          </cell>
          <cell r="O14">
            <v>0.11650782101983229</v>
          </cell>
          <cell r="P14">
            <v>28093.257560229948</v>
          </cell>
          <cell r="Q14"/>
          <cell r="R14">
            <v>28093.257560229948</v>
          </cell>
          <cell r="S14"/>
        </row>
        <row r="15">
          <cell r="A15">
            <v>35</v>
          </cell>
          <cell r="B15" t="str">
            <v>Tesorería</v>
          </cell>
          <cell r="C15" t="str">
            <v>6-abr-22</v>
          </cell>
          <cell r="D15" t="str">
            <v>UVR-23</v>
          </cell>
          <cell r="E15">
            <v>288863.32595099998</v>
          </cell>
          <cell r="F15">
            <v>288863.10399999999</v>
          </cell>
          <cell r="G15">
            <v>13119.61455173001</v>
          </cell>
          <cell r="H15">
            <v>13412.5</v>
          </cell>
          <cell r="I15">
            <v>-4780.9006875999758</v>
          </cell>
          <cell r="J15">
            <v>-0.22195100000000001</v>
          </cell>
          <cell r="K15">
            <v>21750.991913130034</v>
          </cell>
          <cell r="L15">
            <v>7.5298558034396043E-2</v>
          </cell>
          <cell r="M15">
            <v>0.1381</v>
          </cell>
          <cell r="N15">
            <v>0.1457181745715348</v>
          </cell>
          <cell r="O15">
            <v>0.11995638483875824</v>
          </cell>
          <cell r="P15">
            <v>21750.991913130034</v>
          </cell>
          <cell r="Q15"/>
          <cell r="R15">
            <v>21750.991913130034</v>
          </cell>
          <cell r="S15"/>
        </row>
        <row r="16">
          <cell r="A16">
            <v>36</v>
          </cell>
          <cell r="B16" t="str">
            <v>Tesorería</v>
          </cell>
          <cell r="C16" t="str">
            <v>7-abr-22</v>
          </cell>
          <cell r="D16" t="str">
            <v>UVR-23</v>
          </cell>
          <cell r="E16">
            <v>187960.1677736</v>
          </cell>
          <cell r="F16">
            <v>187960.07199999999</v>
          </cell>
          <cell r="G16">
            <v>7530.2690830512083</v>
          </cell>
          <cell r="H16">
            <v>8787.5</v>
          </cell>
          <cell r="I16">
            <v>-3120.4778696999892</v>
          </cell>
          <cell r="J16">
            <v>-9.5773600006103521E-2</v>
          </cell>
          <cell r="K16">
            <v>13197.195439751213</v>
          </cell>
          <cell r="L16">
            <v>7.0212724302562729E-2</v>
          </cell>
          <cell r="M16">
            <v>0.1381</v>
          </cell>
          <cell r="N16">
            <v>0.1457181745715348</v>
          </cell>
          <cell r="O16">
            <v>0.12032398958276594</v>
          </cell>
          <cell r="P16">
            <v>13197.195439751213</v>
          </cell>
          <cell r="Q16"/>
          <cell r="R16">
            <v>13197.195439751213</v>
          </cell>
          <cell r="S16"/>
        </row>
        <row r="17">
          <cell r="A17">
            <v>37</v>
          </cell>
          <cell r="B17" t="str">
            <v>Tesorería</v>
          </cell>
          <cell r="C17" t="str">
            <v>8-abr-22</v>
          </cell>
          <cell r="D17" t="str">
            <v>UVR-23</v>
          </cell>
          <cell r="E17">
            <v>156007.45136499999</v>
          </cell>
          <cell r="F17">
            <v>156007.17600000001</v>
          </cell>
          <cell r="G17">
            <v>7373.1114255392758</v>
          </cell>
          <cell r="H17">
            <v>7215</v>
          </cell>
          <cell r="I17">
            <v>-2552.3761931000063</v>
          </cell>
          <cell r="J17">
            <v>-0.27536500000000003</v>
          </cell>
          <cell r="K17">
            <v>12035.459867439269</v>
          </cell>
          <cell r="L17">
            <v>7.714669884120294E-2</v>
          </cell>
          <cell r="M17">
            <v>0.1381</v>
          </cell>
          <cell r="N17">
            <v>0.1457181745715348</v>
          </cell>
          <cell r="O17">
            <v>0.12139354823504429</v>
          </cell>
          <cell r="P17">
            <v>12035.459867439269</v>
          </cell>
          <cell r="Q17"/>
          <cell r="R17">
            <v>12035.459867439269</v>
          </cell>
          <cell r="S17"/>
        </row>
        <row r="18">
          <cell r="A18">
            <v>38</v>
          </cell>
          <cell r="B18" t="str">
            <v>Tesorería</v>
          </cell>
          <cell r="C18" t="str">
            <v>19-abr-22</v>
          </cell>
          <cell r="D18" t="str">
            <v>UVR-23</v>
          </cell>
          <cell r="E18">
            <v>470189.63195040001</v>
          </cell>
          <cell r="F18">
            <v>470189.34399999998</v>
          </cell>
          <cell r="G18">
            <v>22400.928182399995</v>
          </cell>
          <cell r="H18">
            <v>21737.5</v>
          </cell>
          <cell r="I18">
            <v>-7368.1144046999971</v>
          </cell>
          <cell r="J18">
            <v>-0.28795040002441408</v>
          </cell>
          <cell r="K18">
            <v>36770.025827299971</v>
          </cell>
          <cell r="L18">
            <v>7.8202544949308492E-2</v>
          </cell>
          <cell r="M18">
            <v>0.1381</v>
          </cell>
          <cell r="N18">
            <v>0.14403992768028284</v>
          </cell>
          <cell r="O18">
            <v>0.12229208971834019</v>
          </cell>
          <cell r="P18">
            <v>36770.025827299971</v>
          </cell>
          <cell r="Q18"/>
          <cell r="R18">
            <v>36770.025827299971</v>
          </cell>
          <cell r="S18"/>
        </row>
        <row r="19">
          <cell r="A19">
            <v>39</v>
          </cell>
          <cell r="B19" t="str">
            <v>Mercado</v>
          </cell>
          <cell r="C19" t="str">
            <v>16-may-22</v>
          </cell>
          <cell r="D19" t="str">
            <v>UVR-23</v>
          </cell>
          <cell r="E19">
            <v>2573927.9221506002</v>
          </cell>
          <cell r="F19">
            <v>2573927.3219506</v>
          </cell>
          <cell r="G19">
            <v>131728.90984181006</v>
          </cell>
          <cell r="H19">
            <v>22824.633999999998</v>
          </cell>
          <cell r="I19">
            <v>-6909.314499999512</v>
          </cell>
          <cell r="J19">
            <v>-0.60020000012207031</v>
          </cell>
          <cell r="K19">
            <v>147643.62914181044</v>
          </cell>
          <cell r="L19">
            <v>5.7361213525532369E-2</v>
          </cell>
          <cell r="M19">
            <v>0.1381</v>
          </cell>
          <cell r="N19">
            <v>0.14403992768028284</v>
          </cell>
          <cell r="O19">
            <v>0.12991028582779535</v>
          </cell>
          <cell r="P19">
            <v>147643.62914181041</v>
          </cell>
          <cell r="Q19"/>
          <cell r="R19">
            <v>147643.62914181041</v>
          </cell>
          <cell r="S19"/>
        </row>
        <row r="20">
          <cell r="A20">
            <v>40</v>
          </cell>
          <cell r="B20" t="str">
            <v>Tesorería</v>
          </cell>
          <cell r="C20" t="str">
            <v>17-may-22</v>
          </cell>
          <cell r="D20" t="str">
            <v>UVR-23</v>
          </cell>
          <cell r="E20">
            <v>84398.209747899993</v>
          </cell>
          <cell r="F20">
            <v>84397.920499999993</v>
          </cell>
          <cell r="G20">
            <v>5696.7827415900056</v>
          </cell>
          <cell r="H20">
            <v>1650</v>
          </cell>
          <cell r="I20">
            <v>-613.30177080000396</v>
          </cell>
          <cell r="J20">
            <v>-0.28924789999294281</v>
          </cell>
          <cell r="K20">
            <v>6733.1917228900093</v>
          </cell>
          <cell r="L20">
            <v>7.9778845345206448E-2</v>
          </cell>
          <cell r="M20">
            <v>0.1381</v>
          </cell>
          <cell r="N20">
            <v>0.14403992768028284</v>
          </cell>
          <cell r="O20">
            <v>0.14056803105459015</v>
          </cell>
          <cell r="P20">
            <v>6733.1917228900084</v>
          </cell>
          <cell r="Q20"/>
          <cell r="R20">
            <v>6733.1917228900084</v>
          </cell>
          <cell r="S20"/>
        </row>
        <row r="21">
          <cell r="A21">
            <v>41</v>
          </cell>
          <cell r="B21" t="str">
            <v>Tesorería</v>
          </cell>
          <cell r="C21" t="str">
            <v>18-may-22</v>
          </cell>
          <cell r="D21" t="str">
            <v>UVR-23</v>
          </cell>
          <cell r="E21">
            <v>226818.7422564</v>
          </cell>
          <cell r="F21">
            <v>226818.5815</v>
          </cell>
          <cell r="G21">
            <v>16108.434957429999</v>
          </cell>
          <cell r="H21">
            <v>5250</v>
          </cell>
          <cell r="I21">
            <v>-1942.7266955999764</v>
          </cell>
          <cell r="J21">
            <v>-0.16075639999389649</v>
          </cell>
          <cell r="K21">
            <v>19415.54750543003</v>
          </cell>
          <cell r="L21">
            <v>8.5599396735400041E-2</v>
          </cell>
          <cell r="M21">
            <v>0.1381</v>
          </cell>
          <cell r="N21">
            <v>0.14403992768028284</v>
          </cell>
          <cell r="O21">
            <v>0.13443742720373181</v>
          </cell>
          <cell r="P21">
            <v>19415.54750543003</v>
          </cell>
          <cell r="Q21"/>
          <cell r="R21">
            <v>19415.54750543003</v>
          </cell>
          <cell r="S21"/>
        </row>
        <row r="22">
          <cell r="A22">
            <v>42</v>
          </cell>
          <cell r="B22" t="str">
            <v>Tesorería</v>
          </cell>
          <cell r="C22" t="str">
            <v>19-may-22</v>
          </cell>
          <cell r="D22" t="str">
            <v>UVR-23</v>
          </cell>
          <cell r="E22">
            <v>74832.457850999999</v>
          </cell>
          <cell r="F22">
            <v>74832.356</v>
          </cell>
          <cell r="G22">
            <v>5019.4260924999999</v>
          </cell>
          <cell r="H22">
            <v>1500</v>
          </cell>
          <cell r="I22">
            <v>-552.58530749999238</v>
          </cell>
          <cell r="J22">
            <v>-0.1018510000038147</v>
          </cell>
          <cell r="K22">
            <v>5966.7389340000036</v>
          </cell>
          <cell r="L22">
            <v>7.9734637954568657E-2</v>
          </cell>
          <cell r="M22">
            <v>0.1381</v>
          </cell>
          <cell r="N22">
            <v>0.14403992768028284</v>
          </cell>
          <cell r="O22">
            <v>0.1336395532156949</v>
          </cell>
          <cell r="P22">
            <v>5966.7389340000036</v>
          </cell>
          <cell r="Q22"/>
          <cell r="R22">
            <v>5966.7389340000036</v>
          </cell>
          <cell r="S22"/>
        </row>
        <row r="23">
          <cell r="A23">
            <v>43</v>
          </cell>
          <cell r="B23" t="str">
            <v>Tesorería</v>
          </cell>
          <cell r="C23" t="str">
            <v>23-may-22</v>
          </cell>
          <cell r="D23" t="str">
            <v>UVR-23</v>
          </cell>
          <cell r="E23">
            <v>416047.67885940004</v>
          </cell>
          <cell r="F23">
            <v>416047.49650000001</v>
          </cell>
          <cell r="G23">
            <v>30299.736494220033</v>
          </cell>
          <cell r="H23">
            <v>6375</v>
          </cell>
          <cell r="I23">
            <v>-2306.3577767999877</v>
          </cell>
          <cell r="J23">
            <v>-0.18235940002441406</v>
          </cell>
          <cell r="K23">
            <v>34368.196358020017</v>
          </cell>
          <cell r="L23">
            <v>8.2606388893313523E-2</v>
          </cell>
          <cell r="M23">
            <v>0.1381</v>
          </cell>
          <cell r="N23">
            <v>0.14403992768028284</v>
          </cell>
          <cell r="O23">
            <v>0.14435077991247611</v>
          </cell>
          <cell r="P23">
            <v>34368.196358020024</v>
          </cell>
          <cell r="Q23"/>
          <cell r="R23">
            <v>34368.196358020024</v>
          </cell>
          <cell r="S23"/>
        </row>
        <row r="24">
          <cell r="A24">
            <v>44</v>
          </cell>
          <cell r="B24" t="str">
            <v>Tesorería</v>
          </cell>
          <cell r="C24" t="str">
            <v>24-may-22</v>
          </cell>
          <cell r="D24" t="str">
            <v>UVR-23</v>
          </cell>
          <cell r="E24">
            <v>295871.49976959999</v>
          </cell>
          <cell r="F24">
            <v>295871.39199999999</v>
          </cell>
          <cell r="G24">
            <v>20696.929685760009</v>
          </cell>
          <cell r="H24">
            <v>3075</v>
          </cell>
          <cell r="I24">
            <v>-1107.3991089000397</v>
          </cell>
          <cell r="J24">
            <v>-0.10776959997558594</v>
          </cell>
          <cell r="K24">
            <v>22664.422807259994</v>
          </cell>
          <cell r="L24">
            <v>7.6602250723402404E-2</v>
          </cell>
          <cell r="M24">
            <v>0.1381</v>
          </cell>
          <cell r="N24">
            <v>0.14403992768028284</v>
          </cell>
          <cell r="O24">
            <v>0.14628818244925351</v>
          </cell>
          <cell r="P24">
            <v>22664.422807259994</v>
          </cell>
          <cell r="Q24"/>
          <cell r="R24">
            <v>22664.422807259994</v>
          </cell>
          <cell r="S24"/>
        </row>
        <row r="25">
          <cell r="A25">
            <v>45</v>
          </cell>
          <cell r="B25" t="str">
            <v>Tesorería</v>
          </cell>
          <cell r="C25" t="str">
            <v>25-may-22</v>
          </cell>
          <cell r="D25" t="str">
            <v>UVR-23</v>
          </cell>
          <cell r="E25">
            <v>194669.98661250001</v>
          </cell>
          <cell r="F25">
            <v>194669.78750000001</v>
          </cell>
          <cell r="G25">
            <v>14043.939834010011</v>
          </cell>
          <cell r="H25">
            <v>5325</v>
          </cell>
          <cell r="I25">
            <v>-1908.9016469999999</v>
          </cell>
          <cell r="J25">
            <v>-0.1991125</v>
          </cell>
          <cell r="K25">
            <v>17459.839074510011</v>
          </cell>
          <cell r="L25">
            <v>8.9689424540130389E-2</v>
          </cell>
          <cell r="M25">
            <v>0.1381</v>
          </cell>
          <cell r="N25">
            <v>0.14403992768028284</v>
          </cell>
          <cell r="O25">
            <v>0.13859309305958092</v>
          </cell>
          <cell r="P25">
            <v>17459.839074510011</v>
          </cell>
          <cell r="Q25"/>
          <cell r="R25">
            <v>17459.839074510011</v>
          </cell>
          <cell r="S25"/>
        </row>
        <row r="26">
          <cell r="A26">
            <v>46</v>
          </cell>
          <cell r="B26" t="str">
            <v>Tesorería</v>
          </cell>
          <cell r="C26" t="str">
            <v>26-may-22</v>
          </cell>
          <cell r="D26" t="str">
            <v>UVR-23</v>
          </cell>
          <cell r="E26">
            <v>1042395.4778479</v>
          </cell>
          <cell r="F26">
            <v>1042395.19625</v>
          </cell>
          <cell r="G26">
            <v>69571.517121210025</v>
          </cell>
          <cell r="H26">
            <v>8587.5</v>
          </cell>
          <cell r="I26">
            <v>-3064.2366391999512</v>
          </cell>
          <cell r="J26">
            <v>-0.28159790002441404</v>
          </cell>
          <cell r="K26">
            <v>75094.498884110042</v>
          </cell>
          <cell r="L26">
            <v>7.2040315292951962E-2</v>
          </cell>
          <cell r="M26">
            <v>0.1381</v>
          </cell>
          <cell r="N26">
            <v>0.14403992768028284</v>
          </cell>
          <cell r="O26">
            <v>0.14818497031522815</v>
          </cell>
          <cell r="P26">
            <v>75094.498884110042</v>
          </cell>
          <cell r="Q26"/>
          <cell r="R26">
            <v>75094.498884110042</v>
          </cell>
          <cell r="S26"/>
        </row>
        <row r="27">
          <cell r="A27">
            <v>47</v>
          </cell>
          <cell r="B27" t="str">
            <v>Tesorería</v>
          </cell>
          <cell r="C27" t="str">
            <v>27-may-22</v>
          </cell>
          <cell r="D27" t="str">
            <v>UVR-23</v>
          </cell>
          <cell r="E27">
            <v>514087.85628759995</v>
          </cell>
          <cell r="F27">
            <v>514087.62825000001</v>
          </cell>
          <cell r="G27">
            <v>34888.320469389982</v>
          </cell>
          <cell r="H27">
            <v>2400</v>
          </cell>
          <cell r="I27">
            <v>-852.42897840002445</v>
          </cell>
          <cell r="J27">
            <v>-0.22803759997558593</v>
          </cell>
          <cell r="K27">
            <v>36435.663453389985</v>
          </cell>
          <cell r="L27">
            <v>7.0874390452449268E-2</v>
          </cell>
          <cell r="M27">
            <v>0.1381</v>
          </cell>
          <cell r="N27">
            <v>0.14403992768028284</v>
          </cell>
          <cell r="O27">
            <v>0.15107627558971276</v>
          </cell>
          <cell r="P27">
            <v>36435.663453389985</v>
          </cell>
          <cell r="Q27"/>
          <cell r="R27">
            <v>36435.663453389985</v>
          </cell>
          <cell r="S27"/>
        </row>
        <row r="28">
          <cell r="A28">
            <v>48</v>
          </cell>
          <cell r="B28" t="str">
            <v>Tesorería</v>
          </cell>
          <cell r="C28" t="str">
            <v>31-may-22</v>
          </cell>
          <cell r="D28" t="str">
            <v>UVR-23</v>
          </cell>
          <cell r="E28">
            <v>530052.90310500003</v>
          </cell>
          <cell r="F28">
            <v>530052.79</v>
          </cell>
          <cell r="G28">
            <v>39061.238992149934</v>
          </cell>
          <cell r="H28">
            <v>1875</v>
          </cell>
          <cell r="I28">
            <v>-653.57968500000004</v>
          </cell>
          <cell r="J28">
            <v>-0.113105</v>
          </cell>
          <cell r="K28">
            <v>40282.546202149933</v>
          </cell>
          <cell r="L28">
            <v>7.5997218327035973E-2</v>
          </cell>
          <cell r="M28">
            <v>0.1381</v>
          </cell>
          <cell r="N28">
            <v>0.14403992768028284</v>
          </cell>
          <cell r="O28">
            <v>0.14926675617402888</v>
          </cell>
          <cell r="P28">
            <v>40282.546202149941</v>
          </cell>
          <cell r="Q28"/>
          <cell r="R28">
            <v>40282.546202149941</v>
          </cell>
          <cell r="S28"/>
        </row>
        <row r="29">
          <cell r="A29">
            <v>49</v>
          </cell>
          <cell r="B29" t="str">
            <v>Tesorería</v>
          </cell>
          <cell r="C29" t="str">
            <v>1-jun-22</v>
          </cell>
          <cell r="D29" t="str">
            <v>UVR-23</v>
          </cell>
          <cell r="E29">
            <v>210356.43762700001</v>
          </cell>
          <cell r="F29">
            <v>210356.26199999999</v>
          </cell>
          <cell r="G29">
            <v>12862.355982379999</v>
          </cell>
          <cell r="H29">
            <v>3375</v>
          </cell>
          <cell r="I29">
            <v>-1170.8719297999878</v>
          </cell>
          <cell r="J29">
            <v>-0.17562700000000001</v>
          </cell>
          <cell r="K29">
            <v>15066.308425580011</v>
          </cell>
          <cell r="L29">
            <v>7.1622758949242624E-2</v>
          </cell>
          <cell r="M29">
            <v>0.1381</v>
          </cell>
          <cell r="N29">
            <v>0.14403992768028284</v>
          </cell>
          <cell r="O29">
            <v>0.143217359248347</v>
          </cell>
          <cell r="P29">
            <v>15066.308425580009</v>
          </cell>
          <cell r="Q29"/>
          <cell r="R29">
            <v>15066.308425580009</v>
          </cell>
          <cell r="S29"/>
        </row>
        <row r="30">
          <cell r="A30">
            <v>50</v>
          </cell>
          <cell r="B30" t="str">
            <v>Tesorería</v>
          </cell>
          <cell r="C30" t="str">
            <v>2-jun-22</v>
          </cell>
          <cell r="D30" t="str">
            <v>UVR-23</v>
          </cell>
          <cell r="E30">
            <v>224480.81034400003</v>
          </cell>
          <cell r="F30">
            <v>224480.61499999999</v>
          </cell>
          <cell r="G30">
            <v>15955.7607785</v>
          </cell>
          <cell r="H30">
            <v>1500</v>
          </cell>
          <cell r="I30">
            <v>-517.91664639996338</v>
          </cell>
          <cell r="J30">
            <v>-0.19534400003051758</v>
          </cell>
          <cell r="K30">
            <v>16937.648788100007</v>
          </cell>
          <cell r="L30">
            <v>7.5452546532348702E-2</v>
          </cell>
          <cell r="M30">
            <v>0.1381</v>
          </cell>
          <cell r="N30">
            <v>0.14403992768028284</v>
          </cell>
          <cell r="O30">
            <v>0.15059561868222632</v>
          </cell>
          <cell r="P30">
            <v>16937.648788100007</v>
          </cell>
          <cell r="Q30"/>
          <cell r="R30">
            <v>16937.648788100007</v>
          </cell>
          <cell r="S30"/>
        </row>
        <row r="31">
          <cell r="A31">
            <v>51</v>
          </cell>
          <cell r="B31" t="str">
            <v>Tesorería</v>
          </cell>
          <cell r="C31" t="str">
            <v>3-jun-22</v>
          </cell>
          <cell r="D31" t="str">
            <v>UVR-23</v>
          </cell>
          <cell r="E31">
            <v>302630.34646079998</v>
          </cell>
          <cell r="F31">
            <v>302630.03999999998</v>
          </cell>
          <cell r="G31">
            <v>24592.603696659975</v>
          </cell>
          <cell r="H31">
            <v>0</v>
          </cell>
          <cell r="I31">
            <v>-7.8981000366210932E-3</v>
          </cell>
          <cell r="J31">
            <v>-0.30646079998779296</v>
          </cell>
          <cell r="K31">
            <v>24592.28933775995</v>
          </cell>
          <cell r="L31">
            <v>8.1261808755670892E-2</v>
          </cell>
          <cell r="M31">
            <v>0.1381</v>
          </cell>
          <cell r="N31">
            <v>0.14403992768028284</v>
          </cell>
          <cell r="O31">
            <v>0.15511830671729943</v>
          </cell>
          <cell r="P31">
            <v>24592.28933775995</v>
          </cell>
          <cell r="Q31"/>
          <cell r="R31">
            <v>24592.28933775995</v>
          </cell>
          <cell r="S31"/>
        </row>
        <row r="32">
          <cell r="A32">
            <v>52</v>
          </cell>
          <cell r="B32" t="str">
            <v>Tesorería</v>
          </cell>
          <cell r="C32" t="str">
            <v>7-jun-22</v>
          </cell>
          <cell r="D32" t="str">
            <v>UVR-23</v>
          </cell>
          <cell r="E32">
            <v>405177.47495240002</v>
          </cell>
          <cell r="F32">
            <v>405177.16800000001</v>
          </cell>
          <cell r="G32">
            <v>32502.389853109977</v>
          </cell>
          <cell r="H32">
            <v>0</v>
          </cell>
          <cell r="I32">
            <v>-7.7588999633789058E-3</v>
          </cell>
          <cell r="J32">
            <v>-0.30695240002441404</v>
          </cell>
          <cell r="K32">
            <v>32502.07514180999</v>
          </cell>
          <cell r="L32">
            <v>8.021688556509296E-2</v>
          </cell>
          <cell r="M32">
            <v>0.1381</v>
          </cell>
          <cell r="N32">
            <v>0.15033335352247734</v>
          </cell>
          <cell r="O32">
            <v>0.15987889300000013</v>
          </cell>
          <cell r="P32">
            <v>32502.07514180999</v>
          </cell>
          <cell r="Q32"/>
          <cell r="R32">
            <v>32502.07514180999</v>
          </cell>
          <cell r="S32"/>
        </row>
        <row r="33">
          <cell r="A33">
            <v>53</v>
          </cell>
          <cell r="B33" t="str">
            <v>Tesorería</v>
          </cell>
          <cell r="C33" t="str">
            <v>8-jun-22</v>
          </cell>
          <cell r="D33" t="str">
            <v>UVR-23</v>
          </cell>
          <cell r="E33">
            <v>198066.70375399999</v>
          </cell>
          <cell r="F33">
            <v>198063.633</v>
          </cell>
          <cell r="G33">
            <v>17260.182213839988</v>
          </cell>
          <cell r="H33">
            <v>0</v>
          </cell>
          <cell r="I33">
            <v>-7.7240000000000003E-2</v>
          </cell>
          <cell r="J33">
            <v>-3.070754</v>
          </cell>
          <cell r="K33">
            <v>17257.034219839989</v>
          </cell>
          <cell r="L33">
            <v>8.712738634391233E-2</v>
          </cell>
          <cell r="M33">
            <v>0.1381</v>
          </cell>
          <cell r="N33">
            <v>0.15033335352247734</v>
          </cell>
          <cell r="O33">
            <v>0.16110502524031012</v>
          </cell>
          <cell r="P33">
            <v>17257.034219839989</v>
          </cell>
          <cell r="Q33"/>
          <cell r="R33">
            <v>17257.034219839989</v>
          </cell>
          <cell r="S33"/>
        </row>
        <row r="34">
          <cell r="A34">
            <v>54</v>
          </cell>
          <cell r="B34" t="str">
            <v>Tesorería</v>
          </cell>
          <cell r="C34" t="str">
            <v>9-jun-22</v>
          </cell>
          <cell r="D34" t="str">
            <v>UVR-23</v>
          </cell>
          <cell r="E34">
            <v>336151.0370295</v>
          </cell>
          <cell r="F34">
            <v>336150.82250000001</v>
          </cell>
          <cell r="G34">
            <v>32004.286024949983</v>
          </cell>
          <cell r="H34">
            <v>7125</v>
          </cell>
          <cell r="I34">
            <v>-2377.8620324000244</v>
          </cell>
          <cell r="J34">
            <v>-0.21452950000000001</v>
          </cell>
          <cell r="K34">
            <v>36751.209463049956</v>
          </cell>
          <cell r="L34">
            <v>0.10932945436614773</v>
          </cell>
          <cell r="M34">
            <v>0.1381</v>
          </cell>
          <cell r="N34">
            <v>0.15033335352247734</v>
          </cell>
          <cell r="O34">
            <v>0.14244519812849382</v>
          </cell>
          <cell r="P34">
            <v>36751.209463049956</v>
          </cell>
          <cell r="Q34"/>
          <cell r="R34">
            <v>36751.209463049956</v>
          </cell>
          <cell r="S34"/>
        </row>
        <row r="35">
          <cell r="A35">
            <v>55</v>
          </cell>
          <cell r="B35" t="str">
            <v>Tesorería</v>
          </cell>
          <cell r="C35" t="str">
            <v>5-jul-22</v>
          </cell>
          <cell r="D35" t="str">
            <v>UVR-23</v>
          </cell>
          <cell r="E35">
            <v>283469.57652</v>
          </cell>
          <cell r="F35">
            <v>283469.5</v>
          </cell>
          <cell r="G35">
            <v>27000.051975080016</v>
          </cell>
          <cell r="H35">
            <v>0</v>
          </cell>
          <cell r="I35">
            <v>-610.99049620001222</v>
          </cell>
          <cell r="J35">
            <v>-7.6520000000000005E-2</v>
          </cell>
          <cell r="K35">
            <v>26388.984958880006</v>
          </cell>
          <cell r="L35">
            <v>9.3092829512228623E-2</v>
          </cell>
          <cell r="M35">
            <v>0.1381</v>
          </cell>
          <cell r="N35">
            <v>0.15599743678045264</v>
          </cell>
          <cell r="O35">
            <v>0.15531182254454093</v>
          </cell>
          <cell r="P35">
            <v>26388.984958880006</v>
          </cell>
          <cell r="Q35"/>
          <cell r="R35">
            <v>26388.984958880006</v>
          </cell>
          <cell r="S35"/>
        </row>
        <row r="36">
          <cell r="A36">
            <v>56</v>
          </cell>
          <cell r="B36" t="str">
            <v>Tesorería</v>
          </cell>
          <cell r="C36" t="str">
            <v>7-jul-22</v>
          </cell>
          <cell r="D36" t="str">
            <v>UVR-23</v>
          </cell>
          <cell r="E36">
            <v>135482.4474528</v>
          </cell>
          <cell r="F36">
            <v>135482.28400000001</v>
          </cell>
          <cell r="G36">
            <v>13556.70168512999</v>
          </cell>
          <cell r="H36">
            <v>0</v>
          </cell>
          <cell r="I36">
            <v>-215.74892199999999</v>
          </cell>
          <cell r="J36">
            <v>-0.16345280000305176</v>
          </cell>
          <cell r="K36">
            <v>13340.789310329987</v>
          </cell>
          <cell r="L36">
            <v>9.846876522493965E-2</v>
          </cell>
          <cell r="M36">
            <v>0.1381</v>
          </cell>
          <cell r="N36">
            <v>0.15599743678045264</v>
          </cell>
          <cell r="O36">
            <v>0.15905153746598941</v>
          </cell>
          <cell r="P36">
            <v>13340.789310329987</v>
          </cell>
          <cell r="Q36"/>
          <cell r="R36">
            <v>13340.789310329987</v>
          </cell>
          <cell r="S36"/>
        </row>
        <row r="37">
          <cell r="A37">
            <v>57</v>
          </cell>
          <cell r="B37" t="str">
            <v>Tesorería</v>
          </cell>
          <cell r="C37" t="str">
            <v>7-sep-22</v>
          </cell>
          <cell r="D37" t="str">
            <v>UVR-23</v>
          </cell>
          <cell r="E37">
            <v>106754.227982</v>
          </cell>
          <cell r="F37">
            <v>106753.914</v>
          </cell>
          <cell r="G37">
            <v>12700.841325809997</v>
          </cell>
          <cell r="H37">
            <v>0</v>
          </cell>
          <cell r="I37">
            <v>-8.1751000061035164E-3</v>
          </cell>
          <cell r="J37">
            <v>-0.31398199999999998</v>
          </cell>
          <cell r="K37">
            <v>12700.519168709992</v>
          </cell>
          <cell r="L37">
            <v>0.11896970648180274</v>
          </cell>
          <cell r="M37">
            <v>0.1381</v>
          </cell>
          <cell r="N37">
            <v>0.16889895975695168</v>
          </cell>
          <cell r="O37">
            <v>0.14815785000000004</v>
          </cell>
          <cell r="P37">
            <v>12700.519168709992</v>
          </cell>
          <cell r="Q37"/>
          <cell r="R37">
            <v>12700.519168709992</v>
          </cell>
          <cell r="S37"/>
        </row>
        <row r="38">
          <cell r="A38">
            <v>58</v>
          </cell>
          <cell r="B38" t="str">
            <v>Tesorería</v>
          </cell>
          <cell r="C38" t="str">
            <v>8-sep-22</v>
          </cell>
          <cell r="D38" t="str">
            <v>UVR-23</v>
          </cell>
          <cell r="E38">
            <v>51820.527000000002</v>
          </cell>
          <cell r="F38">
            <v>51820.527000000002</v>
          </cell>
          <cell r="G38">
            <v>6191.5165659599988</v>
          </cell>
          <cell r="H38">
            <v>0</v>
          </cell>
          <cell r="I38">
            <v>0</v>
          </cell>
          <cell r="J38">
            <v>0</v>
          </cell>
          <cell r="K38">
            <v>6191.5165659599988</v>
          </cell>
          <cell r="L38">
            <v>0.11947999999999998</v>
          </cell>
          <cell r="M38">
            <v>0.1381</v>
          </cell>
          <cell r="N38">
            <v>0.16889895975695168</v>
          </cell>
          <cell r="O38">
            <v>0.14814700000000003</v>
          </cell>
          <cell r="P38">
            <v>6191.5165659599988</v>
          </cell>
          <cell r="Q38"/>
          <cell r="R38">
            <v>6191.5165659599988</v>
          </cell>
          <cell r="S38"/>
        </row>
        <row r="39">
          <cell r="A39">
            <v>59</v>
          </cell>
          <cell r="B39" t="str">
            <v>Tesorería</v>
          </cell>
          <cell r="C39" t="str">
            <v>9-sep-22</v>
          </cell>
          <cell r="D39" t="str">
            <v>UVR-23</v>
          </cell>
          <cell r="E39">
            <v>106809.504</v>
          </cell>
          <cell r="F39">
            <v>106809.504</v>
          </cell>
          <cell r="G39">
            <v>12894.04332287999</v>
          </cell>
          <cell r="H39">
            <v>0</v>
          </cell>
          <cell r="I39">
            <v>0</v>
          </cell>
          <cell r="J39">
            <v>0</v>
          </cell>
          <cell r="K39">
            <v>12894.04332287999</v>
          </cell>
          <cell r="L39">
            <v>0.12071999999999991</v>
          </cell>
          <cell r="M39">
            <v>0.1381</v>
          </cell>
          <cell r="N39">
            <v>0.16889895975695168</v>
          </cell>
          <cell r="O39">
            <v>0.14829890000000012</v>
          </cell>
          <cell r="P39">
            <v>12894.04332287999</v>
          </cell>
          <cell r="Q39"/>
          <cell r="R39">
            <v>12894.04332287999</v>
          </cell>
          <cell r="S39"/>
        </row>
        <row r="40">
          <cell r="A40">
            <v>60</v>
          </cell>
          <cell r="B40" t="str">
            <v>Tesorería</v>
          </cell>
          <cell r="C40" t="str">
            <v>12-sep-22</v>
          </cell>
          <cell r="D40" t="str">
            <v>UVR-23</v>
          </cell>
          <cell r="E40">
            <v>43228.748749999999</v>
          </cell>
          <cell r="F40">
            <v>43228.748749999999</v>
          </cell>
          <cell r="G40">
            <v>5302.0060341900025</v>
          </cell>
          <cell r="H40">
            <v>0</v>
          </cell>
          <cell r="I40">
            <v>0</v>
          </cell>
          <cell r="J40">
            <v>0</v>
          </cell>
          <cell r="K40">
            <v>5302.0060341900025</v>
          </cell>
          <cell r="L40">
            <v>0.12265000000005789</v>
          </cell>
          <cell r="M40">
            <v>0.1381</v>
          </cell>
          <cell r="N40">
            <v>0.16889895975695168</v>
          </cell>
          <cell r="O40">
            <v>0.14863525000000011</v>
          </cell>
          <cell r="P40">
            <v>5302.0060341900025</v>
          </cell>
          <cell r="Q40"/>
          <cell r="R40">
            <v>5302.0060341900025</v>
          </cell>
          <cell r="S40"/>
        </row>
        <row r="41">
          <cell r="A41">
            <v>61</v>
          </cell>
          <cell r="B41" t="str">
            <v>Tesorería</v>
          </cell>
          <cell r="C41" t="str">
            <v>14-sep-22</v>
          </cell>
          <cell r="D41" t="str">
            <v>UVR-23</v>
          </cell>
          <cell r="E41">
            <v>365669.72249999997</v>
          </cell>
          <cell r="F41">
            <v>365669.72249999997</v>
          </cell>
          <cell r="G41">
            <v>47734.525575150023</v>
          </cell>
          <cell r="H41">
            <v>0</v>
          </cell>
          <cell r="I41">
            <v>0</v>
          </cell>
          <cell r="J41">
            <v>0</v>
          </cell>
          <cell r="K41">
            <v>47734.525575150023</v>
          </cell>
          <cell r="L41">
            <v>0.13054000000000007</v>
          </cell>
          <cell r="M41">
            <v>0.1381</v>
          </cell>
          <cell r="N41">
            <v>0.16889895975695168</v>
          </cell>
          <cell r="O41">
            <v>0.14966600000000008</v>
          </cell>
          <cell r="P41">
            <v>47734.525575150023</v>
          </cell>
          <cell r="Q41"/>
          <cell r="R41">
            <v>47734.525575150023</v>
          </cell>
          <cell r="S41"/>
        </row>
        <row r="42">
          <cell r="A42">
            <v>62</v>
          </cell>
          <cell r="B42" t="str">
            <v>Tesorería</v>
          </cell>
          <cell r="C42" t="str">
            <v>15-sep-22</v>
          </cell>
          <cell r="D42" t="str">
            <v>UVR-23</v>
          </cell>
          <cell r="E42">
            <v>195074.63</v>
          </cell>
          <cell r="F42">
            <v>195074.63</v>
          </cell>
          <cell r="G42">
            <v>25229.001897900023</v>
          </cell>
          <cell r="H42">
            <v>0</v>
          </cell>
          <cell r="I42">
            <v>0</v>
          </cell>
          <cell r="J42">
            <v>0</v>
          </cell>
          <cell r="K42">
            <v>25229.001897900023</v>
          </cell>
          <cell r="L42">
            <v>0.12933000000000011</v>
          </cell>
          <cell r="M42">
            <v>0.1381</v>
          </cell>
          <cell r="N42">
            <v>0.16889895975695168</v>
          </cell>
          <cell r="O42">
            <v>0.14954665</v>
          </cell>
          <cell r="P42">
            <v>25229.001897900023</v>
          </cell>
          <cell r="Q42"/>
          <cell r="R42">
            <v>25229.001897900023</v>
          </cell>
          <cell r="S42"/>
        </row>
        <row r="43">
          <cell r="A43">
            <v>63</v>
          </cell>
          <cell r="B43" t="str">
            <v>Tesorería</v>
          </cell>
          <cell r="C43" t="str">
            <v>16-sep-22</v>
          </cell>
          <cell r="D43" t="str">
            <v>UVR-23</v>
          </cell>
          <cell r="E43">
            <v>29900.584999999999</v>
          </cell>
          <cell r="F43">
            <v>29900.584999999999</v>
          </cell>
          <cell r="G43">
            <v>3855.68043575</v>
          </cell>
          <cell r="H43">
            <v>0</v>
          </cell>
          <cell r="I43">
            <v>0</v>
          </cell>
          <cell r="J43">
            <v>0</v>
          </cell>
          <cell r="K43">
            <v>3855.68043575</v>
          </cell>
          <cell r="L43">
            <v>0.12895000000000001</v>
          </cell>
          <cell r="M43">
            <v>0.1381</v>
          </cell>
          <cell r="N43">
            <v>0.16889895975695168</v>
          </cell>
          <cell r="O43">
            <v>0.14944899999999994</v>
          </cell>
          <cell r="P43">
            <v>3855.68043575</v>
          </cell>
          <cell r="Q43"/>
          <cell r="R43">
            <v>3855.68043575</v>
          </cell>
          <cell r="S43"/>
        </row>
        <row r="44">
          <cell r="A44">
            <v>64</v>
          </cell>
          <cell r="B44" t="str">
            <v>Tesorería</v>
          </cell>
          <cell r="C44" t="str">
            <v>19-sep-22</v>
          </cell>
          <cell r="D44" t="str">
            <v>UVR-23</v>
          </cell>
          <cell r="E44">
            <v>141778.125</v>
          </cell>
          <cell r="F44">
            <v>141778.125</v>
          </cell>
          <cell r="G44">
            <v>17746.367906250001</v>
          </cell>
          <cell r="H44">
            <v>0</v>
          </cell>
          <cell r="I44">
            <v>0</v>
          </cell>
          <cell r="J44">
            <v>0</v>
          </cell>
          <cell r="K44">
            <v>17746.367906250001</v>
          </cell>
          <cell r="L44">
            <v>0.12517</v>
          </cell>
          <cell r="M44">
            <v>0.1381</v>
          </cell>
          <cell r="N44">
            <v>0.16889895975695168</v>
          </cell>
          <cell r="O44">
            <v>0.1490149999999999</v>
          </cell>
          <cell r="P44">
            <v>17746.367906250001</v>
          </cell>
          <cell r="Q44"/>
          <cell r="R44">
            <v>17746.367906250001</v>
          </cell>
          <cell r="S44"/>
        </row>
        <row r="45">
          <cell r="A45">
            <v>65</v>
          </cell>
          <cell r="B45" t="str">
            <v>Tesorería</v>
          </cell>
          <cell r="C45" t="str">
            <v>20-sep-22</v>
          </cell>
          <cell r="D45" t="str">
            <v>UVR-23</v>
          </cell>
          <cell r="E45">
            <v>44911.596749999997</v>
          </cell>
          <cell r="F45">
            <v>44911.596749999997</v>
          </cell>
          <cell r="G45">
            <v>5820.093822830002</v>
          </cell>
          <cell r="H45">
            <v>0</v>
          </cell>
          <cell r="I45">
            <v>0</v>
          </cell>
          <cell r="J45">
            <v>0</v>
          </cell>
          <cell r="K45">
            <v>5820.093822830002</v>
          </cell>
          <cell r="L45">
            <v>0.12958999999994439</v>
          </cell>
          <cell r="M45">
            <v>0.1381</v>
          </cell>
          <cell r="N45">
            <v>0.16889895975695168</v>
          </cell>
          <cell r="O45">
            <v>0.14966600000000008</v>
          </cell>
          <cell r="P45">
            <v>5820.093822830002</v>
          </cell>
          <cell r="Q45"/>
          <cell r="R45">
            <v>5820.093822830002</v>
          </cell>
          <cell r="S45"/>
        </row>
        <row r="46">
          <cell r="A46">
            <v>66</v>
          </cell>
          <cell r="B46" t="str">
            <v>Tesorería</v>
          </cell>
          <cell r="C46" t="str">
            <v>21-sep-22</v>
          </cell>
          <cell r="D46" t="str">
            <v>UVR-23</v>
          </cell>
          <cell r="E46">
            <v>69360.676000000007</v>
          </cell>
          <cell r="F46">
            <v>69360.676000000007</v>
          </cell>
          <cell r="G46">
            <v>9075.8444545999992</v>
          </cell>
          <cell r="H46">
            <v>0</v>
          </cell>
          <cell r="I46">
            <v>0</v>
          </cell>
          <cell r="J46">
            <v>0</v>
          </cell>
          <cell r="K46">
            <v>9075.8444545999992</v>
          </cell>
          <cell r="L46">
            <v>0.13084999999999997</v>
          </cell>
          <cell r="M46">
            <v>0.1381</v>
          </cell>
          <cell r="N46">
            <v>0.16889895975695168</v>
          </cell>
          <cell r="O46">
            <v>0.14989384999999977</v>
          </cell>
          <cell r="P46">
            <v>9075.8444545999992</v>
          </cell>
          <cell r="Q46"/>
          <cell r="R46">
            <v>9075.8444545999992</v>
          </cell>
          <cell r="S46"/>
        </row>
        <row r="47">
          <cell r="A47">
            <v>67</v>
          </cell>
          <cell r="B47" t="str">
            <v>Tesorería</v>
          </cell>
          <cell r="C47" t="str">
            <v>22-sep-22</v>
          </cell>
          <cell r="D47" t="str">
            <v>UVR-23</v>
          </cell>
          <cell r="E47">
            <v>48095.815999999999</v>
          </cell>
          <cell r="F47">
            <v>48095.815999999999</v>
          </cell>
          <cell r="G47">
            <v>6348.1667538400043</v>
          </cell>
          <cell r="H47">
            <v>0</v>
          </cell>
          <cell r="I47">
            <v>0</v>
          </cell>
          <cell r="J47">
            <v>0</v>
          </cell>
          <cell r="K47">
            <v>6348.1667538400043</v>
          </cell>
          <cell r="L47">
            <v>0.13199000000000008</v>
          </cell>
          <cell r="M47">
            <v>0.1381</v>
          </cell>
          <cell r="N47">
            <v>0.16889895975695168</v>
          </cell>
          <cell r="O47">
            <v>0.15007829999999989</v>
          </cell>
          <cell r="P47">
            <v>6348.1667538400043</v>
          </cell>
          <cell r="Q47"/>
          <cell r="R47">
            <v>6348.1667538400043</v>
          </cell>
          <cell r="S47"/>
        </row>
        <row r="48">
          <cell r="A48">
            <v>68</v>
          </cell>
          <cell r="B48" t="str">
            <v>Tesorería</v>
          </cell>
          <cell r="C48" t="str">
            <v>23-sep-22</v>
          </cell>
          <cell r="D48" t="str">
            <v>UVR-23</v>
          </cell>
          <cell r="E48">
            <v>124618.1945</v>
          </cell>
          <cell r="F48">
            <v>124618.1945</v>
          </cell>
          <cell r="G48">
            <v>16523.126408759996</v>
          </cell>
          <cell r="H48">
            <v>0</v>
          </cell>
          <cell r="I48">
            <v>0</v>
          </cell>
          <cell r="J48">
            <v>0</v>
          </cell>
          <cell r="K48">
            <v>16523.126408759996</v>
          </cell>
          <cell r="L48">
            <v>0.13259000000004009</v>
          </cell>
          <cell r="M48">
            <v>0.1381</v>
          </cell>
          <cell r="N48">
            <v>0.16889895975695168</v>
          </cell>
          <cell r="O48">
            <v>0.15020849999999997</v>
          </cell>
          <cell r="P48">
            <v>16523.126408759996</v>
          </cell>
          <cell r="Q48"/>
          <cell r="R48">
            <v>16523.126408759996</v>
          </cell>
          <cell r="S48"/>
        </row>
        <row r="49">
          <cell r="A49">
            <v>69</v>
          </cell>
          <cell r="B49" t="str">
            <v>Tesorería</v>
          </cell>
          <cell r="C49" t="str">
            <v>27-sep-22</v>
          </cell>
          <cell r="D49" t="str">
            <v>UVR-23</v>
          </cell>
          <cell r="E49">
            <v>66342.422999999995</v>
          </cell>
          <cell r="F49">
            <v>66342.422999999995</v>
          </cell>
          <cell r="G49">
            <v>8703.4624733699948</v>
          </cell>
          <cell r="H49">
            <v>0</v>
          </cell>
          <cell r="I49">
            <v>7.6293945312499997E-12</v>
          </cell>
          <cell r="J49">
            <v>-7.6293945312499997E-12</v>
          </cell>
          <cell r="K49">
            <v>8703.4624733699948</v>
          </cell>
          <cell r="L49">
            <v>0.13118999999999992</v>
          </cell>
          <cell r="M49">
            <v>0.1381</v>
          </cell>
          <cell r="N49">
            <v>0.16889895975695168</v>
          </cell>
          <cell r="O49">
            <v>0.15041464999999987</v>
          </cell>
          <cell r="P49">
            <v>8703.4624733699948</v>
          </cell>
          <cell r="Q49"/>
          <cell r="R49">
            <v>8703.4624733699948</v>
          </cell>
          <cell r="S49"/>
        </row>
        <row r="50">
          <cell r="A50">
            <v>70</v>
          </cell>
          <cell r="B50" t="str">
            <v>Tesorería</v>
          </cell>
          <cell r="C50" t="str">
            <v>28-sep-22</v>
          </cell>
          <cell r="D50" t="str">
            <v>UVR-23</v>
          </cell>
          <cell r="E50">
            <v>79795.857999999993</v>
          </cell>
          <cell r="F50">
            <v>79795.857999999993</v>
          </cell>
          <cell r="G50">
            <v>10185.941273699997</v>
          </cell>
          <cell r="H50">
            <v>0</v>
          </cell>
          <cell r="I50">
            <v>1.5258789062499999E-11</v>
          </cell>
          <cell r="J50">
            <v>0</v>
          </cell>
          <cell r="K50">
            <v>10185.941273700013</v>
          </cell>
          <cell r="L50">
            <v>0.12765000000000018</v>
          </cell>
          <cell r="M50">
            <v>0.1381</v>
          </cell>
          <cell r="N50">
            <v>0.16889895975695168</v>
          </cell>
          <cell r="O50">
            <v>0.14993725000000002</v>
          </cell>
          <cell r="P50">
            <v>10185.941273700011</v>
          </cell>
          <cell r="Q50"/>
          <cell r="R50">
            <v>10185.941273700011</v>
          </cell>
          <cell r="S50"/>
        </row>
        <row r="51">
          <cell r="A51">
            <v>71</v>
          </cell>
          <cell r="B51" t="str">
            <v>Tesorería</v>
          </cell>
          <cell r="C51" t="str">
            <v>29-sep-22</v>
          </cell>
          <cell r="D51" t="str">
            <v>UVR-23</v>
          </cell>
          <cell r="E51">
            <v>66387.321000000011</v>
          </cell>
          <cell r="F51">
            <v>66387.320999999996</v>
          </cell>
          <cell r="G51">
            <v>8575.2502535700005</v>
          </cell>
          <cell r="H51">
            <v>0</v>
          </cell>
          <cell r="I51">
            <v>-7.6293945312499997E-12</v>
          </cell>
          <cell r="J51">
            <v>7.6293945312499997E-12</v>
          </cell>
          <cell r="K51">
            <v>8575.2502535700005</v>
          </cell>
          <cell r="L51">
            <v>0.12916999999999998</v>
          </cell>
          <cell r="M51">
            <v>0.1381</v>
          </cell>
          <cell r="N51">
            <v>0.16889895975695168</v>
          </cell>
          <cell r="O51">
            <v>0.15013254999999992</v>
          </cell>
          <cell r="P51">
            <v>8575.2502535700005</v>
          </cell>
          <cell r="Q51"/>
          <cell r="R51">
            <v>8575.2502535700005</v>
          </cell>
          <cell r="S51"/>
        </row>
        <row r="52">
          <cell r="A52">
            <v>72</v>
          </cell>
          <cell r="B52" t="str">
            <v>Tesorería</v>
          </cell>
          <cell r="C52" t="str">
            <v>3-oct-22</v>
          </cell>
          <cell r="D52" t="str">
            <v>UVR-23</v>
          </cell>
          <cell r="E52">
            <v>41152.565999999999</v>
          </cell>
          <cell r="F52">
            <v>41152.565999999999</v>
          </cell>
          <cell r="G52">
            <v>5200.0382397600024</v>
          </cell>
          <cell r="H52">
            <v>0</v>
          </cell>
          <cell r="I52">
            <v>0</v>
          </cell>
          <cell r="J52">
            <v>0</v>
          </cell>
          <cell r="K52">
            <v>5200.0382397600024</v>
          </cell>
          <cell r="L52">
            <v>0.12636000000000006</v>
          </cell>
          <cell r="M52">
            <v>0.1381</v>
          </cell>
          <cell r="N52">
            <v>0.16889895975695168</v>
          </cell>
          <cell r="O52">
            <v>0.14988299999999999</v>
          </cell>
          <cell r="P52">
            <v>5200.0382397600024</v>
          </cell>
          <cell r="Q52"/>
          <cell r="R52">
            <v>5200.0382397600024</v>
          </cell>
          <cell r="S52"/>
        </row>
        <row r="53">
          <cell r="A53">
            <v>73</v>
          </cell>
          <cell r="B53" t="str">
            <v>Tesorería</v>
          </cell>
          <cell r="C53" t="str">
            <v>4-oct-22</v>
          </cell>
          <cell r="D53" t="str">
            <v>UVR-23</v>
          </cell>
          <cell r="E53">
            <v>105291.21225</v>
          </cell>
          <cell r="F53">
            <v>105291.21225</v>
          </cell>
          <cell r="G53">
            <v>13477.275168</v>
          </cell>
          <cell r="H53">
            <v>0</v>
          </cell>
          <cell r="I53">
            <v>0</v>
          </cell>
          <cell r="J53">
            <v>0</v>
          </cell>
          <cell r="K53">
            <v>13477.275168</v>
          </cell>
          <cell r="L53">
            <v>0.128</v>
          </cell>
          <cell r="M53">
            <v>0.1381</v>
          </cell>
          <cell r="N53">
            <v>0.16889895975695168</v>
          </cell>
          <cell r="O53">
            <v>0.15010000000000012</v>
          </cell>
          <cell r="P53">
            <v>13477.275168</v>
          </cell>
          <cell r="Q53"/>
          <cell r="R53">
            <v>13477.275168</v>
          </cell>
          <cell r="S53"/>
        </row>
        <row r="54">
          <cell r="A54">
            <v>74</v>
          </cell>
          <cell r="B54" t="str">
            <v>Tesorería</v>
          </cell>
          <cell r="C54" t="str">
            <v>5-oct-22</v>
          </cell>
          <cell r="D54" t="str">
            <v>UVR-23</v>
          </cell>
          <cell r="E54">
            <v>28509.516</v>
          </cell>
          <cell r="F54">
            <v>28509.516</v>
          </cell>
          <cell r="G54">
            <v>3686.2804187999991</v>
          </cell>
          <cell r="H54">
            <v>0</v>
          </cell>
          <cell r="I54">
            <v>0</v>
          </cell>
          <cell r="J54">
            <v>0</v>
          </cell>
          <cell r="K54">
            <v>3686.2804187999991</v>
          </cell>
          <cell r="L54">
            <v>0.12929999999999997</v>
          </cell>
          <cell r="M54">
            <v>0.1381</v>
          </cell>
          <cell r="N54">
            <v>0.17708041335180469</v>
          </cell>
          <cell r="O54">
            <v>0.16525871000000003</v>
          </cell>
          <cell r="P54">
            <v>3686.2804187999991</v>
          </cell>
          <cell r="Q54"/>
          <cell r="R54">
            <v>3686.2804187999991</v>
          </cell>
          <cell r="S54"/>
        </row>
        <row r="55">
          <cell r="A55">
            <v>75</v>
          </cell>
          <cell r="B55" t="str">
            <v>Tesorería</v>
          </cell>
          <cell r="C55" t="str">
            <v>12-oct-22</v>
          </cell>
          <cell r="D55" t="str">
            <v>UVR-23</v>
          </cell>
          <cell r="E55">
            <v>65886.105499999991</v>
          </cell>
          <cell r="F55">
            <v>65886.105500000005</v>
          </cell>
          <cell r="G55">
            <v>8826.7615538300015</v>
          </cell>
          <cell r="H55">
            <v>0</v>
          </cell>
          <cell r="I55">
            <v>7.6293945312499997E-12</v>
          </cell>
          <cell r="J55">
            <v>-7.6293945312499997E-12</v>
          </cell>
          <cell r="K55">
            <v>8826.7615538300015</v>
          </cell>
          <cell r="L55">
            <v>0.13396999999992415</v>
          </cell>
          <cell r="M55">
            <v>0.1381</v>
          </cell>
          <cell r="N55">
            <v>0.17708041335180469</v>
          </cell>
          <cell r="O55">
            <v>0.16592909999999983</v>
          </cell>
          <cell r="P55">
            <v>8826.7615538300015</v>
          </cell>
          <cell r="Q55"/>
          <cell r="R55">
            <v>8826.7615538300015</v>
          </cell>
          <cell r="S55"/>
        </row>
        <row r="56">
          <cell r="A56">
            <v>76</v>
          </cell>
          <cell r="B56" t="str">
            <v>Tesorería</v>
          </cell>
          <cell r="C56" t="str">
            <v>13-oct-22</v>
          </cell>
          <cell r="D56" t="str">
            <v>UVR-23</v>
          </cell>
          <cell r="E56">
            <v>86554.392999999996</v>
          </cell>
          <cell r="F56">
            <v>86554.392999999996</v>
          </cell>
          <cell r="G56">
            <v>11669.263264259995</v>
          </cell>
          <cell r="H56">
            <v>0</v>
          </cell>
          <cell r="I56">
            <v>0</v>
          </cell>
          <cell r="J56">
            <v>0</v>
          </cell>
          <cell r="K56">
            <v>11669.263264259995</v>
          </cell>
          <cell r="L56">
            <v>0.13481999999999994</v>
          </cell>
          <cell r="M56">
            <v>0.1381</v>
          </cell>
          <cell r="N56">
            <v>0.17708041335180469</v>
          </cell>
          <cell r="O56">
            <v>0.16603899999999983</v>
          </cell>
          <cell r="P56">
            <v>11669.263264259995</v>
          </cell>
          <cell r="Q56"/>
          <cell r="R56">
            <v>11669.263264259995</v>
          </cell>
          <cell r="S56"/>
        </row>
        <row r="57">
          <cell r="A57">
            <v>77</v>
          </cell>
          <cell r="B57" t="str">
            <v>Tesorería</v>
          </cell>
          <cell r="C57" t="str">
            <v>18-oct-22</v>
          </cell>
          <cell r="D57" t="str">
            <v>UVR-23</v>
          </cell>
          <cell r="E57">
            <v>6362.6139999999996</v>
          </cell>
          <cell r="F57">
            <v>6362.6139999999996</v>
          </cell>
          <cell r="G57">
            <v>860.79804805999947</v>
          </cell>
          <cell r="H57">
            <v>0</v>
          </cell>
          <cell r="I57">
            <v>0</v>
          </cell>
          <cell r="J57">
            <v>0</v>
          </cell>
          <cell r="K57">
            <v>860.79804805999947</v>
          </cell>
          <cell r="L57">
            <v>0.13528999999999994</v>
          </cell>
          <cell r="M57">
            <v>0.1381</v>
          </cell>
          <cell r="N57">
            <v>0.17708041335180469</v>
          </cell>
          <cell r="O57">
            <v>0.16713800000000001</v>
          </cell>
          <cell r="P57">
            <v>860.79804805999947</v>
          </cell>
          <cell r="Q57"/>
          <cell r="R57">
            <v>860.79804805999947</v>
          </cell>
          <cell r="S57"/>
        </row>
        <row r="58">
          <cell r="A58">
            <v>78</v>
          </cell>
          <cell r="B58" t="str">
            <v>Tesorería</v>
          </cell>
          <cell r="C58" t="str">
            <v>10-nov-22</v>
          </cell>
          <cell r="D58" t="str">
            <v>UVR-23</v>
          </cell>
          <cell r="E58">
            <v>38438.771999999997</v>
          </cell>
          <cell r="F58">
            <v>38438.771999999997</v>
          </cell>
          <cell r="G58">
            <v>4087.9634021999968</v>
          </cell>
          <cell r="H58">
            <v>0</v>
          </cell>
          <cell r="I58">
            <v>0</v>
          </cell>
          <cell r="J58">
            <v>0</v>
          </cell>
          <cell r="K58">
            <v>4087.9634021999968</v>
          </cell>
          <cell r="L58">
            <v>0.10634999999999993</v>
          </cell>
          <cell r="M58">
            <v>0.1381</v>
          </cell>
          <cell r="N58">
            <v>0.17708041335180469</v>
          </cell>
          <cell r="O58">
            <v>0.18792240000000016</v>
          </cell>
          <cell r="P58">
            <v>4087.9634021999968</v>
          </cell>
          <cell r="Q58"/>
          <cell r="R58">
            <v>4087.9634021999968</v>
          </cell>
          <cell r="S58"/>
        </row>
        <row r="59">
          <cell r="A59">
            <v>79</v>
          </cell>
          <cell r="B59" t="str">
            <v>Tesorería</v>
          </cell>
          <cell r="C59" t="str">
            <v>15-nov-22</v>
          </cell>
          <cell r="D59" t="str">
            <v>UVR-23</v>
          </cell>
          <cell r="E59">
            <v>56140.315000000002</v>
          </cell>
          <cell r="F59">
            <v>56140.315000000002</v>
          </cell>
          <cell r="G59">
            <v>6304.5573745000002</v>
          </cell>
          <cell r="H59">
            <v>0</v>
          </cell>
          <cell r="I59">
            <v>0</v>
          </cell>
          <cell r="J59">
            <v>0</v>
          </cell>
          <cell r="K59">
            <v>6304.5573745000002</v>
          </cell>
          <cell r="L59">
            <v>0.1123</v>
          </cell>
          <cell r="M59">
            <v>0.1381</v>
          </cell>
          <cell r="N59">
            <v>0.17708041335180469</v>
          </cell>
          <cell r="O59">
            <v>0.18870835999999991</v>
          </cell>
          <cell r="P59">
            <v>6304.5573745000002</v>
          </cell>
          <cell r="Q59"/>
          <cell r="R59">
            <v>6304.5573745000002</v>
          </cell>
          <cell r="S59"/>
        </row>
        <row r="60">
          <cell r="A60">
            <v>80</v>
          </cell>
          <cell r="B60" t="str">
            <v>Tesorería</v>
          </cell>
          <cell r="C60" t="str">
            <v>16-nov-22</v>
          </cell>
          <cell r="D60" t="str">
            <v>UVR-23</v>
          </cell>
          <cell r="E60">
            <v>77010.84</v>
          </cell>
          <cell r="F60">
            <v>77010.84</v>
          </cell>
          <cell r="G60">
            <v>9553.9648104000098</v>
          </cell>
          <cell r="H60">
            <v>0</v>
          </cell>
          <cell r="I60">
            <v>0</v>
          </cell>
          <cell r="J60">
            <v>0</v>
          </cell>
          <cell r="K60">
            <v>9553.9648104000098</v>
          </cell>
          <cell r="L60">
            <v>0.12406000000000013</v>
          </cell>
          <cell r="M60">
            <v>0.1381</v>
          </cell>
          <cell r="N60">
            <v>0.17708041335180469</v>
          </cell>
          <cell r="O60">
            <v>0.19050484000000001</v>
          </cell>
          <cell r="P60">
            <v>9553.9648104000098</v>
          </cell>
          <cell r="Q60"/>
          <cell r="R60">
            <v>9553.9648104000098</v>
          </cell>
          <cell r="S60"/>
        </row>
        <row r="61">
          <cell r="A61">
            <v>81</v>
          </cell>
          <cell r="B61" t="str">
            <v>Tesorería</v>
          </cell>
          <cell r="C61" t="str">
            <v>22-nov-22</v>
          </cell>
          <cell r="D61" t="str">
            <v>UVR-23</v>
          </cell>
          <cell r="E61">
            <v>96401.79</v>
          </cell>
          <cell r="F61">
            <v>96401.79</v>
          </cell>
          <cell r="G61">
            <v>14681.992617</v>
          </cell>
          <cell r="H61">
            <v>0</v>
          </cell>
          <cell r="I61">
            <v>0</v>
          </cell>
          <cell r="J61">
            <v>0</v>
          </cell>
          <cell r="K61">
            <v>14681.992617</v>
          </cell>
          <cell r="L61">
            <v>0.15230000000000002</v>
          </cell>
          <cell r="M61">
            <v>0.1381</v>
          </cell>
          <cell r="N61">
            <v>0.17708041335180469</v>
          </cell>
          <cell r="O61">
            <v>0.19465920000000003</v>
          </cell>
          <cell r="P61">
            <v>14681.992617</v>
          </cell>
          <cell r="Q61"/>
          <cell r="R61">
            <v>14681.992617</v>
          </cell>
          <cell r="S61"/>
        </row>
        <row r="62">
          <cell r="A62">
            <v>82</v>
          </cell>
          <cell r="B62" t="str">
            <v>Tesorería</v>
          </cell>
          <cell r="C62" t="str">
            <v>23-nov-22</v>
          </cell>
          <cell r="D62" t="str">
            <v>UVR-23</v>
          </cell>
          <cell r="E62">
            <v>122138.118</v>
          </cell>
          <cell r="F62">
            <v>122138.11799999999</v>
          </cell>
          <cell r="G62">
            <v>18561.329792460008</v>
          </cell>
          <cell r="H62">
            <v>0</v>
          </cell>
          <cell r="I62">
            <v>1.5258789062499999E-11</v>
          </cell>
          <cell r="J62">
            <v>-1.5258789062499999E-11</v>
          </cell>
          <cell r="K62">
            <v>18561.329792460008</v>
          </cell>
          <cell r="L62">
            <v>0.15197000000000008</v>
          </cell>
          <cell r="M62">
            <v>0.1381</v>
          </cell>
          <cell r="N62">
            <v>0.17708041335180469</v>
          </cell>
          <cell r="O62">
            <v>0.19520937199999988</v>
          </cell>
          <cell r="P62">
            <v>18561.329792460008</v>
          </cell>
          <cell r="Q62"/>
          <cell r="R62">
            <v>18561.329792460008</v>
          </cell>
          <cell r="S62"/>
        </row>
        <row r="63">
          <cell r="A63">
            <v>83</v>
          </cell>
          <cell r="B63" t="str">
            <v>Tesorería</v>
          </cell>
          <cell r="C63" t="str">
            <v>24-nov-22</v>
          </cell>
          <cell r="D63" t="str">
            <v>UVR-23</v>
          </cell>
          <cell r="E63">
            <v>50635.147499999999</v>
          </cell>
          <cell r="F63">
            <v>50635.147499999999</v>
          </cell>
          <cell r="G63">
            <v>7682.8709301699982</v>
          </cell>
          <cell r="H63">
            <v>0</v>
          </cell>
          <cell r="I63">
            <v>0</v>
          </cell>
          <cell r="J63">
            <v>0</v>
          </cell>
          <cell r="K63">
            <v>7682.8709301699982</v>
          </cell>
          <cell r="L63">
            <v>0.15172999999990122</v>
          </cell>
          <cell r="M63">
            <v>0.1381</v>
          </cell>
          <cell r="N63">
            <v>0.17708041335180469</v>
          </cell>
          <cell r="O63">
            <v>0.19522060000000008</v>
          </cell>
          <cell r="P63">
            <v>7682.8709301699982</v>
          </cell>
          <cell r="Q63"/>
          <cell r="R63">
            <v>7682.8709301699982</v>
          </cell>
          <cell r="S63"/>
        </row>
        <row r="64">
          <cell r="A64">
            <v>84</v>
          </cell>
          <cell r="B64" t="str">
            <v>Tesorería</v>
          </cell>
          <cell r="C64" t="str">
            <v>25-nov-22</v>
          </cell>
          <cell r="D64" t="str">
            <v>UVR-23</v>
          </cell>
          <cell r="E64">
            <v>25725.592000000001</v>
          </cell>
          <cell r="F64">
            <v>25725.592000000001</v>
          </cell>
          <cell r="G64">
            <v>4190.6989367999995</v>
          </cell>
          <cell r="H64">
            <v>0</v>
          </cell>
          <cell r="I64">
            <v>0</v>
          </cell>
          <cell r="J64">
            <v>0</v>
          </cell>
          <cell r="K64">
            <v>4190.6989367999995</v>
          </cell>
          <cell r="L64">
            <v>0.16289999999999999</v>
          </cell>
          <cell r="M64">
            <v>0.1381</v>
          </cell>
          <cell r="N64">
            <v>0.17708041335180469</v>
          </cell>
          <cell r="O64">
            <v>0.19634340000000017</v>
          </cell>
          <cell r="P64">
            <v>4190.6989367999995</v>
          </cell>
          <cell r="Q64"/>
          <cell r="R64">
            <v>4190.6989367999995</v>
          </cell>
          <cell r="S64"/>
        </row>
        <row r="65">
          <cell r="A65">
            <v>85</v>
          </cell>
          <cell r="B65" t="str">
            <v>Tesorería</v>
          </cell>
          <cell r="C65" t="str">
            <v>29-nov-22</v>
          </cell>
          <cell r="D65" t="str">
            <v>UVR-23</v>
          </cell>
          <cell r="E65">
            <v>127946.34600000001</v>
          </cell>
          <cell r="F65">
            <v>127946.34599999999</v>
          </cell>
          <cell r="G65">
            <v>19931.481779879989</v>
          </cell>
          <cell r="H65">
            <v>0</v>
          </cell>
          <cell r="I65">
            <v>1.5258789062499999E-11</v>
          </cell>
          <cell r="J65">
            <v>-1.5258789062499999E-11</v>
          </cell>
          <cell r="K65">
            <v>19931.481779879989</v>
          </cell>
          <cell r="L65">
            <v>0.15577999999999992</v>
          </cell>
          <cell r="M65">
            <v>0.1381</v>
          </cell>
          <cell r="N65">
            <v>0.17708041335180469</v>
          </cell>
          <cell r="O65">
            <v>0.19510832000000011</v>
          </cell>
          <cell r="P65">
            <v>19931.481779879989</v>
          </cell>
          <cell r="Q65"/>
          <cell r="R65">
            <v>19931.481779879989</v>
          </cell>
          <cell r="S65"/>
        </row>
        <row r="66">
          <cell r="A66">
            <v>86</v>
          </cell>
          <cell r="B66" t="str">
            <v>Tesorería</v>
          </cell>
          <cell r="C66" t="str">
            <v>1-dic-22</v>
          </cell>
          <cell r="D66" t="str">
            <v>UVR-23</v>
          </cell>
          <cell r="E66">
            <v>166643.62424160002</v>
          </cell>
          <cell r="F66">
            <v>166643.79199999999</v>
          </cell>
          <cell r="G66">
            <v>26894.153455039999</v>
          </cell>
          <cell r="H66">
            <v>0</v>
          </cell>
          <cell r="I66">
            <v>-1247.9951447999954</v>
          </cell>
          <cell r="J66">
            <v>0.1677583999938965</v>
          </cell>
          <cell r="K66">
            <v>25646.326068639999</v>
          </cell>
          <cell r="L66">
            <v>0.15389923368119948</v>
          </cell>
          <cell r="M66">
            <v>0.1381</v>
          </cell>
          <cell r="N66">
            <v>0.17708041335180469</v>
          </cell>
          <cell r="O66">
            <v>0.14609218640000002</v>
          </cell>
          <cell r="P66">
            <v>25646.326068639999</v>
          </cell>
          <cell r="Q66"/>
          <cell r="R66">
            <v>25646.326068639999</v>
          </cell>
          <cell r="S66"/>
        </row>
        <row r="67">
          <cell r="A67">
            <v>87</v>
          </cell>
          <cell r="B67" t="str">
            <v>Tesorería</v>
          </cell>
          <cell r="C67" t="str">
            <v>2-dic-22</v>
          </cell>
          <cell r="D67" t="str">
            <v>UVR-23</v>
          </cell>
          <cell r="E67">
            <v>330586.82046059996</v>
          </cell>
          <cell r="F67">
            <v>330586.56300000002</v>
          </cell>
          <cell r="G67">
            <v>44728.638264820009</v>
          </cell>
          <cell r="H67">
            <v>0</v>
          </cell>
          <cell r="I67">
            <v>-975.33776340005488</v>
          </cell>
          <cell r="J67">
            <v>-0.25746059994506837</v>
          </cell>
          <cell r="K67">
            <v>43753.043040820005</v>
          </cell>
          <cell r="L67">
            <v>0.13234962900172417</v>
          </cell>
          <cell r="M67">
            <v>0.1381</v>
          </cell>
          <cell r="N67">
            <v>0.17708041335180469</v>
          </cell>
          <cell r="O67">
            <v>0.16913905091957421</v>
          </cell>
          <cell r="P67">
            <v>43753.043040820005</v>
          </cell>
          <cell r="Q67"/>
          <cell r="R67">
            <v>43753.043040820005</v>
          </cell>
          <cell r="S67"/>
        </row>
        <row r="68">
          <cell r="A68">
            <v>88</v>
          </cell>
          <cell r="B68" t="str">
            <v>Tesorería</v>
          </cell>
          <cell r="C68" t="str">
            <v>5-dic-22</v>
          </cell>
          <cell r="D68" t="str">
            <v>UVR-23</v>
          </cell>
          <cell r="E68">
            <v>124973.39683860001</v>
          </cell>
          <cell r="F68">
            <v>124973.251</v>
          </cell>
          <cell r="G68">
            <v>16966.870100799988</v>
          </cell>
          <cell r="H68">
            <v>0</v>
          </cell>
          <cell r="I68">
            <v>-388.44845400001526</v>
          </cell>
          <cell r="J68">
            <v>-0.14583860000610352</v>
          </cell>
          <cell r="K68">
            <v>16578.275808199967</v>
          </cell>
          <cell r="L68">
            <v>0.13265443868514187</v>
          </cell>
          <cell r="M68">
            <v>0.1381</v>
          </cell>
          <cell r="N68">
            <v>0.1803320167036051</v>
          </cell>
          <cell r="O68">
            <v>0.16750333999999995</v>
          </cell>
          <cell r="P68">
            <v>16578.275808199967</v>
          </cell>
          <cell r="Q68"/>
          <cell r="R68">
            <v>16578.275808199967</v>
          </cell>
          <cell r="S68"/>
        </row>
        <row r="69">
          <cell r="A69">
            <v>89</v>
          </cell>
          <cell r="B69" t="str">
            <v>Tesorería</v>
          </cell>
          <cell r="C69" t="str">
            <v>6-dic-22</v>
          </cell>
          <cell r="D69" t="str">
            <v>UVR-23</v>
          </cell>
          <cell r="E69">
            <v>92380.179855599999</v>
          </cell>
          <cell r="F69">
            <v>92380.055999999997</v>
          </cell>
          <cell r="G69">
            <v>11974.092511099991</v>
          </cell>
          <cell r="H69">
            <v>0</v>
          </cell>
          <cell r="I69">
            <v>-121.77657000000001</v>
          </cell>
          <cell r="J69">
            <v>-0.12385560000610352</v>
          </cell>
          <cell r="K69">
            <v>11852.192085499984</v>
          </cell>
          <cell r="L69">
            <v>0.12829799751446919</v>
          </cell>
          <cell r="M69">
            <v>0.1381</v>
          </cell>
          <cell r="N69">
            <v>0.1803320167036051</v>
          </cell>
          <cell r="O69">
            <v>0.18256178844000001</v>
          </cell>
          <cell r="P69">
            <v>11852.192085499984</v>
          </cell>
          <cell r="Q69"/>
          <cell r="R69">
            <v>11852.192085499984</v>
          </cell>
          <cell r="S69"/>
        </row>
        <row r="70">
          <cell r="A70">
            <v>90</v>
          </cell>
          <cell r="B70" t="str">
            <v>Tesorería</v>
          </cell>
          <cell r="C70" t="str">
            <v>7-dic-22</v>
          </cell>
          <cell r="D70" t="str">
            <v>UVR-23</v>
          </cell>
          <cell r="E70">
            <v>96748.2</v>
          </cell>
          <cell r="F70">
            <v>96748.2</v>
          </cell>
          <cell r="G70">
            <v>12629.510028000001</v>
          </cell>
          <cell r="H70">
            <v>0</v>
          </cell>
          <cell r="I70">
            <v>-1.5258789062499999E-11</v>
          </cell>
          <cell r="J70">
            <v>1.5258789062499999E-11</v>
          </cell>
          <cell r="K70">
            <v>12629.510028000001</v>
          </cell>
          <cell r="L70">
            <v>0.13054000000000002</v>
          </cell>
          <cell r="M70">
            <v>0.1381</v>
          </cell>
          <cell r="N70">
            <v>0.1803320167036051</v>
          </cell>
          <cell r="O70">
            <v>0.19484354000000015</v>
          </cell>
          <cell r="P70">
            <v>12629.510028000001</v>
          </cell>
          <cell r="Q70"/>
          <cell r="R70">
            <v>12629.510028000001</v>
          </cell>
          <cell r="S70"/>
        </row>
        <row r="71">
          <cell r="A71">
            <v>91</v>
          </cell>
          <cell r="B71" t="str">
            <v>Tesorería</v>
          </cell>
          <cell r="C71" t="str">
            <v>12-dic-22</v>
          </cell>
          <cell r="D71" t="str">
            <v>UVR-23</v>
          </cell>
          <cell r="E71">
            <v>121079.925</v>
          </cell>
          <cell r="F71">
            <v>121079.925</v>
          </cell>
          <cell r="G71">
            <v>19070.088187500001</v>
          </cell>
          <cell r="H71">
            <v>0</v>
          </cell>
          <cell r="I71">
            <v>0</v>
          </cell>
          <cell r="J71">
            <v>0</v>
          </cell>
          <cell r="K71">
            <v>19070.088187500001</v>
          </cell>
          <cell r="L71">
            <v>0.1575</v>
          </cell>
          <cell r="M71">
            <v>0.1381</v>
          </cell>
          <cell r="N71">
            <v>0.1803320167036051</v>
          </cell>
          <cell r="O71">
            <v>0.19844449999999991</v>
          </cell>
          <cell r="P71">
            <v>19070.088187500001</v>
          </cell>
          <cell r="Q71"/>
          <cell r="R71">
            <v>19070.088187500001</v>
          </cell>
          <cell r="S71"/>
        </row>
        <row r="72">
          <cell r="A72">
            <v>92</v>
          </cell>
          <cell r="B72" t="str">
            <v>Tesorería</v>
          </cell>
          <cell r="C72" t="str">
            <v>13-dic-22</v>
          </cell>
          <cell r="D72" t="str">
            <v>UVR-23</v>
          </cell>
          <cell r="E72">
            <v>184085.54699999999</v>
          </cell>
          <cell r="F72">
            <v>164844.92562756001</v>
          </cell>
          <cell r="G72">
            <v>27445.314202230013</v>
          </cell>
          <cell r="H72">
            <v>0</v>
          </cell>
          <cell r="I72">
            <v>0</v>
          </cell>
          <cell r="J72">
            <v>0</v>
          </cell>
          <cell r="K72">
            <v>27445.314202230013</v>
          </cell>
          <cell r="L72">
            <v>0.14909000000000008</v>
          </cell>
          <cell r="M72">
            <v>0.1381</v>
          </cell>
          <cell r="N72">
            <v>0.1803320167036051</v>
          </cell>
          <cell r="O72">
            <v>0.19731920000000014</v>
          </cell>
          <cell r="P72">
            <v>27445.314202230013</v>
          </cell>
          <cell r="Q72"/>
          <cell r="R72">
            <v>27445.314202230013</v>
          </cell>
          <cell r="S72"/>
        </row>
        <row r="73">
          <cell r="A73">
            <v>93</v>
          </cell>
          <cell r="B73" t="str">
            <v>Tesorería</v>
          </cell>
          <cell r="C73">
            <v>44909</v>
          </cell>
          <cell r="D73" t="str">
            <v>UVR-23</v>
          </cell>
          <cell r="E73">
            <v>1661237.4833171999</v>
          </cell>
          <cell r="F73">
            <v>1661237.3459313998</v>
          </cell>
          <cell r="G73">
            <v>271888.06710033008</v>
          </cell>
          <cell r="H73">
            <v>0</v>
          </cell>
          <cell r="I73">
            <v>-3032.3412859999999</v>
          </cell>
          <cell r="J73">
            <v>-0.13738580004882814</v>
          </cell>
          <cell r="K73">
            <v>268855.58842853003</v>
          </cell>
          <cell r="L73">
            <v>0.16184055026959335</v>
          </cell>
          <cell r="M73">
            <v>0.1381</v>
          </cell>
          <cell r="N73">
            <v>0.1803320167036051</v>
          </cell>
          <cell r="O73">
            <v>0.1765102754899999</v>
          </cell>
          <cell r="P73">
            <v>268855.58842853003</v>
          </cell>
          <cell r="Q73"/>
          <cell r="R73">
            <v>268855.58842853003</v>
          </cell>
          <cell r="S73"/>
        </row>
        <row r="74">
          <cell r="A74">
            <v>94</v>
          </cell>
          <cell r="B74" t="str">
            <v>Tesorería</v>
          </cell>
          <cell r="C74" t="str">
            <v>22-dic-22</v>
          </cell>
          <cell r="D74" t="str">
            <v>UVR-23</v>
          </cell>
          <cell r="E74">
            <v>141768.2046</v>
          </cell>
          <cell r="F74">
            <v>141767.89085500001</v>
          </cell>
          <cell r="G74">
            <v>23151.919752044061</v>
          </cell>
          <cell r="H74">
            <v>0</v>
          </cell>
          <cell r="I74">
            <v>-291.49998599941256</v>
          </cell>
          <cell r="J74">
            <v>-0.313745</v>
          </cell>
          <cell r="K74">
            <v>22860.106021044649</v>
          </cell>
          <cell r="L74">
            <v>0.16124988029258466</v>
          </cell>
          <cell r="M74">
            <v>0.1381</v>
          </cell>
          <cell r="N74">
            <v>0.1803320167036051</v>
          </cell>
          <cell r="O74">
            <v>0.15024749210000002</v>
          </cell>
          <cell r="P74">
            <v>22860.106021044649</v>
          </cell>
          <cell r="Q74"/>
          <cell r="R74">
            <v>22860.106021044649</v>
          </cell>
        </row>
        <row r="75">
          <cell r="A75">
            <v>95</v>
          </cell>
          <cell r="B75" t="str">
            <v>Tesorería</v>
          </cell>
          <cell r="C75" t="str">
            <v>24-mar-23</v>
          </cell>
          <cell r="D75" t="str">
            <v>COP-24</v>
          </cell>
          <cell r="E75">
            <v>338000</v>
          </cell>
          <cell r="F75">
            <v>338000</v>
          </cell>
          <cell r="G75">
            <v>10591.66</v>
          </cell>
          <cell r="H75">
            <v>-27700</v>
          </cell>
          <cell r="I75">
            <v>0</v>
          </cell>
          <cell r="J75">
            <v>0</v>
          </cell>
          <cell r="K75">
            <v>-17108.34</v>
          </cell>
          <cell r="L75">
            <v>-5.0616390532544381E-2</v>
          </cell>
          <cell r="M75">
            <v>0.12814001603581682</v>
          </cell>
          <cell r="N75">
            <v>0.19326284356947854</v>
          </cell>
          <cell r="O75">
            <v>0.12404</v>
          </cell>
          <cell r="P75">
            <v>-17108.34</v>
          </cell>
          <cell r="Q75">
            <v>-17108.34</v>
          </cell>
          <cell r="R75"/>
          <cell r="S75">
            <v>-3.1E-2</v>
          </cell>
        </row>
        <row r="76">
          <cell r="A76">
            <v>96</v>
          </cell>
          <cell r="B76" t="str">
            <v>Tesorería</v>
          </cell>
          <cell r="C76" t="str">
            <v>27-mar-23</v>
          </cell>
          <cell r="D76" t="str">
            <v>COP-24</v>
          </cell>
          <cell r="E76">
            <v>306000</v>
          </cell>
          <cell r="F76">
            <v>306000</v>
          </cell>
          <cell r="G76">
            <v>8892.25</v>
          </cell>
          <cell r="H76">
            <v>-25262.5</v>
          </cell>
          <cell r="I76">
            <v>0</v>
          </cell>
          <cell r="J76">
            <v>0</v>
          </cell>
          <cell r="K76">
            <v>-16370.25</v>
          </cell>
          <cell r="L76">
            <v>-5.3497549019607842E-2</v>
          </cell>
          <cell r="M76">
            <v>0.12814001603581682</v>
          </cell>
          <cell r="N76">
            <v>0.19326284356947854</v>
          </cell>
          <cell r="O76">
            <v>0.12330999999999999</v>
          </cell>
          <cell r="P76">
            <v>-16370.25</v>
          </cell>
          <cell r="Q76">
            <v>-16370.25</v>
          </cell>
          <cell r="R76"/>
          <cell r="S76">
            <v>-6.1282000000000003E-2</v>
          </cell>
        </row>
        <row r="77">
          <cell r="A77">
            <v>97</v>
          </cell>
          <cell r="B77" t="str">
            <v>Tesorería</v>
          </cell>
          <cell r="C77" t="str">
            <v>28-mar-23</v>
          </cell>
          <cell r="D77" t="str">
            <v>COP-24</v>
          </cell>
          <cell r="E77">
            <v>299000</v>
          </cell>
          <cell r="F77">
            <v>299000</v>
          </cell>
          <cell r="G77">
            <v>5037.42</v>
          </cell>
          <cell r="H77">
            <v>-26087.5</v>
          </cell>
          <cell r="I77">
            <v>0</v>
          </cell>
          <cell r="J77">
            <v>0</v>
          </cell>
          <cell r="K77">
            <v>-21050.080000000002</v>
          </cell>
          <cell r="L77">
            <v>-7.0401605351170571E-2</v>
          </cell>
          <cell r="M77">
            <v>0.12814001603581682</v>
          </cell>
          <cell r="N77">
            <v>0.19326284356947854</v>
          </cell>
          <cell r="O77">
            <v>0.12391999999999999</v>
          </cell>
          <cell r="P77">
            <v>-21050.080000000002</v>
          </cell>
          <cell r="Q77">
            <v>-21050.080000000002</v>
          </cell>
          <cell r="R77"/>
          <cell r="S77">
            <v>-6.1282000000000003E-2</v>
          </cell>
        </row>
        <row r="78">
          <cell r="A78">
            <v>98</v>
          </cell>
          <cell r="B78" t="str">
            <v>Tesorería</v>
          </cell>
          <cell r="C78" t="str">
            <v>29-mar-23</v>
          </cell>
          <cell r="D78" t="str">
            <v>COP-24</v>
          </cell>
          <cell r="E78">
            <v>301500</v>
          </cell>
          <cell r="F78">
            <v>535000</v>
          </cell>
          <cell r="G78">
            <v>2105.8850000000002</v>
          </cell>
          <cell r="H78">
            <v>-27053.75</v>
          </cell>
          <cell r="I78">
            <v>0</v>
          </cell>
          <cell r="J78">
            <v>0</v>
          </cell>
          <cell r="K78">
            <v>-24947.865000000002</v>
          </cell>
          <cell r="L78">
            <v>-8.274582089552239E-2</v>
          </cell>
          <cell r="M78">
            <v>0.12814001603581682</v>
          </cell>
          <cell r="N78">
            <v>0.19326284356947854</v>
          </cell>
          <cell r="O78">
            <v>0.1232</v>
          </cell>
          <cell r="P78">
            <v>-24947.864999999998</v>
          </cell>
          <cell r="Q78">
            <v>-24947.864999999998</v>
          </cell>
          <cell r="R78"/>
          <cell r="S78">
            <v>-6.1282000000000003E-2</v>
          </cell>
        </row>
        <row r="79">
          <cell r="A79">
            <v>99</v>
          </cell>
          <cell r="B79" t="str">
            <v>Tesorería</v>
          </cell>
          <cell r="C79" t="str">
            <v>30-mar-23</v>
          </cell>
          <cell r="D79" t="str">
            <v>COP-24</v>
          </cell>
          <cell r="E79">
            <v>535000</v>
          </cell>
          <cell r="F79">
            <v>535000</v>
          </cell>
          <cell r="G79">
            <v>4847.45</v>
          </cell>
          <cell r="H79">
            <v>-47400</v>
          </cell>
          <cell r="I79">
            <v>0</v>
          </cell>
          <cell r="J79">
            <v>0</v>
          </cell>
          <cell r="K79">
            <v>-42552.55</v>
          </cell>
          <cell r="L79">
            <v>-7.9537476635514026E-2</v>
          </cell>
          <cell r="M79">
            <v>0.12814001603581682</v>
          </cell>
          <cell r="N79">
            <v>0.19326284356947854</v>
          </cell>
          <cell r="O79">
            <v>0.12254</v>
          </cell>
          <cell r="P79">
            <v>-42552.55</v>
          </cell>
          <cell r="Q79">
            <v>-42552.55</v>
          </cell>
          <cell r="R79"/>
          <cell r="S79">
            <v>-6.1282000000000003E-2</v>
          </cell>
        </row>
        <row r="80">
          <cell r="A80">
            <v>100</v>
          </cell>
          <cell r="B80" t="str">
            <v>Tesorería</v>
          </cell>
          <cell r="C80" t="str">
            <v>31-mar-23</v>
          </cell>
          <cell r="D80" t="str">
            <v>COP-24</v>
          </cell>
          <cell r="E80">
            <v>246000</v>
          </cell>
          <cell r="F80">
            <v>246000</v>
          </cell>
          <cell r="G80">
            <v>548.58000000000004</v>
          </cell>
          <cell r="H80">
            <v>-22312.5</v>
          </cell>
          <cell r="I80">
            <v>0</v>
          </cell>
          <cell r="J80">
            <v>0</v>
          </cell>
          <cell r="K80">
            <v>-21763.919999999998</v>
          </cell>
          <cell r="L80">
            <v>-8.8471219512195109E-2</v>
          </cell>
          <cell r="M80">
            <v>0.12814001603581682</v>
          </cell>
          <cell r="N80">
            <v>0.19326284356947854</v>
          </cell>
          <cell r="O80">
            <v>0.1202</v>
          </cell>
          <cell r="P80">
            <v>-21763.919999999998</v>
          </cell>
          <cell r="Q80">
            <v>-21763.919999999998</v>
          </cell>
          <cell r="R80"/>
          <cell r="S80">
            <v>-6.1282000000000003E-2</v>
          </cell>
        </row>
        <row r="81">
          <cell r="A81">
            <v>101</v>
          </cell>
          <cell r="B81" t="str">
            <v>Tesorería</v>
          </cell>
          <cell r="C81" t="str">
            <v>3-abr-23</v>
          </cell>
          <cell r="D81" t="str">
            <v>COP-24</v>
          </cell>
          <cell r="E81">
            <v>185000</v>
          </cell>
          <cell r="F81">
            <v>185000</v>
          </cell>
          <cell r="G81">
            <v>876.35</v>
          </cell>
          <cell r="H81">
            <v>-15450</v>
          </cell>
          <cell r="I81">
            <v>0</v>
          </cell>
          <cell r="J81">
            <v>0</v>
          </cell>
          <cell r="K81">
            <v>-14573.65</v>
          </cell>
          <cell r="L81">
            <v>-7.8776486486486483E-2</v>
          </cell>
          <cell r="M81">
            <v>0.12814001603581682</v>
          </cell>
          <cell r="N81">
            <v>0.19326284356947854</v>
          </cell>
          <cell r="O81">
            <v>0.11800000000000001</v>
          </cell>
          <cell r="P81">
            <v>-14573.65</v>
          </cell>
          <cell r="Q81">
            <v>-14573.65</v>
          </cell>
          <cell r="R81"/>
          <cell r="S81">
            <v>-7.1580000000000005E-2</v>
          </cell>
        </row>
        <row r="82">
          <cell r="A82">
            <v>102</v>
          </cell>
          <cell r="B82" t="str">
            <v>Tesorería</v>
          </cell>
          <cell r="C82" t="str">
            <v>4-abr-23</v>
          </cell>
          <cell r="D82" t="str">
            <v>COP-24</v>
          </cell>
          <cell r="E82">
            <v>250000</v>
          </cell>
          <cell r="F82">
            <v>250000</v>
          </cell>
          <cell r="G82">
            <v>871.22</v>
          </cell>
          <cell r="H82">
            <v>-21067.5</v>
          </cell>
          <cell r="I82">
            <v>0</v>
          </cell>
          <cell r="J82">
            <v>0</v>
          </cell>
          <cell r="K82">
            <v>-20196.28</v>
          </cell>
          <cell r="L82">
            <v>-8.0785120000000002E-2</v>
          </cell>
          <cell r="M82">
            <v>0.12814001603581682</v>
          </cell>
          <cell r="N82">
            <v>0.19389486838069114</v>
          </cell>
          <cell r="O82">
            <v>0.1166</v>
          </cell>
          <cell r="P82">
            <v>-20196.28</v>
          </cell>
          <cell r="Q82">
            <v>-20196.28</v>
          </cell>
          <cell r="R82"/>
          <cell r="S82">
            <v>-7.1580000000000005E-2</v>
          </cell>
        </row>
        <row r="83">
          <cell r="A83">
            <v>103</v>
          </cell>
          <cell r="B83" t="str">
            <v>Tesorería</v>
          </cell>
          <cell r="C83" t="str">
            <v>10-abr-23</v>
          </cell>
          <cell r="D83" t="str">
            <v>COP-24</v>
          </cell>
          <cell r="E83">
            <v>205000</v>
          </cell>
          <cell r="F83">
            <v>205000</v>
          </cell>
          <cell r="G83">
            <v>3166.7500000000305</v>
          </cell>
          <cell r="H83">
            <v>-17450</v>
          </cell>
          <cell r="I83">
            <v>0</v>
          </cell>
          <cell r="J83">
            <v>0</v>
          </cell>
          <cell r="K83">
            <v>-14283.249999999969</v>
          </cell>
          <cell r="L83">
            <v>-6.967439024390229E-2</v>
          </cell>
          <cell r="M83">
            <v>0.12814001603581682</v>
          </cell>
          <cell r="N83">
            <v>0.19389486838069114</v>
          </cell>
          <cell r="O83">
            <v>0.11800000000000001</v>
          </cell>
          <cell r="P83">
            <v>-14283.249999999969</v>
          </cell>
          <cell r="Q83">
            <v>-14283.249999999969</v>
          </cell>
          <cell r="R83"/>
          <cell r="S83">
            <v>-7.8399999999999997E-2</v>
          </cell>
        </row>
        <row r="84">
          <cell r="A84">
            <v>104</v>
          </cell>
          <cell r="B84" t="str">
            <v>Tesorería</v>
          </cell>
          <cell r="C84">
            <v>45027</v>
          </cell>
          <cell r="D84" t="str">
            <v>COP-24</v>
          </cell>
          <cell r="E84">
            <v>275000</v>
          </cell>
          <cell r="F84">
            <v>275000</v>
          </cell>
          <cell r="G84">
            <v>6815.7</v>
          </cell>
          <cell r="H84">
            <v>-22162.5</v>
          </cell>
          <cell r="I84">
            <v>0</v>
          </cell>
          <cell r="J84">
            <v>0</v>
          </cell>
          <cell r="K84">
            <v>-15346.8</v>
          </cell>
          <cell r="L84">
            <v>-5.5806545454545449E-2</v>
          </cell>
          <cell r="M84">
            <v>0.12814001603581682</v>
          </cell>
          <cell r="N84">
            <v>0.19389486838069114</v>
          </cell>
          <cell r="O84">
            <v>0.11960000000000001</v>
          </cell>
          <cell r="P84">
            <v>-15346.8</v>
          </cell>
          <cell r="Q84">
            <v>-15346.8</v>
          </cell>
          <cell r="R84"/>
          <cell r="S84">
            <v>-7.8399999999999997E-2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eligro"/>
      <sheetName val="Optimo 1"/>
      <sheetName val="Optimo 1 (COP) (1)"/>
      <sheetName val="Optimo 1 (COP) (2)"/>
      <sheetName val="Optimo 1 (COP) (2.2) (2)"/>
      <sheetName val="Optimo 1 (COP) (2.0)"/>
      <sheetName val="Optimo 1 (COP) (3)"/>
      <sheetName val="Optimo 1 (COP) (3.0)"/>
      <sheetName val="UVR"/>
      <sheetName val="SX"/>
      <sheetName val="Optimo 2"/>
      <sheetName val="SC"/>
      <sheetName val="Hoja1"/>
      <sheetName val="Resumen Herramienta"/>
      <sheetName val="Resumen_con"/>
      <sheetName val="Referencias"/>
      <sheetName val="Efecto neto tesoreria"/>
      <sheetName val="Resumen_sin"/>
      <sheetName val="Precios"/>
      <sheetName val="Tasas Promedio títulos Históric"/>
      <sheetName val="Hoja3"/>
      <sheetName val="Hoja2"/>
      <sheetName val="Cálculos Costo de Oportunidad"/>
    </sheetNames>
    <sheetDataSet>
      <sheetData sheetId="0"/>
      <sheetData sheetId="1"/>
      <sheetData sheetId="2">
        <row r="1">
          <cell r="B1">
            <v>45702</v>
          </cell>
        </row>
      </sheetData>
      <sheetData sheetId="3">
        <row r="1">
          <cell r="B1">
            <v>45702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>
            <v>44984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drés Javier Erazo Pazos" id="{27D5806B-BDDB-4564-AA59-470779C27BF3}" userId="Andrés Javier Erazo Pazos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4340E3A5-0902-4941-AFE0-9C97FF7FFF91}" autoFormatId="16" applyNumberFormats="0" applyBorderFormats="0" applyFontFormats="0" applyPatternFormats="0" applyAlignmentFormats="0" applyWidthHeightFormats="0">
  <queryTableRefresh nextId="16" unboundColumnsRight="4">
    <queryTableFields count="14">
      <queryTableField id="1" name="Operación" tableColumnId="1"/>
      <queryTableField id="2" name="Concepto" tableColumnId="2"/>
      <queryTableField id="3" name="Fecha Vto" tableColumnId="3"/>
      <queryTableField id="4" name="Cupon" tableColumnId="4"/>
      <queryTableField id="5" name="Tasa de Corte (%)" tableColumnId="5"/>
      <queryTableField id="6" name="Precio Sucio" tableColumnId="6"/>
      <queryTableField id="7" name="Precio Limpio" tableColumnId="7"/>
      <queryTableField id="8" name="Nominal COP" tableColumnId="8"/>
      <queryTableField id="9" name="Madurez" tableColumnId="9"/>
      <queryTableField id="13" name="Costo COP" tableColumnId="13"/>
      <queryTableField id="10" dataBound="0" tableColumnId="10"/>
      <queryTableField id="12" dataBound="0" tableColumnId="12"/>
      <queryTableField id="14" dataBound="0" tableColumnId="14"/>
      <queryTableField id="15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11F7AAF-4178-4811-A3C5-4B77891F7E81}" name="pond" displayName="pond" ref="A1:N4" tableType="queryTable" totalsRowCount="1" headerRowDxfId="428" dataDxfId="427">
  <autoFilter ref="A1:N3" xr:uid="{911F7AAF-4178-4811-A3C5-4B77891F7E81}"/>
  <tableColumns count="14">
    <tableColumn id="1" xr3:uid="{1344C221-A78D-4BF4-8F83-D5DFD6FA9163}" uniqueName="1" name="Operación" totalsRowLabel="Total" queryTableFieldId="1" dataDxfId="13" totalsRowDxfId="73"/>
    <tableColumn id="2" xr3:uid="{31CECCB0-D063-432E-BD72-DBBBE1CEEC51}" uniqueName="2" name="Concepto" queryTableFieldId="2" dataDxfId="12" totalsRowDxfId="74"/>
    <tableColumn id="3" xr3:uid="{E6C7210C-4547-4C17-9DBC-25D71DC7FEF8}" uniqueName="3" name="Fecha Vto" queryTableFieldId="3" dataDxfId="11" totalsRowDxfId="75" dataCellStyle="Normal 2"/>
    <tableColumn id="4" xr3:uid="{C714D0A6-8C2F-403F-991D-C6626E84D8DF}" uniqueName="4" name="Cupon" queryTableFieldId="4" dataDxfId="10" totalsRowDxfId="76"/>
    <tableColumn id="5" xr3:uid="{DB2FD430-940E-4043-9EF4-2E0C9D420E0B}" uniqueName="5" name="Tasa de Corte (%)" queryTableFieldId="5" dataDxfId="9" totalsRowDxfId="77"/>
    <tableColumn id="6" xr3:uid="{0E392D81-537F-4E53-9050-316802E2B598}" uniqueName="6" name="Precio Sucio" queryTableFieldId="6" dataDxfId="8" totalsRowDxfId="78"/>
    <tableColumn id="7" xr3:uid="{D3B7A372-BE2F-4494-9C3A-5B9BD177F900}" uniqueName="7" name="Precio Limpio" queryTableFieldId="7" dataDxfId="7" totalsRowDxfId="79"/>
    <tableColumn id="8" xr3:uid="{AE0B4247-DEC1-4C22-AF73-65FBC7EA9373}" uniqueName="8" name="Nominal COP" queryTableFieldId="8" dataDxfId="6" totalsRowDxfId="80" dataCellStyle="Millares"/>
    <tableColumn id="9" xr3:uid="{034BD679-877D-4C3D-B206-A84F3FD70E47}" uniqueName="9" name="Madurez" queryTableFieldId="9" dataDxfId="5" totalsRowDxfId="81"/>
    <tableColumn id="13" xr3:uid="{32F589A0-19F1-4A78-8748-423D8351E81C}" uniqueName="13" name="Costo COP" queryTableFieldId="13" dataDxfId="4" dataCellStyle="Millares"/>
    <tableColumn id="10" xr3:uid="{75E30917-BB1A-473D-AD9B-B18CA1FA6C6B}" uniqueName="10" name="% DE PESO" queryTableFieldId="10" dataDxfId="3" totalsRowDxfId="82" dataCellStyle="Porcentaje">
      <calculatedColumnFormula>IF(pond[[#This Row],[Concepto]] = "Títulos Recogidos por la Nación", pond[[#This Row],[Nominal COP]] / SUMIF(pond[Concepto], "Títulos Recogidos por la Nación", pond[Nominal COP]),
   IF(pond[[#This Row],[Concepto]] = "Títulos Entregados por la Nación", pond[[#This Row],[Nominal COP]] / SUMIF(pond[Concepto], "Títulos Entregados por la Nación", pond[Nominal COP]), 0))</calculatedColumnFormula>
    </tableColumn>
    <tableColumn id="12" xr3:uid="{58A6E875-B529-490E-AC53-042FDB58B10D}" uniqueName="12" name="nom_abs" totalsRowFunction="sum" queryTableFieldId="12" dataDxfId="2" totalsRowDxfId="83" dataCellStyle="Millares">
      <calculatedColumnFormula>ABS(pond[[#This Row],[Nominal COP]])</calculatedColumnFormula>
    </tableColumn>
    <tableColumn id="14" xr3:uid="{5730CC7A-05F6-4939-8A68-BB2018CE9BA7}" uniqueName="14" name="cost_abs2" totalsRowFunction="sum" queryTableFieldId="14" dataDxfId="1" totalsRowDxfId="84" dataCellStyle="Millares">
      <calculatedColumnFormula>ABS(pond[[#This Row],[Costo COP]])</calculatedColumnFormula>
    </tableColumn>
    <tableColumn id="11" xr3:uid="{D63D069D-1EB1-4AF3-963B-EE54D004BED9}" uniqueName="11" name="AÑO" queryTableFieldId="15" dataDxfId="0">
      <calculatedColumnFormula>YEAR(pond[[#This Row],[Fecha Vto]])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EC721E-23E1-4115-BD88-617D6FCC3654}" name="Emisiones" displayName="Emisiones" ref="B2:T36" totalsRowShown="0" headerRowDxfId="426" dataDxfId="425">
  <autoFilter ref="B2:T36" xr:uid="{02EC721E-23E1-4115-BD88-617D6FCC3654}"/>
  <sortState xmlns:xlrd2="http://schemas.microsoft.com/office/spreadsheetml/2017/richdata2" ref="B3:T29">
    <sortCondition ref="E2:E29"/>
  </sortState>
  <tableColumns count="19">
    <tableColumn id="1" xr3:uid="{169D2532-FEC1-4BBE-9730-49FD622CB0B5}" name="Titulo" dataDxfId="424"/>
    <tableColumn id="2" xr3:uid="{5DAD0D95-1DAD-41A0-89DC-D5074B49B8A7}" name="Plazo" dataDxfId="423"/>
    <tableColumn id="3" xr3:uid="{D28B7CD2-3A01-4711-A691-2F9ED51D5EF5}" name="Tipo Plazo" dataDxfId="422"/>
    <tableColumn id="4" xr3:uid="{9F6E8A25-7C5A-443F-A4D1-06964F7A76F5}" name="Moneda" dataDxfId="421"/>
    <tableColumn id="5" xr3:uid="{B6AF0BE7-711C-4803-8077-1EEFC0321F62}" name="Emisión" dataDxfId="420"/>
    <tableColumn id="6" xr3:uid="{DA024B2B-604C-4205-A099-A96466AA4D66}" name="Mnemotécnico SEN" dataDxfId="419"/>
    <tableColumn id="7" xr3:uid="{27E798FC-1562-4B1A-BD1C-88EA2E653562}" name="Fecha Inicio Vigencia" dataDxfId="418"/>
    <tableColumn id="8" xr3:uid="{47954CF9-3EE5-4586-BE26-4C8B5C310373}" name="Fecha Vencim." dataDxfId="417"/>
    <tableColumn id="9" xr3:uid="{9F1EB2DB-399B-4AC1-8E9F-4519552D8094}" name="Tasa de Interés" dataDxfId="416"/>
    <tableColumn id="10" xr3:uid="{6B1101AE-AA97-4D29-88E7-A1AA1F996F7A}" name="Tasa Spread" dataDxfId="415"/>
    <tableColumn id="11" xr3:uid="{ABDCD8DA-9925-4419-94DA-8FAF9957D69A}" name="Signo" dataDxfId="414"/>
    <tableColumn id="12" xr3:uid="{0EB7D25F-FBF9-455C-ACCE-EEF79CD0048E}" name="Periodo Interés" dataDxfId="413"/>
    <tableColumn id="13" xr3:uid="{D64BAD9D-EAAB-47B1-B43C-03322BBAE886}" name="Tipo" dataDxfId="412"/>
    <tableColumn id="14" xr3:uid="{BB50124B-C984-4336-B457-EE7FF27E1FA2}" name="Código ISIN" dataDxfId="411"/>
    <tableColumn id="15" xr3:uid="{927D336C-5198-40EE-8462-64CDEAEF5533}" name="Código CFI" dataDxfId="410"/>
    <tableColumn id="16" xr3:uid="{6CB42FBC-1E04-4565-8040-6E94B1F202BF}" name="Saldo en Circulación" dataDxfId="409" dataCellStyle="Millares"/>
    <tableColumn id="17" xr3:uid="{564213B0-78AD-4BE4-9C10-A6FE2F8EF1D3}" name="Base de Ponderación  " dataDxfId="408"/>
    <tableColumn id="18" xr3:uid="{523CAE9B-0834-4A56-B661-723D7943484C}" name="Conteo de Plazo" dataDxfId="407"/>
    <tableColumn id="19" xr3:uid="{431CBC5D-E6B0-427E-8635-3365581ABF98}" name="Modo de Pago" dataDxfId="40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98B45F-44D3-4D80-A996-0CD44F01B68E}" name="Tabla6" displayName="Tabla6" ref="A1:AJ172" totalsRowShown="0" headerRowDxfId="405" dataDxfId="404" tableBorderDxfId="403" headerRowCellStyle="Normal 2">
  <autoFilter ref="A1:AJ172" xr:uid="{1B98B45F-44D3-4D80-A996-0CD44F01B68E}"/>
  <tableColumns count="36">
    <tableColumn id="1" xr3:uid="{B601E4E4-3E3D-42BC-90C2-84750B097A86}" name="Año" dataDxfId="402" totalsRowDxfId="401" dataCellStyle="Normal 2" totalsRowCellStyle="Normal 2">
      <calculatedColumnFormula>IF(C2="","",YEAR(C2))</calculatedColumnFormula>
    </tableColumn>
    <tableColumn id="2" xr3:uid="{067D139A-20FC-4B7B-8E21-70988C4B1FA6}" name="Operación" dataDxfId="400" totalsRowDxfId="399" dataCellStyle="Normal 2" totalsRowCellStyle="Normal 2"/>
    <tableColumn id="3" xr3:uid="{B86D180A-CEEF-4566-ADA8-9B26E8F885B2}" name="Fecha Cumplimiento y/ liquidacion" dataDxfId="398" totalsRowDxfId="397" dataCellStyle="Normal 2" totalsRowCellStyle="Normal 2"/>
    <tableColumn id="4" xr3:uid="{8D384C65-4F6D-4F4E-8434-6BF9CD78DFB3}" name="Canje" dataDxfId="396" totalsRowDxfId="395" dataCellStyle="Normal 2" totalsRowCellStyle="Normal 2"/>
    <tableColumn id="5" xr3:uid="{1A14D322-887A-469E-BBE3-FD65D45C774E}" name="Concepto" dataDxfId="394" totalsRowDxfId="393" dataCellStyle="Normal 2" totalsRowCellStyle="Normal 2"/>
    <tableColumn id="6" xr3:uid="{FABDA313-EFDB-491B-80A8-8A7017DA5218}" name="Nemotécnico" dataDxfId="392" totalsRowDxfId="391" dataCellStyle="Normal 2" totalsRowCellStyle="Normal 2"/>
    <tableColumn id="7" xr3:uid="{3A7C3064-7AF0-4DEB-B4CF-E8CF8ECE3A06}" name="Denom" dataDxfId="390" totalsRowDxfId="389" dataCellStyle="Normal 2" totalsRowCellStyle="Normal 2">
      <calculatedColumnFormula>+_xlfn.XLOOKUP(F2,Emisiones[Mnemotécnico SEN],Emisiones[Moneda],"",0,1)</calculatedColumnFormula>
    </tableColumn>
    <tableColumn id="8" xr3:uid="{9938C2F8-DD5F-4657-B685-5B0473C86246}" name="Plazo" dataDxfId="388" totalsRowDxfId="387" dataCellStyle="Normal 2" totalsRowCellStyle="Normal 2"/>
    <tableColumn id="9" xr3:uid="{96F86551-96BA-49D0-959C-FB1A3CDAF64A}" name="Fecha Emision" dataDxfId="386" totalsRowDxfId="385" dataCellStyle="Normal 2" totalsRowCellStyle="Normal 2"/>
    <tableColumn id="10" xr3:uid="{B9217CD5-1ABA-45A5-9F4F-06AEE40EE976}" name="Fecha Vto" dataDxfId="384" totalsRowDxfId="383" dataCellStyle="Normal 2" totalsRowCellStyle="Normal 2">
      <calculatedColumnFormula>+_xlfn.XLOOKUP(F2,Emisiones[Mnemotécnico SEN],Emisiones[Fecha Vencim.],"",0,1)</calculatedColumnFormula>
    </tableColumn>
    <tableColumn id="11" xr3:uid="{C7E0E0CF-CC47-4FDF-9C2A-A47244C49AC6}" name="Cupon" dataDxfId="382" totalsRowDxfId="381" dataCellStyle="Normal 2" totalsRowCellStyle="Normal 2">
      <calculatedColumnFormula>+_xlfn.XLOOKUP(F2,Emisiones[Mnemotécnico SEN],Emisiones[Tasa de Interés],"",0,1)</calculatedColumnFormula>
    </tableColumn>
    <tableColumn id="12" xr3:uid="{8161D542-8452-4BCE-A4FF-429C77BF946F}" name="Tasa de Corte (%)" dataDxfId="380" totalsRowDxfId="379" dataCellStyle="Normal 2" totalsRowCellStyle="Normal 2"/>
    <tableColumn id="13" xr3:uid="{1EEF190F-FD10-4FDB-B5AE-87B10496957B}" name="Precio Sucio" dataDxfId="378" totalsRowDxfId="377" dataCellStyle="Normal 2" totalsRowCellStyle="Normal 2"/>
    <tableColumn id="14" xr3:uid="{6328090F-7766-4EFC-B3C2-1C45E30A20F9}" name="Precio Limpio" dataDxfId="376" totalsRowDxfId="375" dataCellStyle="Normal 2" totalsRowCellStyle="Normal 2">
      <calculatedColumnFormula>IF(C2="","",PRICE(C2,J2,K2%,L2%,100,1,3))</calculatedColumnFormula>
    </tableColumn>
    <tableColumn id="15" xr3:uid="{5DA5FBCF-4486-4B13-8A32-D83CD9BF50C6}" name="Intereses acumulados" dataDxfId="374" totalsRowDxfId="373" dataCellStyle="Normal 2" totalsRowCellStyle="Normal 2">
      <calculatedColumnFormula>IF(C2="","",M2-N2)</calculatedColumnFormula>
    </tableColumn>
    <tableColumn id="16" xr3:uid="{BE48D1DE-8551-4EB4-B136-EE0D67CC3C95}" name="Intereses por devengar" dataDxfId="372" totalsRowDxfId="371" dataCellStyle="Normal 2" totalsRowCellStyle="Normal 2">
      <calculatedColumnFormula>IF(C2="","",100*K2%-O2)</calculatedColumnFormula>
    </tableColumn>
    <tableColumn id="17" xr3:uid="{31D9A6AF-3A14-4308-AAD4-0DA06B5F821F}" name="Valor Nominal" dataDxfId="370" totalsRowDxfId="369" dataCellStyle="Millares [0] 2" totalsRowCellStyle="Millares [0] 2">
      <calculatedColumnFormula>IF(C2="","",IF(G2="UVR",S2/V2,S2))</calculatedColumnFormula>
    </tableColumn>
    <tableColumn id="18" xr3:uid="{A49453A2-4255-4B99-9FE8-E62968D97705}" name="Valor Costo" dataDxfId="368" totalsRowDxfId="367" dataCellStyle="Millares [0] 2" totalsRowCellStyle="Millares [0] 2">
      <calculatedColumnFormula>IF(C2="","",IF('Canjes desagregado'!$G2="UVR",'Canjes desagregado'!$V2*Q2*M2%,Q2*M2%))</calculatedColumnFormula>
    </tableColumn>
    <tableColumn id="19" xr3:uid="{6BB27615-A34B-4F54-95D2-ECE20839BF27}" name="Nominal COP" dataDxfId="366" totalsRowDxfId="365" dataCellStyle="Millares [0] 2" totalsRowCellStyle="Millares [0] 2"/>
    <tableColumn id="20" xr3:uid="{F01AB9C0-4ACA-4881-94A1-2F920A95A6C0}" name="Verificador fecha y nemotécnico" dataDxfId="364" totalsRowDxfId="363" dataCellStyle="Millares [0] 2" totalsRowCellStyle="Millares [0] 2">
      <calculatedColumnFormula>IFERROR(IF(RIGHT(F2,2)=RIGHT(YEAR(J2),2),1,0),"")</calculatedColumnFormula>
    </tableColumn>
    <tableColumn id="21" xr3:uid="{FBA98E64-12C1-4C6F-AB8E-2D631D68627D}" name="Costo COP" dataDxfId="362" totalsRowDxfId="361" dataCellStyle="Millares [0] 2" totalsRowCellStyle="Millares [0] 2">
      <calculatedColumnFormula>+IF(R2="","",R2)</calculatedColumnFormula>
    </tableColumn>
    <tableColumn id="22" xr3:uid="{3E1B2665-01EC-4B27-8D03-3C0ED7193E30}" name="UVR" dataDxfId="360" totalsRowDxfId="359" dataCellStyle="Normal 2" totalsRowCellStyle="Normal 2">
      <calculatedColumnFormula>+IF(F2&lt;&gt;"",(_xlfn.XLOOKUP(C2,UVR[Fecha (dd/mm/aaaa)],UVR[Pesos colombianos por UVR],"",0,1)),"")</calculatedColumnFormula>
    </tableColumn>
    <tableColumn id="23" xr3:uid="{68C56E50-4927-4052-B050-C0565090EF6C}" name="Efectos cupón" dataDxfId="358" totalsRowDxfId="357" dataCellStyle="Millares [0] 2" totalsRowCellStyle="Millares [0] 2">
      <calculatedColumnFormula>IF(C2="","",IF(CONCATENATE(DAY(C2),"/",MONTH(C2),"/",2000)-CONCATENATE(DAY(J2),"/",MONTH(J2),"/",2000)&lt;0,K2%*ABS(S2),0))</calculatedColumnFormula>
    </tableColumn>
    <tableColumn id="24" xr3:uid="{D816F45C-6E71-4164-BBC2-BD3FF6B65443}" name="Efecto Cupón (Signo)" dataDxfId="356" totalsRowDxfId="355" dataCellStyle="Millares [0] 2" totalsRowCellStyle="Millares [0] 2">
      <calculatedColumnFormula>IF(S2&lt;0,-W2,W2)</calculatedColumnFormula>
    </tableColumn>
    <tableColumn id="25" xr3:uid="{AC24F128-F838-463A-9615-DA04B4EBF378}" name="Costo Fiscal" dataDxfId="354" totalsRowDxfId="353" dataCellStyle="Normal 2" totalsRowCellStyle="Normal 2"/>
    <tableColumn id="26" xr3:uid="{BBCB2C96-0643-42B6-B957-95CC8443718E}" name="Saldo de la deuda" dataDxfId="352" totalsRowDxfId="351" dataCellStyle="Normal 2" totalsRowCellStyle="Normal 2"/>
    <tableColumn id="27" xr3:uid="{3EFF4E0C-DACF-41DA-AB39-62C4897632FC}" name="Inflación " dataDxfId="350" totalsRowDxfId="349" dataCellStyle="Normal 2" totalsRowCellStyle="Normal 2"/>
    <tableColumn id="28" xr3:uid="{846CDDBA-D0F0-41CF-AD4F-3BFA098D77B1}" name="UVR (Fin de periodo)" dataDxfId="348" totalsRowDxfId="347" dataCellStyle="Millares [0] 2" totalsRowCellStyle="Millares [0] 2">
      <calculatedColumnFormula>IF(C2="","",ROUND(V2*(1+'Inflación observada '!$B$390%)^(("31-12-2025"-C2)/365),3))</calculatedColumnFormula>
    </tableColumn>
    <tableColumn id="29" xr3:uid="{0F210AC6-D942-474E-AF5E-C58669466823}" name="Delta_UVR" dataDxfId="346" totalsRowDxfId="345" dataCellStyle="Normal 2" totalsRowCellStyle="Normal 2"/>
    <tableColumn id="30" xr3:uid="{40A5BF39-3384-41AC-AAC1-52A4125AFCC9}" name="Indexaciones" dataDxfId="344" totalsRowDxfId="343" dataCellStyle="Millares [0] 2" totalsRowCellStyle="Millares [0] 2">
      <calculatedColumnFormula>IF(C2="","",IF(G2="UVR",Q2*AB2-S2,0))</calculatedColumnFormula>
    </tableColumn>
    <tableColumn id="31" xr3:uid="{377B6CD2-C0E5-4A3E-AF70-B4AA57E52206}" name="% de cupón x devengar" dataDxfId="342" totalsRowDxfId="341" dataCellStyle="Porcentaje" totalsRowCellStyle="Porcentaje">
      <calculatedColumnFormula>IF(C2="","",P2/+(O2+P2))</calculatedColumnFormula>
    </tableColumn>
    <tableColumn id="32" xr3:uid="{FE86170F-8246-45C6-A775-1DCAD7951EC2}" name="Nuevo efecto cupón" dataDxfId="340" totalsRowDxfId="339" dataCellStyle="Millares [0] 2" totalsRowCellStyle="Millares [0] 2">
      <calculatedColumnFormula>IF(C2="","",AE2*Q2*K2%)</calculatedColumnFormula>
    </tableColumn>
    <tableColumn id="36" xr3:uid="{48118D5D-3753-4BBE-AF52-F440686F70F0}" name="Madurez" dataDxfId="338" totalsRowDxfId="337" dataCellStyle="Millares [0] 2" totalsRowCellStyle="Millares [0] 2">
      <calculatedColumnFormula>(Tabla6[[#This Row],[Fecha Vto]]-TODAY())/365</calculatedColumnFormula>
    </tableColumn>
    <tableColumn id="33" xr3:uid="{E1BA8A3C-379A-46FC-9851-30E46F22194A}" name="Operación2" dataDxfId="336" totalsRowDxfId="335" dataCellStyle="Normal 2" totalsRowCellStyle="Normal 2"/>
    <tableColumn id="34" xr3:uid="{6E3CC88B-89C4-4E42-A551-8E758D116923}" name="UVR (Fin de periodo)2" dataDxfId="334" totalsRowDxfId="333" dataCellStyle="Normal 2" totalsRowCellStyle="Normal 2"/>
    <tableColumn id="35" xr3:uid="{5D9ED683-2C11-4BDF-BD85-700AD873122F}" name="Indexaciones2" dataDxfId="332" totalsRowDxfId="331" dataCellStyle="Millares" totalsRowCellStyle="Millares">
      <calculatedColumnFormula>IF(C2="","",IF(G2="UVR",Q2*AI2-S2,0))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24C238-857F-4569-9EF4-AFC75BCC5C93}" name="Tabla1" displayName="Tabla1" ref="A5:C393" totalsRowShown="0" headerRowCellStyle="Normal 3" dataCellStyle="Normal 3">
  <autoFilter ref="A5:C393" xr:uid="{89824013-D68B-455E-AB4E-B90D3F794155}"/>
  <tableColumns count="3">
    <tableColumn id="1" xr3:uid="{EC867C15-DC96-47AE-AAA9-933E044100DF}" name="Fecha" dataDxfId="330" dataCellStyle="Normal 3"/>
    <tableColumn id="2" xr3:uid="{A4980ED9-942D-4A84-A255-B8A050CE023D}" name="Inflación" dataCellStyle="Normal 3"/>
    <tableColumn id="3" xr3:uid="{D53F5CCD-FE0E-4000-9011-687FEFA8AF9B}" name="Fecha Publicación" dataDxfId="329" dataCellStyle="Normal 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4FD4BB-7DFC-437E-99F2-E917707C9CF7}" name="Tabla2" displayName="Tabla2" ref="B18:AF300" totalsRowShown="0" headerRowDxfId="328" dataDxfId="327" headerRowCellStyle="Normal 2 2" dataCellStyle="Normal 2 2">
  <autoFilter ref="B18:AF300" xr:uid="{184FD4BB-7DFC-437E-99F2-E917707C9CF7}"/>
  <tableColumns count="31">
    <tableColumn id="1" xr3:uid="{5418D7D4-DCAF-4FF9-B9FC-C6DFFF315633}" name="Títulos Entregados por la Nación" dataDxfId="326" dataCellStyle="Normal 2 2"/>
    <tableColumn id="2" xr3:uid="{4ED5FB43-31B6-413E-BF7F-12E0D6B357C1}" name="Fecha" dataDxfId="325">
      <calculatedColumnFormula>+B19</calculatedColumnFormula>
    </tableColumn>
    <tableColumn id="30" xr3:uid="{8683B39F-F12B-4AF4-AFC1-0C705F5B6290}" name="TCO_COP-2026" dataDxfId="324" dataCellStyle="Normal 2 2">
      <calculatedColumnFormula>+SUMIFS(Tabla6[Nominal COP],Tabla6[Concepto],COSTO_OPORTUNIDAD!$B$18,Tabla6[Nemotécnico],COSTO_OPORTUNIDAD!D$16,Tabla6[Fecha Cumplimiento y/ liquidacion],COSTO_OPORTUNIDAD!$C19)/+SUMIFS(Tabla6[Nominal COP],Tabla6[Concepto],COSTO_OPORTUNIDAD!$B$18,Tabla6[Fecha Cumplimiento y/ liquidacion],COSTO_OPORTUNIDAD!$C19)</calculatedColumnFormula>
    </tableColumn>
    <tableColumn id="31" xr3:uid="{77425C6E-115D-4C70-BFFA-F6FEFA104A29}" name="TCO_COP-6_2" dataDxfId="323" dataCellStyle="Normal 2 2">
      <calculatedColumnFormula>+SUMIFS(Tabla6[Nominal COP],Tabla6[Concepto],COSTO_OPORTUNIDAD!$B$18,Tabla6[Nemotécnico],COSTO_OPORTUNIDAD!E$16,Tabla6[Fecha Cumplimiento y/ liquidacion],COSTO_OPORTUNIDAD!$C19)/+SUMIFS(Tabla6[Nominal COP],Tabla6[Concepto],COSTO_OPORTUNIDAD!$B$18,Tabla6[Fecha Cumplimiento y/ liquidacion],COSTO_OPORTUNIDAD!$C19)</calculatedColumnFormula>
    </tableColumn>
    <tableColumn id="4" xr3:uid="{4244E959-E2F2-4DEA-B470-84C5F3BA843F}" name="COP-2026" dataDxfId="322" dataCellStyle="Normal 2 2"/>
    <tableColumn id="5" xr3:uid="{C4BB1B95-3B08-41DF-87F5-DFD8E8781DE7}" name="COP-2027" dataDxfId="321" dataCellStyle="Normal 2 2"/>
    <tableColumn id="6" xr3:uid="{98168B43-5AA7-4327-B9B3-2770C657DF5C}" name="COP-2028" dataDxfId="320" dataCellStyle="Normal 2 2"/>
    <tableColumn id="7" xr3:uid="{67D4275B-C13B-4E58-9230-84D46C10B485}" name="COP-2029" dataDxfId="319" dataCellStyle="Normal 2 2"/>
    <tableColumn id="8" xr3:uid="{32D994AE-019B-412B-802B-4ABE35C8A119}" name="COP-2030" dataDxfId="318" dataCellStyle="Normal 2 2"/>
    <tableColumn id="9" xr3:uid="{17DF913F-E452-4A0A-ABA6-1BE79A8BAD8B}" name="COP-2031" dataDxfId="317" dataCellStyle="Normal 2 2"/>
    <tableColumn id="10" xr3:uid="{07CD0C74-923A-4C15-90B0-50C5E1BA3F9F}" name="COP-2032" dataDxfId="316" dataCellStyle="Normal 2 2"/>
    <tableColumn id="11" xr3:uid="{2DE7DED5-440F-4668-A220-1C7D59D0BD45}" name="COP-2033" dataDxfId="315" dataCellStyle="Normal 2 2"/>
    <tableColumn id="12" xr3:uid="{761559BB-A60F-4B48-89AF-7BB9B6FEC5E6}" name="COP-2034" dataDxfId="314" dataCellStyle="Normal 2 2"/>
    <tableColumn id="32" xr3:uid="{7A6ECE10-EAD2-4A3D-B5B3-48964276F635}" name="COP-2035" dataDxfId="313" dataCellStyle="Normal 2 2"/>
    <tableColumn id="13" xr3:uid="{3E1EBF11-FBD1-46B9-8182-C0DE5204F48B}" name="COP-2036" dataDxfId="312" dataCellStyle="Normal 2 2"/>
    <tableColumn id="14" xr3:uid="{6EB9D97C-DA1B-4DA9-9F17-D2CAADE050FE}" name="COP-2040" dataDxfId="311" dataCellStyle="Normal 2 2"/>
    <tableColumn id="15" xr3:uid="{A5A61F5F-4C0E-4386-962F-6AA2BAC7F3B9}" name="COP-2042" dataDxfId="310" dataCellStyle="Normal 2 2"/>
    <tableColumn id="16" xr3:uid="{FCD9CBEA-B04C-4B8F-8F04-330FDA004EAB}" name="COP-2046" dataDxfId="309" dataCellStyle="Normal 2 2"/>
    <tableColumn id="17" xr3:uid="{27BCF4CF-5350-40CA-8EA9-5E4AF8B9C1C1}" name="COP-2050" dataDxfId="308" dataCellStyle="Normal 2 2"/>
    <tableColumn id="18" xr3:uid="{27B9E5F2-DC36-44EE-8D83-EB0419833C44}" name="COP-2058" dataDxfId="307" dataCellStyle="Normal 2 2"/>
    <tableColumn id="19" xr3:uid="{B5C31628-7F4C-445F-AC32-7B77929C9FCD}" name="UVR-2025" dataDxfId="306" dataCellStyle="Normal 2 2"/>
    <tableColumn id="20" xr3:uid="{CC732D71-42AE-4705-A917-F546C63BE77B}" name="UVR-2027" dataDxfId="305" dataCellStyle="Normal 2 2"/>
    <tableColumn id="21" xr3:uid="{4DDED3AB-5585-4F37-87AA-463F05A28263}" name="UVR-2029" dataDxfId="304" dataCellStyle="Normal 2 2"/>
    <tableColumn id="22" xr3:uid="{007E5926-7667-4AD5-9C19-4793052E6CD5}" name="UVR-2031" dataDxfId="303" dataCellStyle="Normal 2 2"/>
    <tableColumn id="23" xr3:uid="{C99F150D-8478-4730-B2A0-247D69850CFD}" name="UVR-2033" dataDxfId="302" dataCellStyle="Normal 2 2"/>
    <tableColumn id="24" xr3:uid="{1D77AD59-712A-4C0F-90E2-BF602313B481}" name="UVR-2035" dataDxfId="301" dataCellStyle="Normal 2 2"/>
    <tableColumn id="25" xr3:uid="{F55C0E30-DE05-4D2C-B744-4FB46297E267}" name="UVR-2037" dataDxfId="300" dataCellStyle="Normal 2 2"/>
    <tableColumn id="26" xr3:uid="{F3EC7548-DED2-4BEC-BFF1-1CC56CBD04B5}" name="UVR-2041" dataDxfId="299" dataCellStyle="Normal 2 2"/>
    <tableColumn id="27" xr3:uid="{6E730461-B8E5-4737-AC09-D0CDD6A5C18B}" name="UVR-2049" dataDxfId="298" dataCellStyle="Normal 2 2"/>
    <tableColumn id="28" xr3:uid="{9ACC1BE1-F9DC-4F6B-80F7-02BF5E422DA7}" name="UVR-2055" dataDxfId="297" dataCellStyle="Normal 2 2"/>
    <tableColumn id="29" xr3:uid="{F7F6447D-E48C-40F6-AFAC-08C0178938C8}" name="UVR-2062" dataDxfId="296" dataCellStyle="Normal 2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D85E91-D818-4B9A-9008-CD4E9A037ACA}" name="Tabla7" displayName="Tabla7" ref="AH18:EA301" totalsRowCount="1" dataDxfId="295" totalsRowDxfId="293" tableBorderDxfId="294" dataCellStyle="Porcentaje" totalsRowCellStyle="Porcentaje">
  <autoFilter ref="AH18:EA300" xr:uid="{22D85E91-D818-4B9A-9008-CD4E9A037ACA}"/>
  <tableColumns count="98">
    <tableColumn id="2" xr3:uid="{E817D701-DBF8-403E-9FBE-040C4EBD210D}" name="Diás H. V-COP-2026" totalsRowFunction="custom" dataDxfId="292" totalsRowDxfId="291" dataCellStyle="Normal 2 2">
      <calculatedColumnFormula>(F$17-$B19)</calculatedColumnFormula>
      <totalsRowFormula>(F$17-$B301)</totalsRowFormula>
    </tableColumn>
    <tableColumn id="3" xr3:uid="{311C78AE-ABE4-4CA1-B1E3-A24049C127EB}" name="Diás H. V-COP-2027" totalsRowFunction="custom" dataDxfId="290" totalsRowDxfId="289" dataCellStyle="Normal 2 2">
      <calculatedColumnFormula>(G$17-$B19)</calculatedColumnFormula>
      <totalsRowFormula>(G$17-$B301)</totalsRowFormula>
    </tableColumn>
    <tableColumn id="4" xr3:uid="{106C97B3-872E-47B0-A759-FB9EFD76EB7B}" name="Diás H. V-COP-2028" totalsRowFunction="custom" dataDxfId="288" totalsRowDxfId="287" dataCellStyle="Normal 2 2">
      <calculatedColumnFormula>(H$17-$B19)</calculatedColumnFormula>
      <totalsRowFormula>(H$17-$B301)</totalsRowFormula>
    </tableColumn>
    <tableColumn id="5" xr3:uid="{AD63F5BD-DD68-4DCE-9750-A03109091F00}" name="Diás H. V-COP-2029" totalsRowFunction="custom" dataDxfId="286" totalsRowDxfId="285" dataCellStyle="Normal 2 2">
      <calculatedColumnFormula>(I$17-$B19)</calculatedColumnFormula>
      <totalsRowFormula>(I$17-$B301)</totalsRowFormula>
    </tableColumn>
    <tableColumn id="6" xr3:uid="{FDE85A4A-0030-4FAD-ABDB-6178FD292CE5}" name="Diás H. V-COP-2030" totalsRowFunction="custom" dataDxfId="284" totalsRowDxfId="283" dataCellStyle="Normal 2 2">
      <calculatedColumnFormula>(J$17-$B19)</calculatedColumnFormula>
      <totalsRowFormula>(J$17-$B301)</totalsRowFormula>
    </tableColumn>
    <tableColumn id="7" xr3:uid="{D555F353-8EE7-4126-983B-E412F41F4E09}" name="Diás H. V-COP-2031" totalsRowFunction="custom" dataDxfId="282" totalsRowDxfId="281" dataCellStyle="Normal 2 2">
      <calculatedColumnFormula>(K$17-$B19)</calculatedColumnFormula>
      <totalsRowFormula>(K$17-$B301)</totalsRowFormula>
    </tableColumn>
    <tableColumn id="8" xr3:uid="{57CAD5CD-3F7C-46A4-A7EB-AC83A63AE0FF}" name="Diás H. V-COP-2032" totalsRowFunction="custom" dataDxfId="280" totalsRowDxfId="279" dataCellStyle="Normal 2 2">
      <calculatedColumnFormula>(L$17-$B19)</calculatedColumnFormula>
      <totalsRowFormula>(L$17-$B301)</totalsRowFormula>
    </tableColumn>
    <tableColumn id="9" xr3:uid="{F8E6C351-324F-4538-9BB8-1763797AC80D}" name="Diás H. V-COP-2033" totalsRowFunction="custom" dataDxfId="278" totalsRowDxfId="277" dataCellStyle="Normal 2 2">
      <calculatedColumnFormula>(M$17-$B19)</calculatedColumnFormula>
      <totalsRowFormula>(M$17-$B301)</totalsRowFormula>
    </tableColumn>
    <tableColumn id="10" xr3:uid="{79EA7A18-F931-4281-889A-B65F3D4A582F}" name="Diás H. V-COP-2034" totalsRowFunction="custom" dataDxfId="276" totalsRowDxfId="275" dataCellStyle="Normal 2 2">
      <calculatedColumnFormula>(N$17-$B19)</calculatedColumnFormula>
      <totalsRowFormula>(N$17-$B301)</totalsRowFormula>
    </tableColumn>
    <tableColumn id="100" xr3:uid="{16178DEA-3428-4B57-A9BC-29F45E0AC57A}" name="Diás H. V-COP-2035" dataDxfId="274" totalsRowDxfId="273" dataCellStyle="Normal 2 2"/>
    <tableColumn id="11" xr3:uid="{72BFFF11-30B0-4A81-8DD6-F9F4015630BE}" name="Diás H. V-COP-2036" totalsRowFunction="custom" dataDxfId="272" totalsRowDxfId="271" dataCellStyle="Normal 2 2">
      <calculatedColumnFormula>(P$17-$B19)</calculatedColumnFormula>
      <totalsRowFormula>(P$17-$B301)</totalsRowFormula>
    </tableColumn>
    <tableColumn id="12" xr3:uid="{9CE03F4B-37F1-4245-8B97-D87C41EEC4C6}" name="Diás H. V-COP-2040" totalsRowFunction="custom" dataDxfId="270" totalsRowDxfId="269" dataCellStyle="Normal 2 2">
      <calculatedColumnFormula>(Q$17-$B19)</calculatedColumnFormula>
      <totalsRowFormula>(Q$17-$B301)</totalsRowFormula>
    </tableColumn>
    <tableColumn id="13" xr3:uid="{3B234636-5252-43AE-B489-9FDFA54520EA}" name="Diás H. V-COP-2042" totalsRowFunction="custom" dataDxfId="268" totalsRowDxfId="267" dataCellStyle="Normal 2 2">
      <calculatedColumnFormula>(R$17-$B19)</calculatedColumnFormula>
      <totalsRowFormula>(R$17-$B301)</totalsRowFormula>
    </tableColumn>
    <tableColumn id="14" xr3:uid="{ECC9D406-BFBE-4CF7-B4D4-7B691ABAF433}" name="Diás H. V-COP-2046" totalsRowFunction="custom" dataDxfId="266" totalsRowDxfId="265" dataCellStyle="Normal 2 2">
      <calculatedColumnFormula>(S$17-$B19)</calculatedColumnFormula>
      <totalsRowFormula>(S$17-$B301)</totalsRowFormula>
    </tableColumn>
    <tableColumn id="15" xr3:uid="{809667D2-BB33-40BC-9447-DA7FE1296AFA}" name="Diás H. V-COP-2050" totalsRowFunction="custom" dataDxfId="264" totalsRowDxfId="263" dataCellStyle="Normal 2 2">
      <calculatedColumnFormula>(T$17-$B19)</calculatedColumnFormula>
      <totalsRowFormula>(T$17-$B301)</totalsRowFormula>
    </tableColumn>
    <tableColumn id="16" xr3:uid="{9840E08B-F462-404A-9B88-B172F73BA8F1}" name="Diás H. V-COP-2058" totalsRowFunction="custom" dataDxfId="262" totalsRowDxfId="261" dataCellStyle="Normal 2 2">
      <totalsRowFormula>(U$17-$B301)</totalsRowFormula>
    </tableColumn>
    <tableColumn id="17" xr3:uid="{08545380-5663-4A77-BC74-9FE09AE1F6B6}" name="Diás H. V-UVR-2025" totalsRowFunction="custom" dataDxfId="260" totalsRowDxfId="259" dataCellStyle="Normal 2 2">
      <calculatedColumnFormula>(V$17-$B19)</calculatedColumnFormula>
      <totalsRowFormula>(V$17-$B301)</totalsRowFormula>
    </tableColumn>
    <tableColumn id="18" xr3:uid="{48A801C0-2575-427C-8958-5A603A1CCFB8}" name="Diás H. V-UVR-2027" totalsRowFunction="custom" dataDxfId="258" totalsRowDxfId="257" dataCellStyle="Normal 2 2">
      <calculatedColumnFormula>(W$17-$B19)</calculatedColumnFormula>
      <totalsRowFormula>(W$17-$B301)</totalsRowFormula>
    </tableColumn>
    <tableColumn id="19" xr3:uid="{01C7D9BE-847F-48A0-B722-BCA5D01E8F9B}" name="Diás H. V-UVR-2029" totalsRowFunction="custom" dataDxfId="256" totalsRowDxfId="255" dataCellStyle="Normal 2 2">
      <calculatedColumnFormula>(X$17-$B19)</calculatedColumnFormula>
      <totalsRowFormula>(X$17-$B301)</totalsRowFormula>
    </tableColumn>
    <tableColumn id="20" xr3:uid="{685C6A35-1206-479C-BEEE-B98B633637E1}" name="Diás H. V-UVR-2031" totalsRowFunction="custom" dataDxfId="254" totalsRowDxfId="253" dataCellStyle="Normal 2 2">
      <calculatedColumnFormula>(Y$17-$B19)</calculatedColumnFormula>
      <totalsRowFormula>(Y$17-$B301)</totalsRowFormula>
    </tableColumn>
    <tableColumn id="21" xr3:uid="{D5B64925-D906-4524-91CA-299D2C286B83}" name="Diás H. V-UVR-2033" totalsRowFunction="custom" dataDxfId="252" totalsRowDxfId="251" dataCellStyle="Normal 2 2">
      <calculatedColumnFormula>(Z$17-$B19)</calculatedColumnFormula>
      <totalsRowFormula>(Z$17-$B301)</totalsRowFormula>
    </tableColumn>
    <tableColumn id="22" xr3:uid="{CCFC2E61-6396-4026-B3AD-524DE2B8F4CB}" name="Diás H. V-UVR-2035" totalsRowFunction="custom" dataDxfId="250" totalsRowDxfId="249" dataCellStyle="Normal 2 2">
      <calculatedColumnFormula>(AA$17-$B19)</calculatedColumnFormula>
      <totalsRowFormula>(AA$17-$B301)</totalsRowFormula>
    </tableColumn>
    <tableColumn id="23" xr3:uid="{A8224DAF-38CC-4307-99E2-2A392445758F}" name="Diás H. V-UVR-2037" totalsRowFunction="custom" dataDxfId="248" totalsRowDxfId="247" dataCellStyle="Normal 2 2">
      <calculatedColumnFormula>(AB$17-$B19)</calculatedColumnFormula>
      <totalsRowFormula>(AB$17-$B301)</totalsRowFormula>
    </tableColumn>
    <tableColumn id="24" xr3:uid="{9BFE7374-7DD7-4FFD-90D9-13D3A90BA92F}" name="Diás H. V-UVR-2041" totalsRowFunction="custom" dataDxfId="246" totalsRowDxfId="245" dataCellStyle="Normal 2 2">
      <calculatedColumnFormula>(AC$17-$B19)</calculatedColumnFormula>
      <totalsRowFormula>(AC$17-$B301)</totalsRowFormula>
    </tableColumn>
    <tableColumn id="25" xr3:uid="{9CF72763-BF34-4380-BC4C-AA1DBFC2F673}" name="Diás H. V-UVR-2049" totalsRowFunction="custom" dataDxfId="244" totalsRowDxfId="243" dataCellStyle="Normal 2 2">
      <calculatedColumnFormula>(AD$17-$B19)</calculatedColumnFormula>
      <totalsRowFormula>(AD$17-$B301)</totalsRowFormula>
    </tableColumn>
    <tableColumn id="26" xr3:uid="{E23B2C51-16F0-4A39-AA9F-DF0091FA0E59}" name="Diás H. V-UVR-2055" totalsRowFunction="custom" dataDxfId="242" totalsRowDxfId="241" dataCellStyle="Normal 2 2">
      <calculatedColumnFormula>(AE$17-$B19)</calculatedColumnFormula>
      <totalsRowFormula>(AE$17-$B301)</totalsRowFormula>
    </tableColumn>
    <tableColumn id="27" xr3:uid="{995DC095-7957-4271-A8D0-215B2A5C58A1}" name="Diás H. V-UVR-2062" totalsRowFunction="custom" dataDxfId="240" totalsRowDxfId="239" dataCellStyle="Normal 2 2">
      <calculatedColumnFormula>(AF$17-$B19)</calculatedColumnFormula>
      <totalsRowFormula>(AF$17-$B301)</totalsRowFormula>
    </tableColumn>
    <tableColumn id="28" xr3:uid="{751E3820-72B8-4661-9C6A-E5CE1C471DCD}" name="Pon-UVR" totalsRowFunction="custom" dataDxfId="238" totalsRowDxfId="237" dataCellStyle="Porcentaje">
      <calculatedColumnFormula>+SUM(V19:AF19)</calculatedColumnFormula>
      <totalsRowFormula>+SUM(V301:AF301)</totalsRowFormula>
    </tableColumn>
    <tableColumn id="29" xr3:uid="{E0E8B36E-8053-406C-9E1C-1271B6F85B38}" name="Pon - COP" totalsRowFunction="custom" dataDxfId="236" totalsRowDxfId="235" dataCellStyle="Porcentaje">
      <totalsRowFormula>+SUM(D301:T301)</totalsRowFormula>
    </tableColumn>
    <tableColumn id="30" xr3:uid="{88C231F0-760F-4269-8D9E-DF278929E59D}" name="COP-2026" totalsRowFunction="custom" dataDxfId="234" totalsRowDxfId="233" dataCellStyle="Normal 2 2">
      <calculatedColumnFormula>IFERROR(F19/$BJ19,"")</calculatedColumnFormula>
      <totalsRowFormula>IFERROR(F301/$BJ301,"")</totalsRowFormula>
    </tableColumn>
    <tableColumn id="31" xr3:uid="{EB8A9110-E872-4C0F-8954-7D19CF7A58C8}" name="COP-2027" totalsRowFunction="custom" dataDxfId="232" totalsRowDxfId="231" dataCellStyle="Normal 2 2">
      <calculatedColumnFormula>IFERROR(G19/$BJ19,"")</calculatedColumnFormula>
      <totalsRowFormula>IFERROR(G301/$BJ301,"")</totalsRowFormula>
    </tableColumn>
    <tableColumn id="32" xr3:uid="{BD168163-31F9-48F5-A230-22E17494F729}" name="COP-2028" totalsRowFunction="custom" dataDxfId="230" totalsRowDxfId="229" dataCellStyle="Normal 2 2">
      <calculatedColumnFormula>IFERROR(H19/$BJ19,"")</calculatedColumnFormula>
      <totalsRowFormula>IFERROR(H301/$BJ301,"")</totalsRowFormula>
    </tableColumn>
    <tableColumn id="33" xr3:uid="{8FAC5169-3A3B-4739-8892-C937BB4E5F06}" name="COP-2029" totalsRowFunction="custom" dataDxfId="228" totalsRowDxfId="227" dataCellStyle="Normal 2 2">
      <calculatedColumnFormula>IFERROR(I19/$BJ19,"")</calculatedColumnFormula>
      <totalsRowFormula>IFERROR(I301/$BJ301,"")</totalsRowFormula>
    </tableColumn>
    <tableColumn id="34" xr3:uid="{69D1D88E-AD65-4909-8BDF-D39F777EEE5A}" name="COP-2030" totalsRowFunction="custom" dataDxfId="226" totalsRowDxfId="225" dataCellStyle="Normal 2 2">
      <calculatedColumnFormula>IFERROR(J19/$BJ19,"")</calculatedColumnFormula>
      <totalsRowFormula>IFERROR(J301/$BJ301,"")</totalsRowFormula>
    </tableColumn>
    <tableColumn id="35" xr3:uid="{A182E24D-0C60-4DE3-81E1-6D3DBA4D232C}" name="COP-2031" totalsRowFunction="custom" dataDxfId="224" totalsRowDxfId="223" dataCellStyle="Normal 2 2">
      <calculatedColumnFormula>IFERROR(K19/$BJ19,"")</calculatedColumnFormula>
      <totalsRowFormula>IFERROR(K301/$BJ301,"")</totalsRowFormula>
    </tableColumn>
    <tableColumn id="36" xr3:uid="{6CD1ACD6-4812-45DA-9B2A-FC26338FAFB6}" name="COP-2032" totalsRowFunction="custom" dataDxfId="222" totalsRowDxfId="221" dataCellStyle="Normal 2 2">
      <calculatedColumnFormula>IFERROR(L19/$BJ19,"")</calculatedColumnFormula>
      <totalsRowFormula>IFERROR(L301/$BJ301,"")</totalsRowFormula>
    </tableColumn>
    <tableColumn id="37" xr3:uid="{7B7EB19E-C414-44F0-B386-6149BD2983C5}" name="COP-2033" totalsRowFunction="custom" dataDxfId="220" totalsRowDxfId="219" dataCellStyle="Normal 2 2">
      <calculatedColumnFormula>IFERROR(M19/$BJ19,"")</calculatedColumnFormula>
      <totalsRowFormula>IFERROR(M301/$BJ301,"")</totalsRowFormula>
    </tableColumn>
    <tableColumn id="38" xr3:uid="{70489697-0E18-4CB2-BE2A-6BF2D87453CE}" name="COP-2034" totalsRowFunction="custom" dataDxfId="218" totalsRowDxfId="217" dataCellStyle="Normal 2 2">
      <calculatedColumnFormula>IFERROR(N19/$BJ19,"")</calculatedColumnFormula>
      <totalsRowFormula>IFERROR(N301/$BJ301,"")</totalsRowFormula>
    </tableColumn>
    <tableColumn id="99" xr3:uid="{67C94136-AB54-4AEF-BD0D-43E5EC6E1F1D}" name="COP-2035" totalsRowFunction="custom" dataDxfId="216" totalsRowDxfId="215" dataCellStyle="Normal 2 2">
      <calculatedColumnFormula>IFERROR(P19/$BJ19,"")</calculatedColumnFormula>
      <totalsRowFormula>IFERROR(P301/$BJ301,"")</totalsRowFormula>
    </tableColumn>
    <tableColumn id="39" xr3:uid="{1DFFACCA-2417-4113-8BCB-1D9697A0F831}" name="COP-2036" totalsRowFunction="custom" dataDxfId="214" totalsRowDxfId="213" dataCellStyle="Normal 2 2">
      <calculatedColumnFormula>IFERROR(P19/$BJ19,"")</calculatedColumnFormula>
      <totalsRowFormula>IFERROR(P301/$BJ301,"")</totalsRowFormula>
    </tableColumn>
    <tableColumn id="40" xr3:uid="{B13FCE10-B34E-48F6-9622-534249B920E9}" name="COP-2040" totalsRowFunction="custom" dataDxfId="212" totalsRowDxfId="211" dataCellStyle="Normal 2 2">
      <calculatedColumnFormula>IFERROR(Q19/$BJ19,"")</calculatedColumnFormula>
      <totalsRowFormula>IFERROR(Q301/$BJ301,"")</totalsRowFormula>
    </tableColumn>
    <tableColumn id="41" xr3:uid="{3609F412-B337-4937-B2FE-1792B87D25AD}" name="COP-20422" totalsRowFunction="custom" dataDxfId="210" totalsRowDxfId="209" dataCellStyle="Normal 2 2">
      <calculatedColumnFormula>IFERROR(R19/$BJ19,"")</calculatedColumnFormula>
      <totalsRowFormula>IFERROR(R301/$BJ301,"")</totalsRowFormula>
    </tableColumn>
    <tableColumn id="42" xr3:uid="{758CB69C-0963-4D99-866A-3B2B550994F5}" name="COP-2046" totalsRowFunction="custom" dataDxfId="208" totalsRowDxfId="207" dataCellStyle="Normal 2 2">
      <calculatedColumnFormula>IFERROR(S19/$BJ19,"")</calculatedColumnFormula>
      <totalsRowFormula>IFERROR(S301/$BJ301,"")</totalsRowFormula>
    </tableColumn>
    <tableColumn id="43" xr3:uid="{F9F6683B-F738-48DA-879C-F13DFFF9F75F}" name="COP-2050" totalsRowFunction="custom" dataDxfId="206" totalsRowDxfId="205" dataCellStyle="Normal 2 2">
      <calculatedColumnFormula>IFERROR(T19/$BJ19,"")</calculatedColumnFormula>
      <totalsRowFormula>IFERROR(T301/$BJ301,"")</totalsRowFormula>
    </tableColumn>
    <tableColumn id="44" xr3:uid="{D12B9D44-3BA1-401D-9478-9F7646AF72A5}" name="COP-2058" totalsRowFunction="custom" dataDxfId="204" totalsRowDxfId="203" dataCellStyle="Normal 2 2">
      <totalsRowFormula>IFERROR(U301/$BJ301,"")</totalsRowFormula>
    </tableColumn>
    <tableColumn id="45" xr3:uid="{7ECD7B1F-F855-4D78-9115-7D5A44A8AD03}" name="UVR-2025" totalsRowFunction="custom" dataDxfId="202" totalsRowDxfId="201" dataCellStyle="Normal 2 2">
      <calculatedColumnFormula>IFERROR(V19/$BI19,"")</calculatedColumnFormula>
      <totalsRowFormula>IFERROR(V301/$BI301,"")</totalsRowFormula>
    </tableColumn>
    <tableColumn id="46" xr3:uid="{829F7740-8687-4201-9A51-C2193420BE01}" name="UVR-2027" totalsRowFunction="custom" dataDxfId="200" totalsRowDxfId="199" dataCellStyle="Normal 2 2">
      <calculatedColumnFormula>IFERROR(W19/$BI19,"")</calculatedColumnFormula>
      <totalsRowFormula>IFERROR(W301/$BI301,"")</totalsRowFormula>
    </tableColumn>
    <tableColumn id="47" xr3:uid="{5422ED5D-DC85-41A5-9D93-54833E2D2909}" name="UVR-2029" totalsRowFunction="custom" dataDxfId="198" totalsRowDxfId="197" dataCellStyle="Normal 2 2">
      <calculatedColumnFormula>IFERROR(X19/$BI19,"")</calculatedColumnFormula>
      <totalsRowFormula>IFERROR(X301/$BI301,"")</totalsRowFormula>
    </tableColumn>
    <tableColumn id="48" xr3:uid="{5C2F537C-6B9A-441F-AB8C-44B49AF2DEFE}" name="UVR-2031" totalsRowFunction="custom" dataDxfId="196" totalsRowDxfId="195" dataCellStyle="Normal 2 2">
      <calculatedColumnFormula>IFERROR(Y19/$BI19,"")</calculatedColumnFormula>
      <totalsRowFormula>IFERROR(Y301/$BI301,"")</totalsRowFormula>
    </tableColumn>
    <tableColumn id="49" xr3:uid="{26309B64-32C3-4515-ABDA-CE6C603B7F8A}" name="UVR-2033" totalsRowFunction="custom" dataDxfId="194" totalsRowDxfId="193" dataCellStyle="Normal 2 2">
      <calculatedColumnFormula>IFERROR(Z19/$BI19,"")</calculatedColumnFormula>
      <totalsRowFormula>IFERROR(Z301/$BI301,"")</totalsRowFormula>
    </tableColumn>
    <tableColumn id="50" xr3:uid="{CB8F4A74-8A86-49EF-B244-447312368496}" name="UVR-2035" totalsRowFunction="custom" dataDxfId="192" totalsRowDxfId="191" dataCellStyle="Normal 2 2">
      <calculatedColumnFormula>IFERROR(AA19/$BI19,"")</calculatedColumnFormula>
      <totalsRowFormula>IFERROR(AA301/$BI301,"")</totalsRowFormula>
    </tableColumn>
    <tableColumn id="51" xr3:uid="{65EF993F-4448-49A6-BFB6-83C2215546EE}" name="UVR-2037" totalsRowFunction="custom" dataDxfId="190" totalsRowDxfId="189" dataCellStyle="Normal 2 2">
      <calculatedColumnFormula>IFERROR(AB19/$BI19,"")</calculatedColumnFormula>
      <totalsRowFormula>IFERROR(AB301/$BI301,"")</totalsRowFormula>
    </tableColumn>
    <tableColumn id="52" xr3:uid="{E4E94D11-D2C8-4FEE-BEB7-E72BACFD2423}" name="UVR-2041" totalsRowFunction="custom" dataDxfId="188" totalsRowDxfId="187" dataCellStyle="Normal 2 2">
      <calculatedColumnFormula>IFERROR(AC19/$BI19,"")</calculatedColumnFormula>
      <totalsRowFormula>IFERROR(AC301/$BI301,"")</totalsRowFormula>
    </tableColumn>
    <tableColumn id="53" xr3:uid="{B396BE34-C8B9-4112-870D-F228D17A64FF}" name="UVR-2049" totalsRowFunction="custom" dataDxfId="186" totalsRowDxfId="185" dataCellStyle="Normal 2 2">
      <calculatedColumnFormula>IFERROR(AD19/$BI19,"")</calculatedColumnFormula>
      <totalsRowFormula>IFERROR(AD301/$BI301,"")</totalsRowFormula>
    </tableColumn>
    <tableColumn id="54" xr3:uid="{EFCB1E04-FD31-4BC0-B9FB-45E2A4C5D1C7}" name="UVR-2055" totalsRowFunction="custom" dataDxfId="184" totalsRowDxfId="183" dataCellStyle="Normal 2 2">
      <calculatedColumnFormula>IFERROR(AE19/$BI19,"")</calculatedColumnFormula>
      <totalsRowFormula>IFERROR(AE301/$BI301,"")</totalsRowFormula>
    </tableColumn>
    <tableColumn id="55" xr3:uid="{5AA4BA6E-CB80-43C7-BDCA-91A025DD29BC}" name="UVR-2062" totalsRowFunction="custom" dataDxfId="182" totalsRowDxfId="181" dataCellStyle="Normal 2 2">
      <calculatedColumnFormula>IFERROR(AF19/$BI19,"")</calculatedColumnFormula>
      <totalsRowFormula>IFERROR(AF301/$BI301,"")</totalsRowFormula>
    </tableColumn>
    <tableColumn id="56" xr3:uid="{72F668C2-FEAA-4433-912B-D159ABD345D6}" name="Plazo COP" totalsRowFunction="custom" dataDxfId="180" totalsRowDxfId="179" dataCellStyle="Millares 3">
      <totalsRowFormula>ROUND(IFERROR((_xlfn.DAYS($F$17,B301)*BK301),0)+IFERROR((_xlfn.DAYS($G$17,B301)*BL301),0)+IFERROR((_xlfn.DAYS($H$17,B301)*BM301),0)+IFERROR((_xlfn.DAYS($I$17,B301)*BN301),0)+IFERROR((_xlfn.DAYS($J$17,B301)*BO301),0)+IFERROR((_xlfn.DAYS($K$17,B301)*BP301),0)+IFERROR((_xlfn.DAYS($L$17,B301)*BQ301),0)+IFERROR((_xlfn.DAYS($M$17,B301)*BR301),0)+IFERROR((_xlfn.DAYS($N$17,B301)*BS301),0)+IFERROR((_xlfn.DAYS($P$17,B301)*BU301),0)+IFERROR((_xlfn.DAYS($Q$17,B301)*BV301),0)+IFERROR((_xlfn.DAYS($R$17,B301)*BW301),0)+IFERROR((_xlfn.DAYS($S$17,B301)*BX301),0)+IFERROR((_xlfn.DAYS($T$17,B301)*BY301),0)+IFERROR((_xlfn.DAYS($T$17,B301)*BZ301),0)+IFERROR((_xlfn.DAYS($T$17,B301)*BT301),0),0)</totalsRowFormula>
    </tableColumn>
    <tableColumn id="57" xr3:uid="{96DE6C53-F928-4915-9F5F-328A78BFC1D3}" name="Plazo UVR" totalsRowFunction="custom" dataDxfId="178" totalsRowDxfId="177" dataCellStyle="Millares 3">
      <totalsRowFormula>ROUND(IFERROR((_xlfn.DAYS($V$17,B301)*CA301),0)+IFERROR((_xlfn.DAYS($Z$17,B301)*CB301),0)+IFERROR((_xlfn.DAYS($W$17,B301)*CC301),0)+IFERROR((_xlfn.DAYS($X$17,B301)*CE301),0)+IFERROR((_xlfn.DAYS($AA$17,B301)*CF301),0)+IFERROR((_xlfn.DAYS($AB$17,B301)*CG301),0)+IFERROR((_xlfn.DAYS($AC$17,B301)*CH301),0)+IFERROR((_xlfn.DAYS($AD$17,B301)*CI301),0)+IFERROR((_xlfn.DAYS($AE$17,B301)*CJ301),0)+IFERROR((_xlfn.DAYS($AE$17,B301)*CD301),0)+IFERROR((_xlfn.DAYS($AE$17,B301)*CK301),0),0)</totalsRowFormula>
    </tableColumn>
    <tableColumn id="58" xr3:uid="{7EFD2DF4-6B2A-4C3C-A4F9-4AA1C2E0A104}" name="Columna2" dataDxfId="176" totalsRowDxfId="175" dataCellStyle="Millares 3"/>
    <tableColumn id="60" xr3:uid="{99C18E33-3B82-4D34-B6A3-B77C4DFB889B}" name="Yield-COP-2026" totalsRowLabel="9.240%" dataDxfId="174" totalsRowDxfId="173" dataCellStyle="Porcentaje"/>
    <tableColumn id="61" xr3:uid="{9B394134-DBE6-44E0-BB62-A3653A720D1E}" name="Yield-COP-2027" totalsRowLabel="10.640%" dataDxfId="172" totalsRowDxfId="171" dataCellStyle="Porcentaje"/>
    <tableColumn id="62" xr3:uid="{F07DBACD-76BD-45F2-B67F-2ED12134BACC}" name="Yield-COP-2028" totalsRowLabel="11.320%" dataDxfId="170" totalsRowDxfId="169" dataCellStyle="Porcentaje"/>
    <tableColumn id="63" xr3:uid="{44CBC3A6-5C48-49F6-8DFC-88854766AA28}" name="Yield-COP-2029" totalsRowLabel="11.942%" dataDxfId="168" totalsRowDxfId="167" dataCellStyle="Porcentaje"/>
    <tableColumn id="64" xr3:uid="{394C3EFD-6F46-4497-A832-938928B78E32}" name="Yield-COP-2030" totalsRowLabel="12.030%" dataDxfId="166" totalsRowDxfId="165" dataCellStyle="Porcentaje"/>
    <tableColumn id="65" xr3:uid="{3E3BA312-B87C-4591-8CA4-04ABAE58DB8D}" name="Yield-COP-2031" totalsRowLabel="12.125%" dataDxfId="164" totalsRowDxfId="163" dataCellStyle="Porcentaje"/>
    <tableColumn id="66" xr3:uid="{80361249-AED4-4C00-A1DE-B1D336DD81B0}" name="Yield-COP-2032" totalsRowLabel="12.195%" dataDxfId="162" totalsRowDxfId="161" dataCellStyle="Porcentaje"/>
    <tableColumn id="67" xr3:uid="{0595796F-32AE-4158-B311-7B16BCC6728F}" name="Yield-COP-2033" totalsRowLabel="12.317%" dataDxfId="160" totalsRowDxfId="159" dataCellStyle="Porcentaje"/>
    <tableColumn id="68" xr3:uid="{8FE0FAD1-E08E-43E9-A49B-ED850C915F13}" name="Yield-COP-2034" totalsRowLabel="12.300%" dataDxfId="158" totalsRowDxfId="157" dataCellStyle="Porcentaje"/>
    <tableColumn id="69" xr3:uid="{5082FB62-F896-4D65-AFEA-12FD93C76ABB}" name="Yield-COP-2035" totalsRowLabel="12.430%" dataDxfId="156" totalsRowDxfId="155" dataCellStyle="Porcentaje"/>
    <tableColumn id="70" xr3:uid="{895A8BD9-B951-4474-86D3-80F425D673A0}" name="Yield-COP-2036" totalsRowLabel="12.306%" dataDxfId="154" totalsRowDxfId="153" dataCellStyle="Porcentaje"/>
    <tableColumn id="71" xr3:uid="{F6B2316D-164D-4BA6-9A1D-A1959EDA5C75}" name="Yield-COP-2040" totalsRowLabel="12.320%" dataDxfId="152" totalsRowDxfId="151" dataCellStyle="Porcentaje"/>
    <tableColumn id="72" xr3:uid="{D2F68C49-9E2E-4570-87BD-FB4F3A5D7227}" name="Yield-COP-2042" totalsRowLabel="12.359%" dataDxfId="150" totalsRowDxfId="149" dataCellStyle="Porcentaje"/>
    <tableColumn id="73" xr3:uid="{A33D3EAE-5D76-4A82-A1B5-7B37842C8BA7}" name="Yield-COP-2046" totalsRowLabel="12.520%" dataDxfId="148" totalsRowDxfId="147" dataCellStyle="Porcentaje"/>
    <tableColumn id="74" xr3:uid="{12DD80B2-5808-417E-9B22-C51A9E5E686F}" name="Yield-COP-2050" totalsRowLabel="12.300%" dataDxfId="146" totalsRowDxfId="145" dataCellStyle="Porcentaje"/>
    <tableColumn id="75" xr3:uid="{5E96792E-7D07-4BC7-9B93-0E226D8E2FCD}" name="Yield-COP-2058" totalsRowLabel="12.528%" dataDxfId="144" totalsRowDxfId="143" dataCellStyle="Porcentaje"/>
    <tableColumn id="77" xr3:uid="{049379B5-110B-4D44-9509-5A7D83EE5E7F}" name="Yield-UVR-2027" totalsRowLabel="10.640%" dataDxfId="142" totalsRowDxfId="141" dataCellStyle="Porcentaje"/>
    <tableColumn id="78" xr3:uid="{B3C12B41-0CBB-4D3F-B549-D799285904CB}" name="Yield-UVR-2029" totalsRowLabel="11.320%" dataDxfId="140" totalsRowDxfId="139" dataCellStyle="Porcentaje"/>
    <tableColumn id="1" xr3:uid="{8A0FDEC3-A3CA-40BA-9D7F-53FC7919F861}" name="Yield-UVR-2030" dataDxfId="138" totalsRowDxfId="137" dataCellStyle="Porcentaje"/>
    <tableColumn id="79" xr3:uid="{753F71A9-C79E-4E10-8443-D587173E3EF3}" name="Yield-UVR-2033" totalsRowLabel="11.942%" dataDxfId="136" totalsRowDxfId="135" dataCellStyle="Porcentaje"/>
    <tableColumn id="80" xr3:uid="{A8294BB5-CBAA-4731-85C8-D319A3EDAC3D}" name="Yield-UVR-2035" totalsRowLabel="12.030%" dataDxfId="134" totalsRowDxfId="133" dataCellStyle="Porcentaje"/>
    <tableColumn id="81" xr3:uid="{7762FEFB-CADA-4518-B237-FA9DFF7CB0E6}" name="Yield-UVR-2037" totalsRowLabel="12.125%" dataDxfId="132" totalsRowDxfId="131" dataCellStyle="Porcentaje"/>
    <tableColumn id="82" xr3:uid="{0CBDE3E7-36EC-45C7-98C0-5B3897C7C353}" name="Yield-UVR-2041" totalsRowLabel="12.195%" dataDxfId="130" totalsRowDxfId="129" dataCellStyle="Porcentaje"/>
    <tableColumn id="83" xr3:uid="{B090139D-DF1B-41FD-919E-5F96B9098C04}" name="Yield-UVR-2049" totalsRowLabel="12.317%" dataDxfId="128" totalsRowDxfId="127" dataCellStyle="Porcentaje"/>
    <tableColumn id="84" xr3:uid="{A120A4FF-4CD5-4D85-ABE6-E835D54C97A8}" name="Yield-UVR-2055" totalsRowLabel="12.300%" dataDxfId="126" totalsRowDxfId="125" dataCellStyle="Porcentaje"/>
    <tableColumn id="85" xr3:uid="{1ED53471-EED3-4DE3-848D-48FF745F04A8}" name="Yield-UVR-2062" totalsRowLabel="12.430%" dataDxfId="124" totalsRowDxfId="123" dataCellStyle="Porcentaje"/>
    <tableColumn id="86" xr3:uid="{36F2DF72-13CB-402B-B4E0-11CBFD75C114}" name="COP" totalsRowFunction="custom" dataDxfId="122" totalsRowDxfId="121" dataCellStyle="Millares 3">
      <totalsRowFormula>+INDEX(AH301:AW301,MATCH(CL301,AH301:AW301,1))</totalsRowFormula>
    </tableColumn>
    <tableColumn id="87" xr3:uid="{1D1E36B2-6AD4-4F8B-9DD7-4BCD9EE42E2E}" name="Columna3" totalsRowFunction="custom" dataDxfId="120" totalsRowDxfId="119" dataCellStyle="Millares 3">
      <totalsRowFormula array="1">+INDEX(AH301:AW301,MATCH(DO301,AH301:AW301,1)+1)</totalsRowFormula>
    </tableColumn>
    <tableColumn id="88" xr3:uid="{5D7E5CFB-FEC3-4C3D-8741-8B3600EC25E7}" name="Columna4" totalsRowFunction="custom" dataDxfId="118" totalsRowDxfId="117" dataCellStyle="Porcentaje">
      <totalsRowFormula>+INDEX(CO301:DD301,MATCH(DO301,AH301:AV301,1))</totalsRowFormula>
    </tableColumn>
    <tableColumn id="89" xr3:uid="{2900D38E-9546-429C-A230-DDA05411DAA6}" name="Columna5" totalsRowFunction="custom" dataDxfId="116" totalsRowDxfId="115" dataCellStyle="Porcentaje">
      <totalsRowFormula>+INDEX(CO301:DD301,MATCH(DP301,AH301:AV301,1))</totalsRowFormula>
    </tableColumn>
    <tableColumn id="90" xr3:uid="{B40E5637-2BD1-447C-B1D2-81DCFFBDAE48}" name="Columna6" totalsRowFunction="custom" dataDxfId="114" totalsRowDxfId="113" dataCellStyle="Porcentaje">
      <calculatedColumnFormula>ROUND(DQ19+((CL19-DO19)/(DP19-DO19))*(DR19-DQ19),6)</calculatedColumnFormula>
      <totalsRowFormula>ROUND(DQ301+((CL301-DO301)/(DP301-DO301))*(DR301-DQ301),6)</totalsRowFormula>
    </tableColumn>
    <tableColumn id="91" xr3:uid="{5701E541-DFEE-43C1-88EA-76E5CD9085AD}" name="UVR" totalsRowFunction="custom" dataDxfId="112" totalsRowDxfId="111" dataCellStyle="Millares 3">
      <calculatedColumnFormula>+INDEX(AX19:BG19,MATCH(CM19,AX19:BG19,1))</calculatedColumnFormula>
      <totalsRowFormula>+INDEX(AX301:BG301,MATCH(CM301,AX301:BG301,1))</totalsRowFormula>
    </tableColumn>
    <tableColumn id="92" xr3:uid="{F1494A61-12C6-4B09-94CC-99BDD0F701A1}" name="Columna7" totalsRowFunction="custom" dataDxfId="110" totalsRowDxfId="109" dataCellStyle="Millares 3">
      <calculatedColumnFormula array="1">+INDEX(AX19:BG19,MATCH(DT19,AX19:BG19,1)+1)</calculatedColumnFormula>
      <totalsRowFormula array="1">+INDEX(AX301:BG301,MATCH(DT301,AX301:BG301,1)+1)</totalsRowFormula>
    </tableColumn>
    <tableColumn id="93" xr3:uid="{7EF51DE9-B009-48B7-A514-784FE893D573}" name="Columna8" totalsRowFunction="custom" dataDxfId="108" totalsRowDxfId="107" dataCellStyle="Porcentaje">
      <calculatedColumnFormula>+INDEX(DE19:DL19,MATCH(DT19,AX19:BF19,1))</calculatedColumnFormula>
      <totalsRowFormula>+INDEX(DE301:DL301,MATCH(DT301,AX301:BF301,1))</totalsRowFormula>
    </tableColumn>
    <tableColumn id="94" xr3:uid="{8C4C5C56-E3E4-489E-9E46-AFD55AF3C8E7}" name="Columna9" totalsRowFunction="custom" dataDxfId="106" totalsRowDxfId="105" dataCellStyle="Porcentaje">
      <calculatedColumnFormula>+INDEX(DE19:DM19,MATCH(DU19,AX19:BG19,1))</calculatedColumnFormula>
      <totalsRowFormula>+INDEX(DE301:DM301,MATCH(DU301,AX301:BG301,1))</totalsRowFormula>
    </tableColumn>
    <tableColumn id="95" xr3:uid="{38D7E699-1A67-4582-B1EE-A3FBCA5FE890}" name="Columna10" totalsRowFunction="custom" dataDxfId="104" totalsRowDxfId="103" dataCellStyle="Porcentaje">
      <calculatedColumnFormula>ROUND(DV19+((CM19-DT19)/(DU19-DT19))*(DW19-DV19),5)</calculatedColumnFormula>
      <totalsRowFormula>ROUND(DV301+((CM301-DT301)/(DU301-DT301))*(DW301-DV301),5)</totalsRowFormula>
    </tableColumn>
    <tableColumn id="96" xr3:uid="{24F3CA09-DAA9-48E4-BCD8-BB3FC171C916}" name="Inflación" totalsRowFunction="custom" dataDxfId="102" totalsRowDxfId="101" dataCellStyle="Porcentaje">
      <calculatedColumnFormula>+$EE$90</calculatedColumnFormula>
      <totalsRowFormula>+$EE$90</totalsRowFormula>
    </tableColumn>
    <tableColumn id="97" xr3:uid="{A2F87C01-1794-40EE-B3C1-B924AE798923}" name="Tasa ponderada UVR" totalsRowFunction="custom" dataDxfId="100" totalsRowDxfId="99">
      <calculatedColumnFormula>+(1+DX19)*(1+DY19)-1</calculatedColumnFormula>
      <totalsRowFormula>+(1+DX301)*(1+DY301)-1</totalsRowFormula>
    </tableColumn>
    <tableColumn id="98" xr3:uid="{BC80945A-B1A5-4749-96FA-E6E888D27699}" name="Costo de Oportunidad" totalsRowFunction="custom" dataDxfId="98" totalsRowDxfId="97">
      <calculatedColumnFormula>IFERROR(BJ19*DS19,0)+IFERROR(BI19*DZ19,0)</calculatedColumnFormula>
      <totalsRowFormula>IFERROR(BJ301*DS301,0)+IFERROR(BI301*DZ301,0)</totalsRow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B94199-2978-4DAC-874A-06EADFAAD8A7}" name="Tabla5" displayName="Tabla5" ref="B2:F131" totalsRowCount="1" headerRowDxfId="96">
  <autoFilter ref="B2:F130" xr:uid="{9FB94199-2978-4DAC-874A-06EADFAAD8A7}"/>
  <tableColumns count="5">
    <tableColumn id="1" xr3:uid="{F73E5821-3C3A-4C9C-8F76-E42E58E2CB92}" name="Fecha" dataDxfId="95" totalsRowDxfId="94"/>
    <tableColumn id="2" xr3:uid="{F9686F4A-49B6-4C44-A338-8EBB552CF7FC}" name="Valor Nominal Inicio Día (Interna)" totalsRowLabel=" Total OMD " dataDxfId="93" totalsRowDxfId="92" dataCellStyle="Moneda"/>
    <tableColumn id="3" xr3:uid="{1D80B045-869B-4670-803F-0F146FF8278C}" name="OMDs" totalsRowFunction="custom" dataDxfId="91" totalsRowDxfId="90" dataCellStyle="Moneda">
      <calculatedColumnFormula array="1">+_xlfn.XLOOKUP(Tabla5[[#This Row],[Fecha]],HISTORICO!D:D,HISTORICO!H:H/1000000,0,0,1)</calculatedColumnFormula>
      <totalsRowFormula>+SUM(Tabla5[OMDs])</totalsRowFormula>
    </tableColumn>
    <tableColumn id="4" xr3:uid="{CEFC7B2A-D19E-4C6A-8E77-854521F83027}" name="Valor Nominal Estimado" dataDxfId="89" totalsRowDxfId="88" dataCellStyle="Moneda">
      <calculatedColumnFormula>+E2-Tabla5[[#This Row],[OMDs]]</calculatedColumnFormula>
    </tableColumn>
    <tableColumn id="5" xr3:uid="{50AD2618-539D-4D98-81A0-D43BBE073143}" name="Faltante para cumpli nominal de  $12,157,000 millones" dataDxfId="87" dataCellStyle="Porcentaje">
      <calculatedColumnFormula>Tabla5[[#This Row],[Valor Nominal Estimado]]-12157000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224B12-DBCA-4E73-801F-EF2F0828BF04}" name="UVR" displayName="UVR" ref="B2:D1082" totalsRowShown="0" headerRowDxfId="86">
  <autoFilter ref="B2:D1082" xr:uid="{CF224B12-DBCA-4E73-801F-EF2F0828BF04}"/>
  <tableColumns count="3">
    <tableColumn id="1" xr3:uid="{3AD18EE0-D050-4371-BAB6-0C23E8EEEA88}" name="Fecha (dd/mm/aaaa)" dataDxfId="85"/>
    <tableColumn id="2" xr3:uid="{48B56A96-417B-4742-8C18-43CA11A0D86C}" name="Pesos colombianos por UVR"/>
    <tableColumn id="3" xr3:uid="{6D19B92D-054C-4B2C-B0BF-D6167D775A85}" name="Variación anual porcentual 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Verde azulado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0" dT="2023-04-12T19:39:18.74" personId="{27D5806B-BDDB-4564-AA59-470779C27BF3}" id="{14E496CD-CFA0-4AD7-8EBF-2FB0C18CC63A}">
    <text>Agregado</text>
  </threadedComment>
  <threadedComment ref="C110" dT="2023-04-12T19:39:42.13" personId="{27D5806B-BDDB-4564-AA59-470779C27BF3}" id="{11565E7E-5F95-4C4E-B74B-1FAD1B1A1099}" parentId="{14E496CD-CFA0-4AD7-8EBF-2FB0C18CC63A}">
    <text>Allí agregue la operación de hoy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14" dT="2023-04-20T01:27:39.98" personId="{27D5806B-BDDB-4564-AA59-470779C27BF3}" id="{744F7DC4-8935-49EE-B7F4-364D62772388}">
    <text>Se están teniendo en cuenta la OP de MERCADO - verificar eso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hyperlink" Target="https://www.banrep.gov.co/es/estadisticas/inflacion-total-y-meta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43486-82B4-4269-AC31-AD532E32FC72}">
  <sheetPr codeName="Hoja15"/>
  <dimension ref="B2:F30"/>
  <sheetViews>
    <sheetView tabSelected="1" topLeftCell="B1" zoomScale="115" zoomScaleNormal="115" workbookViewId="0">
      <selection activeCell="E16" sqref="E16:F25"/>
    </sheetView>
  </sheetViews>
  <sheetFormatPr baseColWidth="10" defaultRowHeight="15"/>
  <cols>
    <col min="2" max="2" width="53.140625" customWidth="1"/>
    <col min="3" max="3" width="42" customWidth="1"/>
    <col min="4" max="4" width="6.85546875" customWidth="1"/>
    <col min="5" max="5" width="48.28515625" bestFit="1" customWidth="1"/>
    <col min="6" max="6" width="30" bestFit="1" customWidth="1"/>
    <col min="7" max="11" width="7.42578125" bestFit="1" customWidth="1"/>
    <col min="12" max="12" width="12" bestFit="1" customWidth="1"/>
  </cols>
  <sheetData>
    <row r="2" spans="2:6" ht="15.75" thickBot="1"/>
    <row r="3" spans="2:6" ht="16.5" thickBot="1">
      <c r="B3" s="187" t="s">
        <v>14</v>
      </c>
      <c r="C3" s="188">
        <v>657</v>
      </c>
    </row>
    <row r="4" spans="2:6" ht="15.75">
      <c r="B4" s="184" t="s">
        <v>18</v>
      </c>
      <c r="C4" s="181">
        <f>_xlfn.XLOOKUP(C3,'Canjes desagregado'!B:B,'Canjes desagregado'!C:C,0)</f>
        <v>46003</v>
      </c>
      <c r="E4" s="115"/>
    </row>
    <row r="5" spans="2:6" ht="15.75">
      <c r="B5" s="185" t="s">
        <v>495</v>
      </c>
      <c r="C5" s="182" cm="1">
        <f t="array" ref="C5">+_xlfn.XLOOKUP($C$4&amp;$C$3,HISTORICO!D:D&amp;HISTORICO!$B:$B,HISTORICO!H:H,"",0,1)</f>
        <v>213678300000</v>
      </c>
      <c r="D5" s="133"/>
    </row>
    <row r="6" spans="2:6" ht="15.75">
      <c r="B6" s="185" t="s">
        <v>1</v>
      </c>
      <c r="C6" s="182" cm="1">
        <f t="array" ref="C6">+_xlfn.XLOOKUP($C$4&amp;$C$3,HISTORICO!D:D&amp;HISTORICO!$B:$B,HISTORICO!I:I,"",0,1)</f>
        <v>75740</v>
      </c>
    </row>
    <row r="7" spans="2:6" ht="15.75">
      <c r="B7" s="185" t="s">
        <v>283</v>
      </c>
      <c r="C7" s="182" cm="1">
        <f t="array" ref="C7">+_xlfn.XLOOKUP($C$4&amp;$C$3,HISTORICO!D:D&amp;HISTORICO!$B:$B,HISTORICO!J:J,"",0,1)</f>
        <v>0</v>
      </c>
    </row>
    <row r="8" spans="2:6" ht="15.75">
      <c r="B8" s="185" t="s">
        <v>3</v>
      </c>
      <c r="C8" s="182" cm="1">
        <f t="array" ref="C8">+_xlfn.XLOOKUP($C$4&amp;$C$3,HISTORICO!D:D&amp;HISTORICO!$B:$B,HISTORICO!L:L,"",0,1)</f>
        <v>0</v>
      </c>
    </row>
    <row r="9" spans="2:6" ht="15.75">
      <c r="B9" s="185" t="s">
        <v>182</v>
      </c>
      <c r="C9" s="182" cm="1">
        <f t="array" ref="C9">+_xlfn.XLOOKUP($C$4&amp;$C$3,HISTORICO!D:D&amp;HISTORICO!$B:$B,HISTORICO!N:N,"",0,1)</f>
        <v>-7678300000</v>
      </c>
    </row>
    <row r="10" spans="2:6" ht="15.75">
      <c r="B10" s="185" t="s">
        <v>356</v>
      </c>
      <c r="C10" s="182" cm="1">
        <f t="array" ref="C10">+_xlfn.XLOOKUP($C$4&amp;$C$3,HISTORICO!D:D&amp;HISTORICO!$B:$B,HISTORICO!U:U,"",0,1)</f>
        <v>-7678224260</v>
      </c>
    </row>
    <row r="11" spans="2:6" ht="15.75">
      <c r="B11" s="185" t="s">
        <v>357</v>
      </c>
      <c r="C11" s="506" cm="1">
        <f t="array" ref="C11">+_xlfn.XLOOKUP($C$4&amp;$C$3,HISTORICO!D:D&amp;HISTORICO!$B:$B,HISTORICO!X:X,"",0,1)</f>
        <v>-3.5933570512307521E-2</v>
      </c>
      <c r="D11" s="49"/>
      <c r="E11" s="49"/>
    </row>
    <row r="12" spans="2:6" ht="16.5" thickBot="1">
      <c r="B12" s="186" t="s">
        <v>441</v>
      </c>
      <c r="C12" s="183">
        <f>+_xlfn.XLOOKUP(C4,COSTO_OPORTUNIDAD!C:C,COSTO_OPORTUNIDAD!EA:EA)</f>
        <v>0.12279</v>
      </c>
      <c r="D12" s="108"/>
    </row>
    <row r="13" spans="2:6" ht="16.5" thickBot="1">
      <c r="B13" s="187" t="s">
        <v>523</v>
      </c>
      <c r="C13" s="470">
        <f>C12-C11</f>
        <v>0.15872357051230751</v>
      </c>
    </row>
    <row r="15" spans="2:6" ht="15.75" thickBot="1"/>
    <row r="16" spans="2:6" ht="16.5" thickBot="1">
      <c r="B16" s="446" t="s">
        <v>505</v>
      </c>
      <c r="C16" s="447" t="s">
        <v>506</v>
      </c>
      <c r="E16" s="446" t="str">
        <f t="shared" ref="E16:E25" si="0">B16</f>
        <v>Indicador</v>
      </c>
      <c r="F16" s="447" t="str">
        <f t="shared" ref="F16:F21" si="1">C16</f>
        <v>Valor</v>
      </c>
    </row>
    <row r="17" spans="2:6">
      <c r="B17" s="452" t="s">
        <v>507</v>
      </c>
      <c r="C17" s="456">
        <f>-SUMIFS('Canjes desagregado'!S:S, 'Canjes desagregado'!B:B, C3, 'Canjes desagregado'!E:E, "Títulos Recogidos por la Nación")</f>
        <v>213678300000</v>
      </c>
      <c r="E17" s="473" t="str">
        <f t="shared" si="0"/>
        <v>Monto Canjeado (Valor nominal recibido)</v>
      </c>
      <c r="F17" s="474">
        <f t="shared" si="1"/>
        <v>213678300000</v>
      </c>
    </row>
    <row r="18" spans="2:6">
      <c r="B18" s="453" t="s">
        <v>508</v>
      </c>
      <c r="C18" s="457">
        <f>SUMIFS('Canjes desagregado'!S:S, 'Canjes desagregado'!B:B, C3, 'Canjes desagregado'!E:E, "Títulos Entregados por la Nación")</f>
        <v>206000000000</v>
      </c>
      <c r="E18" s="475" t="str">
        <f t="shared" si="0"/>
        <v>Valor nominal entregado</v>
      </c>
      <c r="F18" s="476">
        <f t="shared" si="1"/>
        <v>206000000000</v>
      </c>
    </row>
    <row r="19" spans="2:6">
      <c r="B19" s="454" t="s">
        <v>509</v>
      </c>
      <c r="C19" s="458">
        <f>C18-C17</f>
        <v>-7678300000</v>
      </c>
      <c r="E19" s="477" t="str">
        <f t="shared" si="0"/>
        <v>Diferencia nominal (reducción de deuda)</v>
      </c>
      <c r="F19" s="478">
        <f t="shared" si="1"/>
        <v>-7678300000</v>
      </c>
    </row>
    <row r="20" spans="2:6">
      <c r="B20" s="455" t="s">
        <v>510</v>
      </c>
      <c r="C20" s="456">
        <f>SUMIFS('Canjes desagregado'!U:U, 'Canjes desagregado'!B:B, C3, 'Canjes desagregado'!E:E, "*Entregados*")</f>
        <v>204661000000</v>
      </c>
      <c r="E20" s="479" t="str">
        <f t="shared" si="0"/>
        <v>Costo total entregado</v>
      </c>
      <c r="F20" s="474">
        <f t="shared" si="1"/>
        <v>204661000000</v>
      </c>
    </row>
    <row r="21" spans="2:6">
      <c r="B21" s="453" t="s">
        <v>511</v>
      </c>
      <c r="C21" s="456">
        <f>SUMIFS('Canjes desagregado'!U:U, 'Canjes desagregado'!B:B, C3, 'Canjes desagregado'!E:E, "Títulos Recogidos por la Nación")+C20</f>
        <v>-75740</v>
      </c>
      <c r="E21" s="475" t="str">
        <f t="shared" si="0"/>
        <v>Diferencia en costo</v>
      </c>
      <c r="F21" s="474">
        <f t="shared" si="1"/>
        <v>-75740</v>
      </c>
    </row>
    <row r="22" spans="2:6">
      <c r="B22" s="455" t="s">
        <v>512</v>
      </c>
      <c r="C22" s="459">
        <f>AVERAGEIF(pond[Concepto],"*Recogidos*",pond[Precio Sucio])</f>
        <v>95.78</v>
      </c>
      <c r="E22" s="479" t="str">
        <f t="shared" si="0"/>
        <v>Precio promedio recibido (coste/nominal)</v>
      </c>
      <c r="F22" s="480">
        <f>C22</f>
        <v>95.78</v>
      </c>
    </row>
    <row r="23" spans="2:6">
      <c r="B23" s="453" t="s">
        <v>513</v>
      </c>
      <c r="C23" s="456">
        <f>AVERAGEIF(pond[Concepto],"*Entregados*",pond[Precio Sucio])</f>
        <v>99.35</v>
      </c>
      <c r="E23" s="475" t="str">
        <f t="shared" si="0"/>
        <v>Precio promedio entregado (coste/nominal)</v>
      </c>
      <c r="F23" s="474">
        <f>C23</f>
        <v>99.35</v>
      </c>
    </row>
    <row r="24" spans="2:6">
      <c r="B24" s="462" t="s">
        <v>514</v>
      </c>
      <c r="C24" s="465">
        <f>SUMPRODUCT(PONDERADAS!D2:D2,PONDERADAS!K2:K2)/100</f>
        <v>0</v>
      </c>
      <c r="E24" s="481" t="str">
        <f t="shared" si="0"/>
        <v>Tasa de cupón ponderada (Recibidos)</v>
      </c>
      <c r="F24" s="482">
        <f>IFERROR(C24,"-")</f>
        <v>0</v>
      </c>
    </row>
    <row r="25" spans="2:6" ht="15.75" thickBot="1">
      <c r="B25" s="463" t="s">
        <v>515</v>
      </c>
      <c r="C25" s="466">
        <f>SUMPRODUCT(PONDERADAS!D3:D3,PONDERADAS!K3:K3)/100</f>
        <v>0.11</v>
      </c>
      <c r="E25" s="483" t="str">
        <f t="shared" si="0"/>
        <v>Tasa de cupón ponderada (Entregados)</v>
      </c>
      <c r="F25" s="484">
        <f>C25</f>
        <v>0.11</v>
      </c>
    </row>
    <row r="26" spans="2:6">
      <c r="B26" s="462" t="s">
        <v>516</v>
      </c>
      <c r="C26" s="465">
        <f>SUMPRODUCT(PONDERADAS!E2:E2,PONDERADAS!K2:K2)/100</f>
        <v>9.5809999999999992E-2</v>
      </c>
    </row>
    <row r="27" spans="2:6">
      <c r="B27" s="464" t="s">
        <v>517</v>
      </c>
      <c r="C27" s="467">
        <f>SUMPRODUCT(PONDERADAS!E3:E3,PONDERADAS!K3:K3)/100</f>
        <v>0.12375</v>
      </c>
    </row>
    <row r="28" spans="2:6">
      <c r="B28" s="464" t="s">
        <v>518</v>
      </c>
      <c r="C28" s="468">
        <f>SUMPRODUCT(PONDERADAS!I2:I2,PONDERADAS!K2:K2)</f>
        <v>0.47123287671232877</v>
      </c>
    </row>
    <row r="29" spans="2:6">
      <c r="B29" s="463" t="s">
        <v>519</v>
      </c>
      <c r="C29" s="469">
        <f>SUMPRODUCT(PONDERADAS!I3:I3,PONDERADAS!K3:K3)</f>
        <v>3.6958904109589041</v>
      </c>
    </row>
    <row r="30" spans="2:6" ht="15.75" thickBot="1">
      <c r="B30" s="460" t="s">
        <v>520</v>
      </c>
      <c r="C30" s="461" t="e">
        <f>VPP!O3</f>
        <v>#REF!</v>
      </c>
    </row>
  </sheetData>
  <phoneticPr fontId="18" type="noConversion"/>
  <pageMargins left="0.7" right="0.7" top="0.75" bottom="0.75" header="0.3" footer="0.3"/>
  <pageSetup orientation="portrait" r:id="rId1"/>
  <ignoredErrors>
    <ignoredError sqref="F2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D713-BC3B-4625-88BE-FD040C4741D7}">
  <sheetPr codeName="Hoja8"/>
  <dimension ref="A1:N4"/>
  <sheetViews>
    <sheetView topLeftCell="K1" zoomScale="166" workbookViewId="0">
      <selection activeCell="L3" sqref="L3:M3"/>
    </sheetView>
  </sheetViews>
  <sheetFormatPr baseColWidth="10" defaultColWidth="10.85546875" defaultRowHeight="15"/>
  <cols>
    <col min="1" max="1" width="14.42578125" style="192" bestFit="1" customWidth="1"/>
    <col min="2" max="2" width="34.42578125" style="192" bestFit="1" customWidth="1"/>
    <col min="3" max="3" width="13.85546875" style="192" bestFit="1" customWidth="1"/>
    <col min="4" max="4" width="10.28515625" style="192" bestFit="1" customWidth="1"/>
    <col min="5" max="5" width="21.85546875" style="192" bestFit="1" customWidth="1"/>
    <col min="6" max="6" width="16.28515625" style="192" bestFit="1" customWidth="1"/>
    <col min="7" max="7" width="17.7109375" style="192" bestFit="1" customWidth="1"/>
    <col min="8" max="8" width="23.5703125" style="192" bestFit="1" customWidth="1"/>
    <col min="9" max="9" width="12.7109375" style="192" bestFit="1" customWidth="1"/>
    <col min="10" max="10" width="23.5703125" style="192" bestFit="1" customWidth="1"/>
    <col min="11" max="11" width="15.5703125" style="192" bestFit="1" customWidth="1"/>
    <col min="12" max="13" width="23" style="192" bestFit="1" customWidth="1"/>
    <col min="14" max="14" width="8.7109375" style="192" bestFit="1" customWidth="1"/>
    <col min="15" max="15" width="22.85546875" style="192" bestFit="1" customWidth="1"/>
    <col min="16" max="16" width="20.42578125" style="192" bestFit="1" customWidth="1"/>
    <col min="17" max="17" width="11.85546875" style="192" bestFit="1" customWidth="1"/>
    <col min="18" max="18" width="12.85546875" style="192" bestFit="1" customWidth="1"/>
    <col min="19" max="19" width="22.140625" style="192" bestFit="1" customWidth="1"/>
    <col min="20" max="20" width="15.42578125" style="192" bestFit="1" customWidth="1"/>
    <col min="21" max="16384" width="10.85546875" style="192"/>
  </cols>
  <sheetData>
    <row r="1" spans="1:14">
      <c r="A1" s="444" t="s">
        <v>14</v>
      </c>
      <c r="B1" s="444" t="s">
        <v>162</v>
      </c>
      <c r="C1" s="444" t="s">
        <v>167</v>
      </c>
      <c r="D1" s="444" t="s">
        <v>168</v>
      </c>
      <c r="E1" s="444" t="s">
        <v>169</v>
      </c>
      <c r="F1" s="444" t="s">
        <v>170</v>
      </c>
      <c r="G1" s="444" t="s">
        <v>171</v>
      </c>
      <c r="H1" s="444" t="s">
        <v>176</v>
      </c>
      <c r="I1" s="444" t="s">
        <v>521</v>
      </c>
      <c r="J1" s="444" t="s">
        <v>178</v>
      </c>
      <c r="K1" s="444" t="s">
        <v>522</v>
      </c>
      <c r="L1" s="444" t="s">
        <v>524</v>
      </c>
      <c r="M1" s="444" t="s">
        <v>526</v>
      </c>
      <c r="N1" s="444" t="s">
        <v>535</v>
      </c>
    </row>
    <row r="2" spans="1:14" ht="15.75">
      <c r="A2" s="539">
        <v>657</v>
      </c>
      <c r="B2" s="539" t="s">
        <v>194</v>
      </c>
      <c r="C2" s="540">
        <v>46175</v>
      </c>
      <c r="D2" s="539">
        <v>0</v>
      </c>
      <c r="E2" s="194">
        <v>9.5809999999999995</v>
      </c>
      <c r="F2" s="451">
        <v>95.78</v>
      </c>
      <c r="G2" s="194">
        <v>95.680153776094599</v>
      </c>
      <c r="H2" s="448">
        <v>-213678300000</v>
      </c>
      <c r="I2" s="194">
        <v>0.47123287671232877</v>
      </c>
      <c r="J2" s="448">
        <v>-204661075740</v>
      </c>
      <c r="K2" s="450">
        <f>IF(pond[[#This Row],[Concepto]] = "Títulos Recogidos por la Nación", pond[[#This Row],[Nominal COP]] / SUMIF(pond[Concepto], "Títulos Recogidos por la Nación", pond[Nominal COP]),
   IF(pond[[#This Row],[Concepto]] = "Títulos Entregados por la Nación", pond[[#This Row],[Nominal COP]] / SUMIF(pond[Concepto], "Títulos Entregados por la Nación", pond[Nominal COP]), 0))</f>
        <v>1</v>
      </c>
      <c r="L2" s="448">
        <f>ABS(pond[[#This Row],[Nominal COP]])</f>
        <v>213678300000</v>
      </c>
      <c r="M2" s="448">
        <f>ABS(pond[[#This Row],[Costo COP]])</f>
        <v>204661075740</v>
      </c>
      <c r="N2" s="539">
        <f>YEAR(pond[[#This Row],[Fecha Vto]])</f>
        <v>2026</v>
      </c>
    </row>
    <row r="3" spans="1:14" ht="15.75">
      <c r="A3" s="539">
        <v>657</v>
      </c>
      <c r="B3" s="539" t="s">
        <v>195</v>
      </c>
      <c r="C3" s="540">
        <v>47352</v>
      </c>
      <c r="D3" s="539">
        <v>11</v>
      </c>
      <c r="E3" s="194">
        <v>12.375</v>
      </c>
      <c r="F3" s="451">
        <v>99.35</v>
      </c>
      <c r="G3" s="194">
        <v>95.974950367249491</v>
      </c>
      <c r="H3" s="448">
        <v>206000000000</v>
      </c>
      <c r="I3" s="194">
        <v>3.6958904109589041</v>
      </c>
      <c r="J3" s="448">
        <v>204661000000</v>
      </c>
      <c r="K3" s="450">
        <f>IF(pond[[#This Row],[Concepto]] = "Títulos Recogidos por la Nación", pond[[#This Row],[Nominal COP]] / SUMIF(pond[Concepto], "Títulos Recogidos por la Nación", pond[Nominal COP]),
   IF(pond[[#This Row],[Concepto]] = "Títulos Entregados por la Nación", pond[[#This Row],[Nominal COP]] / SUMIF(pond[Concepto], "Títulos Entregados por la Nación", pond[Nominal COP]), 0))</f>
        <v>1</v>
      </c>
      <c r="L3" s="448">
        <f>ABS(pond[[#This Row],[Nominal COP]])</f>
        <v>206000000000</v>
      </c>
      <c r="M3" s="448">
        <f>ABS(pond[[#This Row],[Costo COP]])</f>
        <v>204661000000</v>
      </c>
      <c r="N3" s="539">
        <f>YEAR(pond[[#This Row],[Fecha Vto]])</f>
        <v>2029</v>
      </c>
    </row>
    <row r="4" spans="1:14">
      <c r="A4" s="192" t="s">
        <v>525</v>
      </c>
      <c r="J4"/>
      <c r="L4" s="449">
        <f>SUBTOTAL(109,pond[nom_abs])</f>
        <v>419678300000</v>
      </c>
      <c r="M4" s="449">
        <f>SUBTOTAL(109,pond[cost_abs2])</f>
        <v>409322075740</v>
      </c>
      <c r="N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E6C2-03C8-49A2-8C58-0CD17B8F89FA}">
  <sheetPr codeName="Hoja9"/>
  <dimension ref="A1:O40"/>
  <sheetViews>
    <sheetView showGridLines="0" workbookViewId="0">
      <selection activeCell="E6" sqref="E6"/>
    </sheetView>
  </sheetViews>
  <sheetFormatPr baseColWidth="10" defaultColWidth="10.85546875" defaultRowHeight="15"/>
  <cols>
    <col min="1" max="1" width="24.28515625" style="192" customWidth="1"/>
    <col min="2" max="2" width="16.42578125" style="192" bestFit="1" customWidth="1"/>
    <col min="3" max="5" width="17.5703125" style="192" bestFit="1" customWidth="1"/>
    <col min="6" max="6" width="11.140625" style="192" bestFit="1" customWidth="1"/>
    <col min="7" max="7" width="10.85546875" style="192"/>
    <col min="8" max="8" width="31.42578125" style="192" customWidth="1"/>
    <col min="9" max="9" width="11" style="192" bestFit="1" customWidth="1"/>
    <col min="10" max="10" width="10.85546875" style="192"/>
    <col min="11" max="11" width="19.140625" style="192" bestFit="1" customWidth="1"/>
    <col min="12" max="12" width="11" style="192" bestFit="1" customWidth="1"/>
    <col min="13" max="13" width="10.85546875" style="192"/>
    <col min="14" max="14" width="22.140625" style="192" customWidth="1"/>
    <col min="15" max="15" width="11" style="192" bestFit="1" customWidth="1"/>
    <col min="16" max="16384" width="10.85546875" style="192"/>
  </cols>
  <sheetData>
    <row r="1" spans="1:15">
      <c r="A1" s="444" t="str">
        <f>'[3]Resumen Interna'!H13</f>
        <v>Perfil de vencimientos</v>
      </c>
      <c r="B1" s="508" t="str">
        <f>'[3]Resumen Interna'!J14</f>
        <v>Total interna GNC</v>
      </c>
      <c r="C1" s="508"/>
      <c r="D1" s="508"/>
      <c r="E1" s="508"/>
      <c r="F1" s="508"/>
      <c r="H1" s="509" t="s">
        <v>529</v>
      </c>
      <c r="I1" s="509"/>
      <c r="K1" s="510" t="s">
        <v>530</v>
      </c>
      <c r="L1" s="510"/>
      <c r="N1" s="510" t="s">
        <v>531</v>
      </c>
      <c r="O1" s="510"/>
    </row>
    <row r="2" spans="1:15">
      <c r="A2" s="283" t="str">
        <f>'[3]Resumen Interna'!H14</f>
        <v>Periodo</v>
      </c>
      <c r="B2" s="283" t="str">
        <f>'[3]Resumen Interna'!I14</f>
        <v>TES</v>
      </c>
      <c r="C2" s="283" t="s">
        <v>532</v>
      </c>
      <c r="D2" s="283" t="s">
        <v>533</v>
      </c>
      <c r="E2" s="283" t="s">
        <v>534</v>
      </c>
      <c r="F2" s="283" t="str">
        <f>'[3]Resumen Interna'!K14</f>
        <v>%</v>
      </c>
      <c r="H2" s="192" t="s">
        <v>527</v>
      </c>
      <c r="I2" s="471" cm="1">
        <f t="array" ref="I2">SUMPRODUCT(($A$3:$A$40-$A$3),$B$3:$B$40)/SUM($B$3:$B$40)</f>
        <v>10.619587303920715</v>
      </c>
      <c r="K2" s="192" t="s">
        <v>527</v>
      </c>
      <c r="L2" s="471" cm="1">
        <f t="array" ref="L2">SUMPRODUCT(($A$3:$A$40-$A$3),$C$3:$C$40)/SUM($C$3:$C$40)</f>
        <v>10.62310107999618</v>
      </c>
      <c r="N2" s="192" t="s">
        <v>527</v>
      </c>
      <c r="O2" s="471">
        <f>L2-I2</f>
        <v>3.5137760754651026E-3</v>
      </c>
    </row>
    <row r="3" spans="1:15">
      <c r="A3" s="192">
        <f>'[3]Resumen Interna'!H15</f>
        <v>2025</v>
      </c>
      <c r="B3" s="448">
        <f>'[3]Resumen Interna'!I15</f>
        <v>13006267.300000001</v>
      </c>
      <c r="C3" s="448">
        <f>B3-PONDERADAS!L2/1000000</f>
        <v>12792589</v>
      </c>
      <c r="D3" s="448">
        <f>'[3]Resumen Interna'!J15</f>
        <v>120847016.65210332</v>
      </c>
      <c r="E3" s="448">
        <f>D3-PONDERADAS!L2/1000000</f>
        <v>120633338.35210332</v>
      </c>
      <c r="F3" s="472">
        <f>'[3]Resumen Interna'!K15</f>
        <v>0.1696153507913804</v>
      </c>
      <c r="H3" s="192" t="s">
        <v>528</v>
      </c>
      <c r="I3" s="471" cm="1">
        <f t="array" ref="I3">SUMPRODUCT(($A$3:$A$40-$A$3),$D$3:$D$40)/SUM($D$3:$D$40)</f>
        <v>8.9936926728071196</v>
      </c>
      <c r="K3" s="192" t="s">
        <v>528</v>
      </c>
      <c r="L3" s="471" t="e" cm="1">
        <f t="array" ref="L3">SUMPRODUCT(($A$3:$A$40-$A$3),$E$3:$E$40)/SUM($E$3:$E$40)</f>
        <v>#REF!</v>
      </c>
      <c r="N3" s="192" t="s">
        <v>528</v>
      </c>
      <c r="O3" s="471" t="e">
        <f>L3-I3</f>
        <v>#REF!</v>
      </c>
    </row>
    <row r="4" spans="1:15">
      <c r="A4" s="192">
        <f>'[3]Resumen Interna'!H16</f>
        <v>2026</v>
      </c>
      <c r="B4" s="448">
        <f>'[3]Resumen Interna'!I16</f>
        <v>40258143.200000003</v>
      </c>
      <c r="C4" s="448">
        <f t="shared" ref="C4:C40" si="0">B4</f>
        <v>40258143.200000003</v>
      </c>
      <c r="D4" s="448">
        <f>'[3]Resumen Interna'!J16</f>
        <v>49668966.5</v>
      </c>
      <c r="E4" s="448" t="e">
        <f>D4-PONDERADAS!#REF!/1000000</f>
        <v>#REF!</v>
      </c>
      <c r="F4" s="472">
        <f>'[3]Resumen Interna'!K16</f>
        <v>6.9713091888695733E-2</v>
      </c>
    </row>
    <row r="5" spans="1:15">
      <c r="A5" s="192">
        <f>'[3]Resumen Interna'!H17</f>
        <v>2027</v>
      </c>
      <c r="B5" s="448">
        <f>'[3]Resumen Interna'!I17</f>
        <v>46505338.7193112</v>
      </c>
      <c r="C5" s="448">
        <f t="shared" si="0"/>
        <v>46505338.7193112</v>
      </c>
      <c r="D5" s="448">
        <f>'[3]Resumen Interna'!J17</f>
        <v>46506006.364333197</v>
      </c>
      <c r="E5" s="448">
        <f t="shared" ref="E5:E40" si="1">D5</f>
        <v>46506006.364333197</v>
      </c>
      <c r="F5" s="472">
        <f>'[3]Resumen Interna'!K17</f>
        <v>6.5273705565285486E-2</v>
      </c>
    </row>
    <row r="6" spans="1:15">
      <c r="A6" s="192">
        <f>'[3]Resumen Interna'!H18</f>
        <v>2028</v>
      </c>
      <c r="B6" s="448">
        <f>'[3]Resumen Interna'!I18</f>
        <v>40127203.5</v>
      </c>
      <c r="C6" s="448">
        <f t="shared" si="0"/>
        <v>40127203.5</v>
      </c>
      <c r="D6" s="448">
        <f>'[3]Resumen Interna'!J18</f>
        <v>40507588.345156901</v>
      </c>
      <c r="E6" s="448">
        <f t="shared" si="1"/>
        <v>40507588.345156901</v>
      </c>
      <c r="F6" s="472">
        <f>'[3]Resumen Interna'!K18</f>
        <v>5.6854600115252715E-2</v>
      </c>
    </row>
    <row r="7" spans="1:15">
      <c r="A7" s="192">
        <f>'[3]Resumen Interna'!H19</f>
        <v>2029</v>
      </c>
      <c r="B7" s="448">
        <f>'[3]Resumen Interna'!I19</f>
        <v>42412430.980834797</v>
      </c>
      <c r="C7" s="448">
        <f t="shared" si="0"/>
        <v>42412430.980834797</v>
      </c>
      <c r="D7" s="448">
        <f>'[3]Resumen Interna'!J19</f>
        <v>42412430.980834797</v>
      </c>
      <c r="E7" s="448">
        <f>D7+PONDERADAS!L3/1000000</f>
        <v>42618430.980834797</v>
      </c>
      <c r="F7" s="472">
        <f>'[3]Resumen Interna'!K19</f>
        <v>5.952815020199588E-2</v>
      </c>
    </row>
    <row r="8" spans="1:15">
      <c r="A8" s="192">
        <f>'[3]Resumen Interna'!H20</f>
        <v>2030</v>
      </c>
      <c r="B8" s="448">
        <f>'[3]Resumen Interna'!I20</f>
        <v>27749357.399999999</v>
      </c>
      <c r="C8" s="448">
        <f t="shared" si="0"/>
        <v>27749357.399999999</v>
      </c>
      <c r="D8" s="448">
        <f>'[3]Resumen Interna'!J20</f>
        <v>27749357.814999998</v>
      </c>
      <c r="E8" s="448">
        <f t="shared" si="1"/>
        <v>27749357.814999998</v>
      </c>
      <c r="F8" s="472">
        <f>'[3]Resumen Interna'!K20</f>
        <v>3.8947730696377421E-2</v>
      </c>
    </row>
    <row r="9" spans="1:15">
      <c r="A9" s="192">
        <f>'[3]Resumen Interna'!H21</f>
        <v>2031</v>
      </c>
      <c r="B9" s="448">
        <f>'[3]Resumen Interna'!I21</f>
        <v>35351313.799999997</v>
      </c>
      <c r="C9" s="448">
        <f t="shared" si="0"/>
        <v>35351313.799999997</v>
      </c>
      <c r="D9" s="448">
        <f>'[3]Resumen Interna'!J21</f>
        <v>35351320.454999998</v>
      </c>
      <c r="E9" s="448">
        <f t="shared" si="1"/>
        <v>35351320.454999998</v>
      </c>
      <c r="F9" s="472">
        <f>'[3]Resumen Interna'!K21</f>
        <v>4.9617498106511712E-2</v>
      </c>
    </row>
    <row r="10" spans="1:15">
      <c r="A10" s="192">
        <f>'[3]Resumen Interna'!H22</f>
        <v>2032</v>
      </c>
      <c r="B10" s="448">
        <f>'[3]Resumen Interna'!I22</f>
        <v>27992627</v>
      </c>
      <c r="C10" s="448">
        <f t="shared" si="0"/>
        <v>27992627</v>
      </c>
      <c r="D10" s="448">
        <f>'[3]Resumen Interna'!J22</f>
        <v>29468261.352874801</v>
      </c>
      <c r="E10" s="448">
        <f t="shared" si="1"/>
        <v>29468261.352874801</v>
      </c>
      <c r="F10" s="472">
        <f>'[3]Resumen Interna'!K22</f>
        <v>4.1360305161434394E-2</v>
      </c>
    </row>
    <row r="11" spans="1:15">
      <c r="A11" s="192">
        <f>'[3]Resumen Interna'!H23</f>
        <v>2033</v>
      </c>
      <c r="B11" s="448">
        <f>'[3]Resumen Interna'!I23</f>
        <v>47461545.339681596</v>
      </c>
      <c r="C11" s="448">
        <f t="shared" si="0"/>
        <v>47461545.339681596</v>
      </c>
      <c r="D11" s="448">
        <f>'[3]Resumen Interna'!J23</f>
        <v>47461545.339681596</v>
      </c>
      <c r="E11" s="448">
        <f t="shared" si="1"/>
        <v>47461545.339681596</v>
      </c>
      <c r="F11" s="472">
        <f>'[3]Resumen Interna'!K23</f>
        <v>6.6614856410284307E-2</v>
      </c>
    </row>
    <row r="12" spans="1:15">
      <c r="A12" s="192">
        <f>'[3]Resumen Interna'!H24</f>
        <v>2034</v>
      </c>
      <c r="B12" s="448">
        <f>'[3]Resumen Interna'!I24</f>
        <v>28484312.199999999</v>
      </c>
      <c r="C12" s="448">
        <f t="shared" si="0"/>
        <v>28484312.199999999</v>
      </c>
      <c r="D12" s="448">
        <f>'[3]Resumen Interna'!J24</f>
        <v>28484312.199999999</v>
      </c>
      <c r="E12" s="448">
        <f t="shared" si="1"/>
        <v>28484312.199999999</v>
      </c>
      <c r="F12" s="472">
        <f>'[3]Resumen Interna'!K24</f>
        <v>3.9979279089386664E-2</v>
      </c>
    </row>
    <row r="13" spans="1:15">
      <c r="A13" s="192">
        <f>'[3]Resumen Interna'!H25</f>
        <v>2035</v>
      </c>
      <c r="B13" s="448">
        <f>'[3]Resumen Interna'!I25</f>
        <v>37750683.004702806</v>
      </c>
      <c r="C13" s="448">
        <f t="shared" si="0"/>
        <v>37750683.004702806</v>
      </c>
      <c r="D13" s="448">
        <f>'[3]Resumen Interna'!J25</f>
        <v>37750683.004702806</v>
      </c>
      <c r="E13" s="448">
        <f t="shared" si="1"/>
        <v>37750683.004702806</v>
      </c>
      <c r="F13" s="472">
        <f>'[3]Resumen Interna'!K25</f>
        <v>5.2985133748814181E-2</v>
      </c>
    </row>
    <row r="14" spans="1:15">
      <c r="A14" s="192">
        <f>'[3]Resumen Interna'!H26</f>
        <v>2036</v>
      </c>
      <c r="B14" s="448">
        <f>'[3]Resumen Interna'!I26</f>
        <v>28868528.800000001</v>
      </c>
      <c r="C14" s="448">
        <f t="shared" si="0"/>
        <v>28868528.800000001</v>
      </c>
      <c r="D14" s="448">
        <f>'[3]Resumen Interna'!J26</f>
        <v>28868528.800000001</v>
      </c>
      <c r="E14" s="448">
        <f t="shared" si="1"/>
        <v>28868528.800000001</v>
      </c>
      <c r="F14" s="472">
        <f>'[3]Resumen Interna'!K26</f>
        <v>4.0518547953395788E-2</v>
      </c>
    </row>
    <row r="15" spans="1:15">
      <c r="A15" s="192">
        <f>'[3]Resumen Interna'!H27</f>
        <v>2037</v>
      </c>
      <c r="B15" s="448">
        <f>'[3]Resumen Interna'!I27</f>
        <v>43566793.506429605</v>
      </c>
      <c r="C15" s="448">
        <f t="shared" si="0"/>
        <v>43566793.506429605</v>
      </c>
      <c r="D15" s="448">
        <f>'[3]Resumen Interna'!J27</f>
        <v>43566793.506429605</v>
      </c>
      <c r="E15" s="448">
        <f t="shared" si="1"/>
        <v>43566793.506429605</v>
      </c>
      <c r="F15" s="472">
        <f>'[3]Resumen Interna'!K27</f>
        <v>6.1148360697409705E-2</v>
      </c>
    </row>
    <row r="16" spans="1:15">
      <c r="A16" s="192">
        <f>'[3]Resumen Interna'!H28</f>
        <v>2038</v>
      </c>
      <c r="B16" s="448">
        <f>'[3]Resumen Interna'!I28</f>
        <v>0</v>
      </c>
      <c r="C16" s="448">
        <f t="shared" si="0"/>
        <v>0</v>
      </c>
      <c r="D16" s="448">
        <f>'[3]Resumen Interna'!J28</f>
        <v>0</v>
      </c>
      <c r="E16" s="448">
        <f t="shared" si="1"/>
        <v>0</v>
      </c>
      <c r="F16" s="472">
        <f>'[3]Resumen Interna'!K28</f>
        <v>0</v>
      </c>
    </row>
    <row r="17" spans="1:6">
      <c r="A17" s="192">
        <f>'[3]Resumen Interna'!H29</f>
        <v>2039</v>
      </c>
      <c r="B17" s="448">
        <f>'[3]Resumen Interna'!I29</f>
        <v>0</v>
      </c>
      <c r="C17" s="448">
        <f t="shared" si="0"/>
        <v>0</v>
      </c>
      <c r="D17" s="448">
        <f>'[3]Resumen Interna'!J29</f>
        <v>0</v>
      </c>
      <c r="E17" s="448">
        <f t="shared" si="1"/>
        <v>0</v>
      </c>
      <c r="F17" s="472">
        <f>'[3]Resumen Interna'!K29</f>
        <v>0</v>
      </c>
    </row>
    <row r="18" spans="1:6">
      <c r="A18" s="192">
        <f>'[3]Resumen Interna'!H30</f>
        <v>2040</v>
      </c>
      <c r="B18" s="448">
        <f>'[3]Resumen Interna'!I30</f>
        <v>2728167.3</v>
      </c>
      <c r="C18" s="448">
        <f t="shared" si="0"/>
        <v>2728167.3</v>
      </c>
      <c r="D18" s="448">
        <f>'[3]Resumen Interna'!J30</f>
        <v>2728167.3</v>
      </c>
      <c r="E18" s="448">
        <f t="shared" si="1"/>
        <v>2728167.3</v>
      </c>
      <c r="F18" s="472">
        <f>'[3]Resumen Interna'!K30</f>
        <v>3.8291309659651347E-3</v>
      </c>
    </row>
    <row r="19" spans="1:6">
      <c r="A19" s="192">
        <f>'[3]Resumen Interna'!H31</f>
        <v>2041</v>
      </c>
      <c r="B19" s="448">
        <f>'[3]Resumen Interna'!I31</f>
        <v>4998438.7661736002</v>
      </c>
      <c r="C19" s="448">
        <f t="shared" si="0"/>
        <v>4998438.7661736002</v>
      </c>
      <c r="D19" s="448">
        <f>'[3]Resumen Interna'!J31</f>
        <v>4998438.7661736002</v>
      </c>
      <c r="E19" s="448">
        <f t="shared" si="1"/>
        <v>4998438.7661736002</v>
      </c>
      <c r="F19" s="472">
        <f>'[3]Resumen Interna'!K31</f>
        <v>7.0155802618981225E-3</v>
      </c>
    </row>
    <row r="20" spans="1:6">
      <c r="A20" s="192">
        <f>'[3]Resumen Interna'!H32</f>
        <v>2042</v>
      </c>
      <c r="B20" s="448">
        <f>'[3]Resumen Interna'!I32</f>
        <v>50337060.899999999</v>
      </c>
      <c r="C20" s="448">
        <f t="shared" si="0"/>
        <v>50337060.899999999</v>
      </c>
      <c r="D20" s="448">
        <f>'[3]Resumen Interna'!J32</f>
        <v>50337060.899999999</v>
      </c>
      <c r="E20" s="448">
        <f t="shared" si="1"/>
        <v>50337060.899999999</v>
      </c>
      <c r="F20" s="472">
        <f>'[3]Resumen Interna'!K32</f>
        <v>7.0650798661747324E-2</v>
      </c>
    </row>
    <row r="21" spans="1:6">
      <c r="A21" s="192">
        <f>'[3]Resumen Interna'!H33</f>
        <v>2043</v>
      </c>
      <c r="B21" s="448">
        <f>'[3]Resumen Interna'!I33</f>
        <v>0</v>
      </c>
      <c r="C21" s="448">
        <f t="shared" si="0"/>
        <v>0</v>
      </c>
      <c r="D21" s="448">
        <f>'[3]Resumen Interna'!J33</f>
        <v>0</v>
      </c>
      <c r="E21" s="448">
        <f t="shared" si="1"/>
        <v>0</v>
      </c>
      <c r="F21" s="472">
        <f>'[3]Resumen Interna'!K33</f>
        <v>0</v>
      </c>
    </row>
    <row r="22" spans="1:6">
      <c r="A22" s="192">
        <f>'[3]Resumen Interna'!H34</f>
        <v>2044</v>
      </c>
      <c r="B22" s="448">
        <f>'[3]Resumen Interna'!I34</f>
        <v>0</v>
      </c>
      <c r="C22" s="448">
        <f t="shared" si="0"/>
        <v>0</v>
      </c>
      <c r="D22" s="448">
        <f>'[3]Resumen Interna'!J34</f>
        <v>0</v>
      </c>
      <c r="E22" s="448">
        <f t="shared" si="1"/>
        <v>0</v>
      </c>
      <c r="F22" s="472">
        <f>'[3]Resumen Interna'!K34</f>
        <v>0</v>
      </c>
    </row>
    <row r="23" spans="1:6">
      <c r="A23" s="192">
        <f>'[3]Resumen Interna'!H35</f>
        <v>2045</v>
      </c>
      <c r="B23" s="448">
        <f>'[3]Resumen Interna'!I35</f>
        <v>0</v>
      </c>
      <c r="C23" s="448">
        <f t="shared" si="0"/>
        <v>0</v>
      </c>
      <c r="D23" s="448">
        <f>'[3]Resumen Interna'!J35</f>
        <v>0</v>
      </c>
      <c r="E23" s="448">
        <f t="shared" si="1"/>
        <v>0</v>
      </c>
      <c r="F23" s="472">
        <f>'[3]Resumen Interna'!K35</f>
        <v>0</v>
      </c>
    </row>
    <row r="24" spans="1:6">
      <c r="A24" s="192">
        <f>'[3]Resumen Interna'!H36</f>
        <v>2046</v>
      </c>
      <c r="B24" s="448">
        <f>'[3]Resumen Interna'!I36</f>
        <v>38547370.700000003</v>
      </c>
      <c r="C24" s="448">
        <f t="shared" si="0"/>
        <v>38547370.700000003</v>
      </c>
      <c r="D24" s="448">
        <f>'[3]Resumen Interna'!J36</f>
        <v>38547370.700000003</v>
      </c>
      <c r="E24" s="448">
        <f t="shared" si="1"/>
        <v>38547370.700000003</v>
      </c>
      <c r="F24" s="472">
        <f>'[3]Resumen Interna'!K36</f>
        <v>5.410332819541791E-2</v>
      </c>
    </row>
    <row r="25" spans="1:6">
      <c r="A25" s="192">
        <f>'[3]Resumen Interna'!H37</f>
        <v>2047</v>
      </c>
      <c r="B25" s="448">
        <f>'[3]Resumen Interna'!I37</f>
        <v>0</v>
      </c>
      <c r="C25" s="448">
        <f t="shared" si="0"/>
        <v>0</v>
      </c>
      <c r="D25" s="448">
        <f>'[3]Resumen Interna'!J37</f>
        <v>0</v>
      </c>
      <c r="E25" s="448">
        <f t="shared" si="1"/>
        <v>0</v>
      </c>
      <c r="F25" s="472">
        <f>'[3]Resumen Interna'!K37</f>
        <v>0</v>
      </c>
    </row>
    <row r="26" spans="1:6">
      <c r="A26" s="192">
        <f>'[3]Resumen Interna'!H38</f>
        <v>2048</v>
      </c>
      <c r="B26" s="448">
        <f>'[3]Resumen Interna'!I38</f>
        <v>0</v>
      </c>
      <c r="C26" s="448">
        <f t="shared" si="0"/>
        <v>0</v>
      </c>
      <c r="D26" s="448">
        <f>'[3]Resumen Interna'!J38</f>
        <v>0</v>
      </c>
      <c r="E26" s="448">
        <f t="shared" si="1"/>
        <v>0</v>
      </c>
      <c r="F26" s="472">
        <f>'[3]Resumen Interna'!K38</f>
        <v>0</v>
      </c>
    </row>
    <row r="27" spans="1:6">
      <c r="A27" s="192">
        <f>'[3]Resumen Interna'!H39</f>
        <v>2049</v>
      </c>
      <c r="B27" s="448">
        <f>'[3]Resumen Interna'!I39</f>
        <v>35418438.695257202</v>
      </c>
      <c r="C27" s="448">
        <f t="shared" si="0"/>
        <v>35418438.695257202</v>
      </c>
      <c r="D27" s="448">
        <f>'[3]Resumen Interna'!J39</f>
        <v>35418438.695257202</v>
      </c>
      <c r="E27" s="448">
        <f t="shared" si="1"/>
        <v>35418438.695257202</v>
      </c>
      <c r="F27" s="472">
        <f>'[3]Resumen Interna'!K39</f>
        <v>4.971170220174808E-2</v>
      </c>
    </row>
    <row r="28" spans="1:6">
      <c r="A28" s="192">
        <f>'[3]Resumen Interna'!H40</f>
        <v>2050</v>
      </c>
      <c r="B28" s="448">
        <f>'[3]Resumen Interna'!I40</f>
        <v>46631082.100000001</v>
      </c>
      <c r="C28" s="448">
        <f t="shared" si="0"/>
        <v>46631082.100000001</v>
      </c>
      <c r="D28" s="448">
        <f>'[3]Resumen Interna'!J40</f>
        <v>46631082.100000001</v>
      </c>
      <c r="E28" s="448">
        <f t="shared" si="1"/>
        <v>46631082.100000001</v>
      </c>
      <c r="F28" s="472">
        <f>'[3]Resumen Interna'!K40</f>
        <v>6.5449256152865884E-2</v>
      </c>
    </row>
    <row r="29" spans="1:6">
      <c r="A29" s="192">
        <f>'[3]Resumen Interna'!H41</f>
        <v>2051</v>
      </c>
      <c r="B29" s="448">
        <f>'[3]Resumen Interna'!I41</f>
        <v>0</v>
      </c>
      <c r="C29" s="448">
        <f t="shared" si="0"/>
        <v>0</v>
      </c>
      <c r="D29" s="448">
        <f>'[3]Resumen Interna'!J41</f>
        <v>0</v>
      </c>
      <c r="E29" s="448">
        <f t="shared" si="1"/>
        <v>0</v>
      </c>
      <c r="F29" s="472">
        <f>'[3]Resumen Interna'!K41</f>
        <v>0</v>
      </c>
    </row>
    <row r="30" spans="1:6">
      <c r="A30" s="192">
        <f>'[3]Resumen Interna'!H42</f>
        <v>2052</v>
      </c>
      <c r="B30" s="448">
        <f>'[3]Resumen Interna'!I42</f>
        <v>0</v>
      </c>
      <c r="C30" s="448">
        <f t="shared" si="0"/>
        <v>0</v>
      </c>
      <c r="D30" s="448">
        <f>'[3]Resumen Interna'!J42</f>
        <v>0</v>
      </c>
      <c r="E30" s="448">
        <f t="shared" si="1"/>
        <v>0</v>
      </c>
      <c r="F30" s="472">
        <f>'[3]Resumen Interna'!K42</f>
        <v>0</v>
      </c>
    </row>
    <row r="31" spans="1:6">
      <c r="A31" s="192">
        <f>'[3]Resumen Interna'!H43</f>
        <v>2053</v>
      </c>
      <c r="B31" s="448">
        <f>'[3]Resumen Interna'!I43</f>
        <v>0</v>
      </c>
      <c r="C31" s="448">
        <f t="shared" si="0"/>
        <v>0</v>
      </c>
      <c r="D31" s="448">
        <f>'[3]Resumen Interna'!J43</f>
        <v>0</v>
      </c>
      <c r="E31" s="448">
        <f t="shared" si="1"/>
        <v>0</v>
      </c>
      <c r="F31" s="472">
        <f>'[3]Resumen Interna'!K43</f>
        <v>0</v>
      </c>
    </row>
    <row r="32" spans="1:6">
      <c r="A32" s="192">
        <f>'[3]Resumen Interna'!H44</f>
        <v>2054</v>
      </c>
      <c r="B32" s="448">
        <f>'[3]Resumen Interna'!I44</f>
        <v>0</v>
      </c>
      <c r="C32" s="448">
        <f t="shared" si="0"/>
        <v>0</v>
      </c>
      <c r="D32" s="448">
        <f>'[3]Resumen Interna'!J44</f>
        <v>0</v>
      </c>
      <c r="E32" s="448">
        <f t="shared" si="1"/>
        <v>0</v>
      </c>
      <c r="F32" s="472">
        <f>'[3]Resumen Interna'!K44</f>
        <v>0</v>
      </c>
    </row>
    <row r="33" spans="1:6">
      <c r="A33" s="192">
        <f>'[3]Resumen Interna'!H45</f>
        <v>2055</v>
      </c>
      <c r="B33" s="448">
        <f>'[3]Resumen Interna'!I45</f>
        <v>7812533.8002096014</v>
      </c>
      <c r="C33" s="448">
        <f t="shared" si="0"/>
        <v>7812533.8002096014</v>
      </c>
      <c r="D33" s="448">
        <f>'[3]Resumen Interna'!J45</f>
        <v>7812533.8002096014</v>
      </c>
      <c r="E33" s="448">
        <f t="shared" si="1"/>
        <v>7812533.8002096014</v>
      </c>
      <c r="F33" s="472">
        <f>'[3]Resumen Interna'!K45</f>
        <v>1.0965315469117989E-2</v>
      </c>
    </row>
    <row r="34" spans="1:6">
      <c r="A34" s="192">
        <f>'[3]Resumen Interna'!H46</f>
        <v>2056</v>
      </c>
      <c r="B34" s="448">
        <f>'[3]Resumen Interna'!I46</f>
        <v>0</v>
      </c>
      <c r="C34" s="448">
        <f t="shared" si="0"/>
        <v>0</v>
      </c>
      <c r="D34" s="448">
        <f>'[3]Resumen Interna'!J46</f>
        <v>0</v>
      </c>
      <c r="E34" s="448">
        <f t="shared" si="1"/>
        <v>0</v>
      </c>
      <c r="F34" s="472">
        <f>'[3]Resumen Interna'!K46</f>
        <v>0</v>
      </c>
    </row>
    <row r="35" spans="1:6">
      <c r="A35" s="192">
        <f>'[3]Resumen Interna'!H47</f>
        <v>2057</v>
      </c>
      <c r="B35" s="448">
        <f>'[3]Resumen Interna'!I47</f>
        <v>0</v>
      </c>
      <c r="C35" s="448">
        <f t="shared" si="0"/>
        <v>0</v>
      </c>
      <c r="D35" s="448">
        <f>'[3]Resumen Interna'!J47</f>
        <v>0</v>
      </c>
      <c r="E35" s="448">
        <f t="shared" si="1"/>
        <v>0</v>
      </c>
      <c r="F35" s="472">
        <f>'[3]Resumen Interna'!K47</f>
        <v>0</v>
      </c>
    </row>
    <row r="36" spans="1:6">
      <c r="A36" s="192">
        <f>'[3]Resumen Interna'!H48</f>
        <v>2058</v>
      </c>
      <c r="B36" s="448">
        <f>'[3]Resumen Interna'!I48</f>
        <v>0</v>
      </c>
      <c r="C36" s="448">
        <f t="shared" si="0"/>
        <v>0</v>
      </c>
      <c r="D36" s="448">
        <f>'[3]Resumen Interna'!J48</f>
        <v>0</v>
      </c>
      <c r="E36" s="448">
        <f t="shared" si="1"/>
        <v>0</v>
      </c>
      <c r="F36" s="472">
        <f>'[3]Resumen Interna'!K48</f>
        <v>0</v>
      </c>
    </row>
    <row r="37" spans="1:6">
      <c r="A37" s="192">
        <f>'[3]Resumen Interna'!H49</f>
        <v>2059</v>
      </c>
      <c r="B37" s="448">
        <f>'[3]Resumen Interna'!I49</f>
        <v>0</v>
      </c>
      <c r="C37" s="448">
        <f t="shared" si="0"/>
        <v>0</v>
      </c>
      <c r="D37" s="448">
        <f>'[3]Resumen Interna'!J49</f>
        <v>0</v>
      </c>
      <c r="E37" s="448">
        <f t="shared" si="1"/>
        <v>0</v>
      </c>
      <c r="F37" s="472">
        <f>'[3]Resumen Interna'!K49</f>
        <v>0</v>
      </c>
    </row>
    <row r="38" spans="1:6">
      <c r="A38" s="192">
        <f>'[3]Resumen Interna'!H50</f>
        <v>2060</v>
      </c>
      <c r="B38" s="448">
        <f>'[3]Resumen Interna'!I50</f>
        <v>0</v>
      </c>
      <c r="C38" s="448">
        <f t="shared" si="0"/>
        <v>0</v>
      </c>
      <c r="D38" s="448">
        <f>'[3]Resumen Interna'!J50</f>
        <v>0</v>
      </c>
      <c r="E38" s="448">
        <f t="shared" si="1"/>
        <v>0</v>
      </c>
      <c r="F38" s="472">
        <f>'[3]Resumen Interna'!K50</f>
        <v>0</v>
      </c>
    </row>
    <row r="39" spans="1:6">
      <c r="A39" s="192">
        <v>2061</v>
      </c>
      <c r="B39" s="448">
        <f>'[3]Resumen Interna'!I51</f>
        <v>0</v>
      </c>
      <c r="C39" s="448">
        <f t="shared" si="0"/>
        <v>0</v>
      </c>
      <c r="D39" s="448">
        <f>'[3]Resumen Interna'!J51</f>
        <v>0</v>
      </c>
      <c r="E39" s="448">
        <f t="shared" si="1"/>
        <v>0</v>
      </c>
      <c r="F39" s="472">
        <f>'[3]Resumen Interna'!K51</f>
        <v>0</v>
      </c>
    </row>
    <row r="40" spans="1:6">
      <c r="A40" s="192">
        <v>2062</v>
      </c>
      <c r="B40" s="448">
        <f>'[3]Resumen Interna'!I52</f>
        <v>0</v>
      </c>
      <c r="C40" s="448">
        <f t="shared" si="0"/>
        <v>0</v>
      </c>
      <c r="D40" s="448">
        <f>'[3]Resumen Interna'!J52</f>
        <v>0</v>
      </c>
      <c r="E40" s="448">
        <f t="shared" si="1"/>
        <v>0</v>
      </c>
      <c r="F40" s="472">
        <f>'[3]Resumen Interna'!K52</f>
        <v>0</v>
      </c>
    </row>
  </sheetData>
  <mergeCells count="4">
    <mergeCell ref="B1:F1"/>
    <mergeCell ref="H1:I1"/>
    <mergeCell ref="K1:L1"/>
    <mergeCell ref="N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40F5-AC74-456B-89E5-251B6F09D766}">
  <sheetPr codeName="Hoja11">
    <tabColor theme="0"/>
  </sheetPr>
  <dimension ref="B2:T36"/>
  <sheetViews>
    <sheetView zoomScale="91" workbookViewId="0">
      <selection activeCell="H32" sqref="H32"/>
    </sheetView>
  </sheetViews>
  <sheetFormatPr baseColWidth="10" defaultColWidth="11.42578125" defaultRowHeight="15"/>
  <cols>
    <col min="1" max="3" width="11.42578125" style="192"/>
    <col min="4" max="4" width="12.28515625" style="192" customWidth="1"/>
    <col min="5" max="5" width="11.42578125" style="192"/>
    <col min="6" max="6" width="12.5703125" style="192" bestFit="1" customWidth="1"/>
    <col min="7" max="7" width="20.42578125" style="192" customWidth="1"/>
    <col min="8" max="8" width="21.5703125" style="192" customWidth="1"/>
    <col min="9" max="9" width="16" style="192" customWidth="1"/>
    <col min="10" max="10" width="16.42578125" style="192" customWidth="1"/>
    <col min="11" max="11" width="13.5703125" style="192" customWidth="1"/>
    <col min="12" max="12" width="11.42578125" style="192"/>
    <col min="13" max="13" width="16.7109375" style="192" customWidth="1"/>
    <col min="14" max="14" width="11.42578125" style="192"/>
    <col min="15" max="15" width="18.7109375" style="192" customWidth="1"/>
    <col min="16" max="16" width="12.42578125" style="192" customWidth="1"/>
    <col min="17" max="17" width="20.7109375" style="192" customWidth="1"/>
    <col min="18" max="18" width="22.42578125" style="192" customWidth="1"/>
    <col min="19" max="19" width="17.42578125" style="192" customWidth="1"/>
    <col min="20" max="20" width="15.7109375" style="192" customWidth="1"/>
    <col min="21" max="16384" width="11.42578125" style="192"/>
  </cols>
  <sheetData>
    <row r="2" spans="2:20">
      <c r="B2" s="255" t="s">
        <v>284</v>
      </c>
      <c r="C2" s="255" t="s">
        <v>165</v>
      </c>
      <c r="D2" s="255" t="s">
        <v>285</v>
      </c>
      <c r="E2" s="255" t="s">
        <v>286</v>
      </c>
      <c r="F2" s="255" t="s">
        <v>287</v>
      </c>
      <c r="G2" s="255" t="s">
        <v>288</v>
      </c>
      <c r="H2" s="255" t="s">
        <v>289</v>
      </c>
      <c r="I2" s="255" t="s">
        <v>290</v>
      </c>
      <c r="J2" s="255" t="s">
        <v>291</v>
      </c>
      <c r="K2" s="255" t="s">
        <v>292</v>
      </c>
      <c r="L2" s="255" t="s">
        <v>293</v>
      </c>
      <c r="M2" s="255" t="s">
        <v>294</v>
      </c>
      <c r="N2" s="255" t="s">
        <v>295</v>
      </c>
      <c r="O2" s="255" t="s">
        <v>296</v>
      </c>
      <c r="P2" s="255" t="s">
        <v>297</v>
      </c>
      <c r="Q2" s="255" t="s">
        <v>298</v>
      </c>
      <c r="R2" s="255" t="s">
        <v>299</v>
      </c>
      <c r="S2" s="255" t="s">
        <v>300</v>
      </c>
      <c r="T2" s="255" t="s">
        <v>301</v>
      </c>
    </row>
    <row r="3" spans="2:20">
      <c r="B3" s="192">
        <v>21</v>
      </c>
      <c r="C3" s="192">
        <v>16</v>
      </c>
      <c r="E3" s="192" t="s">
        <v>4</v>
      </c>
      <c r="F3" s="252">
        <v>53059</v>
      </c>
      <c r="G3" s="192" t="s">
        <v>7</v>
      </c>
      <c r="H3" s="252">
        <v>39653</v>
      </c>
      <c r="I3" s="252">
        <v>45497</v>
      </c>
      <c r="J3" s="192">
        <v>10</v>
      </c>
      <c r="K3" s="192">
        <v>0</v>
      </c>
      <c r="L3" s="192" t="s">
        <v>210</v>
      </c>
      <c r="M3" s="192" t="s">
        <v>303</v>
      </c>
      <c r="N3" s="192" t="s">
        <v>304</v>
      </c>
      <c r="O3" s="192" t="s">
        <v>305</v>
      </c>
      <c r="P3" s="192" t="s">
        <v>306</v>
      </c>
      <c r="Q3" s="253"/>
      <c r="R3" s="192">
        <v>365</v>
      </c>
      <c r="S3" s="192" t="s">
        <v>307</v>
      </c>
      <c r="T3" s="192" t="s">
        <v>308</v>
      </c>
    </row>
    <row r="4" spans="2:20">
      <c r="B4" s="192">
        <v>21</v>
      </c>
      <c r="C4" s="192">
        <v>8</v>
      </c>
      <c r="E4" s="192" t="s">
        <v>4</v>
      </c>
      <c r="F4" s="252">
        <v>56219</v>
      </c>
      <c r="G4" s="192" t="s">
        <v>309</v>
      </c>
      <c r="H4" s="252">
        <v>43065</v>
      </c>
      <c r="I4" s="252">
        <v>45987</v>
      </c>
      <c r="J4" s="192">
        <v>6.25</v>
      </c>
      <c r="K4" s="192">
        <v>0</v>
      </c>
      <c r="L4" s="192" t="s">
        <v>210</v>
      </c>
      <c r="M4" s="192" t="s">
        <v>303</v>
      </c>
      <c r="N4" s="192" t="s">
        <v>304</v>
      </c>
      <c r="O4" s="192" t="s">
        <v>310</v>
      </c>
      <c r="P4" s="192" t="s">
        <v>306</v>
      </c>
      <c r="Q4" s="253"/>
      <c r="R4" s="192">
        <v>365</v>
      </c>
      <c r="S4" s="192" t="s">
        <v>307</v>
      </c>
      <c r="T4" s="192" t="s">
        <v>308</v>
      </c>
    </row>
    <row r="5" spans="2:20">
      <c r="B5" s="192">
        <v>21</v>
      </c>
      <c r="C5" s="192">
        <v>15</v>
      </c>
      <c r="E5" s="192" t="s">
        <v>4</v>
      </c>
      <c r="F5" s="252">
        <v>54542</v>
      </c>
      <c r="G5" s="192" t="s">
        <v>211</v>
      </c>
      <c r="H5" s="252">
        <v>40781</v>
      </c>
      <c r="I5" s="252">
        <v>46260</v>
      </c>
      <c r="J5" s="192">
        <v>7.5</v>
      </c>
      <c r="K5" s="192">
        <v>0</v>
      </c>
      <c r="L5" s="192" t="s">
        <v>210</v>
      </c>
      <c r="M5" s="192" t="s">
        <v>303</v>
      </c>
      <c r="N5" s="192" t="s">
        <v>304</v>
      </c>
      <c r="O5" s="192" t="s">
        <v>311</v>
      </c>
      <c r="P5" s="192" t="s">
        <v>306</v>
      </c>
      <c r="Q5" s="253"/>
      <c r="R5" s="192">
        <v>365</v>
      </c>
      <c r="S5" s="192" t="s">
        <v>307</v>
      </c>
      <c r="T5" s="192" t="s">
        <v>308</v>
      </c>
    </row>
    <row r="6" spans="2:20">
      <c r="B6" s="192">
        <v>21</v>
      </c>
      <c r="C6" s="192">
        <v>8</v>
      </c>
      <c r="E6" s="192" t="s">
        <v>4</v>
      </c>
      <c r="F6" s="252">
        <v>56552</v>
      </c>
      <c r="G6" s="192" t="s">
        <v>203</v>
      </c>
      <c r="H6" s="252">
        <v>43772</v>
      </c>
      <c r="I6" s="252">
        <v>46694</v>
      </c>
      <c r="J6" s="192">
        <v>5.75</v>
      </c>
      <c r="K6" s="192">
        <v>0</v>
      </c>
      <c r="L6" s="192" t="s">
        <v>210</v>
      </c>
      <c r="M6" s="192" t="s">
        <v>303</v>
      </c>
      <c r="N6" s="192" t="s">
        <v>304</v>
      </c>
      <c r="O6" s="192" t="s">
        <v>312</v>
      </c>
      <c r="P6" s="192" t="s">
        <v>302</v>
      </c>
      <c r="Q6" s="253"/>
      <c r="R6" s="192">
        <v>365</v>
      </c>
      <c r="S6" s="192" t="s">
        <v>307</v>
      </c>
      <c r="T6" s="192" t="s">
        <v>308</v>
      </c>
    </row>
    <row r="7" spans="2:20">
      <c r="B7" s="192">
        <v>21</v>
      </c>
      <c r="C7" s="192">
        <v>16</v>
      </c>
      <c r="E7" s="192" t="s">
        <v>4</v>
      </c>
      <c r="F7" s="252">
        <v>55029</v>
      </c>
      <c r="G7" s="192" t="s">
        <v>212</v>
      </c>
      <c r="H7" s="252">
        <v>41027</v>
      </c>
      <c r="I7" s="252">
        <v>46871</v>
      </c>
      <c r="J7" s="192">
        <v>6</v>
      </c>
      <c r="K7" s="192">
        <v>0</v>
      </c>
      <c r="L7" s="192" t="s">
        <v>210</v>
      </c>
      <c r="M7" s="192" t="s">
        <v>303</v>
      </c>
      <c r="N7" s="192" t="s">
        <v>304</v>
      </c>
      <c r="O7" s="192" t="s">
        <v>313</v>
      </c>
      <c r="P7" s="192" t="s">
        <v>306</v>
      </c>
      <c r="Q7" s="253"/>
      <c r="R7" s="192">
        <v>365</v>
      </c>
      <c r="S7" s="192" t="s">
        <v>307</v>
      </c>
      <c r="T7" s="192" t="s">
        <v>308</v>
      </c>
    </row>
    <row r="8" spans="2:20">
      <c r="B8" s="192">
        <v>21</v>
      </c>
      <c r="C8" s="192">
        <v>5</v>
      </c>
      <c r="E8" s="192" t="s">
        <v>4</v>
      </c>
      <c r="F8" s="252"/>
      <c r="G8" s="192" t="s">
        <v>484</v>
      </c>
      <c r="H8" s="254">
        <v>45526</v>
      </c>
      <c r="I8" s="254">
        <v>47352</v>
      </c>
      <c r="J8" s="192">
        <v>11</v>
      </c>
      <c r="K8" s="192">
        <v>0</v>
      </c>
      <c r="M8" s="192" t="s">
        <v>303</v>
      </c>
      <c r="N8" s="192" t="s">
        <v>304</v>
      </c>
      <c r="O8" s="192" t="s">
        <v>485</v>
      </c>
      <c r="P8" s="192" t="s">
        <v>306</v>
      </c>
      <c r="Q8" s="253"/>
      <c r="R8" s="192">
        <v>365</v>
      </c>
      <c r="S8" s="192" t="s">
        <v>307</v>
      </c>
      <c r="T8" s="192" t="s">
        <v>308</v>
      </c>
    </row>
    <row r="9" spans="2:20">
      <c r="B9" s="192">
        <v>21</v>
      </c>
      <c r="C9" s="192">
        <v>16</v>
      </c>
      <c r="E9" s="192" t="s">
        <v>4</v>
      </c>
      <c r="F9" s="252">
        <v>55684</v>
      </c>
      <c r="G9" s="192" t="s">
        <v>199</v>
      </c>
      <c r="H9" s="252">
        <v>41900</v>
      </c>
      <c r="I9" s="252">
        <v>47744</v>
      </c>
      <c r="J9" s="192">
        <v>7.75</v>
      </c>
      <c r="K9" s="192">
        <v>0</v>
      </c>
      <c r="L9" s="192" t="s">
        <v>210</v>
      </c>
      <c r="M9" s="192" t="s">
        <v>303</v>
      </c>
      <c r="N9" s="192" t="s">
        <v>304</v>
      </c>
      <c r="O9" s="192" t="s">
        <v>314</v>
      </c>
      <c r="P9" s="192" t="s">
        <v>306</v>
      </c>
      <c r="Q9" s="253"/>
      <c r="R9" s="192">
        <v>365</v>
      </c>
      <c r="S9" s="192" t="s">
        <v>307</v>
      </c>
      <c r="T9" s="192" t="s">
        <v>308</v>
      </c>
    </row>
    <row r="10" spans="2:20">
      <c r="B10" s="192">
        <v>21</v>
      </c>
      <c r="C10" s="192">
        <v>10</v>
      </c>
      <c r="E10" s="192" t="s">
        <v>4</v>
      </c>
      <c r="F10" s="252">
        <v>57165</v>
      </c>
      <c r="G10" s="192" t="s">
        <v>207</v>
      </c>
      <c r="H10" s="252">
        <v>44281</v>
      </c>
      <c r="I10" s="252">
        <v>47933</v>
      </c>
      <c r="J10" s="192">
        <v>7</v>
      </c>
      <c r="K10" s="192">
        <v>0</v>
      </c>
      <c r="L10" s="192" t="s">
        <v>210</v>
      </c>
      <c r="M10" s="192" t="s">
        <v>303</v>
      </c>
      <c r="N10" s="192" t="s">
        <v>304</v>
      </c>
      <c r="O10" s="192" t="s">
        <v>315</v>
      </c>
      <c r="P10" s="192" t="s">
        <v>302</v>
      </c>
      <c r="Q10" s="253"/>
      <c r="R10" s="192">
        <v>365</v>
      </c>
      <c r="S10" s="192" t="s">
        <v>307</v>
      </c>
      <c r="T10" s="192" t="s">
        <v>308</v>
      </c>
    </row>
    <row r="11" spans="2:20">
      <c r="B11" s="192">
        <v>21</v>
      </c>
      <c r="C11" s="192">
        <v>10</v>
      </c>
      <c r="E11" s="192" t="s">
        <v>4</v>
      </c>
      <c r="F11" s="252">
        <v>57278</v>
      </c>
      <c r="G11" s="192" t="s">
        <v>316</v>
      </c>
      <c r="H11" s="252">
        <v>44281</v>
      </c>
      <c r="I11" s="252">
        <v>47933</v>
      </c>
      <c r="J11" s="192">
        <v>7</v>
      </c>
      <c r="K11" s="192">
        <v>0</v>
      </c>
      <c r="L11" s="192" t="s">
        <v>210</v>
      </c>
      <c r="M11" s="192" t="s">
        <v>303</v>
      </c>
      <c r="N11" s="192" t="s">
        <v>304</v>
      </c>
      <c r="O11" s="192" t="s">
        <v>317</v>
      </c>
      <c r="P11" s="192" t="s">
        <v>302</v>
      </c>
      <c r="Q11" s="253"/>
      <c r="R11" s="192">
        <v>365</v>
      </c>
      <c r="S11" s="192" t="s">
        <v>307</v>
      </c>
      <c r="T11" s="192" t="s">
        <v>308</v>
      </c>
    </row>
    <row r="12" spans="2:20">
      <c r="B12" s="192">
        <v>21</v>
      </c>
      <c r="C12" s="192">
        <v>16</v>
      </c>
      <c r="E12" s="192" t="s">
        <v>4</v>
      </c>
      <c r="F12" s="252">
        <v>56059</v>
      </c>
      <c r="G12" s="192" t="s">
        <v>197</v>
      </c>
      <c r="H12" s="252">
        <v>42551</v>
      </c>
      <c r="I12" s="252">
        <v>48395</v>
      </c>
      <c r="J12" s="192">
        <v>7</v>
      </c>
      <c r="K12" s="192">
        <v>0</v>
      </c>
      <c r="L12" s="192" t="s">
        <v>210</v>
      </c>
      <c r="M12" s="192" t="s">
        <v>303</v>
      </c>
      <c r="N12" s="192" t="s">
        <v>304</v>
      </c>
      <c r="O12" s="192" t="s">
        <v>318</v>
      </c>
      <c r="P12" s="192" t="s">
        <v>306</v>
      </c>
      <c r="Q12" s="253"/>
      <c r="R12" s="192">
        <v>365</v>
      </c>
      <c r="S12" s="192" t="s">
        <v>307</v>
      </c>
      <c r="T12" s="192" t="s">
        <v>308</v>
      </c>
    </row>
    <row r="13" spans="2:20">
      <c r="B13" s="192">
        <v>21</v>
      </c>
      <c r="C13" s="192">
        <v>11</v>
      </c>
      <c r="E13" s="192" t="s">
        <v>4</v>
      </c>
      <c r="F13" s="252">
        <v>57836</v>
      </c>
      <c r="G13" s="192" t="s">
        <v>213</v>
      </c>
      <c r="H13" s="252">
        <v>44601</v>
      </c>
      <c r="I13" s="252">
        <v>48619</v>
      </c>
      <c r="J13" s="192">
        <v>13.25</v>
      </c>
      <c r="K13" s="192">
        <v>0</v>
      </c>
      <c r="L13" s="192" t="s">
        <v>210</v>
      </c>
      <c r="M13" s="192" t="s">
        <v>303</v>
      </c>
      <c r="N13" s="192" t="s">
        <v>304</v>
      </c>
      <c r="O13" s="192" t="s">
        <v>319</v>
      </c>
      <c r="P13" s="192" t="s">
        <v>302</v>
      </c>
      <c r="Q13" s="253"/>
      <c r="R13" s="192">
        <v>365</v>
      </c>
      <c r="S13" s="192" t="s">
        <v>307</v>
      </c>
      <c r="T13" s="192" t="s">
        <v>308</v>
      </c>
    </row>
    <row r="14" spans="2:20">
      <c r="B14" s="192">
        <v>21</v>
      </c>
      <c r="C14" s="192">
        <v>16</v>
      </c>
      <c r="E14" s="192" t="s">
        <v>4</v>
      </c>
      <c r="F14" s="252">
        <v>56377</v>
      </c>
      <c r="G14" s="192" t="s">
        <v>196</v>
      </c>
      <c r="H14" s="252">
        <v>43391</v>
      </c>
      <c r="I14" s="252">
        <v>49235</v>
      </c>
      <c r="J14" s="192">
        <v>7.25</v>
      </c>
      <c r="K14" s="192">
        <v>0</v>
      </c>
      <c r="L14" s="192" t="s">
        <v>210</v>
      </c>
      <c r="M14" s="192" t="s">
        <v>303</v>
      </c>
      <c r="N14" s="192" t="s">
        <v>304</v>
      </c>
      <c r="O14" s="192" t="s">
        <v>320</v>
      </c>
      <c r="P14" s="192" t="s">
        <v>302</v>
      </c>
      <c r="Q14" s="253"/>
      <c r="R14" s="192">
        <v>365</v>
      </c>
      <c r="S14" s="192" t="s">
        <v>307</v>
      </c>
      <c r="T14" s="192" t="s">
        <v>308</v>
      </c>
    </row>
    <row r="15" spans="2:20">
      <c r="B15" s="192">
        <v>21</v>
      </c>
      <c r="C15" s="192">
        <v>16</v>
      </c>
      <c r="E15" s="192" t="s">
        <v>4</v>
      </c>
      <c r="F15" s="252">
        <v>56970</v>
      </c>
      <c r="G15" s="192" t="s">
        <v>321</v>
      </c>
      <c r="H15" s="252">
        <v>44021</v>
      </c>
      <c r="I15" s="252">
        <v>49865</v>
      </c>
      <c r="J15" s="192">
        <v>6.25</v>
      </c>
      <c r="K15" s="192">
        <v>0</v>
      </c>
      <c r="L15" s="192" t="s">
        <v>210</v>
      </c>
      <c r="M15" s="192" t="s">
        <v>303</v>
      </c>
      <c r="N15" s="192" t="s">
        <v>304</v>
      </c>
      <c r="O15" s="192" t="s">
        <v>322</v>
      </c>
      <c r="P15" s="192" t="s">
        <v>302</v>
      </c>
      <c r="Q15" s="253"/>
      <c r="R15" s="192">
        <v>365</v>
      </c>
      <c r="S15" s="192" t="s">
        <v>307</v>
      </c>
      <c r="T15" s="192" t="s">
        <v>308</v>
      </c>
    </row>
    <row r="16" spans="2:20">
      <c r="B16" s="192">
        <v>21</v>
      </c>
      <c r="C16" s="192">
        <v>16</v>
      </c>
      <c r="E16" s="192" t="s">
        <v>4</v>
      </c>
      <c r="F16" s="252"/>
      <c r="G16" s="192" t="s">
        <v>486</v>
      </c>
      <c r="H16" s="254">
        <v>45624</v>
      </c>
      <c r="I16" s="254">
        <v>51468</v>
      </c>
      <c r="J16" s="192">
        <v>12.75</v>
      </c>
      <c r="K16" s="192">
        <v>0</v>
      </c>
      <c r="M16" s="192" t="s">
        <v>303</v>
      </c>
      <c r="N16" s="192" t="s">
        <v>304</v>
      </c>
      <c r="O16" s="192" t="s">
        <v>487</v>
      </c>
      <c r="P16" s="192" t="s">
        <v>302</v>
      </c>
      <c r="Q16" s="253"/>
      <c r="R16" s="192">
        <v>365</v>
      </c>
      <c r="S16" s="192" t="s">
        <v>307</v>
      </c>
      <c r="T16" s="192" t="s">
        <v>308</v>
      </c>
    </row>
    <row r="17" spans="2:20">
      <c r="B17" s="192">
        <v>21</v>
      </c>
      <c r="C17" s="192">
        <v>21</v>
      </c>
      <c r="E17" s="192" t="s">
        <v>4</v>
      </c>
      <c r="F17" s="252">
        <v>57407</v>
      </c>
      <c r="G17" s="192" t="s">
        <v>209</v>
      </c>
      <c r="H17" s="252">
        <v>44344</v>
      </c>
      <c r="I17" s="252">
        <v>52014</v>
      </c>
      <c r="J17" s="192">
        <v>9.25</v>
      </c>
      <c r="K17" s="192">
        <v>0</v>
      </c>
      <c r="L17" s="192" t="s">
        <v>210</v>
      </c>
      <c r="M17" s="192" t="s">
        <v>303</v>
      </c>
      <c r="N17" s="192" t="s">
        <v>304</v>
      </c>
      <c r="O17" s="192" t="s">
        <v>323</v>
      </c>
      <c r="P17" s="192" t="s">
        <v>302</v>
      </c>
      <c r="Q17" s="253"/>
      <c r="R17" s="192">
        <v>365</v>
      </c>
      <c r="S17" s="192" t="s">
        <v>307</v>
      </c>
      <c r="T17" s="192" t="s">
        <v>308</v>
      </c>
    </row>
    <row r="18" spans="2:20">
      <c r="B18" s="192">
        <v>21</v>
      </c>
      <c r="C18" s="192">
        <v>23</v>
      </c>
      <c r="E18" s="192" t="s">
        <v>4</v>
      </c>
      <c r="F18" s="252"/>
      <c r="G18" s="192" t="s">
        <v>360</v>
      </c>
      <c r="H18" s="252">
        <v>45132</v>
      </c>
      <c r="I18" s="252">
        <v>53533</v>
      </c>
      <c r="J18" s="192">
        <v>11.5</v>
      </c>
      <c r="K18" s="192">
        <v>0</v>
      </c>
      <c r="M18" s="192" t="s">
        <v>303</v>
      </c>
      <c r="N18" s="192" t="s">
        <v>304</v>
      </c>
      <c r="O18" s="192" t="s">
        <v>361</v>
      </c>
      <c r="Q18" s="253"/>
      <c r="R18" s="192">
        <v>365</v>
      </c>
      <c r="S18" s="192" t="s">
        <v>307</v>
      </c>
      <c r="T18" s="192" t="s">
        <v>308</v>
      </c>
    </row>
    <row r="19" spans="2:20">
      <c r="B19" s="192">
        <v>21</v>
      </c>
      <c r="C19" s="192">
        <v>31</v>
      </c>
      <c r="E19" s="192" t="s">
        <v>4</v>
      </c>
      <c r="F19" s="252">
        <v>56840</v>
      </c>
      <c r="G19" s="192" t="s">
        <v>324</v>
      </c>
      <c r="H19" s="252">
        <v>43764</v>
      </c>
      <c r="I19" s="252">
        <v>55087</v>
      </c>
      <c r="J19" s="192">
        <v>7.25</v>
      </c>
      <c r="K19" s="192">
        <v>0</v>
      </c>
      <c r="L19" s="192" t="s">
        <v>210</v>
      </c>
      <c r="M19" s="192" t="s">
        <v>303</v>
      </c>
      <c r="N19" s="192" t="s">
        <v>304</v>
      </c>
      <c r="O19" s="192" t="s">
        <v>325</v>
      </c>
      <c r="P19" s="192" t="s">
        <v>302</v>
      </c>
      <c r="Q19" s="253"/>
      <c r="R19" s="192">
        <v>365</v>
      </c>
      <c r="S19" s="192" t="s">
        <v>307</v>
      </c>
      <c r="T19" s="192" t="s">
        <v>308</v>
      </c>
    </row>
    <row r="20" spans="2:20">
      <c r="B20" s="192">
        <v>21</v>
      </c>
      <c r="C20" s="192">
        <v>17</v>
      </c>
      <c r="E20" s="192" t="s">
        <v>6</v>
      </c>
      <c r="F20" s="252">
        <v>49936</v>
      </c>
      <c r="G20" s="192" t="s">
        <v>5</v>
      </c>
      <c r="H20" s="252">
        <v>38771</v>
      </c>
      <c r="I20" s="252">
        <v>44980</v>
      </c>
      <c r="J20" s="192">
        <v>4.75</v>
      </c>
      <c r="K20" s="192">
        <v>0</v>
      </c>
      <c r="L20" s="192" t="s">
        <v>210</v>
      </c>
      <c r="M20" s="192" t="s">
        <v>303</v>
      </c>
      <c r="N20" s="192" t="s">
        <v>304</v>
      </c>
      <c r="O20" s="192" t="s">
        <v>326</v>
      </c>
      <c r="P20" s="192" t="s">
        <v>306</v>
      </c>
      <c r="Q20" s="253"/>
      <c r="R20" s="192">
        <v>365</v>
      </c>
      <c r="S20" s="192" t="s">
        <v>307</v>
      </c>
      <c r="T20" s="192" t="s">
        <v>308</v>
      </c>
    </row>
    <row r="21" spans="2:20">
      <c r="B21" s="192">
        <v>21</v>
      </c>
      <c r="C21" s="192">
        <v>11</v>
      </c>
      <c r="E21" s="192" t="s">
        <v>6</v>
      </c>
      <c r="F21" s="252">
        <v>55738</v>
      </c>
      <c r="G21" s="192" t="s">
        <v>208</v>
      </c>
      <c r="H21" s="252">
        <v>41766</v>
      </c>
      <c r="I21" s="252">
        <v>45784</v>
      </c>
      <c r="J21" s="192">
        <v>3.5</v>
      </c>
      <c r="K21" s="192">
        <v>0</v>
      </c>
      <c r="L21" s="192" t="s">
        <v>210</v>
      </c>
      <c r="M21" s="192" t="s">
        <v>303</v>
      </c>
      <c r="N21" s="192" t="s">
        <v>304</v>
      </c>
      <c r="O21" s="192" t="s">
        <v>327</v>
      </c>
      <c r="P21" s="192" t="s">
        <v>306</v>
      </c>
      <c r="Q21" s="253"/>
      <c r="R21" s="192">
        <v>365</v>
      </c>
      <c r="S21" s="192" t="s">
        <v>307</v>
      </c>
      <c r="T21" s="192" t="s">
        <v>308</v>
      </c>
    </row>
    <row r="22" spans="2:20">
      <c r="B22" s="192">
        <v>21</v>
      </c>
      <c r="C22" s="192">
        <v>11</v>
      </c>
      <c r="E22" s="192" t="s">
        <v>6</v>
      </c>
      <c r="F22" s="252">
        <v>56091</v>
      </c>
      <c r="G22" s="192" t="s">
        <v>205</v>
      </c>
      <c r="H22" s="252">
        <v>42446</v>
      </c>
      <c r="I22" s="252">
        <v>46463</v>
      </c>
      <c r="J22" s="192">
        <v>3.3</v>
      </c>
      <c r="K22" s="192">
        <v>0</v>
      </c>
      <c r="L22" s="192" t="s">
        <v>210</v>
      </c>
      <c r="M22" s="192" t="s">
        <v>303</v>
      </c>
      <c r="N22" s="192" t="s">
        <v>304</v>
      </c>
      <c r="O22" s="192" t="s">
        <v>328</v>
      </c>
      <c r="P22" s="192" t="s">
        <v>306</v>
      </c>
      <c r="Q22" s="253"/>
      <c r="R22" s="192">
        <v>365</v>
      </c>
      <c r="S22" s="192" t="s">
        <v>307</v>
      </c>
      <c r="T22" s="192" t="s">
        <v>308</v>
      </c>
    </row>
    <row r="23" spans="2:20">
      <c r="B23" s="192">
        <v>21</v>
      </c>
      <c r="C23" s="192">
        <v>10</v>
      </c>
      <c r="E23" s="192" t="s">
        <v>6</v>
      </c>
      <c r="F23" s="252">
        <v>56614</v>
      </c>
      <c r="G23" s="192" t="s">
        <v>204</v>
      </c>
      <c r="H23" s="252">
        <v>43573</v>
      </c>
      <c r="I23" s="252">
        <v>47226</v>
      </c>
      <c r="J23" s="192">
        <v>2.25</v>
      </c>
      <c r="K23" s="192">
        <v>0</v>
      </c>
      <c r="L23" s="192" t="s">
        <v>210</v>
      </c>
      <c r="M23" s="192" t="s">
        <v>303</v>
      </c>
      <c r="N23" s="192" t="s">
        <v>304</v>
      </c>
      <c r="O23" s="192" t="s">
        <v>329</v>
      </c>
      <c r="P23" s="192" t="s">
        <v>302</v>
      </c>
      <c r="Q23" s="253"/>
      <c r="R23" s="192">
        <v>365</v>
      </c>
      <c r="S23" s="192" t="s">
        <v>307</v>
      </c>
      <c r="T23" s="192" t="s">
        <v>308</v>
      </c>
    </row>
    <row r="24" spans="2:20">
      <c r="B24" s="192">
        <v>21</v>
      </c>
      <c r="C24" s="192">
        <v>6</v>
      </c>
      <c r="E24" s="192" t="s">
        <v>6</v>
      </c>
      <c r="F24" s="252"/>
      <c r="G24" s="192" t="s">
        <v>499</v>
      </c>
      <c r="H24" s="252">
        <v>47870</v>
      </c>
      <c r="I24" s="252">
        <v>47870</v>
      </c>
      <c r="J24" s="192">
        <v>6.5</v>
      </c>
      <c r="K24" s="192">
        <v>0</v>
      </c>
      <c r="L24" s="192" t="s">
        <v>210</v>
      </c>
      <c r="M24" s="192" t="s">
        <v>303</v>
      </c>
      <c r="N24" s="192" t="s">
        <v>304</v>
      </c>
      <c r="Q24" s="253"/>
    </row>
    <row r="25" spans="2:20">
      <c r="B25" s="192">
        <v>21</v>
      </c>
      <c r="C25" s="192">
        <v>20</v>
      </c>
      <c r="E25" s="192" t="s">
        <v>6</v>
      </c>
      <c r="F25" s="252">
        <v>55197</v>
      </c>
      <c r="G25" s="192" t="s">
        <v>206</v>
      </c>
      <c r="H25" s="252">
        <v>41358</v>
      </c>
      <c r="I25" s="252">
        <v>48663</v>
      </c>
      <c r="J25" s="192">
        <v>3</v>
      </c>
      <c r="K25" s="192">
        <v>0</v>
      </c>
      <c r="L25" s="192" t="s">
        <v>210</v>
      </c>
      <c r="M25" s="192" t="s">
        <v>303</v>
      </c>
      <c r="N25" s="192" t="s">
        <v>304</v>
      </c>
      <c r="O25" s="192" t="s">
        <v>330</v>
      </c>
      <c r="P25" s="192" t="s">
        <v>306</v>
      </c>
      <c r="Q25" s="253"/>
      <c r="R25" s="192">
        <v>365</v>
      </c>
      <c r="S25" s="192" t="s">
        <v>307</v>
      </c>
      <c r="T25" s="192" t="s">
        <v>308</v>
      </c>
    </row>
    <row r="26" spans="2:20">
      <c r="B26" s="192">
        <v>21</v>
      </c>
      <c r="C26" s="192">
        <v>20</v>
      </c>
      <c r="E26" s="192" t="s">
        <v>6</v>
      </c>
      <c r="F26" s="252">
        <v>55930</v>
      </c>
      <c r="G26" s="192" t="s">
        <v>201</v>
      </c>
      <c r="H26" s="252">
        <v>42098</v>
      </c>
      <c r="I26" s="252">
        <v>49403</v>
      </c>
      <c r="J26" s="192">
        <v>4.75</v>
      </c>
      <c r="K26" s="192">
        <v>0</v>
      </c>
      <c r="L26" s="192" t="s">
        <v>210</v>
      </c>
      <c r="M26" s="192" t="s">
        <v>303</v>
      </c>
      <c r="N26" s="192" t="s">
        <v>304</v>
      </c>
      <c r="O26" s="192" t="s">
        <v>331</v>
      </c>
      <c r="P26" s="192" t="s">
        <v>306</v>
      </c>
      <c r="Q26" s="253"/>
      <c r="R26" s="192">
        <v>365</v>
      </c>
      <c r="S26" s="192" t="s">
        <v>307</v>
      </c>
      <c r="T26" s="192" t="s">
        <v>308</v>
      </c>
    </row>
    <row r="27" spans="2:20">
      <c r="B27" s="192">
        <v>21</v>
      </c>
      <c r="C27" s="192">
        <v>18</v>
      </c>
      <c r="E27" s="192" t="s">
        <v>6</v>
      </c>
      <c r="F27" s="252">
        <v>56414</v>
      </c>
      <c r="G27" s="192" t="s">
        <v>198</v>
      </c>
      <c r="H27" s="252">
        <v>43521</v>
      </c>
      <c r="I27" s="252">
        <v>50096</v>
      </c>
      <c r="J27" s="192">
        <v>3.75</v>
      </c>
      <c r="K27" s="192">
        <v>0</v>
      </c>
      <c r="L27" s="192" t="s">
        <v>210</v>
      </c>
      <c r="M27" s="192" t="s">
        <v>303</v>
      </c>
      <c r="N27" s="192" t="s">
        <v>304</v>
      </c>
      <c r="O27" s="192" t="s">
        <v>332</v>
      </c>
      <c r="P27" s="192" t="s">
        <v>302</v>
      </c>
      <c r="Q27" s="253"/>
      <c r="R27" s="192">
        <v>365</v>
      </c>
      <c r="S27" s="192" t="s">
        <v>307</v>
      </c>
      <c r="T27" s="192" t="s">
        <v>308</v>
      </c>
    </row>
    <row r="28" spans="2:20">
      <c r="B28" s="192">
        <v>21</v>
      </c>
      <c r="C28" s="192">
        <v>18</v>
      </c>
      <c r="E28" s="192" t="s">
        <v>6</v>
      </c>
      <c r="F28" s="252"/>
      <c r="G28" s="192" t="s">
        <v>371</v>
      </c>
      <c r="H28" s="254">
        <v>45371</v>
      </c>
      <c r="I28" s="254">
        <v>51580</v>
      </c>
      <c r="J28" s="192">
        <v>5</v>
      </c>
      <c r="K28" s="192">
        <v>0</v>
      </c>
      <c r="M28" s="192" t="s">
        <v>303</v>
      </c>
      <c r="N28" s="192" t="s">
        <v>304</v>
      </c>
      <c r="O28" s="192" t="s">
        <v>372</v>
      </c>
      <c r="P28" s="192" t="s">
        <v>302</v>
      </c>
      <c r="Q28" s="253"/>
      <c r="R28" s="192">
        <v>365</v>
      </c>
      <c r="S28" s="192" t="s">
        <v>307</v>
      </c>
      <c r="T28" s="192" t="s">
        <v>308</v>
      </c>
    </row>
    <row r="29" spans="2:20">
      <c r="B29" s="192">
        <v>21</v>
      </c>
      <c r="C29" s="192">
        <v>32</v>
      </c>
      <c r="E29" s="192" t="s">
        <v>6</v>
      </c>
      <c r="F29" s="252">
        <v>56246</v>
      </c>
      <c r="G29" s="192" t="s">
        <v>333</v>
      </c>
      <c r="H29" s="252">
        <v>42902</v>
      </c>
      <c r="I29" s="252">
        <v>54590</v>
      </c>
      <c r="J29" s="192">
        <v>3.75</v>
      </c>
      <c r="K29" s="192">
        <v>0</v>
      </c>
      <c r="L29" s="192" t="s">
        <v>210</v>
      </c>
      <c r="M29" s="192" t="s">
        <v>303</v>
      </c>
      <c r="N29" s="192" t="s">
        <v>304</v>
      </c>
      <c r="O29" s="192" t="s">
        <v>334</v>
      </c>
      <c r="P29" s="192" t="s">
        <v>302</v>
      </c>
      <c r="Q29" s="253"/>
      <c r="R29" s="192">
        <v>365</v>
      </c>
      <c r="S29" s="192" t="s">
        <v>307</v>
      </c>
      <c r="T29" s="192" t="s">
        <v>308</v>
      </c>
    </row>
    <row r="30" spans="2:20">
      <c r="B30" s="192">
        <v>21</v>
      </c>
      <c r="C30" s="192">
        <v>31</v>
      </c>
      <c r="E30" s="192" t="s">
        <v>6</v>
      </c>
      <c r="F30" s="252"/>
      <c r="G30" s="192" t="s">
        <v>373</v>
      </c>
      <c r="H30" s="254">
        <v>45431</v>
      </c>
      <c r="I30" s="254">
        <v>56753</v>
      </c>
      <c r="J30" s="192">
        <v>5.25</v>
      </c>
      <c r="K30" s="192">
        <v>0</v>
      </c>
      <c r="M30" s="192" t="s">
        <v>303</v>
      </c>
      <c r="N30" s="192" t="s">
        <v>304</v>
      </c>
      <c r="O30" s="192" t="s">
        <v>374</v>
      </c>
      <c r="P30" s="192" t="s">
        <v>302</v>
      </c>
      <c r="Q30" s="253"/>
      <c r="R30" s="192">
        <v>365</v>
      </c>
      <c r="S30" s="192" t="s">
        <v>307</v>
      </c>
      <c r="T30" s="192" t="s">
        <v>308</v>
      </c>
    </row>
    <row r="31" spans="2:20">
      <c r="B31" s="192">
        <v>21</v>
      </c>
      <c r="C31" s="192">
        <v>37</v>
      </c>
      <c r="E31" s="192" t="s">
        <v>6</v>
      </c>
      <c r="F31" s="252"/>
      <c r="G31" s="192" t="s">
        <v>497</v>
      </c>
      <c r="H31" s="254"/>
      <c r="I31" s="254">
        <v>59203</v>
      </c>
      <c r="J31" s="192">
        <v>6.5</v>
      </c>
      <c r="K31" s="192">
        <v>0</v>
      </c>
      <c r="M31" s="192" t="s">
        <v>303</v>
      </c>
      <c r="N31" s="192" t="s">
        <v>304</v>
      </c>
      <c r="O31" s="192" t="s">
        <v>498</v>
      </c>
      <c r="Q31" s="253"/>
    </row>
    <row r="32" spans="2:20">
      <c r="E32" s="192" t="s">
        <v>4</v>
      </c>
      <c r="F32" s="252"/>
      <c r="G32" s="192" t="s">
        <v>552</v>
      </c>
      <c r="H32" s="254"/>
      <c r="I32" s="254">
        <v>49313</v>
      </c>
      <c r="J32" s="192">
        <v>11.75</v>
      </c>
      <c r="K32" s="192">
        <v>0</v>
      </c>
      <c r="M32" s="192" t="s">
        <v>303</v>
      </c>
      <c r="N32" s="192" t="s">
        <v>304</v>
      </c>
      <c r="O32" s="192" t="s">
        <v>552</v>
      </c>
      <c r="Q32" s="253"/>
    </row>
    <row r="33" spans="5:17">
      <c r="E33" s="192" t="s">
        <v>4</v>
      </c>
      <c r="F33" s="252"/>
      <c r="G33" s="192" t="s">
        <v>553</v>
      </c>
      <c r="H33" s="254"/>
      <c r="I33" s="254">
        <v>46084</v>
      </c>
      <c r="J33" s="192">
        <v>0</v>
      </c>
      <c r="K33" s="192">
        <v>0</v>
      </c>
      <c r="M33" s="192" t="s">
        <v>303</v>
      </c>
      <c r="N33" s="192" t="s">
        <v>304</v>
      </c>
      <c r="O33" s="192" t="s">
        <v>553</v>
      </c>
      <c r="Q33" s="253"/>
    </row>
    <row r="34" spans="5:17">
      <c r="E34" s="192" t="s">
        <v>4</v>
      </c>
      <c r="F34" s="252"/>
      <c r="G34" s="192" t="s">
        <v>554</v>
      </c>
      <c r="H34" s="254"/>
      <c r="I34" s="254">
        <v>46175</v>
      </c>
      <c r="J34" s="192">
        <v>0</v>
      </c>
      <c r="K34" s="192">
        <v>0</v>
      </c>
      <c r="O34" s="192" t="s">
        <v>554</v>
      </c>
      <c r="Q34" s="253"/>
    </row>
    <row r="35" spans="5:17">
      <c r="E35" s="192" t="s">
        <v>4</v>
      </c>
      <c r="F35" s="252"/>
      <c r="G35" s="192" t="s">
        <v>572</v>
      </c>
      <c r="H35" s="254"/>
      <c r="I35" s="254">
        <v>46236</v>
      </c>
      <c r="J35" s="192">
        <v>0</v>
      </c>
      <c r="K35" s="192">
        <v>0</v>
      </c>
      <c r="Q35" s="253"/>
    </row>
    <row r="36" spans="5:17">
      <c r="F36" s="252"/>
      <c r="H36" s="254"/>
      <c r="I36" s="254"/>
      <c r="Q36" s="25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158F-063D-4D8C-9B14-CEAC413A9595}">
  <sheetPr codeName="Hoja3">
    <tabColor theme="2" tint="-0.749992370372631"/>
  </sheetPr>
  <dimension ref="A1:AU172"/>
  <sheetViews>
    <sheetView zoomScale="99" workbookViewId="0">
      <pane xSplit="3" ySplit="1" topLeftCell="AE154" activePane="bottomRight" state="frozen"/>
      <selection pane="topRight" activeCell="D1" sqref="D1"/>
      <selection pane="bottomLeft" activeCell="A2" sqref="A2"/>
      <selection pane="bottomRight" activeCell="C160" sqref="C160"/>
    </sheetView>
  </sheetViews>
  <sheetFormatPr baseColWidth="10" defaultColWidth="15.28515625" defaultRowHeight="20.25" outlineLevelCol="1"/>
  <cols>
    <col min="1" max="1" width="13.28515625" style="218" customWidth="1"/>
    <col min="2" max="2" width="19.28515625" style="218" customWidth="1"/>
    <col min="3" max="3" width="32.5703125" style="251" customWidth="1"/>
    <col min="4" max="4" width="21.28515625" style="218" bestFit="1" customWidth="1"/>
    <col min="5" max="5" width="47.42578125" style="218" customWidth="1"/>
    <col min="6" max="6" width="22.7109375" style="218" customWidth="1"/>
    <col min="7" max="7" width="15.28515625" style="218" customWidth="1"/>
    <col min="8" max="8" width="11.28515625" style="218" customWidth="1" outlineLevel="1"/>
    <col min="9" max="9" width="24.28515625" style="218" customWidth="1" outlineLevel="1"/>
    <col min="10" max="10" width="17.7109375" style="218" customWidth="1" outlineLevel="1"/>
    <col min="11" max="11" width="21.28515625" style="218" customWidth="1" outlineLevel="1"/>
    <col min="12" max="12" width="29.28515625" style="218" customWidth="1" outlineLevel="1"/>
    <col min="13" max="13" width="21.5703125" style="218" customWidth="1" outlineLevel="1"/>
    <col min="14" max="14" width="23" style="218" customWidth="1" outlineLevel="1"/>
    <col min="15" max="15" width="34.7109375" style="218" customWidth="1" outlineLevel="1"/>
    <col min="16" max="16" width="37.28515625" style="218" customWidth="1" outlineLevel="1"/>
    <col min="17" max="17" width="30.5703125" style="218" bestFit="1" customWidth="1"/>
    <col min="18" max="18" width="31.42578125" style="218" bestFit="1" customWidth="1"/>
    <col min="19" max="19" width="32.85546875" style="218" bestFit="1" customWidth="1"/>
    <col min="20" max="20" width="49.42578125" style="218" customWidth="1"/>
    <col min="21" max="21" width="34.5703125" style="218" bestFit="1" customWidth="1"/>
    <col min="22" max="22" width="15.28515625" style="218" customWidth="1"/>
    <col min="23" max="23" width="27.42578125" style="218" bestFit="1" customWidth="1"/>
    <col min="24" max="24" width="34.28515625" style="218" customWidth="1"/>
    <col min="25" max="25" width="22.42578125" style="218" hidden="1" customWidth="1"/>
    <col min="26" max="26" width="23.28515625" style="218" hidden="1" customWidth="1"/>
    <col min="27" max="27" width="13.42578125" style="218" hidden="1" customWidth="1"/>
    <col min="28" max="28" width="33.42578125" style="218" customWidth="1"/>
    <col min="29" max="29" width="16.42578125" style="218" hidden="1" customWidth="1"/>
    <col min="30" max="30" width="31.42578125" style="218" bestFit="1" customWidth="1"/>
    <col min="31" max="31" width="37.28515625" style="218" customWidth="1"/>
    <col min="32" max="32" width="35.7109375" style="218" customWidth="1"/>
    <col min="33" max="34" width="21.28515625" style="218" customWidth="1"/>
    <col min="35" max="35" width="32.28515625" style="218" bestFit="1" customWidth="1"/>
    <col min="36" max="36" width="35.7109375" style="218" customWidth="1"/>
    <col min="37" max="37" width="18.5703125" style="218" bestFit="1" customWidth="1"/>
    <col min="38" max="38" width="27.42578125" style="218" bestFit="1" customWidth="1"/>
    <col min="39" max="39" width="27.42578125" style="218" customWidth="1"/>
    <col min="40" max="40" width="36.28515625" style="218" customWidth="1"/>
    <col min="41" max="41" width="42.42578125" style="218" customWidth="1"/>
    <col min="42" max="42" width="30.5703125" style="218" bestFit="1" customWidth="1"/>
    <col min="43" max="43" width="31.5703125" style="218" bestFit="1" customWidth="1"/>
    <col min="44" max="44" width="15.28515625" style="218"/>
    <col min="45" max="45" width="38.5703125" style="218" bestFit="1" customWidth="1"/>
    <col min="46" max="46" width="44" style="218" customWidth="1"/>
    <col min="47" max="16384" width="15.28515625" style="218"/>
  </cols>
  <sheetData>
    <row r="1" spans="1:47" ht="81">
      <c r="A1" s="214" t="s">
        <v>0</v>
      </c>
      <c r="B1" s="215" t="s">
        <v>14</v>
      </c>
      <c r="C1" s="215" t="s">
        <v>161</v>
      </c>
      <c r="D1" s="215" t="s">
        <v>15</v>
      </c>
      <c r="E1" s="215" t="s">
        <v>162</v>
      </c>
      <c r="F1" s="215" t="s">
        <v>163</v>
      </c>
      <c r="G1" s="215" t="s">
        <v>164</v>
      </c>
      <c r="H1" s="215" t="s">
        <v>165</v>
      </c>
      <c r="I1" s="215" t="s">
        <v>166</v>
      </c>
      <c r="J1" s="215" t="s">
        <v>167</v>
      </c>
      <c r="K1" s="215" t="s">
        <v>168</v>
      </c>
      <c r="L1" s="215" t="s">
        <v>169</v>
      </c>
      <c r="M1" s="215" t="s">
        <v>170</v>
      </c>
      <c r="N1" s="215" t="s">
        <v>171</v>
      </c>
      <c r="O1" s="215" t="s">
        <v>172</v>
      </c>
      <c r="P1" s="215" t="s">
        <v>173</v>
      </c>
      <c r="Q1" s="215" t="s">
        <v>174</v>
      </c>
      <c r="R1" s="215" t="s">
        <v>175</v>
      </c>
      <c r="S1" s="215" t="s">
        <v>176</v>
      </c>
      <c r="T1" s="215" t="s">
        <v>177</v>
      </c>
      <c r="U1" s="215" t="s">
        <v>178</v>
      </c>
      <c r="V1" s="215" t="s">
        <v>6</v>
      </c>
      <c r="W1" s="215" t="s">
        <v>179</v>
      </c>
      <c r="X1" s="215" t="s">
        <v>180</v>
      </c>
      <c r="Y1" s="216" t="s">
        <v>181</v>
      </c>
      <c r="Z1" s="216" t="s">
        <v>182</v>
      </c>
      <c r="AA1" s="216" t="s">
        <v>183</v>
      </c>
      <c r="AB1" s="216" t="s">
        <v>184</v>
      </c>
      <c r="AC1" s="216" t="s">
        <v>185</v>
      </c>
      <c r="AD1" s="216" t="s">
        <v>3</v>
      </c>
      <c r="AE1" s="216" t="s">
        <v>186</v>
      </c>
      <c r="AF1" s="216" t="s">
        <v>187</v>
      </c>
      <c r="AG1" s="216" t="s">
        <v>521</v>
      </c>
      <c r="AH1" s="215" t="s">
        <v>355</v>
      </c>
      <c r="AI1" s="216" t="s">
        <v>363</v>
      </c>
      <c r="AJ1" s="216" t="s">
        <v>364</v>
      </c>
      <c r="AK1" s="217"/>
      <c r="AL1" s="218" t="s">
        <v>38</v>
      </c>
      <c r="AM1" s="218" t="s">
        <v>188</v>
      </c>
      <c r="AN1" s="218" t="s">
        <v>189</v>
      </c>
      <c r="AO1" s="216" t="s">
        <v>190</v>
      </c>
      <c r="AP1" s="216" t="s">
        <v>191</v>
      </c>
      <c r="AQ1" s="218" t="s">
        <v>192</v>
      </c>
      <c r="AR1" s="218" t="s">
        <v>193</v>
      </c>
      <c r="AT1" s="218" t="s">
        <v>192</v>
      </c>
      <c r="AU1" s="218" t="s">
        <v>193</v>
      </c>
    </row>
    <row r="2" spans="1:47">
      <c r="A2" s="219">
        <f t="shared" ref="A2:A9" si="0">IF(C2="","",YEAR(C2))</f>
        <v>2025</v>
      </c>
      <c r="B2" s="220">
        <v>603</v>
      </c>
      <c r="C2" s="221">
        <v>45700</v>
      </c>
      <c r="D2" s="222" t="s">
        <v>42</v>
      </c>
      <c r="E2" s="223" t="s">
        <v>194</v>
      </c>
      <c r="F2" s="224" t="s">
        <v>211</v>
      </c>
      <c r="G2" s="225" t="str">
        <f>+_xlfn.XLOOKUP(F2,Emisiones[Mnemotécnico SEN],Emisiones[Moneda],"",0,1)</f>
        <v>COP</v>
      </c>
      <c r="H2" s="225"/>
      <c r="I2" s="226"/>
      <c r="J2" s="226">
        <f>+_xlfn.XLOOKUP(F2,Emisiones[Mnemotécnico SEN],Emisiones[Fecha Vencim.],"",0,1)</f>
        <v>46260</v>
      </c>
      <c r="K2" s="224">
        <f>+_xlfn.XLOOKUP(F2,Emisiones[Mnemotécnico SEN],Emisiones[Tasa de Interés],"",0,1)</f>
        <v>7.5</v>
      </c>
      <c r="L2" s="227">
        <v>8.7550000000000008</v>
      </c>
      <c r="M2" s="227">
        <v>101.68300000000001</v>
      </c>
      <c r="N2" s="227">
        <f t="shared" ref="N2:N9" si="1">IF(C2="","",PRICE(C2,J2,K2%,L2%,100,1,3))</f>
        <v>98.189861841595345</v>
      </c>
      <c r="O2" s="227">
        <f t="shared" ref="O2:O9" si="2">IF(C2="","",M2-N2)</f>
        <v>3.4931381584046619</v>
      </c>
      <c r="P2" s="227">
        <f t="shared" ref="P2:P9" si="3">IF(C2="","",100*K2%-O2)</f>
        <v>4.0068618415953381</v>
      </c>
      <c r="Q2" s="228">
        <f t="shared" ref="Q2:Q9" si="4">IF(C2="","",IF(G2="UVR",S2/V2,S2))</f>
        <v>-85000000000</v>
      </c>
      <c r="R2" s="228">
        <f>IF(C2="","",IF('Canjes desagregado'!$G2="UVR",'Canjes desagregado'!$V2*Q2*M2%,Q2*M2%))</f>
        <v>-86430550000.000015</v>
      </c>
      <c r="S2" s="228">
        <v>-85000000000</v>
      </c>
      <c r="T2" s="228">
        <f t="shared" ref="T2:T9" si="5">IFERROR(IF(RIGHT(F2,2)=RIGHT(YEAR(J2),2),1,0),"")</f>
        <v>1</v>
      </c>
      <c r="U2" s="228">
        <f t="shared" ref="U2:U9" si="6">+IF(R2="","",R2)</f>
        <v>-86430550000.000015</v>
      </c>
      <c r="V2" s="229">
        <f>+IF(F2&lt;&gt;"",(_xlfn.XLOOKUP(C2,UVR[Fecha (dd/mm/aaaa)],UVR[Pesos colombianos por UVR],"",0,1)),"")</f>
        <v>378.83530000000002</v>
      </c>
      <c r="W2" s="228">
        <f t="shared" ref="W2:W9" si="7">IF(C2="","",IF(CONCATENATE(DAY(C2),"/",MONTH(C2),"/",2000)-CONCATENATE(DAY(J2),"/",MONTH(J2),"/",2000)&lt;0,K2%*ABS(S2),0))</f>
        <v>6375000000</v>
      </c>
      <c r="X2" s="228">
        <f t="shared" ref="X2:X9" si="8">IF(S2&lt;0,-W2,W2)</f>
        <v>-6375000000</v>
      </c>
      <c r="Y2" s="230"/>
      <c r="Z2" s="230"/>
      <c r="AA2" s="230"/>
      <c r="AB2" s="231">
        <f>IF(C2="","",ROUND(V2*(1+'Inflación observada '!$B$390%)^(("31-12-2025"-C2)/365),3))</f>
        <v>396.22800000000001</v>
      </c>
      <c r="AC2" s="230"/>
      <c r="AD2" s="232">
        <f t="shared" ref="AD2:AD9" si="9">IF(C2="","",IF(G2="UVR",Q2*AB2-S2,0))</f>
        <v>0</v>
      </c>
      <c r="AE2" s="233">
        <f t="shared" ref="AE2:AE9" si="10">IF(C2="","",P2/+(O2+P2))</f>
        <v>0.53424824554604511</v>
      </c>
      <c r="AF2" s="228">
        <f t="shared" ref="AF2:AF9" si="11">IF(C2="","",AE2*Q2*K2%)</f>
        <v>-3405832565.3560376</v>
      </c>
      <c r="AG2" s="232">
        <f ca="1">(Tabla6[[#This Row],[Fecha Vto]]-TODAY())/365</f>
        <v>0.70410958904109588</v>
      </c>
      <c r="AH2" s="234"/>
      <c r="AI2" s="235"/>
      <c r="AJ2" s="236">
        <f t="shared" ref="AJ2:AJ33" si="12">IF(C2="","",IF(G2="UVR",Q2*AI2-S2,0))</f>
        <v>0</v>
      </c>
    </row>
    <row r="3" spans="1:47">
      <c r="A3" s="219">
        <f t="shared" si="0"/>
        <v>2025</v>
      </c>
      <c r="B3" s="220">
        <v>603</v>
      </c>
      <c r="C3" s="221">
        <v>45700</v>
      </c>
      <c r="D3" s="237" t="s">
        <v>42</v>
      </c>
      <c r="E3" s="238" t="s">
        <v>195</v>
      </c>
      <c r="F3" s="224" t="s">
        <v>360</v>
      </c>
      <c r="G3" s="225" t="str">
        <f>+_xlfn.XLOOKUP(F3,Emisiones[Mnemotécnico SEN],Emisiones[Moneda],"",0,1)</f>
        <v>COP</v>
      </c>
      <c r="H3" s="225"/>
      <c r="I3" s="226"/>
      <c r="J3" s="226">
        <f>+_xlfn.XLOOKUP(F3,Emisiones[Mnemotécnico SEN],Emisiones[Fecha Vencim.],"",0,1)</f>
        <v>53533</v>
      </c>
      <c r="K3" s="224">
        <f>+_xlfn.XLOOKUP(F3,Emisiones[Mnemotécnico SEN],Emisiones[Tasa de Interés],"",0,1)</f>
        <v>11.5</v>
      </c>
      <c r="L3" s="227">
        <v>12.548999999999999</v>
      </c>
      <c r="M3" s="227">
        <v>98.498999999999995</v>
      </c>
      <c r="N3" s="227">
        <f t="shared" si="1"/>
        <v>92.134778163497018</v>
      </c>
      <c r="O3" s="227">
        <f t="shared" si="2"/>
        <v>6.3642218365029777</v>
      </c>
      <c r="P3" s="227">
        <f t="shared" si="3"/>
        <v>5.1357781634970223</v>
      </c>
      <c r="Q3" s="228">
        <f t="shared" si="4"/>
        <v>85000000000</v>
      </c>
      <c r="R3" s="228">
        <f>IF(C3="","",IF('Canjes desagregado'!$G3="UVR",'Canjes desagregado'!$V3*Q3*M3%,Q3*M3%))</f>
        <v>83724150000</v>
      </c>
      <c r="S3" s="228">
        <v>85000000000</v>
      </c>
      <c r="T3" s="228">
        <f t="shared" si="5"/>
        <v>1</v>
      </c>
      <c r="U3" s="228">
        <f t="shared" si="6"/>
        <v>83724150000</v>
      </c>
      <c r="V3" s="229">
        <f>+IF(F3&lt;&gt;"",(_xlfn.XLOOKUP(C3,UVR[Fecha (dd/mm/aaaa)],UVR[Pesos colombianos por UVR],"",0,1)),"")</f>
        <v>378.83530000000002</v>
      </c>
      <c r="W3" s="228">
        <f t="shared" si="7"/>
        <v>9775000000</v>
      </c>
      <c r="X3" s="228">
        <f t="shared" si="8"/>
        <v>9775000000</v>
      </c>
      <c r="Y3" s="230"/>
      <c r="Z3" s="230"/>
      <c r="AA3" s="230"/>
      <c r="AB3" s="231">
        <f>IF(C3="","",ROUND(V3*(1+'Inflación observada '!$B$390%)^(("31-12-2025"-C3)/365),3))</f>
        <v>396.22800000000001</v>
      </c>
      <c r="AC3" s="230"/>
      <c r="AD3" s="232">
        <f t="shared" si="9"/>
        <v>0</v>
      </c>
      <c r="AE3" s="233">
        <f t="shared" si="10"/>
        <v>0.44658940552148019</v>
      </c>
      <c r="AF3" s="228">
        <f t="shared" si="11"/>
        <v>4365411438.9724684</v>
      </c>
      <c r="AG3" s="232">
        <f ca="1">(Tabla6[[#This Row],[Fecha Vto]]-TODAY())/365</f>
        <v>20.63013698630137</v>
      </c>
      <c r="AH3" s="234"/>
      <c r="AI3" s="235"/>
      <c r="AJ3" s="236">
        <f t="shared" si="12"/>
        <v>0</v>
      </c>
    </row>
    <row r="4" spans="1:47">
      <c r="A4" s="219">
        <f t="shared" si="0"/>
        <v>2025</v>
      </c>
      <c r="B4" s="220">
        <v>604</v>
      </c>
      <c r="C4" s="221">
        <v>45701</v>
      </c>
      <c r="D4" s="222" t="s">
        <v>42</v>
      </c>
      <c r="E4" s="223" t="s">
        <v>194</v>
      </c>
      <c r="F4" s="224" t="s">
        <v>211</v>
      </c>
      <c r="G4" s="225" t="str">
        <f>+_xlfn.XLOOKUP(F4,Emisiones[Mnemotécnico SEN],Emisiones[Moneda],"",0,1)</f>
        <v>COP</v>
      </c>
      <c r="H4" s="225"/>
      <c r="I4" s="226"/>
      <c r="J4" s="226">
        <f>+_xlfn.XLOOKUP(F4,Emisiones[Mnemotécnico SEN],Emisiones[Fecha Vencim.],"",0,1)</f>
        <v>46260</v>
      </c>
      <c r="K4" s="224">
        <f>+_xlfn.XLOOKUP(F4,Emisiones[Mnemotécnico SEN],Emisiones[Tasa de Interés],"",0,1)</f>
        <v>7.5</v>
      </c>
      <c r="L4" s="227">
        <v>8.7010000000000005</v>
      </c>
      <c r="M4" s="227">
        <v>101.78</v>
      </c>
      <c r="N4" s="227">
        <f t="shared" si="1"/>
        <v>98.26652317361058</v>
      </c>
      <c r="O4" s="227">
        <f t="shared" si="2"/>
        <v>3.5134768263894216</v>
      </c>
      <c r="P4" s="227">
        <f t="shared" si="3"/>
        <v>3.9865231736105784</v>
      </c>
      <c r="Q4" s="228">
        <f t="shared" si="4"/>
        <v>-435000000000</v>
      </c>
      <c r="R4" s="228">
        <f>IF(C4="","",IF('Canjes desagregado'!$G4="UVR",'Canjes desagregado'!$V4*Q4*M4%,Q4*M4%))</f>
        <v>-442743000000</v>
      </c>
      <c r="S4" s="228">
        <v>-435000000000</v>
      </c>
      <c r="T4" s="228">
        <f t="shared" si="5"/>
        <v>1</v>
      </c>
      <c r="U4" s="228">
        <f t="shared" si="6"/>
        <v>-442743000000</v>
      </c>
      <c r="V4" s="229">
        <f>+IF(F4&lt;&gt;"",(_xlfn.XLOOKUP(C4,UVR[Fecha (dd/mm/aaaa)],UVR[Pesos colombianos por UVR],"",0,1)),"")</f>
        <v>378.89139999999998</v>
      </c>
      <c r="W4" s="228">
        <f t="shared" si="7"/>
        <v>32625000000</v>
      </c>
      <c r="X4" s="228">
        <f t="shared" si="8"/>
        <v>-32625000000</v>
      </c>
      <c r="Y4" s="230"/>
      <c r="Z4" s="230"/>
      <c r="AA4" s="230"/>
      <c r="AB4" s="231">
        <f>IF(C4="","",ROUND(V4*(1+'Inflación observada '!$B$390%)^(("31-12-2025"-C4)/365),3))</f>
        <v>396.23200000000003</v>
      </c>
      <c r="AC4" s="230"/>
      <c r="AD4" s="232">
        <f t="shared" si="9"/>
        <v>0</v>
      </c>
      <c r="AE4" s="233">
        <f t="shared" si="10"/>
        <v>0.53153642314807714</v>
      </c>
      <c r="AF4" s="228">
        <f t="shared" si="11"/>
        <v>-17341375805.206017</v>
      </c>
      <c r="AG4" s="232">
        <f ca="1">(Tabla6[[#This Row],[Fecha Vto]]-TODAY())/365</f>
        <v>0.70410958904109588</v>
      </c>
      <c r="AH4" s="234"/>
      <c r="AI4" s="235"/>
      <c r="AJ4" s="236">
        <f t="shared" si="12"/>
        <v>0</v>
      </c>
    </row>
    <row r="5" spans="1:47">
      <c r="A5" s="219">
        <f t="shared" si="0"/>
        <v>2025</v>
      </c>
      <c r="B5" s="220">
        <v>604</v>
      </c>
      <c r="C5" s="221">
        <v>45701</v>
      </c>
      <c r="D5" s="237" t="s">
        <v>42</v>
      </c>
      <c r="E5" s="238" t="s">
        <v>195</v>
      </c>
      <c r="F5" s="224" t="s">
        <v>199</v>
      </c>
      <c r="G5" s="225" t="str">
        <f>+_xlfn.XLOOKUP(F5,Emisiones[Mnemotécnico SEN],Emisiones[Moneda],"",0,1)</f>
        <v>COP</v>
      </c>
      <c r="H5" s="225"/>
      <c r="I5" s="226"/>
      <c r="J5" s="226">
        <f>+_xlfn.XLOOKUP(F5,Emisiones[Mnemotécnico SEN],Emisiones[Fecha Vencim.],"",0,1)</f>
        <v>47744</v>
      </c>
      <c r="K5" s="224">
        <f>+_xlfn.XLOOKUP(F5,Emisiones[Mnemotécnico SEN],Emisiones[Tasa de Interés],"",0,1)</f>
        <v>7.75</v>
      </c>
      <c r="L5" s="227">
        <v>10.872</v>
      </c>
      <c r="M5" s="227">
        <v>90.450999999999993</v>
      </c>
      <c r="N5" s="227">
        <f t="shared" si="1"/>
        <v>87.308013264663686</v>
      </c>
      <c r="O5" s="227">
        <f t="shared" si="2"/>
        <v>3.1429867353363079</v>
      </c>
      <c r="P5" s="227">
        <f t="shared" si="3"/>
        <v>4.6070132646636921</v>
      </c>
      <c r="Q5" s="228">
        <f t="shared" si="4"/>
        <v>65000000000</v>
      </c>
      <c r="R5" s="228">
        <f>IF(C5="","",IF('Canjes desagregado'!$G5="UVR",'Canjes desagregado'!$V5*Q5*M5%,Q5*M5%))</f>
        <v>58793149999.999992</v>
      </c>
      <c r="S5" s="228">
        <v>65000000000</v>
      </c>
      <c r="T5" s="228">
        <f t="shared" si="5"/>
        <v>1</v>
      </c>
      <c r="U5" s="228">
        <f t="shared" si="6"/>
        <v>58793149999.999992</v>
      </c>
      <c r="V5" s="229">
        <f>+IF(F5&lt;&gt;"",(_xlfn.XLOOKUP(C5,UVR[Fecha (dd/mm/aaaa)],UVR[Pesos colombianos por UVR],"",0,1)),"")</f>
        <v>378.89139999999998</v>
      </c>
      <c r="W5" s="228">
        <f t="shared" si="7"/>
        <v>5037500000</v>
      </c>
      <c r="X5" s="228">
        <f t="shared" si="8"/>
        <v>5037500000</v>
      </c>
      <c r="Y5" s="230"/>
      <c r="Z5" s="230"/>
      <c r="AA5" s="230"/>
      <c r="AB5" s="231">
        <f>IF(C5="","",ROUND(V5*(1+'Inflación observada '!$B$390%)^(("31-12-2025"-C5)/365),3))</f>
        <v>396.23200000000003</v>
      </c>
      <c r="AC5" s="230"/>
      <c r="AD5" s="232">
        <f t="shared" si="9"/>
        <v>0</v>
      </c>
      <c r="AE5" s="233">
        <f t="shared" si="10"/>
        <v>0.59445332447273447</v>
      </c>
      <c r="AF5" s="228">
        <f t="shared" si="11"/>
        <v>2994558622.0313997</v>
      </c>
      <c r="AG5" s="232">
        <f ca="1">(Tabla6[[#This Row],[Fecha Vto]]-TODAY())/365</f>
        <v>4.7698630136986298</v>
      </c>
      <c r="AH5" s="234"/>
      <c r="AI5" s="235"/>
      <c r="AJ5" s="236">
        <f t="shared" si="12"/>
        <v>0</v>
      </c>
    </row>
    <row r="6" spans="1:47">
      <c r="A6" s="219">
        <f t="shared" si="0"/>
        <v>2025</v>
      </c>
      <c r="B6" s="220">
        <v>604</v>
      </c>
      <c r="C6" s="221">
        <v>45701</v>
      </c>
      <c r="D6" s="237" t="s">
        <v>42</v>
      </c>
      <c r="E6" s="238" t="s">
        <v>195</v>
      </c>
      <c r="F6" s="224" t="s">
        <v>360</v>
      </c>
      <c r="G6" s="225" t="str">
        <f>+_xlfn.XLOOKUP(F6,Emisiones[Mnemotécnico SEN],Emisiones[Moneda],"",0,1)</f>
        <v>COP</v>
      </c>
      <c r="H6" s="225"/>
      <c r="I6" s="226"/>
      <c r="J6" s="226">
        <f>+_xlfn.XLOOKUP(F6,Emisiones[Mnemotécnico SEN],Emisiones[Fecha Vencim.],"",0,1)</f>
        <v>53533</v>
      </c>
      <c r="K6" s="224">
        <f>+_xlfn.XLOOKUP(F6,Emisiones[Mnemotécnico SEN],Emisiones[Tasa de Interés],"",0,1)</f>
        <v>11.5</v>
      </c>
      <c r="L6" s="227">
        <v>12.569000000000001</v>
      </c>
      <c r="M6" s="227">
        <v>98.394000000000005</v>
      </c>
      <c r="N6" s="227">
        <f t="shared" si="1"/>
        <v>91.99809936659976</v>
      </c>
      <c r="O6" s="227">
        <f t="shared" si="2"/>
        <v>6.3959006334002453</v>
      </c>
      <c r="P6" s="227">
        <f t="shared" si="3"/>
        <v>5.1040993665997547</v>
      </c>
      <c r="Q6" s="228">
        <f t="shared" si="4"/>
        <v>370000000000</v>
      </c>
      <c r="R6" s="228">
        <f>IF(C6="","",IF('Canjes desagregado'!$G6="UVR",'Canjes desagregado'!$V6*Q6*M6%,Q6*M6%))</f>
        <v>364057800000</v>
      </c>
      <c r="S6" s="228">
        <v>370000000000</v>
      </c>
      <c r="T6" s="228">
        <f t="shared" si="5"/>
        <v>1</v>
      </c>
      <c r="U6" s="228">
        <f t="shared" si="6"/>
        <v>364057800000</v>
      </c>
      <c r="V6" s="229">
        <f>+IF(F6&lt;&gt;"",(_xlfn.XLOOKUP(C6,UVR[Fecha (dd/mm/aaaa)],UVR[Pesos colombianos por UVR],"",0,1)),"")</f>
        <v>378.89139999999998</v>
      </c>
      <c r="W6" s="228">
        <f t="shared" si="7"/>
        <v>42550000000</v>
      </c>
      <c r="X6" s="228">
        <f t="shared" si="8"/>
        <v>42550000000</v>
      </c>
      <c r="Y6" s="230"/>
      <c r="Z6" s="230"/>
      <c r="AA6" s="230"/>
      <c r="AB6" s="231">
        <f>IF(C6="","",ROUND(V6*(1+'Inflación observada '!$B$390%)^(("31-12-2025"-C6)/365),3))</f>
        <v>396.23200000000003</v>
      </c>
      <c r="AC6" s="230"/>
      <c r="AD6" s="232">
        <f t="shared" si="9"/>
        <v>0</v>
      </c>
      <c r="AE6" s="233">
        <f t="shared" si="10"/>
        <v>0.44383472753041348</v>
      </c>
      <c r="AF6" s="228">
        <f t="shared" si="11"/>
        <v>18885167656.419094</v>
      </c>
      <c r="AG6" s="232">
        <f ca="1">(Tabla6[[#This Row],[Fecha Vto]]-TODAY())/365</f>
        <v>20.63013698630137</v>
      </c>
      <c r="AH6" s="234"/>
      <c r="AI6" s="235"/>
      <c r="AJ6" s="236">
        <f t="shared" si="12"/>
        <v>0</v>
      </c>
    </row>
    <row r="7" spans="1:47">
      <c r="A7" s="219">
        <f t="shared" si="0"/>
        <v>2025</v>
      </c>
      <c r="B7" s="220">
        <v>605</v>
      </c>
      <c r="C7" s="221">
        <v>45702</v>
      </c>
      <c r="D7" s="222" t="s">
        <v>42</v>
      </c>
      <c r="E7" s="223" t="s">
        <v>194</v>
      </c>
      <c r="F7" s="224" t="s">
        <v>211</v>
      </c>
      <c r="G7" s="225" t="str">
        <f>+_xlfn.XLOOKUP(F7,Emisiones[Mnemotécnico SEN],Emisiones[Moneda],"",0,1)</f>
        <v>COP</v>
      </c>
      <c r="H7" s="225"/>
      <c r="I7" s="226"/>
      <c r="J7" s="226">
        <f>+_xlfn.XLOOKUP(F7,Emisiones[Mnemotécnico SEN],Emisiones[Fecha Vencim.],"",0,1)</f>
        <v>46260</v>
      </c>
      <c r="K7" s="224">
        <f>+_xlfn.XLOOKUP(F7,Emisiones[Mnemotécnico SEN],Emisiones[Tasa de Interés],"",0,1)</f>
        <v>7.5</v>
      </c>
      <c r="L7" s="227">
        <v>8.7509999999999994</v>
      </c>
      <c r="M7" s="227">
        <v>101.735</v>
      </c>
      <c r="N7" s="227">
        <f t="shared" si="1"/>
        <v>98.200994763292044</v>
      </c>
      <c r="O7" s="227">
        <f t="shared" si="2"/>
        <v>3.5340052367079551</v>
      </c>
      <c r="P7" s="227">
        <f t="shared" si="3"/>
        <v>3.9659947632920449</v>
      </c>
      <c r="Q7" s="228">
        <f t="shared" si="4"/>
        <v>-85000000000</v>
      </c>
      <c r="R7" s="228">
        <f>IF(C7="","",IF('Canjes desagregado'!$G7="UVR",'Canjes desagregado'!$V7*Q7*M7%,Q7*M7%))</f>
        <v>-86474750000</v>
      </c>
      <c r="S7" s="228">
        <v>-85000000000</v>
      </c>
      <c r="T7" s="228">
        <f t="shared" si="5"/>
        <v>1</v>
      </c>
      <c r="U7" s="228">
        <f t="shared" si="6"/>
        <v>-86474750000</v>
      </c>
      <c r="V7" s="229">
        <f>+IF(F7&lt;&gt;"",(_xlfn.XLOOKUP(C7,UVR[Fecha (dd/mm/aaaa)],UVR[Pesos colombianos por UVR],"",0,1)),"")</f>
        <v>378.94749999999999</v>
      </c>
      <c r="W7" s="228">
        <f t="shared" si="7"/>
        <v>6375000000</v>
      </c>
      <c r="X7" s="228">
        <f t="shared" si="8"/>
        <v>-6375000000</v>
      </c>
      <c r="Y7" s="230"/>
      <c r="Z7" s="230"/>
      <c r="AA7" s="230"/>
      <c r="AB7" s="231">
        <f>IF(C7="","",ROUND(V7*(1+'Inflación observada '!$B$390%)^(("31-12-2025"-C7)/365),3))</f>
        <v>396.23500000000001</v>
      </c>
      <c r="AC7" s="230"/>
      <c r="AD7" s="232">
        <f t="shared" si="9"/>
        <v>0</v>
      </c>
      <c r="AE7" s="233">
        <f t="shared" si="10"/>
        <v>0.52879930177227263</v>
      </c>
      <c r="AF7" s="228">
        <f t="shared" si="11"/>
        <v>-3371095548.7982378</v>
      </c>
      <c r="AG7" s="232">
        <f ca="1">(Tabla6[[#This Row],[Fecha Vto]]-TODAY())/365</f>
        <v>0.70410958904109588</v>
      </c>
      <c r="AH7" s="234"/>
      <c r="AI7" s="235"/>
      <c r="AJ7" s="236">
        <f t="shared" si="12"/>
        <v>0</v>
      </c>
    </row>
    <row r="8" spans="1:47">
      <c r="A8" s="219">
        <f t="shared" si="0"/>
        <v>2025</v>
      </c>
      <c r="B8" s="220">
        <v>605</v>
      </c>
      <c r="C8" s="221">
        <v>45702</v>
      </c>
      <c r="D8" s="237" t="s">
        <v>42</v>
      </c>
      <c r="E8" s="238" t="s">
        <v>195</v>
      </c>
      <c r="F8" s="224" t="s">
        <v>199</v>
      </c>
      <c r="G8" s="225" t="str">
        <f>+_xlfn.XLOOKUP(F8,Emisiones[Mnemotécnico SEN],Emisiones[Moneda],"",0,1)</f>
        <v>COP</v>
      </c>
      <c r="H8" s="225"/>
      <c r="I8" s="226"/>
      <c r="J8" s="226">
        <f>+_xlfn.XLOOKUP(F8,Emisiones[Mnemotécnico SEN],Emisiones[Fecha Vencim.],"",0,1)</f>
        <v>47744</v>
      </c>
      <c r="K8" s="224">
        <f>+_xlfn.XLOOKUP(F8,Emisiones[Mnemotécnico SEN],Emisiones[Tasa de Interés],"",0,1)</f>
        <v>7.75</v>
      </c>
      <c r="L8" s="227">
        <v>10.784000000000001</v>
      </c>
      <c r="M8" s="227">
        <v>90.802000000000007</v>
      </c>
      <c r="N8" s="227">
        <f t="shared" si="1"/>
        <v>87.638457651418022</v>
      </c>
      <c r="O8" s="227">
        <f t="shared" si="2"/>
        <v>3.1635423485819842</v>
      </c>
      <c r="P8" s="227">
        <f t="shared" si="3"/>
        <v>4.5864576514180158</v>
      </c>
      <c r="Q8" s="228">
        <f t="shared" si="4"/>
        <v>15000000000</v>
      </c>
      <c r="R8" s="228">
        <f>IF(C8="","",IF('Canjes desagregado'!$G8="UVR",'Canjes desagregado'!$V8*Q8*M8%,Q8*M8%))</f>
        <v>13620300000</v>
      </c>
      <c r="S8" s="228">
        <v>15000000000</v>
      </c>
      <c r="T8" s="228">
        <f t="shared" si="5"/>
        <v>1</v>
      </c>
      <c r="U8" s="228">
        <f t="shared" si="6"/>
        <v>13620300000</v>
      </c>
      <c r="V8" s="229">
        <f>+IF(F8&lt;&gt;"",(_xlfn.XLOOKUP(C8,UVR[Fecha (dd/mm/aaaa)],UVR[Pesos colombianos por UVR],"",0,1)),"")</f>
        <v>378.94749999999999</v>
      </c>
      <c r="W8" s="228">
        <f t="shared" si="7"/>
        <v>1162500000</v>
      </c>
      <c r="X8" s="228">
        <f t="shared" si="8"/>
        <v>1162500000</v>
      </c>
      <c r="Y8" s="230"/>
      <c r="Z8" s="230"/>
      <c r="AA8" s="230"/>
      <c r="AB8" s="231">
        <f>IF(C8="","",ROUND(V8*(1+'Inflación observada '!$B$390%)^(("31-12-2025"-C8)/365),3))</f>
        <v>396.23500000000001</v>
      </c>
      <c r="AC8" s="230"/>
      <c r="AD8" s="232">
        <f t="shared" si="9"/>
        <v>0</v>
      </c>
      <c r="AE8" s="233">
        <f t="shared" si="10"/>
        <v>0.59180098727974395</v>
      </c>
      <c r="AF8" s="228">
        <f t="shared" si="11"/>
        <v>687968647.71270239</v>
      </c>
      <c r="AG8" s="232">
        <f ca="1">(Tabla6[[#This Row],[Fecha Vto]]-TODAY())/365</f>
        <v>4.7698630136986298</v>
      </c>
      <c r="AH8" s="234"/>
      <c r="AI8" s="235"/>
      <c r="AJ8" s="236">
        <f t="shared" si="12"/>
        <v>0</v>
      </c>
    </row>
    <row r="9" spans="1:47">
      <c r="A9" s="219">
        <f t="shared" si="0"/>
        <v>2025</v>
      </c>
      <c r="B9" s="220">
        <v>605</v>
      </c>
      <c r="C9" s="221">
        <v>45702</v>
      </c>
      <c r="D9" s="237" t="s">
        <v>42</v>
      </c>
      <c r="E9" s="238" t="s">
        <v>195</v>
      </c>
      <c r="F9" s="224" t="s">
        <v>360</v>
      </c>
      <c r="G9" s="225" t="str">
        <f>+_xlfn.XLOOKUP(F9,Emisiones[Mnemotécnico SEN],Emisiones[Moneda],"",0,1)</f>
        <v>COP</v>
      </c>
      <c r="H9" s="225"/>
      <c r="I9" s="226"/>
      <c r="J9" s="226">
        <f>+_xlfn.XLOOKUP(F9,Emisiones[Mnemotécnico SEN],Emisiones[Fecha Vencim.],"",0,1)</f>
        <v>53533</v>
      </c>
      <c r="K9" s="224">
        <f>+_xlfn.XLOOKUP(F9,Emisiones[Mnemotécnico SEN],Emisiones[Tasa de Interés],"",0,1)</f>
        <v>11.5</v>
      </c>
      <c r="L9" s="227">
        <v>12.52</v>
      </c>
      <c r="M9" s="227">
        <v>98.763000000000005</v>
      </c>
      <c r="N9" s="227">
        <f t="shared" si="1"/>
        <v>92.334973483692721</v>
      </c>
      <c r="O9" s="227">
        <f t="shared" si="2"/>
        <v>6.4280265163072841</v>
      </c>
      <c r="P9" s="227">
        <f t="shared" si="3"/>
        <v>5.0719734836927159</v>
      </c>
      <c r="Q9" s="228">
        <f t="shared" si="4"/>
        <v>70000000000</v>
      </c>
      <c r="R9" s="228">
        <f>IF(C9="","",IF('Canjes desagregado'!$G9="UVR",'Canjes desagregado'!$V9*Q9*M9%,Q9*M9%))</f>
        <v>69134100000</v>
      </c>
      <c r="S9" s="228">
        <v>70000000000</v>
      </c>
      <c r="T9" s="228">
        <f t="shared" si="5"/>
        <v>1</v>
      </c>
      <c r="U9" s="228">
        <f t="shared" si="6"/>
        <v>69134100000</v>
      </c>
      <c r="V9" s="229">
        <f>+IF(F9&lt;&gt;"",(_xlfn.XLOOKUP(C9,UVR[Fecha (dd/mm/aaaa)],UVR[Pesos colombianos por UVR],"",0,1)),"")</f>
        <v>378.94749999999999</v>
      </c>
      <c r="W9" s="228">
        <f t="shared" si="7"/>
        <v>8050000000</v>
      </c>
      <c r="X9" s="228">
        <f t="shared" si="8"/>
        <v>8050000000</v>
      </c>
      <c r="Y9" s="230"/>
      <c r="Z9" s="230"/>
      <c r="AA9" s="230"/>
      <c r="AB9" s="231">
        <f>IF(C9="","",ROUND(V9*(1+'Inflación observada '!$B$390%)^(("31-12-2025"-C9)/365),3))</f>
        <v>396.23500000000001</v>
      </c>
      <c r="AC9" s="230"/>
      <c r="AD9" s="232">
        <f t="shared" si="9"/>
        <v>0</v>
      </c>
      <c r="AE9" s="233">
        <f t="shared" si="10"/>
        <v>0.44104117249501879</v>
      </c>
      <c r="AF9" s="228">
        <f t="shared" si="11"/>
        <v>3550381438.5849013</v>
      </c>
      <c r="AG9" s="232">
        <f ca="1">(Tabla6[[#This Row],[Fecha Vto]]-TODAY())/365</f>
        <v>20.63013698630137</v>
      </c>
      <c r="AH9" s="234"/>
      <c r="AI9" s="235"/>
      <c r="AJ9" s="236">
        <f t="shared" si="12"/>
        <v>0</v>
      </c>
    </row>
    <row r="10" spans="1:47">
      <c r="A10" s="219">
        <f t="shared" ref="A10:A15" si="13">IF(C10="","",YEAR(C10))</f>
        <v>2025</v>
      </c>
      <c r="B10" s="220">
        <v>606</v>
      </c>
      <c r="C10" s="221">
        <v>45706</v>
      </c>
      <c r="D10" s="222" t="s">
        <v>42</v>
      </c>
      <c r="E10" s="223" t="s">
        <v>194</v>
      </c>
      <c r="F10" s="224" t="s">
        <v>211</v>
      </c>
      <c r="G10" s="225" t="str">
        <f>+_xlfn.XLOOKUP(F10,Emisiones[Mnemotécnico SEN],Emisiones[Moneda],"",0,1)</f>
        <v>COP</v>
      </c>
      <c r="H10" s="225"/>
      <c r="I10" s="226"/>
      <c r="J10" s="226">
        <f>+_xlfn.XLOOKUP(F10,Emisiones[Mnemotécnico SEN],Emisiones[Fecha Vencim.],"",0,1)</f>
        <v>46260</v>
      </c>
      <c r="K10" s="224">
        <f>+_xlfn.XLOOKUP(F10,Emisiones[Mnemotécnico SEN],Emisiones[Tasa de Interés],"",0,1)</f>
        <v>7.5</v>
      </c>
      <c r="L10" s="227">
        <v>8.8000000000000007</v>
      </c>
      <c r="M10" s="227">
        <v>101.762</v>
      </c>
      <c r="N10" s="227">
        <f t="shared" ref="N10:N15" si="14">IF(C10="","",PRICE(C10,J10,K10%,L10%,100,1,3))</f>
        <v>98.14601051046256</v>
      </c>
      <c r="O10" s="227">
        <f t="shared" ref="O10:O15" si="15">IF(C10="","",M10-N10)</f>
        <v>3.6159894895374407</v>
      </c>
      <c r="P10" s="227">
        <f t="shared" ref="P10:P15" si="16">IF(C10="","",100*K10%-O10)</f>
        <v>3.8840105104625593</v>
      </c>
      <c r="Q10" s="228">
        <f t="shared" ref="Q10:Q15" si="17">IF(C10="","",IF(G10="UVR",S10/V10,S10))</f>
        <v>-594000000000</v>
      </c>
      <c r="R10" s="228">
        <f>IF(C10="","",IF('Canjes desagregado'!$G10="UVR",'Canjes desagregado'!$V10*Q10*M10%,Q10*M10%))</f>
        <v>-604466280000</v>
      </c>
      <c r="S10" s="228">
        <v>-594000000000</v>
      </c>
      <c r="T10" s="228">
        <f t="shared" ref="T10:T15" si="18">IFERROR(IF(RIGHT(F10,2)=RIGHT(YEAR(J10),2),1,0),"")</f>
        <v>1</v>
      </c>
      <c r="U10" s="228">
        <f t="shared" ref="U10:U15" si="19">+IF(R10="","",R10)</f>
        <v>-604466280000</v>
      </c>
      <c r="V10" s="229">
        <f>+IF(F10&lt;&gt;"",(_xlfn.XLOOKUP(C10,UVR[Fecha (dd/mm/aaaa)],UVR[Pesos colombianos por UVR],"",0,1)),"")</f>
        <v>379.38369999999998</v>
      </c>
      <c r="W10" s="228">
        <f t="shared" ref="W10:W15" si="20">IF(C10="","",IF(CONCATENATE(DAY(C10),"/",MONTH(C10),"/",2000)-CONCATENATE(DAY(J10),"/",MONTH(J10),"/",2000)&lt;0,K10%*ABS(S10),0))</f>
        <v>44550000000</v>
      </c>
      <c r="X10" s="228">
        <f t="shared" ref="X10:X15" si="21">IF(S10&lt;0,-W10,W10)</f>
        <v>-44550000000</v>
      </c>
      <c r="Y10" s="230"/>
      <c r="Z10" s="230"/>
      <c r="AA10" s="230"/>
      <c r="AB10" s="231">
        <f>IF(C10="","",ROUND(V10*(1+'Inflación observada '!$B$390%)^(("31-12-2025"-C10)/365),3))</f>
        <v>396.47</v>
      </c>
      <c r="AC10" s="230"/>
      <c r="AD10" s="232">
        <f t="shared" ref="AD10:AD15" si="22">IF(C10="","",IF(G10="UVR",Q10*AB10-S10,0))</f>
        <v>0</v>
      </c>
      <c r="AE10" s="233">
        <f t="shared" ref="AE10:AE15" si="23">IF(C10="","",P10/+(O10+P10))</f>
        <v>0.51786806806167462</v>
      </c>
      <c r="AF10" s="228">
        <f t="shared" ref="AF10:AF15" si="24">IF(C10="","",AE10*Q10*K10%)</f>
        <v>-23071022432.147602</v>
      </c>
      <c r="AG10" s="232">
        <f ca="1">(Tabla6[[#This Row],[Fecha Vto]]-TODAY())/365</f>
        <v>0.70410958904109588</v>
      </c>
      <c r="AH10" s="234"/>
      <c r="AI10" s="235"/>
      <c r="AJ10" s="236">
        <f t="shared" si="12"/>
        <v>0</v>
      </c>
    </row>
    <row r="11" spans="1:47">
      <c r="A11" s="219">
        <f t="shared" si="13"/>
        <v>2025</v>
      </c>
      <c r="B11" s="220">
        <v>606</v>
      </c>
      <c r="C11" s="221">
        <v>45706</v>
      </c>
      <c r="D11" s="237" t="s">
        <v>42</v>
      </c>
      <c r="E11" s="238" t="s">
        <v>195</v>
      </c>
      <c r="F11" s="224" t="s">
        <v>360</v>
      </c>
      <c r="G11" s="225" t="str">
        <f>+_xlfn.XLOOKUP(F11,Emisiones[Mnemotécnico SEN],Emisiones[Moneda],"",0,1)</f>
        <v>COP</v>
      </c>
      <c r="H11" s="225"/>
      <c r="I11" s="226"/>
      <c r="J11" s="226">
        <f>+_xlfn.XLOOKUP(F11,Emisiones[Mnemotécnico SEN],Emisiones[Fecha Vencim.],"",0,1)</f>
        <v>53533</v>
      </c>
      <c r="K11" s="224">
        <f>+_xlfn.XLOOKUP(F11,Emisiones[Mnemotécnico SEN],Emisiones[Tasa de Interés],"",0,1)</f>
        <v>11.5</v>
      </c>
      <c r="L11" s="227">
        <v>12.695</v>
      </c>
      <c r="M11" s="227">
        <v>97.697999999999993</v>
      </c>
      <c r="N11" s="227">
        <f t="shared" si="14"/>
        <v>91.144771505324258</v>
      </c>
      <c r="O11" s="227">
        <f t="shared" si="15"/>
        <v>6.5532284946757358</v>
      </c>
      <c r="P11" s="227">
        <f t="shared" si="16"/>
        <v>4.9467715053242642</v>
      </c>
      <c r="Q11" s="228">
        <f t="shared" si="17"/>
        <v>594000000000</v>
      </c>
      <c r="R11" s="228">
        <f>IF(C11="","",IF('Canjes desagregado'!$G11="UVR",'Canjes desagregado'!$V11*Q11*M11%,Q11*M11%))</f>
        <v>580326120000</v>
      </c>
      <c r="S11" s="228">
        <v>594000000000</v>
      </c>
      <c r="T11" s="228">
        <f t="shared" si="18"/>
        <v>1</v>
      </c>
      <c r="U11" s="228">
        <f t="shared" si="19"/>
        <v>580326120000</v>
      </c>
      <c r="V11" s="229">
        <f>+IF(F11&lt;&gt;"",(_xlfn.XLOOKUP(C11,UVR[Fecha (dd/mm/aaaa)],UVR[Pesos colombianos por UVR],"",0,1)),"")</f>
        <v>379.38369999999998</v>
      </c>
      <c r="W11" s="228">
        <f t="shared" si="20"/>
        <v>68310000000</v>
      </c>
      <c r="X11" s="228">
        <f t="shared" si="21"/>
        <v>68310000000</v>
      </c>
      <c r="Y11" s="230"/>
      <c r="Z11" s="230"/>
      <c r="AA11" s="230"/>
      <c r="AB11" s="231">
        <f>IF(C11="","",ROUND(V11*(1+'Inflación observada '!$B$390%)^(("31-12-2025"-C11)/365),3))</f>
        <v>396.47</v>
      </c>
      <c r="AC11" s="230"/>
      <c r="AD11" s="232">
        <f t="shared" si="22"/>
        <v>0</v>
      </c>
      <c r="AE11" s="233">
        <f t="shared" si="23"/>
        <v>0.43015404394124035</v>
      </c>
      <c r="AF11" s="228">
        <f t="shared" si="24"/>
        <v>29383822741.626129</v>
      </c>
      <c r="AG11" s="232">
        <f ca="1">(Tabla6[[#This Row],[Fecha Vto]]-TODAY())/365</f>
        <v>20.63013698630137</v>
      </c>
      <c r="AH11" s="234"/>
      <c r="AI11" s="235"/>
      <c r="AJ11" s="236">
        <f t="shared" si="12"/>
        <v>0</v>
      </c>
    </row>
    <row r="12" spans="1:47">
      <c r="A12" s="219">
        <f t="shared" si="13"/>
        <v>2025</v>
      </c>
      <c r="B12" s="220">
        <v>607</v>
      </c>
      <c r="C12" s="221">
        <v>45707</v>
      </c>
      <c r="D12" s="222" t="s">
        <v>42</v>
      </c>
      <c r="E12" s="223" t="s">
        <v>194</v>
      </c>
      <c r="F12" s="224" t="s">
        <v>211</v>
      </c>
      <c r="G12" s="225" t="str">
        <f>+_xlfn.XLOOKUP(F12,Emisiones[Mnemotécnico SEN],Emisiones[Moneda],"",0,1)</f>
        <v>COP</v>
      </c>
      <c r="H12" s="225"/>
      <c r="I12" s="226"/>
      <c r="J12" s="226">
        <f>+_xlfn.XLOOKUP(F12,Emisiones[Mnemotécnico SEN],Emisiones[Fecha Vencim.],"",0,1)</f>
        <v>46260</v>
      </c>
      <c r="K12" s="224">
        <f>+_xlfn.XLOOKUP(F12,Emisiones[Mnemotécnico SEN],Emisiones[Tasa de Interés],"",0,1)</f>
        <v>7.5</v>
      </c>
      <c r="L12" s="227">
        <v>8.8610000000000007</v>
      </c>
      <c r="M12" s="227">
        <v>101.70399999999999</v>
      </c>
      <c r="N12" s="227">
        <f t="shared" si="14"/>
        <v>98.066602234202477</v>
      </c>
      <c r="O12" s="227">
        <f t="shared" si="15"/>
        <v>3.6373977657975161</v>
      </c>
      <c r="P12" s="227">
        <f t="shared" si="16"/>
        <v>3.8626022342024839</v>
      </c>
      <c r="Q12" s="228">
        <f t="shared" si="17"/>
        <v>-456000000000</v>
      </c>
      <c r="R12" s="228">
        <f>IF(C12="","",IF('Canjes desagregado'!$G12="UVR",'Canjes desagregado'!$V12*Q12*M12%,Q12*M12%))</f>
        <v>-463770240000</v>
      </c>
      <c r="S12" s="228">
        <v>-456000000000</v>
      </c>
      <c r="T12" s="228">
        <f t="shared" si="18"/>
        <v>1</v>
      </c>
      <c r="U12" s="228">
        <f t="shared" si="19"/>
        <v>-463770240000</v>
      </c>
      <c r="V12" s="229">
        <f>+IF(F12&lt;&gt;"",(_xlfn.XLOOKUP(C12,UVR[Fecha (dd/mm/aaaa)],UVR[Pesos colombianos por UVR],"",0,1)),"")</f>
        <v>379.51049999999998</v>
      </c>
      <c r="W12" s="228">
        <f t="shared" si="20"/>
        <v>34200000000</v>
      </c>
      <c r="X12" s="228">
        <f t="shared" si="21"/>
        <v>-34200000000</v>
      </c>
      <c r="Y12" s="230"/>
      <c r="Z12" s="230"/>
      <c r="AA12" s="230"/>
      <c r="AB12" s="231">
        <f>IF(C12="","",ROUND(V12*(1+'Inflación observada '!$B$390%)^(("31-12-2025"-C12)/365),3))</f>
        <v>396.54700000000003</v>
      </c>
      <c r="AC12" s="230"/>
      <c r="AD12" s="232">
        <f t="shared" si="22"/>
        <v>0</v>
      </c>
      <c r="AE12" s="233">
        <f t="shared" si="23"/>
        <v>0.51501363122699784</v>
      </c>
      <c r="AF12" s="228">
        <f t="shared" si="24"/>
        <v>-17613466187.963326</v>
      </c>
      <c r="AG12" s="232">
        <f ca="1">(Tabla6[[#This Row],[Fecha Vto]]-TODAY())/365</f>
        <v>0.70410958904109588</v>
      </c>
      <c r="AH12" s="234"/>
      <c r="AI12" s="235"/>
      <c r="AJ12" s="236">
        <f t="shared" si="12"/>
        <v>0</v>
      </c>
    </row>
    <row r="13" spans="1:47">
      <c r="A13" s="219">
        <f t="shared" si="13"/>
        <v>2025</v>
      </c>
      <c r="B13" s="220">
        <v>607</v>
      </c>
      <c r="C13" s="221">
        <v>45707</v>
      </c>
      <c r="D13" s="237" t="s">
        <v>42</v>
      </c>
      <c r="E13" s="238" t="s">
        <v>195</v>
      </c>
      <c r="F13" s="224" t="s">
        <v>360</v>
      </c>
      <c r="G13" s="225" t="str">
        <f>+_xlfn.XLOOKUP(F13,Emisiones[Mnemotécnico SEN],Emisiones[Moneda],"",0,1)</f>
        <v>COP</v>
      </c>
      <c r="H13" s="225"/>
      <c r="I13" s="226"/>
      <c r="J13" s="226">
        <f>+_xlfn.XLOOKUP(F13,Emisiones[Mnemotécnico SEN],Emisiones[Fecha Vencim.],"",0,1)</f>
        <v>53533</v>
      </c>
      <c r="K13" s="224">
        <f>+_xlfn.XLOOKUP(F13,Emisiones[Mnemotécnico SEN],Emisiones[Tasa de Interés],"",0,1)</f>
        <v>11.5</v>
      </c>
      <c r="L13" s="227">
        <v>12.696999999999999</v>
      </c>
      <c r="M13" s="227">
        <v>97.716999999999999</v>
      </c>
      <c r="N13" s="227">
        <f t="shared" si="14"/>
        <v>91.131791128363915</v>
      </c>
      <c r="O13" s="227">
        <f t="shared" si="15"/>
        <v>6.5852088716360839</v>
      </c>
      <c r="P13" s="227">
        <f t="shared" si="16"/>
        <v>4.9147911283639161</v>
      </c>
      <c r="Q13" s="228">
        <f t="shared" si="17"/>
        <v>456000000000</v>
      </c>
      <c r="R13" s="228">
        <f>IF(C13="","",IF('Canjes desagregado'!$G13="UVR",'Canjes desagregado'!$V13*Q13*M13%,Q13*M13%))</f>
        <v>445589520000</v>
      </c>
      <c r="S13" s="228">
        <v>456000000000</v>
      </c>
      <c r="T13" s="228">
        <f t="shared" si="18"/>
        <v>1</v>
      </c>
      <c r="U13" s="228">
        <f t="shared" si="19"/>
        <v>445589520000</v>
      </c>
      <c r="V13" s="229">
        <f>+IF(F13&lt;&gt;"",(_xlfn.XLOOKUP(C13,UVR[Fecha (dd/mm/aaaa)],UVR[Pesos colombianos por UVR],"",0,1)),"")</f>
        <v>379.51049999999998</v>
      </c>
      <c r="W13" s="228">
        <f t="shared" si="20"/>
        <v>52440000000</v>
      </c>
      <c r="X13" s="228">
        <f t="shared" si="21"/>
        <v>52440000000</v>
      </c>
      <c r="Y13" s="230"/>
      <c r="Z13" s="230"/>
      <c r="AA13" s="230"/>
      <c r="AB13" s="231">
        <f>IF(C13="","",ROUND(V13*(1+'Inflación observada '!$B$390%)^(("31-12-2025"-C13)/365),3))</f>
        <v>396.54700000000003</v>
      </c>
      <c r="AC13" s="230"/>
      <c r="AD13" s="232">
        <f t="shared" si="22"/>
        <v>0</v>
      </c>
      <c r="AE13" s="233">
        <f t="shared" si="23"/>
        <v>0.42737314159686229</v>
      </c>
      <c r="AF13" s="228">
        <f t="shared" si="24"/>
        <v>22411447545.339462</v>
      </c>
      <c r="AG13" s="232">
        <f ca="1">(Tabla6[[#This Row],[Fecha Vto]]-TODAY())/365</f>
        <v>20.63013698630137</v>
      </c>
      <c r="AH13" s="234"/>
      <c r="AI13" s="235"/>
      <c r="AJ13" s="236">
        <f t="shared" si="12"/>
        <v>0</v>
      </c>
    </row>
    <row r="14" spans="1:47">
      <c r="A14" s="219">
        <f t="shared" si="13"/>
        <v>2025</v>
      </c>
      <c r="B14" s="220">
        <v>608</v>
      </c>
      <c r="C14" s="221">
        <v>45708</v>
      </c>
      <c r="D14" s="222" t="s">
        <v>42</v>
      </c>
      <c r="E14" s="223" t="s">
        <v>194</v>
      </c>
      <c r="F14" s="224" t="s">
        <v>211</v>
      </c>
      <c r="G14" s="225" t="str">
        <f>+_xlfn.XLOOKUP(F14,Emisiones[Mnemotécnico SEN],Emisiones[Moneda],"",0,1)</f>
        <v>COP</v>
      </c>
      <c r="H14" s="225"/>
      <c r="I14" s="226"/>
      <c r="J14" s="226">
        <f>+_xlfn.XLOOKUP(F14,Emisiones[Mnemotécnico SEN],Emisiones[Fecha Vencim.],"",0,1)</f>
        <v>46260</v>
      </c>
      <c r="K14" s="224">
        <f>+_xlfn.XLOOKUP(F14,Emisiones[Mnemotécnico SEN],Emisiones[Tasa de Interés],"",0,1)</f>
        <v>7.5</v>
      </c>
      <c r="L14" s="227">
        <v>8.7799999999999994</v>
      </c>
      <c r="M14" s="227">
        <v>101.837</v>
      </c>
      <c r="N14" s="227">
        <f t="shared" si="14"/>
        <v>98.178943320218892</v>
      </c>
      <c r="O14" s="227">
        <f t="shared" si="15"/>
        <v>3.6580566797811116</v>
      </c>
      <c r="P14" s="227">
        <f t="shared" si="16"/>
        <v>3.8419433202188884</v>
      </c>
      <c r="Q14" s="228">
        <f t="shared" si="17"/>
        <v>-602000000000</v>
      </c>
      <c r="R14" s="228">
        <f>IF(C14="","",IF('Canjes desagregado'!$G14="UVR",'Canjes desagregado'!$V14*Q14*M14%,Q14*M14%))</f>
        <v>-613058740000</v>
      </c>
      <c r="S14" s="228">
        <v>-602000000000</v>
      </c>
      <c r="T14" s="228">
        <f t="shared" si="18"/>
        <v>1</v>
      </c>
      <c r="U14" s="228">
        <f t="shared" si="19"/>
        <v>-613058740000</v>
      </c>
      <c r="V14" s="229">
        <f>+IF(F14&lt;&gt;"",(_xlfn.XLOOKUP(C14,UVR[Fecha (dd/mm/aaaa)],UVR[Pesos colombianos por UVR],"",0,1)),"")</f>
        <v>379.63729999999998</v>
      </c>
      <c r="W14" s="228">
        <f t="shared" si="20"/>
        <v>45150000000</v>
      </c>
      <c r="X14" s="228">
        <f t="shared" si="21"/>
        <v>-45150000000</v>
      </c>
      <c r="Y14" s="230"/>
      <c r="Z14" s="230"/>
      <c r="AA14" s="230"/>
      <c r="AB14" s="231">
        <f>IF(C14="","",ROUND(V14*(1+'Inflación observada '!$B$390%)^(("31-12-2025"-C14)/365),3))</f>
        <v>396.62400000000002</v>
      </c>
      <c r="AC14" s="230"/>
      <c r="AD14" s="232">
        <f t="shared" si="22"/>
        <v>0</v>
      </c>
      <c r="AE14" s="233">
        <f t="shared" si="23"/>
        <v>0.51225910936251851</v>
      </c>
      <c r="AF14" s="228">
        <f t="shared" si="24"/>
        <v>-23128498787.717709</v>
      </c>
      <c r="AG14" s="232">
        <f ca="1">(Tabla6[[#This Row],[Fecha Vto]]-TODAY())/365</f>
        <v>0.70410958904109588</v>
      </c>
      <c r="AH14" s="234"/>
      <c r="AI14" s="235"/>
      <c r="AJ14" s="236">
        <f t="shared" si="12"/>
        <v>0</v>
      </c>
    </row>
    <row r="15" spans="1:47">
      <c r="A15" s="219">
        <f t="shared" si="13"/>
        <v>2025</v>
      </c>
      <c r="B15" s="220">
        <v>608</v>
      </c>
      <c r="C15" s="221">
        <v>45708</v>
      </c>
      <c r="D15" s="237" t="s">
        <v>42</v>
      </c>
      <c r="E15" s="238" t="s">
        <v>195</v>
      </c>
      <c r="F15" s="224" t="s">
        <v>360</v>
      </c>
      <c r="G15" s="225" t="str">
        <f>+_xlfn.XLOOKUP(F15,Emisiones[Mnemotécnico SEN],Emisiones[Moneda],"",0,1)</f>
        <v>COP</v>
      </c>
      <c r="H15" s="225"/>
      <c r="I15" s="226"/>
      <c r="J15" s="226">
        <f>+_xlfn.XLOOKUP(F15,Emisiones[Mnemotécnico SEN],Emisiones[Fecha Vencim.],"",0,1)</f>
        <v>53533</v>
      </c>
      <c r="K15" s="224">
        <f>+_xlfn.XLOOKUP(F15,Emisiones[Mnemotécnico SEN],Emisiones[Tasa de Interés],"",0,1)</f>
        <v>11.5</v>
      </c>
      <c r="L15" s="227">
        <v>12.62</v>
      </c>
      <c r="M15" s="227">
        <v>98.27</v>
      </c>
      <c r="N15" s="227">
        <f t="shared" si="14"/>
        <v>91.653308156317721</v>
      </c>
      <c r="O15" s="227">
        <f t="shared" si="15"/>
        <v>6.6166918436822755</v>
      </c>
      <c r="P15" s="227">
        <f t="shared" si="16"/>
        <v>4.8833081563177245</v>
      </c>
      <c r="Q15" s="228">
        <f t="shared" si="17"/>
        <v>602000000000</v>
      </c>
      <c r="R15" s="228">
        <f>IF(C15="","",IF('Canjes desagregado'!$G15="UVR",'Canjes desagregado'!$V15*Q15*M15%,Q15*M15%))</f>
        <v>591585400000</v>
      </c>
      <c r="S15" s="228">
        <v>602000000000</v>
      </c>
      <c r="T15" s="228">
        <f t="shared" si="18"/>
        <v>1</v>
      </c>
      <c r="U15" s="228">
        <f t="shared" si="19"/>
        <v>591585400000</v>
      </c>
      <c r="V15" s="229">
        <f>+IF(F15&lt;&gt;"",(_xlfn.XLOOKUP(C15,UVR[Fecha (dd/mm/aaaa)],UVR[Pesos colombianos por UVR],"",0,1)),"")</f>
        <v>379.63729999999998</v>
      </c>
      <c r="W15" s="228">
        <f t="shared" si="20"/>
        <v>69230000000</v>
      </c>
      <c r="X15" s="228">
        <f t="shared" si="21"/>
        <v>69230000000</v>
      </c>
      <c r="Y15" s="230"/>
      <c r="Z15" s="230"/>
      <c r="AA15" s="230"/>
      <c r="AB15" s="231">
        <f>IF(C15="","",ROUND(V15*(1+'Inflación observada '!$B$390%)^(("31-12-2025"-C15)/365),3))</f>
        <v>396.62400000000002</v>
      </c>
      <c r="AC15" s="230"/>
      <c r="AD15" s="232">
        <f t="shared" si="22"/>
        <v>0</v>
      </c>
      <c r="AE15" s="233">
        <f t="shared" si="23"/>
        <v>0.42463549185371519</v>
      </c>
      <c r="AF15" s="228">
        <f t="shared" si="24"/>
        <v>29397515101.032703</v>
      </c>
      <c r="AG15" s="232">
        <f ca="1">(Tabla6[[#This Row],[Fecha Vto]]-TODAY())/365</f>
        <v>20.63013698630137</v>
      </c>
      <c r="AH15" s="234"/>
      <c r="AI15" s="235"/>
      <c r="AJ15" s="236">
        <f t="shared" si="12"/>
        <v>0</v>
      </c>
    </row>
    <row r="16" spans="1:47">
      <c r="A16" s="219">
        <f t="shared" ref="A16:A21" si="25">IF(C16="","",YEAR(C16))</f>
        <v>2025</v>
      </c>
      <c r="B16" s="220">
        <v>609</v>
      </c>
      <c r="C16" s="221">
        <v>45709</v>
      </c>
      <c r="D16" s="222" t="s">
        <v>42</v>
      </c>
      <c r="E16" s="223" t="s">
        <v>194</v>
      </c>
      <c r="F16" s="224" t="s">
        <v>211</v>
      </c>
      <c r="G16" s="225" t="str">
        <f>+_xlfn.XLOOKUP(F16,Emisiones[Mnemotécnico SEN],Emisiones[Moneda],"",0,1)</f>
        <v>COP</v>
      </c>
      <c r="H16" s="225"/>
      <c r="I16" s="226"/>
      <c r="J16" s="226">
        <f>+_xlfn.XLOOKUP(F16,Emisiones[Mnemotécnico SEN],Emisiones[Fecha Vencim.],"",0,1)</f>
        <v>46260</v>
      </c>
      <c r="K16" s="224">
        <f>+_xlfn.XLOOKUP(F16,Emisiones[Mnemotécnico SEN],Emisiones[Tasa de Interés],"",0,1)</f>
        <v>7.5</v>
      </c>
      <c r="L16" s="227">
        <v>8.8309999999999995</v>
      </c>
      <c r="M16" s="227">
        <v>101.791</v>
      </c>
      <c r="N16" s="227">
        <f t="shared" ref="N16:N21" si="26">IF(C16="","",PRICE(C16,J16,K16%,L16%,100,1,3))</f>
        <v>98.113195594793893</v>
      </c>
      <c r="O16" s="227">
        <f t="shared" ref="O16:O21" si="27">IF(C16="","",M16-N16)</f>
        <v>3.6778044052061034</v>
      </c>
      <c r="P16" s="227">
        <f t="shared" ref="P16:P21" si="28">IF(C16="","",100*K16%-O16)</f>
        <v>3.8221955947938966</v>
      </c>
      <c r="Q16" s="228">
        <f t="shared" ref="Q16:Q21" si="29">IF(C16="","",IF(G16="UVR",S16/V16,S16))</f>
        <v>-508000000000</v>
      </c>
      <c r="R16" s="228">
        <f>IF(C16="","",IF('Canjes desagregado'!$G16="UVR",'Canjes desagregado'!$V16*Q16*M16%,Q16*M16%))</f>
        <v>-517098279999.99994</v>
      </c>
      <c r="S16" s="228">
        <v>-508000000000</v>
      </c>
      <c r="T16" s="228">
        <f t="shared" ref="T16:T21" si="30">IFERROR(IF(RIGHT(F16,2)=RIGHT(YEAR(J16),2),1,0),"")</f>
        <v>1</v>
      </c>
      <c r="U16" s="228">
        <f t="shared" ref="U16:U21" si="31">+IF(R16="","",R16)</f>
        <v>-517098279999.99994</v>
      </c>
      <c r="V16" s="229">
        <f>+IF(F16&lt;&gt;"",(_xlfn.XLOOKUP(C16,UVR[Fecha (dd/mm/aaaa)],UVR[Pesos colombianos por UVR],"",0,1)),"")</f>
        <v>379.76420000000002</v>
      </c>
      <c r="W16" s="228">
        <f t="shared" ref="W16:W21" si="32">IF(C16="","",IF(CONCATENATE(DAY(C16),"/",MONTH(C16),"/",2000)-CONCATENATE(DAY(J16),"/",MONTH(J16),"/",2000)&lt;0,K16%*ABS(S16),0))</f>
        <v>38100000000</v>
      </c>
      <c r="X16" s="228">
        <f t="shared" ref="X16:X21" si="33">IF(S16&lt;0,-W16,W16)</f>
        <v>-38100000000</v>
      </c>
      <c r="Y16" s="230"/>
      <c r="Z16" s="230"/>
      <c r="AA16" s="230"/>
      <c r="AB16" s="231">
        <f>IF(C16="","",ROUND(V16*(1+'Inflación observada '!$B$390%)^(("31-12-2025"-C16)/365),3))</f>
        <v>396.702</v>
      </c>
      <c r="AC16" s="230"/>
      <c r="AD16" s="232">
        <f t="shared" ref="AD16:AD21" si="34">IF(C16="","",IF(G16="UVR",Q16*AB16-S16,0))</f>
        <v>0</v>
      </c>
      <c r="AE16" s="233">
        <f t="shared" ref="AE16:AE21" si="35">IF(C16="","",P16/+(O16+P16))</f>
        <v>0.50962607930585291</v>
      </c>
      <c r="AF16" s="228">
        <f t="shared" ref="AF16:AF21" si="36">IF(C16="","",AE16*Q16*K16%)</f>
        <v>-19416753621.552998</v>
      </c>
      <c r="AG16" s="232">
        <f ca="1">(Tabla6[[#This Row],[Fecha Vto]]-TODAY())/365</f>
        <v>0.70410958904109588</v>
      </c>
      <c r="AH16" s="234"/>
      <c r="AI16" s="235"/>
      <c r="AJ16" s="236">
        <f t="shared" si="12"/>
        <v>0</v>
      </c>
    </row>
    <row r="17" spans="1:36">
      <c r="A17" s="219">
        <f t="shared" si="25"/>
        <v>2025</v>
      </c>
      <c r="B17" s="220">
        <v>609</v>
      </c>
      <c r="C17" s="221">
        <v>45709</v>
      </c>
      <c r="D17" s="237" t="s">
        <v>42</v>
      </c>
      <c r="E17" s="238" t="s">
        <v>195</v>
      </c>
      <c r="F17" s="224" t="s">
        <v>360</v>
      </c>
      <c r="G17" s="225" t="str">
        <f>+_xlfn.XLOOKUP(F17,Emisiones[Mnemotécnico SEN],Emisiones[Moneda],"",0,1)</f>
        <v>COP</v>
      </c>
      <c r="H17" s="225"/>
      <c r="I17" s="226"/>
      <c r="J17" s="226">
        <f>+_xlfn.XLOOKUP(F17,Emisiones[Mnemotécnico SEN],Emisiones[Fecha Vencim.],"",0,1)</f>
        <v>53533</v>
      </c>
      <c r="K17" s="224">
        <f>+_xlfn.XLOOKUP(F17,Emisiones[Mnemotécnico SEN],Emisiones[Tasa de Interés],"",0,1)</f>
        <v>11.5</v>
      </c>
      <c r="L17" s="227">
        <v>12.574</v>
      </c>
      <c r="M17" s="227">
        <v>98.616</v>
      </c>
      <c r="N17" s="227">
        <f t="shared" si="26"/>
        <v>91.967498882136994</v>
      </c>
      <c r="O17" s="227">
        <f t="shared" si="27"/>
        <v>6.648501117863006</v>
      </c>
      <c r="P17" s="227">
        <f t="shared" si="28"/>
        <v>4.851498882136994</v>
      </c>
      <c r="Q17" s="228">
        <f t="shared" si="29"/>
        <v>508000000000</v>
      </c>
      <c r="R17" s="228">
        <f>IF(C17="","",IF('Canjes desagregado'!$G17="UVR",'Canjes desagregado'!$V17*Q17*M17%,Q17*M17%))</f>
        <v>500969280000</v>
      </c>
      <c r="S17" s="228">
        <v>508000000000</v>
      </c>
      <c r="T17" s="228">
        <f t="shared" si="30"/>
        <v>1</v>
      </c>
      <c r="U17" s="228">
        <f t="shared" si="31"/>
        <v>500969280000</v>
      </c>
      <c r="V17" s="229">
        <f>+IF(F17&lt;&gt;"",(_xlfn.XLOOKUP(C17,UVR[Fecha (dd/mm/aaaa)],UVR[Pesos colombianos por UVR],"",0,1)),"")</f>
        <v>379.76420000000002</v>
      </c>
      <c r="W17" s="228">
        <f t="shared" si="32"/>
        <v>58420000000</v>
      </c>
      <c r="X17" s="228">
        <f t="shared" si="33"/>
        <v>58420000000</v>
      </c>
      <c r="Y17" s="230"/>
      <c r="Z17" s="230"/>
      <c r="AA17" s="230"/>
      <c r="AB17" s="231">
        <f>IF(C17="","",ROUND(V17*(1+'Inflación observada '!$B$390%)^(("31-12-2025"-C17)/365),3))</f>
        <v>396.702</v>
      </c>
      <c r="AC17" s="230"/>
      <c r="AD17" s="232">
        <f t="shared" si="34"/>
        <v>0</v>
      </c>
      <c r="AE17" s="233">
        <f t="shared" si="35"/>
        <v>0.4218694680119125</v>
      </c>
      <c r="AF17" s="228">
        <f t="shared" si="36"/>
        <v>24645614321.255928</v>
      </c>
      <c r="AG17" s="232">
        <f ca="1">(Tabla6[[#This Row],[Fecha Vto]]-TODAY())/365</f>
        <v>20.63013698630137</v>
      </c>
      <c r="AH17" s="234"/>
      <c r="AI17" s="235"/>
      <c r="AJ17" s="236">
        <f t="shared" si="12"/>
        <v>0</v>
      </c>
    </row>
    <row r="18" spans="1:36">
      <c r="A18" s="219">
        <f t="shared" si="25"/>
        <v>2025</v>
      </c>
      <c r="B18" s="220">
        <v>610</v>
      </c>
      <c r="C18" s="221">
        <v>45712</v>
      </c>
      <c r="D18" s="222" t="s">
        <v>42</v>
      </c>
      <c r="E18" s="223" t="s">
        <v>194</v>
      </c>
      <c r="F18" s="224" t="s">
        <v>211</v>
      </c>
      <c r="G18" s="225" t="str">
        <f>+_xlfn.XLOOKUP(F18,Emisiones[Mnemotécnico SEN],Emisiones[Moneda],"",0,1)</f>
        <v>COP</v>
      </c>
      <c r="H18" s="225"/>
      <c r="I18" s="226"/>
      <c r="J18" s="226">
        <f>+_xlfn.XLOOKUP(F18,Emisiones[Mnemotécnico SEN],Emisiones[Fecha Vencim.],"",0,1)</f>
        <v>46260</v>
      </c>
      <c r="K18" s="224">
        <f>+_xlfn.XLOOKUP(F18,Emisiones[Mnemotécnico SEN],Emisiones[Tasa de Interés],"",0,1)</f>
        <v>7.5</v>
      </c>
      <c r="L18" s="227">
        <v>8.8230000000000004</v>
      </c>
      <c r="M18" s="227">
        <v>101.873</v>
      </c>
      <c r="N18" s="227">
        <f t="shared" si="26"/>
        <v>98.133092379602317</v>
      </c>
      <c r="O18" s="227">
        <f t="shared" si="27"/>
        <v>3.7399076203976875</v>
      </c>
      <c r="P18" s="227">
        <f t="shared" si="28"/>
        <v>3.7600923796023125</v>
      </c>
      <c r="Q18" s="228">
        <f t="shared" si="29"/>
        <v>-250000000000</v>
      </c>
      <c r="R18" s="228">
        <f>IF(C18="","",IF('Canjes desagregado'!$G18="UVR",'Canjes desagregado'!$V18*Q18*M18%,Q18*M18%))</f>
        <v>-254682500000.00003</v>
      </c>
      <c r="S18" s="228">
        <v>-250000000000</v>
      </c>
      <c r="T18" s="228">
        <f t="shared" si="30"/>
        <v>1</v>
      </c>
      <c r="U18" s="228">
        <f t="shared" si="31"/>
        <v>-254682500000.00003</v>
      </c>
      <c r="V18" s="229">
        <f>+IF(F18&lt;&gt;"",(_xlfn.XLOOKUP(C18,UVR[Fecha (dd/mm/aaaa)],UVR[Pesos colombianos por UVR],"",0,1)),"")</f>
        <v>380.14510000000001</v>
      </c>
      <c r="W18" s="228">
        <f t="shared" si="32"/>
        <v>18750000000</v>
      </c>
      <c r="X18" s="228">
        <f t="shared" si="33"/>
        <v>-18750000000</v>
      </c>
      <c r="Y18" s="230"/>
      <c r="Z18" s="230"/>
      <c r="AA18" s="230"/>
      <c r="AB18" s="231">
        <f>IF(C18="","",ROUND(V18*(1+'Inflación observada '!$B$390%)^(("31-12-2025"-C18)/365),3))</f>
        <v>396.93400000000003</v>
      </c>
      <c r="AC18" s="230"/>
      <c r="AD18" s="232">
        <f t="shared" si="34"/>
        <v>0</v>
      </c>
      <c r="AE18" s="233">
        <f t="shared" si="35"/>
        <v>0.50134565061364167</v>
      </c>
      <c r="AF18" s="228">
        <f t="shared" si="36"/>
        <v>-9400230949.0057812</v>
      </c>
      <c r="AG18" s="232">
        <f ca="1">(Tabla6[[#This Row],[Fecha Vto]]-TODAY())/365</f>
        <v>0.70410958904109588</v>
      </c>
      <c r="AH18" s="234"/>
      <c r="AI18" s="235"/>
      <c r="AJ18" s="236">
        <f t="shared" si="12"/>
        <v>0</v>
      </c>
    </row>
    <row r="19" spans="1:36">
      <c r="A19" s="219">
        <f t="shared" si="25"/>
        <v>2025</v>
      </c>
      <c r="B19" s="220">
        <v>610</v>
      </c>
      <c r="C19" s="221">
        <v>45712</v>
      </c>
      <c r="D19" s="237" t="s">
        <v>42</v>
      </c>
      <c r="E19" s="238" t="s">
        <v>195</v>
      </c>
      <c r="F19" s="224" t="s">
        <v>360</v>
      </c>
      <c r="G19" s="225" t="str">
        <f>+_xlfn.XLOOKUP(F19,Emisiones[Mnemotécnico SEN],Emisiones[Moneda],"",0,1)</f>
        <v>COP</v>
      </c>
      <c r="H19" s="225"/>
      <c r="I19" s="226"/>
      <c r="J19" s="226">
        <f>+_xlfn.XLOOKUP(F19,Emisiones[Mnemotécnico SEN],Emisiones[Fecha Vencim.],"",0,1)</f>
        <v>53533</v>
      </c>
      <c r="K19" s="224">
        <f>+_xlfn.XLOOKUP(F19,Emisiones[Mnemotécnico SEN],Emisiones[Tasa de Interés],"",0,1)</f>
        <v>11.5</v>
      </c>
      <c r="L19" s="227">
        <v>12.464</v>
      </c>
      <c r="M19" s="227">
        <v>99.468999999999994</v>
      </c>
      <c r="N19" s="227">
        <f t="shared" si="26"/>
        <v>92.726612775640376</v>
      </c>
      <c r="O19" s="227">
        <f t="shared" si="27"/>
        <v>6.7423872243596179</v>
      </c>
      <c r="P19" s="227">
        <f t="shared" si="28"/>
        <v>4.7576127756403821</v>
      </c>
      <c r="Q19" s="228">
        <f t="shared" si="29"/>
        <v>250000000000</v>
      </c>
      <c r="R19" s="228">
        <f>IF(C19="","",IF('Canjes desagregado'!$G19="UVR",'Canjes desagregado'!$V19*Q19*M19%,Q19*M19%))</f>
        <v>248672500000</v>
      </c>
      <c r="S19" s="228">
        <v>250000000000</v>
      </c>
      <c r="T19" s="228">
        <f t="shared" si="30"/>
        <v>1</v>
      </c>
      <c r="U19" s="228">
        <f t="shared" si="31"/>
        <v>248672500000</v>
      </c>
      <c r="V19" s="229">
        <f>+IF(F19&lt;&gt;"",(_xlfn.XLOOKUP(C19,UVR[Fecha (dd/mm/aaaa)],UVR[Pesos colombianos por UVR],"",0,1)),"")</f>
        <v>380.14510000000001</v>
      </c>
      <c r="W19" s="228">
        <f t="shared" si="32"/>
        <v>28750000000</v>
      </c>
      <c r="X19" s="228">
        <f t="shared" si="33"/>
        <v>28750000000</v>
      </c>
      <c r="Y19" s="230"/>
      <c r="Z19" s="230"/>
      <c r="AA19" s="230"/>
      <c r="AB19" s="231">
        <f>IF(C19="","",ROUND(V19*(1+'Inflación observada '!$B$390%)^(("31-12-2025"-C19)/365),3))</f>
        <v>396.93400000000003</v>
      </c>
      <c r="AC19" s="230"/>
      <c r="AD19" s="232">
        <f t="shared" si="34"/>
        <v>0</v>
      </c>
      <c r="AE19" s="233">
        <f t="shared" si="35"/>
        <v>0.41370545875133757</v>
      </c>
      <c r="AF19" s="228">
        <f t="shared" si="36"/>
        <v>11894031939.100956</v>
      </c>
      <c r="AG19" s="232">
        <f ca="1">(Tabla6[[#This Row],[Fecha Vto]]-TODAY())/365</f>
        <v>20.63013698630137</v>
      </c>
      <c r="AH19" s="234"/>
      <c r="AI19" s="235"/>
      <c r="AJ19" s="236">
        <f t="shared" si="12"/>
        <v>0</v>
      </c>
    </row>
    <row r="20" spans="1:36">
      <c r="A20" s="219">
        <f t="shared" si="25"/>
        <v>2025</v>
      </c>
      <c r="B20" s="220">
        <v>611</v>
      </c>
      <c r="C20" s="221">
        <v>45713</v>
      </c>
      <c r="D20" s="222" t="s">
        <v>42</v>
      </c>
      <c r="E20" s="223" t="s">
        <v>194</v>
      </c>
      <c r="F20" s="224" t="s">
        <v>211</v>
      </c>
      <c r="G20" s="225" t="str">
        <f>+_xlfn.XLOOKUP(F20,Emisiones[Mnemotécnico SEN],Emisiones[Moneda],"",0,1)</f>
        <v>COP</v>
      </c>
      <c r="H20" s="225"/>
      <c r="I20" s="226"/>
      <c r="J20" s="226">
        <f>+_xlfn.XLOOKUP(F20,Emisiones[Mnemotécnico SEN],Emisiones[Fecha Vencim.],"",0,1)</f>
        <v>46260</v>
      </c>
      <c r="K20" s="224">
        <f>+_xlfn.XLOOKUP(F20,Emisiones[Mnemotécnico SEN],Emisiones[Tasa de Interés],"",0,1)</f>
        <v>7.5</v>
      </c>
      <c r="L20" s="227">
        <v>8.843</v>
      </c>
      <c r="M20" s="227">
        <v>101.87</v>
      </c>
      <c r="N20" s="227">
        <f t="shared" si="26"/>
        <v>98.109408793239183</v>
      </c>
      <c r="O20" s="227">
        <f t="shared" si="27"/>
        <v>3.7605912067608216</v>
      </c>
      <c r="P20" s="227">
        <f t="shared" si="28"/>
        <v>3.7394087932391784</v>
      </c>
      <c r="Q20" s="228">
        <f t="shared" si="29"/>
        <v>-432000000000</v>
      </c>
      <c r="R20" s="228">
        <f>IF(C20="","",IF('Canjes desagregado'!$G20="UVR",'Canjes desagregado'!$V20*Q20*M20%,Q20*M20%))</f>
        <v>-440078400000</v>
      </c>
      <c r="S20" s="228">
        <v>-432000000000</v>
      </c>
      <c r="T20" s="228">
        <f t="shared" si="30"/>
        <v>1</v>
      </c>
      <c r="U20" s="228">
        <f t="shared" si="31"/>
        <v>-440078400000</v>
      </c>
      <c r="V20" s="229">
        <f>+IF(F20&lt;&gt;"",(_xlfn.XLOOKUP(C20,UVR[Fecha (dd/mm/aaaa)],UVR[Pesos colombianos por UVR],"",0,1)),"")</f>
        <v>380.27210000000002</v>
      </c>
      <c r="W20" s="228">
        <f t="shared" si="32"/>
        <v>32400000000</v>
      </c>
      <c r="X20" s="228">
        <f t="shared" si="33"/>
        <v>-32400000000</v>
      </c>
      <c r="Y20" s="230"/>
      <c r="Z20" s="230"/>
      <c r="AA20" s="230"/>
      <c r="AB20" s="231">
        <f>IF(C20="","",ROUND(V20*(1+'Inflación observada '!$B$390%)^(("31-12-2025"-C20)/365),3))</f>
        <v>397.01100000000002</v>
      </c>
      <c r="AC20" s="230"/>
      <c r="AD20" s="232">
        <f t="shared" si="34"/>
        <v>0</v>
      </c>
      <c r="AE20" s="233">
        <f t="shared" si="35"/>
        <v>0.49858783909855714</v>
      </c>
      <c r="AF20" s="228">
        <f t="shared" si="36"/>
        <v>-16154245986.793251</v>
      </c>
      <c r="AG20" s="232">
        <f ca="1">(Tabla6[[#This Row],[Fecha Vto]]-TODAY())/365</f>
        <v>0.70410958904109588</v>
      </c>
      <c r="AH20" s="234"/>
      <c r="AI20" s="235"/>
      <c r="AJ20" s="236">
        <f t="shared" si="12"/>
        <v>0</v>
      </c>
    </row>
    <row r="21" spans="1:36">
      <c r="A21" s="219">
        <f t="shared" si="25"/>
        <v>2025</v>
      </c>
      <c r="B21" s="220">
        <v>611</v>
      </c>
      <c r="C21" s="221">
        <v>45713</v>
      </c>
      <c r="D21" s="237" t="s">
        <v>42</v>
      </c>
      <c r="E21" s="238" t="s">
        <v>195</v>
      </c>
      <c r="F21" s="224" t="s">
        <v>360</v>
      </c>
      <c r="G21" s="225" t="str">
        <f>+_xlfn.XLOOKUP(F21,Emisiones[Mnemotécnico SEN],Emisiones[Moneda],"",0,1)</f>
        <v>COP</v>
      </c>
      <c r="H21" s="225"/>
      <c r="I21" s="226"/>
      <c r="J21" s="226">
        <f>+_xlfn.XLOOKUP(F21,Emisiones[Mnemotécnico SEN],Emisiones[Fecha Vencim.],"",0,1)</f>
        <v>53533</v>
      </c>
      <c r="K21" s="224">
        <f>+_xlfn.XLOOKUP(F21,Emisiones[Mnemotécnico SEN],Emisiones[Tasa de Interés],"",0,1)</f>
        <v>11.5</v>
      </c>
      <c r="L21" s="227">
        <v>12.455</v>
      </c>
      <c r="M21" s="227">
        <v>99.563000000000002</v>
      </c>
      <c r="N21" s="227">
        <f t="shared" si="26"/>
        <v>92.789577332489372</v>
      </c>
      <c r="O21" s="227">
        <f t="shared" si="27"/>
        <v>6.7734226675106299</v>
      </c>
      <c r="P21" s="227">
        <f t="shared" si="28"/>
        <v>4.7265773324893701</v>
      </c>
      <c r="Q21" s="228">
        <f t="shared" si="29"/>
        <v>432000000000</v>
      </c>
      <c r="R21" s="228">
        <f>IF(C21="","",IF('Canjes desagregado'!$G21="UVR",'Canjes desagregado'!$V21*Q21*M21%,Q21*M21%))</f>
        <v>430112160000</v>
      </c>
      <c r="S21" s="228">
        <v>432000000000</v>
      </c>
      <c r="T21" s="228">
        <f t="shared" si="30"/>
        <v>1</v>
      </c>
      <c r="U21" s="228">
        <f t="shared" si="31"/>
        <v>430112160000</v>
      </c>
      <c r="V21" s="229">
        <f>+IF(F21&lt;&gt;"",(_xlfn.XLOOKUP(C21,UVR[Fecha (dd/mm/aaaa)],UVR[Pesos colombianos por UVR],"",0,1)),"")</f>
        <v>380.27210000000002</v>
      </c>
      <c r="W21" s="228">
        <f t="shared" si="32"/>
        <v>49680000000</v>
      </c>
      <c r="X21" s="228">
        <f t="shared" si="33"/>
        <v>49680000000</v>
      </c>
      <c r="Y21" s="230"/>
      <c r="Z21" s="230"/>
      <c r="AA21" s="230"/>
      <c r="AB21" s="231">
        <f>IF(C21="","",ROUND(V21*(1+'Inflación observada '!$B$390%)^(("31-12-2025"-C21)/365),3))</f>
        <v>397.01100000000002</v>
      </c>
      <c r="AC21" s="230"/>
      <c r="AD21" s="232">
        <f t="shared" si="34"/>
        <v>0</v>
      </c>
      <c r="AE21" s="233">
        <f t="shared" si="35"/>
        <v>0.41100672456429305</v>
      </c>
      <c r="AF21" s="228">
        <f t="shared" si="36"/>
        <v>20418814076.35408</v>
      </c>
      <c r="AG21" s="232">
        <f ca="1">(Tabla6[[#This Row],[Fecha Vto]]-TODAY())/365</f>
        <v>20.63013698630137</v>
      </c>
      <c r="AH21" s="234"/>
      <c r="AI21" s="235"/>
      <c r="AJ21" s="236">
        <f t="shared" si="12"/>
        <v>0</v>
      </c>
    </row>
    <row r="22" spans="1:36">
      <c r="A22" s="219">
        <f t="shared" ref="A22:A28" si="37">IF(C22="","",YEAR(C22))</f>
        <v>2025</v>
      </c>
      <c r="B22" s="220">
        <v>612</v>
      </c>
      <c r="C22" s="221">
        <v>45715</v>
      </c>
      <c r="D22" s="222" t="s">
        <v>42</v>
      </c>
      <c r="E22" s="223" t="s">
        <v>194</v>
      </c>
      <c r="F22" s="224" t="s">
        <v>211</v>
      </c>
      <c r="G22" s="225" t="str">
        <f>+_xlfn.XLOOKUP(F22,Emisiones[Mnemotécnico SEN],Emisiones[Moneda],"",0,1)</f>
        <v>COP</v>
      </c>
      <c r="H22" s="225"/>
      <c r="I22" s="226"/>
      <c r="J22" s="226">
        <f>+_xlfn.XLOOKUP(F22,Emisiones[Mnemotécnico SEN],Emisiones[Fecha Vencim.],"",0,1)</f>
        <v>46260</v>
      </c>
      <c r="K22" s="224">
        <f>+_xlfn.XLOOKUP(F22,Emisiones[Mnemotécnico SEN],Emisiones[Tasa de Interés],"",0,1)</f>
        <v>7.5</v>
      </c>
      <c r="L22" s="227">
        <v>8.7690000000000001</v>
      </c>
      <c r="M22" s="227">
        <v>102.01600000000001</v>
      </c>
      <c r="N22" s="227">
        <f t="shared" ref="N22:N28" si="38">IF(C22="","",PRICE(C22,J22,K22%,L22%,100,1,3))</f>
        <v>98.214277366361827</v>
      </c>
      <c r="O22" s="227">
        <f t="shared" ref="O22:O28" si="39">IF(C22="","",M22-N22)</f>
        <v>3.8017226336381782</v>
      </c>
      <c r="P22" s="227">
        <f t="shared" ref="P22:P28" si="40">IF(C22="","",100*K22%-O22)</f>
        <v>3.6982773663618218</v>
      </c>
      <c r="Q22" s="228">
        <f t="shared" ref="Q22:Q28" si="41">IF(C22="","",IF(G22="UVR",S22/V22,S22))</f>
        <v>-266500000000</v>
      </c>
      <c r="R22" s="228">
        <f>IF(C22="","",IF('Canjes desagregado'!$G22="UVR",'Canjes desagregado'!$V22*Q22*M22%,Q22*M22%))</f>
        <v>-271872640000</v>
      </c>
      <c r="S22" s="228">
        <v>-266500000000</v>
      </c>
      <c r="T22" s="228">
        <f t="shared" ref="T22:T28" si="42">IFERROR(IF(RIGHT(F22,2)=RIGHT(YEAR(J22),2),1,0),"")</f>
        <v>1</v>
      </c>
      <c r="U22" s="228">
        <f t="shared" ref="U22:U28" si="43">+IF(R22="","",R22)</f>
        <v>-271872640000</v>
      </c>
      <c r="V22" s="229">
        <f>+IF(F22&lt;&gt;"",(_xlfn.XLOOKUP(C22,UVR[Fecha (dd/mm/aaaa)],UVR[Pesos colombianos por UVR],"",0,1)),"")</f>
        <v>380.52640000000002</v>
      </c>
      <c r="W22" s="228">
        <f t="shared" ref="W22:W28" si="44">IF(C22="","",IF(CONCATENATE(DAY(C22),"/",MONTH(C22),"/",2000)-CONCATENATE(DAY(J22),"/",MONTH(J22),"/",2000)&lt;0,K22%*ABS(S22),0))</f>
        <v>19987500000</v>
      </c>
      <c r="X22" s="228">
        <f t="shared" ref="X22:X28" si="45">IF(S22&lt;0,-W22,W22)</f>
        <v>-19987500000</v>
      </c>
      <c r="Y22" s="230"/>
      <c r="Z22" s="230"/>
      <c r="AA22" s="230"/>
      <c r="AB22" s="231">
        <f>IF(C22="","",ROUND(V22*(1+'Inflación observada '!$B$390%)^(("31-12-2025"-C22)/365),3))</f>
        <v>397.166</v>
      </c>
      <c r="AC22" s="230"/>
      <c r="AD22" s="232">
        <f t="shared" ref="AD22:AD28" si="46">IF(C22="","",IF(G22="UVR",Q22*AB22-S22,0))</f>
        <v>0</v>
      </c>
      <c r="AE22" s="233">
        <f t="shared" ref="AE22:AE28" si="47">IF(C22="","",P22/+(O22+P22))</f>
        <v>0.49310364884824293</v>
      </c>
      <c r="AF22" s="228">
        <f t="shared" ref="AF22:AF28" si="48">IF(C22="","",AE22*Q22*K22%)</f>
        <v>-9855909181.3542538</v>
      </c>
      <c r="AG22" s="232">
        <f ca="1">(Tabla6[[#This Row],[Fecha Vto]]-TODAY())/365</f>
        <v>0.70410958904109588</v>
      </c>
      <c r="AH22" s="234"/>
      <c r="AI22" s="235"/>
      <c r="AJ22" s="236">
        <f t="shared" si="12"/>
        <v>0</v>
      </c>
    </row>
    <row r="23" spans="1:36">
      <c r="A23" s="219">
        <f t="shared" si="37"/>
        <v>2025</v>
      </c>
      <c r="B23" s="220">
        <v>612</v>
      </c>
      <c r="C23" s="221">
        <v>45715</v>
      </c>
      <c r="D23" s="237" t="s">
        <v>42</v>
      </c>
      <c r="E23" s="238" t="s">
        <v>195</v>
      </c>
      <c r="F23" s="224" t="s">
        <v>360</v>
      </c>
      <c r="G23" s="225" t="str">
        <f>+_xlfn.XLOOKUP(F23,Emisiones[Mnemotécnico SEN],Emisiones[Moneda],"",0,1)</f>
        <v>COP</v>
      </c>
      <c r="H23" s="225"/>
      <c r="I23" s="226"/>
      <c r="J23" s="226">
        <f>+_xlfn.XLOOKUP(F23,Emisiones[Mnemotécnico SEN],Emisiones[Fecha Vencim.],"",0,1)</f>
        <v>53533</v>
      </c>
      <c r="K23" s="224">
        <f>+_xlfn.XLOOKUP(F23,Emisiones[Mnemotécnico SEN],Emisiones[Tasa de Interés],"",0,1)</f>
        <v>11.5</v>
      </c>
      <c r="L23" s="227">
        <v>12.48</v>
      </c>
      <c r="M23" s="227">
        <v>99.453999999999994</v>
      </c>
      <c r="N23" s="227">
        <f t="shared" si="38"/>
        <v>92.617322608466679</v>
      </c>
      <c r="O23" s="227">
        <f t="shared" si="39"/>
        <v>6.8366773915333141</v>
      </c>
      <c r="P23" s="227">
        <f t="shared" si="40"/>
        <v>4.6633226084666859</v>
      </c>
      <c r="Q23" s="228">
        <f t="shared" si="41"/>
        <v>266500000000</v>
      </c>
      <c r="R23" s="228">
        <f>IF(C23="","",IF('Canjes desagregado'!$G23="UVR",'Canjes desagregado'!$V23*Q23*M23%,Q23*M23%))</f>
        <v>265044910000</v>
      </c>
      <c r="S23" s="228">
        <v>266500000000</v>
      </c>
      <c r="T23" s="228">
        <f t="shared" si="42"/>
        <v>1</v>
      </c>
      <c r="U23" s="228">
        <f t="shared" si="43"/>
        <v>265044910000</v>
      </c>
      <c r="V23" s="229">
        <f>+IF(F23&lt;&gt;"",(_xlfn.XLOOKUP(C23,UVR[Fecha (dd/mm/aaaa)],UVR[Pesos colombianos por UVR],"",0,1)),"")</f>
        <v>380.52640000000002</v>
      </c>
      <c r="W23" s="228">
        <f t="shared" si="44"/>
        <v>30647500000</v>
      </c>
      <c r="X23" s="228">
        <f t="shared" si="45"/>
        <v>30647500000</v>
      </c>
      <c r="Y23" s="230"/>
      <c r="Z23" s="230"/>
      <c r="AA23" s="230"/>
      <c r="AB23" s="231">
        <f>IF(C23="","",ROUND(V23*(1+'Inflación observada '!$B$390%)^(("31-12-2025"-C23)/365),3))</f>
        <v>397.166</v>
      </c>
      <c r="AC23" s="230"/>
      <c r="AD23" s="232">
        <f t="shared" si="46"/>
        <v>0</v>
      </c>
      <c r="AE23" s="233">
        <f t="shared" si="47"/>
        <v>0.4055063137797118</v>
      </c>
      <c r="AF23" s="228">
        <f t="shared" si="48"/>
        <v>12427754751.563719</v>
      </c>
      <c r="AG23" s="232">
        <f ca="1">(Tabla6[[#This Row],[Fecha Vto]]-TODAY())/365</f>
        <v>20.63013698630137</v>
      </c>
      <c r="AH23" s="234"/>
      <c r="AI23" s="235"/>
      <c r="AJ23" s="236">
        <f t="shared" si="12"/>
        <v>0</v>
      </c>
    </row>
    <row r="24" spans="1:36">
      <c r="A24" s="219">
        <f t="shared" si="37"/>
        <v>2025</v>
      </c>
      <c r="B24" s="220">
        <v>613</v>
      </c>
      <c r="C24" s="221">
        <v>45716</v>
      </c>
      <c r="D24" s="222" t="s">
        <v>42</v>
      </c>
      <c r="E24" s="223" t="s">
        <v>194</v>
      </c>
      <c r="F24" s="224" t="s">
        <v>309</v>
      </c>
      <c r="G24" s="225" t="str">
        <f>+_xlfn.XLOOKUP(F24,Emisiones[Mnemotécnico SEN],Emisiones[Moneda],"",0,1)</f>
        <v>COP</v>
      </c>
      <c r="H24" s="225"/>
      <c r="I24" s="226"/>
      <c r="J24" s="226">
        <f>+_xlfn.XLOOKUP(F24,Emisiones[Mnemotécnico SEN],Emisiones[Fecha Vencim.],"",0,1)</f>
        <v>45987</v>
      </c>
      <c r="K24" s="224">
        <f>+_xlfn.XLOOKUP(F24,Emisiones[Mnemotécnico SEN],Emisiones[Tasa de Interés],"",0,1)</f>
        <v>6.25</v>
      </c>
      <c r="L24" s="227">
        <v>8.7249999999999996</v>
      </c>
      <c r="M24" s="227">
        <v>99.852000000000004</v>
      </c>
      <c r="N24" s="227">
        <f t="shared" si="38"/>
        <v>98.176269381023559</v>
      </c>
      <c r="O24" s="227">
        <f t="shared" si="39"/>
        <v>1.6757306189764449</v>
      </c>
      <c r="P24" s="227">
        <f t="shared" si="40"/>
        <v>4.5742693810235551</v>
      </c>
      <c r="Q24" s="228">
        <f t="shared" si="41"/>
        <v>-100000000000</v>
      </c>
      <c r="R24" s="228">
        <f>IF(C24="","",IF('Canjes desagregado'!$G24="UVR",'Canjes desagregado'!$V24*Q24*M24%,Q24*M24%))</f>
        <v>-99852000000</v>
      </c>
      <c r="S24" s="228">
        <v>-100000000000</v>
      </c>
      <c r="T24" s="228">
        <f t="shared" si="42"/>
        <v>1</v>
      </c>
      <c r="U24" s="228">
        <f t="shared" si="43"/>
        <v>-99852000000</v>
      </c>
      <c r="V24" s="229">
        <f>+IF(F24&lt;&gt;"",(_xlfn.XLOOKUP(C24,UVR[Fecha (dd/mm/aaaa)],UVR[Pesos colombianos por UVR],"",0,1)),"")</f>
        <v>380.65350000000001</v>
      </c>
      <c r="W24" s="228">
        <f t="shared" si="44"/>
        <v>6250000000</v>
      </c>
      <c r="X24" s="228">
        <f t="shared" si="45"/>
        <v>-6250000000</v>
      </c>
      <c r="Y24" s="230"/>
      <c r="Z24" s="230"/>
      <c r="AA24" s="230"/>
      <c r="AB24" s="231">
        <f>IF(C24="","",ROUND(V24*(1+'Inflación observada '!$B$390%)^(("31-12-2025"-C24)/365),3))</f>
        <v>397.24299999999999</v>
      </c>
      <c r="AC24" s="230"/>
      <c r="AD24" s="232">
        <f t="shared" si="46"/>
        <v>0</v>
      </c>
      <c r="AE24" s="233">
        <f t="shared" si="47"/>
        <v>0.73188310096376885</v>
      </c>
      <c r="AF24" s="228">
        <f t="shared" si="48"/>
        <v>-4574269381.0235558</v>
      </c>
      <c r="AG24" s="232">
        <f ca="1">(Tabla6[[#This Row],[Fecha Vto]]-TODAY())/365</f>
        <v>-4.3835616438356165E-2</v>
      </c>
      <c r="AH24" s="234"/>
      <c r="AI24" s="235"/>
      <c r="AJ24" s="236">
        <f t="shared" si="12"/>
        <v>0</v>
      </c>
    </row>
    <row r="25" spans="1:36">
      <c r="A25" s="219">
        <f t="shared" si="37"/>
        <v>2025</v>
      </c>
      <c r="B25" s="220">
        <v>613</v>
      </c>
      <c r="C25" s="221">
        <v>45716</v>
      </c>
      <c r="D25" s="237" t="s">
        <v>42</v>
      </c>
      <c r="E25" s="238" t="s">
        <v>195</v>
      </c>
      <c r="F25" s="224" t="s">
        <v>199</v>
      </c>
      <c r="G25" s="225" t="str">
        <f>+_xlfn.XLOOKUP(F25,Emisiones[Mnemotécnico SEN],Emisiones[Moneda],"",0,1)</f>
        <v>COP</v>
      </c>
      <c r="H25" s="225"/>
      <c r="I25" s="226"/>
      <c r="J25" s="226">
        <f>+_xlfn.XLOOKUP(F25,Emisiones[Mnemotécnico SEN],Emisiones[Fecha Vencim.],"",0,1)</f>
        <v>47744</v>
      </c>
      <c r="K25" s="224">
        <f>+_xlfn.XLOOKUP(F25,Emisiones[Mnemotécnico SEN],Emisiones[Tasa de Interés],"",0,1)</f>
        <v>7.75</v>
      </c>
      <c r="L25" s="227">
        <v>10.593</v>
      </c>
      <c r="M25" s="227">
        <v>91.87</v>
      </c>
      <c r="N25" s="227">
        <f t="shared" si="38"/>
        <v>88.408622144575276</v>
      </c>
      <c r="O25" s="227">
        <f t="shared" si="39"/>
        <v>3.461377855424729</v>
      </c>
      <c r="P25" s="227">
        <f t="shared" si="40"/>
        <v>4.288622144575271</v>
      </c>
      <c r="Q25" s="228">
        <f t="shared" si="41"/>
        <v>15000000000</v>
      </c>
      <c r="R25" s="228">
        <f>IF(C25="","",IF('Canjes desagregado'!$G25="UVR",'Canjes desagregado'!$V25*Q25*M25%,Q25*M25%))</f>
        <v>13780500000.000002</v>
      </c>
      <c r="S25" s="228">
        <v>15000000000</v>
      </c>
      <c r="T25" s="228">
        <f t="shared" si="42"/>
        <v>1</v>
      </c>
      <c r="U25" s="228">
        <f t="shared" si="43"/>
        <v>13780500000.000002</v>
      </c>
      <c r="V25" s="229">
        <f>+IF(F25&lt;&gt;"",(_xlfn.XLOOKUP(C25,UVR[Fecha (dd/mm/aaaa)],UVR[Pesos colombianos por UVR],"",0,1)),"")</f>
        <v>380.65350000000001</v>
      </c>
      <c r="W25" s="228">
        <f t="shared" si="44"/>
        <v>1162500000</v>
      </c>
      <c r="X25" s="228">
        <f t="shared" si="45"/>
        <v>1162500000</v>
      </c>
      <c r="Y25" s="230"/>
      <c r="Z25" s="230"/>
      <c r="AA25" s="230"/>
      <c r="AB25" s="231">
        <f>IF(C25="","",ROUND(V25*(1+'Inflación observada '!$B$390%)^(("31-12-2025"-C25)/365),3))</f>
        <v>397.24299999999999</v>
      </c>
      <c r="AC25" s="230"/>
      <c r="AD25" s="232">
        <f t="shared" si="46"/>
        <v>0</v>
      </c>
      <c r="AE25" s="233">
        <f t="shared" si="47"/>
        <v>0.55337059930003496</v>
      </c>
      <c r="AF25" s="228">
        <f t="shared" si="48"/>
        <v>643293321.68629062</v>
      </c>
      <c r="AG25" s="232">
        <f ca="1">(Tabla6[[#This Row],[Fecha Vto]]-TODAY())/365</f>
        <v>4.7698630136986298</v>
      </c>
      <c r="AH25" s="234"/>
      <c r="AI25" s="235"/>
      <c r="AJ25" s="236">
        <f t="shared" si="12"/>
        <v>0</v>
      </c>
    </row>
    <row r="26" spans="1:36">
      <c r="A26" s="219">
        <f t="shared" si="37"/>
        <v>2025</v>
      </c>
      <c r="B26" s="220">
        <v>613</v>
      </c>
      <c r="C26" s="221">
        <v>45716</v>
      </c>
      <c r="D26" s="237" t="s">
        <v>42</v>
      </c>
      <c r="E26" s="238" t="s">
        <v>195</v>
      </c>
      <c r="F26" s="224" t="s">
        <v>360</v>
      </c>
      <c r="G26" s="225" t="str">
        <f>+_xlfn.XLOOKUP(F26,Emisiones[Mnemotécnico SEN],Emisiones[Moneda],"",0,1)</f>
        <v>COP</v>
      </c>
      <c r="H26" s="225"/>
      <c r="I26" s="226"/>
      <c r="J26" s="226">
        <f>+_xlfn.XLOOKUP(F26,Emisiones[Mnemotécnico SEN],Emisiones[Fecha Vencim.],"",0,1)</f>
        <v>53533</v>
      </c>
      <c r="K26" s="224">
        <f>+_xlfn.XLOOKUP(F26,Emisiones[Mnemotécnico SEN],Emisiones[Tasa de Interés],"",0,1)</f>
        <v>11.5</v>
      </c>
      <c r="L26" s="227">
        <v>12.367000000000001</v>
      </c>
      <c r="M26" s="227">
        <v>100.274</v>
      </c>
      <c r="N26" s="227">
        <f t="shared" si="38"/>
        <v>93.405595480327989</v>
      </c>
      <c r="O26" s="227">
        <f t="shared" si="39"/>
        <v>6.868404519672012</v>
      </c>
      <c r="P26" s="227">
        <f t="shared" si="40"/>
        <v>4.631595480327988</v>
      </c>
      <c r="Q26" s="228">
        <f t="shared" si="41"/>
        <v>85000000000</v>
      </c>
      <c r="R26" s="228">
        <f>IF(C26="","",IF('Canjes desagregado'!$G26="UVR",'Canjes desagregado'!$V26*Q26*M26%,Q26*M26%))</f>
        <v>85232900000</v>
      </c>
      <c r="S26" s="228">
        <v>85000000000</v>
      </c>
      <c r="T26" s="228">
        <f t="shared" si="42"/>
        <v>1</v>
      </c>
      <c r="U26" s="228">
        <f t="shared" si="43"/>
        <v>85232900000</v>
      </c>
      <c r="V26" s="229">
        <f>+IF(F26&lt;&gt;"",(_xlfn.XLOOKUP(C26,UVR[Fecha (dd/mm/aaaa)],UVR[Pesos colombianos por UVR],"",0,1)),"")</f>
        <v>380.65350000000001</v>
      </c>
      <c r="W26" s="228">
        <f t="shared" si="44"/>
        <v>9775000000</v>
      </c>
      <c r="X26" s="228">
        <f t="shared" si="45"/>
        <v>9775000000</v>
      </c>
      <c r="Y26" s="230"/>
      <c r="Z26" s="230"/>
      <c r="AA26" s="230"/>
      <c r="AB26" s="231">
        <f>IF(C26="","",ROUND(V26*(1+'Inflación observada '!$B$390%)^(("31-12-2025"-C26)/365),3))</f>
        <v>397.24299999999999</v>
      </c>
      <c r="AC26" s="230"/>
      <c r="AD26" s="232">
        <f t="shared" si="46"/>
        <v>0</v>
      </c>
      <c r="AE26" s="233">
        <f t="shared" si="47"/>
        <v>0.40274743307199895</v>
      </c>
      <c r="AF26" s="228">
        <f t="shared" si="48"/>
        <v>3936856158.27879</v>
      </c>
      <c r="AG26" s="232">
        <f ca="1">(Tabla6[[#This Row],[Fecha Vto]]-TODAY())/365</f>
        <v>20.63013698630137</v>
      </c>
      <c r="AH26" s="234"/>
      <c r="AI26" s="235"/>
      <c r="AJ26" s="236">
        <f t="shared" si="12"/>
        <v>0</v>
      </c>
    </row>
    <row r="27" spans="1:36">
      <c r="A27" s="219">
        <f t="shared" si="37"/>
        <v>2025</v>
      </c>
      <c r="B27" s="220">
        <v>614</v>
      </c>
      <c r="C27" s="221">
        <v>45719</v>
      </c>
      <c r="D27" s="222" t="s">
        <v>42</v>
      </c>
      <c r="E27" s="223" t="s">
        <v>194</v>
      </c>
      <c r="F27" s="224" t="s">
        <v>211</v>
      </c>
      <c r="G27" s="225" t="str">
        <f>+_xlfn.XLOOKUP(F27,Emisiones[Mnemotécnico SEN],Emisiones[Moneda],"",0,1)</f>
        <v>COP</v>
      </c>
      <c r="H27" s="225"/>
      <c r="I27" s="226"/>
      <c r="J27" s="226">
        <f>+_xlfn.XLOOKUP(F27,Emisiones[Mnemotécnico SEN],Emisiones[Fecha Vencim.],"",0,1)</f>
        <v>46260</v>
      </c>
      <c r="K27" s="224">
        <f>+_xlfn.XLOOKUP(F27,Emisiones[Mnemotécnico SEN],Emisiones[Tasa de Interés],"",0,1)</f>
        <v>7.5</v>
      </c>
      <c r="L27" s="227">
        <v>8.7479999999999993</v>
      </c>
      <c r="M27" s="227">
        <v>102.13800000000001</v>
      </c>
      <c r="N27" s="227">
        <f t="shared" si="38"/>
        <v>98.253938433658604</v>
      </c>
      <c r="O27" s="227">
        <f t="shared" si="39"/>
        <v>3.8840615663414013</v>
      </c>
      <c r="P27" s="227">
        <f t="shared" si="40"/>
        <v>3.6159384336585987</v>
      </c>
      <c r="Q27" s="228">
        <f t="shared" si="41"/>
        <v>-64000000000</v>
      </c>
      <c r="R27" s="228">
        <f>IF(C27="","",IF('Canjes desagregado'!$G27="UVR",'Canjes desagregado'!$V27*Q27*M27%,Q27*M27%))</f>
        <v>-65368320000</v>
      </c>
      <c r="S27" s="228">
        <v>-64000000000</v>
      </c>
      <c r="T27" s="228">
        <f t="shared" si="42"/>
        <v>1</v>
      </c>
      <c r="U27" s="228">
        <f t="shared" si="43"/>
        <v>-65368320000</v>
      </c>
      <c r="V27" s="229">
        <f>+IF(F27&lt;&gt;"",(_xlfn.XLOOKUP(C27,UVR[Fecha (dd/mm/aaaa)],UVR[Pesos colombianos por UVR],"",0,1)),"")</f>
        <v>381.03530000000001</v>
      </c>
      <c r="W27" s="228">
        <f t="shared" si="44"/>
        <v>4800000000</v>
      </c>
      <c r="X27" s="228">
        <f t="shared" si="45"/>
        <v>-4800000000</v>
      </c>
      <c r="Y27" s="230"/>
      <c r="Z27" s="230"/>
      <c r="AA27" s="230"/>
      <c r="AB27" s="231">
        <f>IF(C27="","",ROUND(V27*(1+'Inflación observada '!$B$390%)^(("31-12-2025"-C27)/365),3))</f>
        <v>397.47500000000002</v>
      </c>
      <c r="AC27" s="230"/>
      <c r="AD27" s="232">
        <f t="shared" si="46"/>
        <v>0</v>
      </c>
      <c r="AE27" s="233">
        <f t="shared" si="47"/>
        <v>0.48212512448781314</v>
      </c>
      <c r="AF27" s="228">
        <f t="shared" si="48"/>
        <v>-2314200597.541503</v>
      </c>
      <c r="AG27" s="232">
        <f ca="1">(Tabla6[[#This Row],[Fecha Vto]]-TODAY())/365</f>
        <v>0.70410958904109588</v>
      </c>
      <c r="AH27" s="234"/>
      <c r="AI27" s="235"/>
      <c r="AJ27" s="236">
        <f t="shared" si="12"/>
        <v>0</v>
      </c>
    </row>
    <row r="28" spans="1:36">
      <c r="A28" s="219">
        <f t="shared" si="37"/>
        <v>2025</v>
      </c>
      <c r="B28" s="220">
        <v>614</v>
      </c>
      <c r="C28" s="221">
        <v>45719</v>
      </c>
      <c r="D28" s="237" t="s">
        <v>42</v>
      </c>
      <c r="E28" s="238" t="s">
        <v>195</v>
      </c>
      <c r="F28" s="224" t="s">
        <v>360</v>
      </c>
      <c r="G28" s="225" t="str">
        <f>+_xlfn.XLOOKUP(F28,Emisiones[Mnemotécnico SEN],Emisiones[Moneda],"",0,1)</f>
        <v>COP</v>
      </c>
      <c r="H28" s="225"/>
      <c r="I28" s="226"/>
      <c r="J28" s="226">
        <f>+_xlfn.XLOOKUP(F28,Emisiones[Mnemotécnico SEN],Emisiones[Fecha Vencim.],"",0,1)</f>
        <v>53533</v>
      </c>
      <c r="K28" s="224">
        <f>+_xlfn.XLOOKUP(F28,Emisiones[Mnemotécnico SEN],Emisiones[Tasa de Interés],"",0,1)</f>
        <v>11.5</v>
      </c>
      <c r="L28" s="227">
        <v>12.36</v>
      </c>
      <c r="M28" s="227">
        <v>100.419</v>
      </c>
      <c r="N28" s="227">
        <f t="shared" si="38"/>
        <v>93.456389040291583</v>
      </c>
      <c r="O28" s="227">
        <f t="shared" si="39"/>
        <v>6.9626109597084138</v>
      </c>
      <c r="P28" s="227">
        <f t="shared" si="40"/>
        <v>4.5373890402915862</v>
      </c>
      <c r="Q28" s="228">
        <f t="shared" si="41"/>
        <v>64000000000</v>
      </c>
      <c r="R28" s="228">
        <f>IF(C28="","",IF('Canjes desagregado'!$G28="UVR",'Canjes desagregado'!$V28*Q28*M28%,Q28*M28%))</f>
        <v>64268159999.999992</v>
      </c>
      <c r="S28" s="228">
        <v>64000000000</v>
      </c>
      <c r="T28" s="228">
        <f t="shared" si="42"/>
        <v>1</v>
      </c>
      <c r="U28" s="228">
        <f t="shared" si="43"/>
        <v>64268159999.999992</v>
      </c>
      <c r="V28" s="229">
        <f>+IF(F28&lt;&gt;"",(_xlfn.XLOOKUP(C28,UVR[Fecha (dd/mm/aaaa)],UVR[Pesos colombianos por UVR],"",0,1)),"")</f>
        <v>381.03530000000001</v>
      </c>
      <c r="W28" s="228">
        <f t="shared" si="44"/>
        <v>7360000000</v>
      </c>
      <c r="X28" s="228">
        <f t="shared" si="45"/>
        <v>7360000000</v>
      </c>
      <c r="Y28" s="230"/>
      <c r="Z28" s="230"/>
      <c r="AA28" s="230"/>
      <c r="AB28" s="231">
        <f>IF(C28="","",ROUND(V28*(1+'Inflación observada '!$B$390%)^(("31-12-2025"-C28)/365),3))</f>
        <v>397.47500000000002</v>
      </c>
      <c r="AC28" s="230"/>
      <c r="AD28" s="232">
        <f t="shared" si="46"/>
        <v>0</v>
      </c>
      <c r="AE28" s="233">
        <f t="shared" si="47"/>
        <v>0.3945555687210075</v>
      </c>
      <c r="AF28" s="228">
        <f t="shared" si="48"/>
        <v>2903928985.7866154</v>
      </c>
      <c r="AG28" s="232">
        <f ca="1">(Tabla6[[#This Row],[Fecha Vto]]-TODAY())/365</f>
        <v>20.63013698630137</v>
      </c>
      <c r="AH28" s="234"/>
      <c r="AI28" s="235"/>
      <c r="AJ28" s="236">
        <f t="shared" si="12"/>
        <v>0</v>
      </c>
    </row>
    <row r="29" spans="1:36">
      <c r="A29" s="219">
        <f t="shared" ref="A29:A34" si="49">IF(C29="","",YEAR(C29))</f>
        <v>2025</v>
      </c>
      <c r="B29" s="220">
        <v>615</v>
      </c>
      <c r="C29" s="221">
        <v>45720</v>
      </c>
      <c r="D29" s="222" t="s">
        <v>42</v>
      </c>
      <c r="E29" s="223" t="s">
        <v>194</v>
      </c>
      <c r="F29" s="224" t="s">
        <v>309</v>
      </c>
      <c r="G29" s="225" t="str">
        <f>+_xlfn.XLOOKUP(F29,Emisiones[Mnemotécnico SEN],Emisiones[Moneda],"",0,1)</f>
        <v>COP</v>
      </c>
      <c r="H29" s="225"/>
      <c r="I29" s="226"/>
      <c r="J29" s="226">
        <f>+_xlfn.XLOOKUP(F29,Emisiones[Mnemotécnico SEN],Emisiones[Fecha Vencim.],"",0,1)</f>
        <v>45987</v>
      </c>
      <c r="K29" s="224">
        <f>+_xlfn.XLOOKUP(F29,Emisiones[Mnemotécnico SEN],Emisiones[Tasa de Interés],"",0,1)</f>
        <v>6.25</v>
      </c>
      <c r="L29" s="227">
        <v>8.8030000000000008</v>
      </c>
      <c r="M29" s="227">
        <v>99.891000000000005</v>
      </c>
      <c r="N29" s="227">
        <f t="shared" ref="N29:N34" si="50">IF(C29="","",PRICE(C29,J29,K29%,L29%,100,1,3))</f>
        <v>98.143924793423793</v>
      </c>
      <c r="O29" s="227">
        <f t="shared" ref="O29:O34" si="51">IF(C29="","",M29-N29)</f>
        <v>1.7470752065762127</v>
      </c>
      <c r="P29" s="227">
        <f t="shared" ref="P29:P34" si="52">IF(C29="","",100*K29%-O29)</f>
        <v>4.5029247934237873</v>
      </c>
      <c r="Q29" s="228">
        <f t="shared" ref="Q29:Q34" si="53">IF(C29="","",IF(G29="UVR",S29/V29,S29))</f>
        <v>-178400000000</v>
      </c>
      <c r="R29" s="228">
        <f>IF(C29="","",IF('Canjes desagregado'!$G29="UVR",'Canjes desagregado'!$V29*Q29*M29%,Q29*M29%))</f>
        <v>-178205544000</v>
      </c>
      <c r="S29" s="228">
        <v>-178400000000</v>
      </c>
      <c r="T29" s="228">
        <f t="shared" ref="T29:T34" si="54">IFERROR(IF(RIGHT(F29,2)=RIGHT(YEAR(J29),2),1,0),"")</f>
        <v>1</v>
      </c>
      <c r="U29" s="228">
        <f t="shared" ref="U29:U34" si="55">+IF(R29="","",R29)</f>
        <v>-178205544000</v>
      </c>
      <c r="V29" s="229">
        <f>+IF(F29&lt;&gt;"",(_xlfn.XLOOKUP(C29,UVR[Fecha (dd/mm/aaaa)],UVR[Pesos colombianos por UVR],"",0,1)),"")</f>
        <v>381.16269999999997</v>
      </c>
      <c r="W29" s="228">
        <f t="shared" ref="W29:W34" si="56">IF(C29="","",IF(CONCATENATE(DAY(C29),"/",MONTH(C29),"/",2000)-CONCATENATE(DAY(J29),"/",MONTH(J29),"/",2000)&lt;0,K29%*ABS(S29),0))</f>
        <v>11150000000</v>
      </c>
      <c r="X29" s="228">
        <f t="shared" ref="X29:X34" si="57">IF(S29&lt;0,-W29,W29)</f>
        <v>-11150000000</v>
      </c>
      <c r="Y29" s="230"/>
      <c r="Z29" s="230"/>
      <c r="AA29" s="230"/>
      <c r="AB29" s="231">
        <f>IF(C29="","",ROUND(V29*(1+'Inflación observada '!$B$390%)^(("31-12-2025"-C29)/365),3))</f>
        <v>397.55200000000002</v>
      </c>
      <c r="AC29" s="230"/>
      <c r="AD29" s="232">
        <f t="shared" ref="AD29:AD34" si="58">IF(C29="","",IF(G29="UVR",Q29*AB29-S29,0))</f>
        <v>0</v>
      </c>
      <c r="AE29" s="233">
        <f t="shared" ref="AE29:AE34" si="59">IF(C29="","",P29/+(O29+P29))</f>
        <v>0.72046796694780602</v>
      </c>
      <c r="AF29" s="228">
        <f t="shared" ref="AF29:AF34" si="60">IF(C29="","",AE29*Q29*K29%)</f>
        <v>-8033217831.4680367</v>
      </c>
      <c r="AG29" s="232">
        <f ca="1">(Tabla6[[#This Row],[Fecha Vto]]-TODAY())/365</f>
        <v>-4.3835616438356165E-2</v>
      </c>
      <c r="AH29" s="234"/>
      <c r="AI29" s="235"/>
      <c r="AJ29" s="236">
        <f t="shared" si="12"/>
        <v>0</v>
      </c>
    </row>
    <row r="30" spans="1:36">
      <c r="A30" s="219">
        <f t="shared" si="49"/>
        <v>2025</v>
      </c>
      <c r="B30" s="220">
        <v>615</v>
      </c>
      <c r="C30" s="221">
        <v>45720</v>
      </c>
      <c r="D30" s="222" t="s">
        <v>42</v>
      </c>
      <c r="E30" s="223" t="s">
        <v>194</v>
      </c>
      <c r="F30" s="224" t="s">
        <v>211</v>
      </c>
      <c r="G30" s="225" t="str">
        <f>+_xlfn.XLOOKUP(F30,Emisiones[Mnemotécnico SEN],Emisiones[Moneda],"",0,1)</f>
        <v>COP</v>
      </c>
      <c r="H30" s="225"/>
      <c r="I30" s="226"/>
      <c r="J30" s="226">
        <f>+_xlfn.XLOOKUP(F30,Emisiones[Mnemotécnico SEN],Emisiones[Fecha Vencim.],"",0,1)</f>
        <v>46260</v>
      </c>
      <c r="K30" s="224">
        <f>+_xlfn.XLOOKUP(F30,Emisiones[Mnemotécnico SEN],Emisiones[Tasa de Interés],"",0,1)</f>
        <v>7.5</v>
      </c>
      <c r="L30" s="227">
        <v>8.6630000000000003</v>
      </c>
      <c r="M30" s="227">
        <v>102.274</v>
      </c>
      <c r="N30" s="227">
        <f t="shared" si="50"/>
        <v>98.369473756724716</v>
      </c>
      <c r="O30" s="227">
        <f t="shared" si="51"/>
        <v>3.904526243275285</v>
      </c>
      <c r="P30" s="227">
        <f t="shared" si="52"/>
        <v>3.595473756724715</v>
      </c>
      <c r="Q30" s="228">
        <f t="shared" si="53"/>
        <v>-44600000000</v>
      </c>
      <c r="R30" s="228">
        <f>IF(C30="","",IF('Canjes desagregado'!$G30="UVR",'Canjes desagregado'!$V30*Q30*M30%,Q30*M30%))</f>
        <v>-45614204000</v>
      </c>
      <c r="S30" s="228">
        <v>-44600000000</v>
      </c>
      <c r="T30" s="228">
        <f t="shared" si="54"/>
        <v>1</v>
      </c>
      <c r="U30" s="228">
        <f t="shared" si="55"/>
        <v>-45614204000</v>
      </c>
      <c r="V30" s="229">
        <f>+IF(F30&lt;&gt;"",(_xlfn.XLOOKUP(C30,UVR[Fecha (dd/mm/aaaa)],UVR[Pesos colombianos por UVR],"",0,1)),"")</f>
        <v>381.16269999999997</v>
      </c>
      <c r="W30" s="228">
        <f t="shared" si="56"/>
        <v>3345000000</v>
      </c>
      <c r="X30" s="228">
        <f t="shared" si="57"/>
        <v>-3345000000</v>
      </c>
      <c r="Y30" s="230"/>
      <c r="Z30" s="230"/>
      <c r="AA30" s="230"/>
      <c r="AB30" s="231">
        <f>IF(C30="","",ROUND(V30*(1+'Inflación observada '!$B$390%)^(("31-12-2025"-C30)/365),3))</f>
        <v>397.55200000000002</v>
      </c>
      <c r="AC30" s="230"/>
      <c r="AD30" s="232">
        <f t="shared" si="58"/>
        <v>0</v>
      </c>
      <c r="AE30" s="233">
        <f t="shared" si="59"/>
        <v>0.47939650089662866</v>
      </c>
      <c r="AF30" s="228">
        <f t="shared" si="60"/>
        <v>-1603581295.499223</v>
      </c>
      <c r="AG30" s="232">
        <f ca="1">(Tabla6[[#This Row],[Fecha Vto]]-TODAY())/365</f>
        <v>0.70410958904109588</v>
      </c>
      <c r="AH30" s="234"/>
      <c r="AI30" s="235"/>
      <c r="AJ30" s="236">
        <f t="shared" si="12"/>
        <v>0</v>
      </c>
    </row>
    <row r="31" spans="1:36">
      <c r="A31" s="219">
        <f t="shared" si="49"/>
        <v>2025</v>
      </c>
      <c r="B31" s="220">
        <v>615</v>
      </c>
      <c r="C31" s="221">
        <v>45720</v>
      </c>
      <c r="D31" s="237" t="s">
        <v>42</v>
      </c>
      <c r="E31" s="238" t="s">
        <v>195</v>
      </c>
      <c r="F31" s="224" t="s">
        <v>360</v>
      </c>
      <c r="G31" s="225" t="str">
        <f>+_xlfn.XLOOKUP(F31,Emisiones[Mnemotécnico SEN],Emisiones[Moneda],"",0,1)</f>
        <v>COP</v>
      </c>
      <c r="H31" s="225"/>
      <c r="I31" s="226"/>
      <c r="J31" s="226">
        <f>+_xlfn.XLOOKUP(F31,Emisiones[Mnemotécnico SEN],Emisiones[Fecha Vencim.],"",0,1)</f>
        <v>53533</v>
      </c>
      <c r="K31" s="224">
        <f>+_xlfn.XLOOKUP(F31,Emisiones[Mnemotécnico SEN],Emisiones[Tasa de Interés],"",0,1)</f>
        <v>11.5</v>
      </c>
      <c r="L31" s="227">
        <v>12.38</v>
      </c>
      <c r="M31" s="227">
        <v>100.31100000000001</v>
      </c>
      <c r="N31" s="227">
        <f t="shared" si="50"/>
        <v>93.316585878066476</v>
      </c>
      <c r="O31" s="227">
        <f t="shared" si="51"/>
        <v>6.9944141219335307</v>
      </c>
      <c r="P31" s="227">
        <f t="shared" si="52"/>
        <v>4.5055858780664693</v>
      </c>
      <c r="Q31" s="228">
        <f t="shared" si="53"/>
        <v>223000000000</v>
      </c>
      <c r="R31" s="228">
        <f>IF(C31="","",IF('Canjes desagregado'!$G31="UVR",'Canjes desagregado'!$V31*Q31*M31%,Q31*M31%))</f>
        <v>223693530000.00003</v>
      </c>
      <c r="S31" s="228">
        <v>223000000000</v>
      </c>
      <c r="T31" s="228">
        <f t="shared" si="54"/>
        <v>1</v>
      </c>
      <c r="U31" s="228">
        <f t="shared" si="55"/>
        <v>223693530000.00003</v>
      </c>
      <c r="V31" s="229">
        <f>+IF(F31&lt;&gt;"",(_xlfn.XLOOKUP(C31,UVR[Fecha (dd/mm/aaaa)],UVR[Pesos colombianos por UVR],"",0,1)),"")</f>
        <v>381.16269999999997</v>
      </c>
      <c r="W31" s="228">
        <f t="shared" si="56"/>
        <v>25645000000</v>
      </c>
      <c r="X31" s="228">
        <f t="shared" si="57"/>
        <v>25645000000</v>
      </c>
      <c r="Y31" s="230"/>
      <c r="Z31" s="230"/>
      <c r="AA31" s="230"/>
      <c r="AB31" s="231">
        <f>IF(C31="","",ROUND(V31*(1+'Inflación observada '!$B$390%)^(("31-12-2025"-C31)/365),3))</f>
        <v>397.55200000000002</v>
      </c>
      <c r="AC31" s="230"/>
      <c r="AD31" s="232">
        <f t="shared" si="58"/>
        <v>0</v>
      </c>
      <c r="AE31" s="233">
        <f t="shared" si="59"/>
        <v>0.39179007635360602</v>
      </c>
      <c r="AF31" s="228">
        <f t="shared" si="60"/>
        <v>10047456508.088226</v>
      </c>
      <c r="AG31" s="232">
        <f ca="1">(Tabla6[[#This Row],[Fecha Vto]]-TODAY())/365</f>
        <v>20.63013698630137</v>
      </c>
      <c r="AH31" s="234"/>
      <c r="AI31" s="235"/>
      <c r="AJ31" s="236">
        <f t="shared" si="12"/>
        <v>0</v>
      </c>
    </row>
    <row r="32" spans="1:36">
      <c r="A32" s="219">
        <f t="shared" si="49"/>
        <v>2025</v>
      </c>
      <c r="B32" s="220">
        <v>616</v>
      </c>
      <c r="C32" s="221">
        <v>45721</v>
      </c>
      <c r="D32" s="222" t="s">
        <v>42</v>
      </c>
      <c r="E32" s="223" t="s">
        <v>194</v>
      </c>
      <c r="F32" s="224" t="s">
        <v>309</v>
      </c>
      <c r="G32" s="225" t="str">
        <f>+_xlfn.XLOOKUP(F32,Emisiones[Mnemotécnico SEN],Emisiones[Moneda],"",0,1)</f>
        <v>COP</v>
      </c>
      <c r="H32" s="225"/>
      <c r="I32" s="226"/>
      <c r="J32" s="226">
        <f>+_xlfn.XLOOKUP(F32,Emisiones[Mnemotécnico SEN],Emisiones[Fecha Vencim.],"",0,1)</f>
        <v>45987</v>
      </c>
      <c r="K32" s="224">
        <f>+_xlfn.XLOOKUP(F32,Emisiones[Mnemotécnico SEN],Emisiones[Tasa de Interés],"",0,1)</f>
        <v>6.25</v>
      </c>
      <c r="L32" s="227">
        <v>8.702</v>
      </c>
      <c r="M32" s="227">
        <v>99.981999999999999</v>
      </c>
      <c r="N32" s="227">
        <f t="shared" si="50"/>
        <v>98.218533458639797</v>
      </c>
      <c r="O32" s="227">
        <f t="shared" si="51"/>
        <v>1.7634665413602022</v>
      </c>
      <c r="P32" s="227">
        <f t="shared" si="52"/>
        <v>4.4865334586397978</v>
      </c>
      <c r="Q32" s="228">
        <f t="shared" si="53"/>
        <v>-204120000000</v>
      </c>
      <c r="R32" s="228">
        <f>IF(C32="","",IF('Canjes desagregado'!$G32="UVR",'Canjes desagregado'!$V32*Q32*M32%,Q32*M32%))</f>
        <v>-204083258400</v>
      </c>
      <c r="S32" s="228">
        <v>-204120000000</v>
      </c>
      <c r="T32" s="228">
        <f t="shared" si="54"/>
        <v>1</v>
      </c>
      <c r="U32" s="228">
        <f t="shared" si="55"/>
        <v>-204083258400</v>
      </c>
      <c r="V32" s="229">
        <f>+IF(F32&lt;&gt;"",(_xlfn.XLOOKUP(C32,UVR[Fecha (dd/mm/aaaa)],UVR[Pesos colombianos por UVR],"",0,1)),"")</f>
        <v>381.29</v>
      </c>
      <c r="W32" s="228">
        <f t="shared" si="56"/>
        <v>12757500000</v>
      </c>
      <c r="X32" s="228">
        <f t="shared" si="57"/>
        <v>-12757500000</v>
      </c>
      <c r="Y32" s="230"/>
      <c r="Z32" s="230"/>
      <c r="AA32" s="230"/>
      <c r="AB32" s="231">
        <f>IF(C32="","",ROUND(V32*(1+'Inflación observada '!$B$390%)^(("31-12-2025"-C32)/365),3))</f>
        <v>397.63</v>
      </c>
      <c r="AC32" s="230"/>
      <c r="AD32" s="232">
        <f t="shared" si="58"/>
        <v>0</v>
      </c>
      <c r="AE32" s="233">
        <f t="shared" si="59"/>
        <v>0.71784535338236766</v>
      </c>
      <c r="AF32" s="228">
        <f t="shared" si="60"/>
        <v>-9157912095.7755547</v>
      </c>
      <c r="AG32" s="232">
        <f ca="1">(Tabla6[[#This Row],[Fecha Vto]]-TODAY())/365</f>
        <v>-4.3835616438356165E-2</v>
      </c>
      <c r="AH32" s="234"/>
      <c r="AI32" s="235"/>
      <c r="AJ32" s="236">
        <f t="shared" si="12"/>
        <v>0</v>
      </c>
    </row>
    <row r="33" spans="1:36">
      <c r="A33" s="219">
        <f t="shared" si="49"/>
        <v>2025</v>
      </c>
      <c r="B33" s="220">
        <v>616</v>
      </c>
      <c r="C33" s="221">
        <v>45721</v>
      </c>
      <c r="D33" s="222" t="s">
        <v>42</v>
      </c>
      <c r="E33" s="223" t="s">
        <v>194</v>
      </c>
      <c r="F33" s="224" t="s">
        <v>211</v>
      </c>
      <c r="G33" s="225" t="str">
        <f>+_xlfn.XLOOKUP(F33,Emisiones[Mnemotécnico SEN],Emisiones[Moneda],"",0,1)</f>
        <v>COP</v>
      </c>
      <c r="H33" s="225"/>
      <c r="I33" s="226"/>
      <c r="J33" s="226">
        <f>+_xlfn.XLOOKUP(F33,Emisiones[Mnemotécnico SEN],Emisiones[Fecha Vencim.],"",0,1)</f>
        <v>46260</v>
      </c>
      <c r="K33" s="224">
        <f>+_xlfn.XLOOKUP(F33,Emisiones[Mnemotécnico SEN],Emisiones[Tasa de Interés],"",0,1)</f>
        <v>7.5</v>
      </c>
      <c r="L33" s="227">
        <v>8.6519999999999992</v>
      </c>
      <c r="M33" s="227">
        <v>102.31100000000001</v>
      </c>
      <c r="N33" s="227">
        <f t="shared" si="50"/>
        <v>98.386772171924079</v>
      </c>
      <c r="O33" s="227">
        <f t="shared" si="51"/>
        <v>3.924227828075928</v>
      </c>
      <c r="P33" s="227">
        <f t="shared" si="52"/>
        <v>3.575772171924072</v>
      </c>
      <c r="Q33" s="228">
        <f t="shared" si="53"/>
        <v>-38880000000</v>
      </c>
      <c r="R33" s="228">
        <f>IF(C33="","",IF('Canjes desagregado'!$G33="UVR",'Canjes desagregado'!$V33*Q33*M33%,Q33*M33%))</f>
        <v>-39778516800</v>
      </c>
      <c r="S33" s="228">
        <v>-38880000000</v>
      </c>
      <c r="T33" s="228">
        <f t="shared" si="54"/>
        <v>1</v>
      </c>
      <c r="U33" s="228">
        <f t="shared" si="55"/>
        <v>-39778516800</v>
      </c>
      <c r="V33" s="229">
        <f>+IF(F33&lt;&gt;"",(_xlfn.XLOOKUP(C33,UVR[Fecha (dd/mm/aaaa)],UVR[Pesos colombianos por UVR],"",0,1)),"")</f>
        <v>381.29</v>
      </c>
      <c r="W33" s="228">
        <f t="shared" si="56"/>
        <v>2916000000</v>
      </c>
      <c r="X33" s="228">
        <f t="shared" si="57"/>
        <v>-2916000000</v>
      </c>
      <c r="Y33" s="230"/>
      <c r="Z33" s="230"/>
      <c r="AA33" s="230"/>
      <c r="AB33" s="231">
        <f>IF(C33="","",ROUND(V33*(1+'Inflación observada '!$B$390%)^(("31-12-2025"-C33)/365),3))</f>
        <v>397.63</v>
      </c>
      <c r="AC33" s="230"/>
      <c r="AD33" s="232">
        <f t="shared" si="58"/>
        <v>0</v>
      </c>
      <c r="AE33" s="233">
        <f t="shared" si="59"/>
        <v>0.47676962292320962</v>
      </c>
      <c r="AF33" s="228">
        <f t="shared" si="60"/>
        <v>-1390260220.4440792</v>
      </c>
      <c r="AG33" s="232">
        <f ca="1">(Tabla6[[#This Row],[Fecha Vto]]-TODAY())/365</f>
        <v>0.70410958904109588</v>
      </c>
      <c r="AH33" s="234"/>
      <c r="AI33" s="235"/>
      <c r="AJ33" s="236">
        <f t="shared" si="12"/>
        <v>0</v>
      </c>
    </row>
    <row r="34" spans="1:36">
      <c r="A34" s="219">
        <f t="shared" si="49"/>
        <v>2025</v>
      </c>
      <c r="B34" s="220">
        <v>616</v>
      </c>
      <c r="C34" s="221">
        <v>45721</v>
      </c>
      <c r="D34" s="237" t="s">
        <v>42</v>
      </c>
      <c r="E34" s="238" t="s">
        <v>195</v>
      </c>
      <c r="F34" s="224" t="s">
        <v>360</v>
      </c>
      <c r="G34" s="225" t="str">
        <f>+_xlfn.XLOOKUP(F34,Emisiones[Mnemotécnico SEN],Emisiones[Moneda],"",0,1)</f>
        <v>COP</v>
      </c>
      <c r="H34" s="225"/>
      <c r="I34" s="226"/>
      <c r="J34" s="226">
        <f>+_xlfn.XLOOKUP(F34,Emisiones[Mnemotécnico SEN],Emisiones[Fecha Vencim.],"",0,1)</f>
        <v>53533</v>
      </c>
      <c r="K34" s="224">
        <f>+_xlfn.XLOOKUP(F34,Emisiones[Mnemotécnico SEN],Emisiones[Tasa de Interés],"",0,1)</f>
        <v>11.5</v>
      </c>
      <c r="L34" s="227">
        <v>12.38</v>
      </c>
      <c r="M34" s="227">
        <v>100.343</v>
      </c>
      <c r="N34" s="227">
        <f t="shared" si="50"/>
        <v>93.317160571536562</v>
      </c>
      <c r="O34" s="227">
        <f t="shared" si="51"/>
        <v>7.025839428463442</v>
      </c>
      <c r="P34" s="227">
        <f t="shared" si="52"/>
        <v>4.474160571536558</v>
      </c>
      <c r="Q34" s="228">
        <f t="shared" si="53"/>
        <v>243000000000</v>
      </c>
      <c r="R34" s="228">
        <f>IF(C34="","",IF('Canjes desagregado'!$G34="UVR",'Canjes desagregado'!$V34*Q34*M34%,Q34*M34%))</f>
        <v>243833490000</v>
      </c>
      <c r="S34" s="228">
        <v>243000000000</v>
      </c>
      <c r="T34" s="228">
        <f t="shared" si="54"/>
        <v>1</v>
      </c>
      <c r="U34" s="228">
        <f t="shared" si="55"/>
        <v>243833490000</v>
      </c>
      <c r="V34" s="229">
        <f>+IF(F34&lt;&gt;"",(_xlfn.XLOOKUP(C34,UVR[Fecha (dd/mm/aaaa)],UVR[Pesos colombianos por UVR],"",0,1)),"")</f>
        <v>381.29</v>
      </c>
      <c r="W34" s="228">
        <f t="shared" si="56"/>
        <v>27945000000</v>
      </c>
      <c r="X34" s="228">
        <f t="shared" si="57"/>
        <v>27945000000</v>
      </c>
      <c r="Y34" s="230"/>
      <c r="Z34" s="230"/>
      <c r="AA34" s="230"/>
      <c r="AB34" s="231">
        <f>IF(C34="","",ROUND(V34*(1+'Inflación observada '!$B$390%)^(("31-12-2025"-C34)/365),3))</f>
        <v>397.63</v>
      </c>
      <c r="AC34" s="230"/>
      <c r="AD34" s="232">
        <f t="shared" si="58"/>
        <v>0</v>
      </c>
      <c r="AE34" s="233">
        <f t="shared" si="59"/>
        <v>0.38905744100317896</v>
      </c>
      <c r="AF34" s="228">
        <f t="shared" si="60"/>
        <v>10872210188.833838</v>
      </c>
      <c r="AG34" s="232">
        <f ca="1">(Tabla6[[#This Row],[Fecha Vto]]-TODAY())/365</f>
        <v>20.63013698630137</v>
      </c>
      <c r="AH34" s="234"/>
      <c r="AI34" s="235"/>
      <c r="AJ34" s="236">
        <f t="shared" ref="AJ34:AJ65" si="61">IF(C34="","",IF(G34="UVR",Q34*AI34-S34,0))</f>
        <v>0</v>
      </c>
    </row>
    <row r="35" spans="1:36">
      <c r="A35" s="219">
        <f t="shared" ref="A35:A41" si="62">IF(C35="","",YEAR(C35))</f>
        <v>2025</v>
      </c>
      <c r="B35" s="220">
        <v>617</v>
      </c>
      <c r="C35" s="221">
        <v>45722</v>
      </c>
      <c r="D35" s="222" t="s">
        <v>42</v>
      </c>
      <c r="E35" s="223" t="s">
        <v>194</v>
      </c>
      <c r="F35" s="224" t="s">
        <v>309</v>
      </c>
      <c r="G35" s="225" t="str">
        <f>+_xlfn.XLOOKUP(F35,Emisiones[Mnemotécnico SEN],Emisiones[Moneda],"",0,1)</f>
        <v>COP</v>
      </c>
      <c r="H35" s="225"/>
      <c r="I35" s="226"/>
      <c r="J35" s="226">
        <f>+_xlfn.XLOOKUP(F35,Emisiones[Mnemotécnico SEN],Emisiones[Fecha Vencim.],"",0,1)</f>
        <v>45987</v>
      </c>
      <c r="K35" s="224">
        <f>+_xlfn.XLOOKUP(F35,Emisiones[Mnemotécnico SEN],Emisiones[Tasa de Interés],"",0,1)</f>
        <v>6.25</v>
      </c>
      <c r="L35" s="227">
        <v>8.6809999999999992</v>
      </c>
      <c r="M35" s="227">
        <v>100.01900000000001</v>
      </c>
      <c r="N35" s="227">
        <f>IF(C35="","",PRICE(C35,J35,K35%,L35%,100,1,3))</f>
        <v>98.238148630505847</v>
      </c>
      <c r="O35" s="227">
        <f t="shared" ref="O35:O41" si="63">IF(C35="","",M35-N35)</f>
        <v>1.7808513694941581</v>
      </c>
      <c r="P35" s="227">
        <f t="shared" ref="P35:P41" si="64">IF(C35="","",100*K35%-O35)</f>
        <v>4.4691486305058419</v>
      </c>
      <c r="Q35" s="228">
        <f t="shared" ref="Q35:Q41" si="65">IF(C35="","",IF(G35="UVR",S35/V35,S35))</f>
        <v>-110000000000</v>
      </c>
      <c r="R35" s="228">
        <f>IF(C35="","",IF('Canjes desagregado'!$G35="UVR",'Canjes desagregado'!$V35*Q35*M35%,Q35*M35%))</f>
        <v>-110020900000.00002</v>
      </c>
      <c r="S35" s="228">
        <v>-110000000000</v>
      </c>
      <c r="T35" s="228">
        <f t="shared" ref="T35:T41" si="66">IFERROR(IF(RIGHT(F35,2)=RIGHT(YEAR(J35),2),1,0),"")</f>
        <v>1</v>
      </c>
      <c r="U35" s="228">
        <f t="shared" ref="U35:U41" si="67">+IF(R35="","",R35)</f>
        <v>-110020900000.00002</v>
      </c>
      <c r="V35" s="229">
        <f>+IF(F35&lt;&gt;"",(_xlfn.XLOOKUP(C35,UVR[Fecha (dd/mm/aaaa)],UVR[Pesos colombianos por UVR],"",0,1)),"")</f>
        <v>381.41750000000002</v>
      </c>
      <c r="W35" s="228">
        <f t="shared" ref="W35:W41" si="68">IF(C35="","",IF(CONCATENATE(DAY(C35),"/",MONTH(C35),"/",2000)-CONCATENATE(DAY(J35),"/",MONTH(J35),"/",2000)&lt;0,K35%*ABS(S35),0))</f>
        <v>6875000000</v>
      </c>
      <c r="X35" s="228">
        <f t="shared" ref="X35:X41" si="69">IF(S35&lt;0,-W35,W35)</f>
        <v>-6875000000</v>
      </c>
      <c r="Y35" s="230"/>
      <c r="Z35" s="230"/>
      <c r="AA35" s="230"/>
      <c r="AB35" s="231">
        <f>IF(C35="","",ROUND(V35*(1+'Inflación observada '!$B$390%)^(("31-12-2025"-C35)/365),3))</f>
        <v>397.70699999999999</v>
      </c>
      <c r="AC35" s="230"/>
      <c r="AD35" s="232">
        <f t="shared" ref="AD35:AD41" si="70">IF(C35="","",IF(G35="UVR",Q35*AB35-S35,0))</f>
        <v>0</v>
      </c>
      <c r="AE35" s="233">
        <f t="shared" ref="AE35:AE41" si="71">IF(C35="","",P35/+(O35+P35))</f>
        <v>0.7150637808809347</v>
      </c>
      <c r="AF35" s="228">
        <f t="shared" ref="AF35:AF41" si="72">IF(C35="","",AE35*Q35*K35%)</f>
        <v>-4916063493.556426</v>
      </c>
      <c r="AG35" s="232">
        <f ca="1">(Tabla6[[#This Row],[Fecha Vto]]-TODAY())/365</f>
        <v>-4.3835616438356165E-2</v>
      </c>
      <c r="AH35" s="234"/>
      <c r="AI35" s="235"/>
      <c r="AJ35" s="236">
        <f t="shared" si="61"/>
        <v>0</v>
      </c>
    </row>
    <row r="36" spans="1:36">
      <c r="A36" s="219">
        <f t="shared" si="62"/>
        <v>2025</v>
      </c>
      <c r="B36" s="220">
        <v>617</v>
      </c>
      <c r="C36" s="221">
        <v>45722</v>
      </c>
      <c r="D36" s="222" t="s">
        <v>42</v>
      </c>
      <c r="E36" s="223" t="s">
        <v>194</v>
      </c>
      <c r="F36" s="224" t="s">
        <v>211</v>
      </c>
      <c r="G36" s="225" t="str">
        <f>+_xlfn.XLOOKUP(F36,Emisiones[Mnemotécnico SEN],Emisiones[Moneda],"",0,1)</f>
        <v>COP</v>
      </c>
      <c r="H36" s="225"/>
      <c r="I36" s="226"/>
      <c r="J36" s="226">
        <f>+_xlfn.XLOOKUP(F36,Emisiones[Mnemotécnico SEN],Emisiones[Fecha Vencim.],"",0,1)</f>
        <v>46260</v>
      </c>
      <c r="K36" s="224">
        <f>+_xlfn.XLOOKUP(F36,Emisiones[Mnemotécnico SEN],Emisiones[Tasa de Interés],"",0,1)</f>
        <v>7.5</v>
      </c>
      <c r="L36" s="227">
        <v>8.6999999999999993</v>
      </c>
      <c r="M36" s="227">
        <v>102.271</v>
      </c>
      <c r="N36" s="227">
        <f>IF(C36="","",PRICE(C36,J36,K36%,L36%,100,1,3))</f>
        <v>98.326069395642136</v>
      </c>
      <c r="O36" s="227">
        <f t="shared" si="63"/>
        <v>3.9449306043578645</v>
      </c>
      <c r="P36" s="227">
        <f t="shared" si="64"/>
        <v>3.5550693956421355</v>
      </c>
      <c r="Q36" s="228">
        <f t="shared" si="65"/>
        <v>-90000000000</v>
      </c>
      <c r="R36" s="228">
        <f>IF(C36="","",IF('Canjes desagregado'!$G36="UVR",'Canjes desagregado'!$V36*Q36*M36%,Q36*M36%))</f>
        <v>-92043900000</v>
      </c>
      <c r="S36" s="228">
        <v>-90000000000</v>
      </c>
      <c r="T36" s="228">
        <f t="shared" si="66"/>
        <v>1</v>
      </c>
      <c r="U36" s="228">
        <f t="shared" si="67"/>
        <v>-92043900000</v>
      </c>
      <c r="V36" s="229">
        <f>+IF(F36&lt;&gt;"",(_xlfn.XLOOKUP(C36,UVR[Fecha (dd/mm/aaaa)],UVR[Pesos colombianos por UVR],"",0,1)),"")</f>
        <v>381.41750000000002</v>
      </c>
      <c r="W36" s="228">
        <f t="shared" si="68"/>
        <v>6750000000</v>
      </c>
      <c r="X36" s="228">
        <f t="shared" si="69"/>
        <v>-6750000000</v>
      </c>
      <c r="Y36" s="230"/>
      <c r="Z36" s="230"/>
      <c r="AA36" s="230"/>
      <c r="AB36" s="231">
        <f>IF(C36="","",ROUND(V36*(1+'Inflación observada '!$B$390%)^(("31-12-2025"-C36)/365),3))</f>
        <v>397.70699999999999</v>
      </c>
      <c r="AC36" s="230"/>
      <c r="AD36" s="232">
        <f t="shared" si="70"/>
        <v>0</v>
      </c>
      <c r="AE36" s="233">
        <f t="shared" si="71"/>
        <v>0.47400925275228473</v>
      </c>
      <c r="AF36" s="228">
        <f t="shared" si="72"/>
        <v>-3199562456.0779219</v>
      </c>
      <c r="AG36" s="232">
        <f ca="1">(Tabla6[[#This Row],[Fecha Vto]]-TODAY())/365</f>
        <v>0.70410958904109588</v>
      </c>
      <c r="AH36" s="234"/>
      <c r="AI36" s="235"/>
      <c r="AJ36" s="236">
        <f t="shared" si="61"/>
        <v>0</v>
      </c>
    </row>
    <row r="37" spans="1:36">
      <c r="A37" s="219">
        <f t="shared" si="62"/>
        <v>2025</v>
      </c>
      <c r="B37" s="220">
        <v>617</v>
      </c>
      <c r="C37" s="221">
        <v>45722</v>
      </c>
      <c r="D37" s="237" t="s">
        <v>42</v>
      </c>
      <c r="E37" s="238" t="s">
        <v>195</v>
      </c>
      <c r="F37" s="224" t="s">
        <v>360</v>
      </c>
      <c r="G37" s="225" t="str">
        <f>+_xlfn.XLOOKUP(F37,Emisiones[Mnemotécnico SEN],Emisiones[Moneda],"",0,1)</f>
        <v>COP</v>
      </c>
      <c r="H37" s="225"/>
      <c r="I37" s="226"/>
      <c r="J37" s="226">
        <f>+_xlfn.XLOOKUP(F37,Emisiones[Mnemotécnico SEN],Emisiones[Fecha Vencim.],"",0,1)</f>
        <v>53533</v>
      </c>
      <c r="K37" s="224">
        <f>+_xlfn.XLOOKUP(F37,Emisiones[Mnemotécnico SEN],Emisiones[Tasa de Interés],"",0,1)</f>
        <v>11.5</v>
      </c>
      <c r="L37" s="227">
        <v>12.439</v>
      </c>
      <c r="M37" s="227">
        <v>99.963999999999999</v>
      </c>
      <c r="N37" s="227">
        <f>IF(C37="","",PRICE(C37,J37,K37%,L37%,100,1,3))</f>
        <v>92.905788756650395</v>
      </c>
      <c r="O37" s="227">
        <f t="shared" si="63"/>
        <v>7.0582112433496036</v>
      </c>
      <c r="P37" s="227">
        <f t="shared" si="64"/>
        <v>4.4417887566503964</v>
      </c>
      <c r="Q37" s="228">
        <f t="shared" si="65"/>
        <v>200000000000</v>
      </c>
      <c r="R37" s="228">
        <f>IF(C37="","",IF('Canjes desagregado'!$G37="UVR",'Canjes desagregado'!$V37*Q37*M37%,Q37*M37%))</f>
        <v>199928000000</v>
      </c>
      <c r="S37" s="228">
        <v>200000000000</v>
      </c>
      <c r="T37" s="228">
        <f t="shared" si="66"/>
        <v>1</v>
      </c>
      <c r="U37" s="228">
        <f t="shared" si="67"/>
        <v>199928000000</v>
      </c>
      <c r="V37" s="229">
        <f>+IF(F37&lt;&gt;"",(_xlfn.XLOOKUP(C37,UVR[Fecha (dd/mm/aaaa)],UVR[Pesos colombianos por UVR],"",0,1)),"")</f>
        <v>381.41750000000002</v>
      </c>
      <c r="W37" s="228">
        <f t="shared" si="68"/>
        <v>23000000000</v>
      </c>
      <c r="X37" s="228">
        <f t="shared" si="69"/>
        <v>23000000000</v>
      </c>
      <c r="Y37" s="230"/>
      <c r="Z37" s="230"/>
      <c r="AA37" s="230"/>
      <c r="AB37" s="231">
        <f>IF(C37="","",ROUND(V37*(1+'Inflación observada '!$B$390%)^(("31-12-2025"-C37)/365),3))</f>
        <v>397.70699999999999</v>
      </c>
      <c r="AC37" s="230"/>
      <c r="AD37" s="232">
        <f t="shared" si="70"/>
        <v>0</v>
      </c>
      <c r="AE37" s="233">
        <f t="shared" si="71"/>
        <v>0.38624250057829534</v>
      </c>
      <c r="AF37" s="228">
        <f t="shared" si="72"/>
        <v>8883577513.3007946</v>
      </c>
      <c r="AG37" s="232">
        <f ca="1">(Tabla6[[#This Row],[Fecha Vto]]-TODAY())/365</f>
        <v>20.63013698630137</v>
      </c>
      <c r="AH37" s="234"/>
      <c r="AI37" s="235"/>
      <c r="AJ37" s="236">
        <f t="shared" si="61"/>
        <v>0</v>
      </c>
    </row>
    <row r="38" spans="1:36">
      <c r="A38" s="219">
        <f t="shared" si="62"/>
        <v>2025</v>
      </c>
      <c r="B38" s="220">
        <v>618</v>
      </c>
      <c r="C38" s="221">
        <v>45723</v>
      </c>
      <c r="D38" s="222" t="s">
        <v>42</v>
      </c>
      <c r="E38" s="223" t="s">
        <v>194</v>
      </c>
      <c r="F38" s="224" t="s">
        <v>208</v>
      </c>
      <c r="G38" s="225" t="str">
        <f>+_xlfn.XLOOKUP(F38,Emisiones[Mnemotécnico SEN],Emisiones[Moneda],"",0,1)</f>
        <v>UVR</v>
      </c>
      <c r="H38" s="225"/>
      <c r="I38" s="226"/>
      <c r="J38" s="226">
        <f>+_xlfn.XLOOKUP(F38,Emisiones[Mnemotécnico SEN],Emisiones[Fecha Vencim.],"",0,1)</f>
        <v>45784</v>
      </c>
      <c r="K38" s="224">
        <f>+_xlfn.XLOOKUP(F38,Emisiones[Mnemotécnico SEN],Emisiones[Tasa de Interés],"",0,1)</f>
        <v>3.5</v>
      </c>
      <c r="L38" s="227">
        <v>-0.69699999999999995</v>
      </c>
      <c r="M38" s="227">
        <v>103.621</v>
      </c>
      <c r="N38" s="227">
        <v>98.569000000000003</v>
      </c>
      <c r="O38" s="227">
        <f t="shared" si="63"/>
        <v>5.0519999999999925</v>
      </c>
      <c r="P38" s="227">
        <f t="shared" si="64"/>
        <v>-1.5519999999999921</v>
      </c>
      <c r="Q38" s="228">
        <f t="shared" si="65"/>
        <v>-135000000</v>
      </c>
      <c r="R38" s="228">
        <f>IF(C38="","",IF('Canjes desagregado'!$G38="UVR",'Canjes desagregado'!$V38*Q38*M38%,Q38*M38%))</f>
        <v>-53373686511.914993</v>
      </c>
      <c r="S38" s="228">
        <v>-51508561500</v>
      </c>
      <c r="T38" s="228">
        <f t="shared" si="66"/>
        <v>1</v>
      </c>
      <c r="U38" s="228">
        <f t="shared" si="67"/>
        <v>-53373686511.914993</v>
      </c>
      <c r="V38" s="229">
        <f>+IF(F38&lt;&gt;"",(_xlfn.XLOOKUP(C38,UVR[Fecha (dd/mm/aaaa)],UVR[Pesos colombianos por UVR],"",0,1)),"")</f>
        <v>381.54489999999998</v>
      </c>
      <c r="W38" s="228">
        <f t="shared" si="68"/>
        <v>1802799652.5000002</v>
      </c>
      <c r="X38" s="228">
        <f t="shared" si="69"/>
        <v>-1802799652.5000002</v>
      </c>
      <c r="Y38" s="230"/>
      <c r="Z38" s="230"/>
      <c r="AA38" s="230"/>
      <c r="AB38" s="231">
        <f>IF(C38="","",ROUND(V38*(1+'Inflación observada '!$B$390%)^(("31-12-2025"-C38)/365),3))</f>
        <v>397.78500000000003</v>
      </c>
      <c r="AC38" s="230"/>
      <c r="AD38" s="232">
        <f t="shared" si="70"/>
        <v>-2192413500</v>
      </c>
      <c r="AE38" s="233">
        <f t="shared" si="71"/>
        <v>-0.44342857142856912</v>
      </c>
      <c r="AF38" s="228">
        <f t="shared" si="72"/>
        <v>2095199.9999999893</v>
      </c>
      <c r="AG38" s="232">
        <f ca="1">(Tabla6[[#This Row],[Fecha Vto]]-TODAY())/365</f>
        <v>-0.6</v>
      </c>
      <c r="AH38" s="234"/>
      <c r="AI38" s="235"/>
      <c r="AJ38" s="236">
        <f t="shared" si="61"/>
        <v>51508561500</v>
      </c>
    </row>
    <row r="39" spans="1:36">
      <c r="A39" s="219">
        <f t="shared" si="62"/>
        <v>2025</v>
      </c>
      <c r="B39" s="220">
        <v>618</v>
      </c>
      <c r="C39" s="221">
        <v>45723</v>
      </c>
      <c r="D39" s="237" t="s">
        <v>42</v>
      </c>
      <c r="E39" s="238" t="s">
        <v>195</v>
      </c>
      <c r="F39" s="224" t="s">
        <v>373</v>
      </c>
      <c r="G39" s="225" t="str">
        <f>+_xlfn.XLOOKUP(F39,Emisiones[Mnemotécnico SEN],Emisiones[Moneda],"",0,1)</f>
        <v>UVR</v>
      </c>
      <c r="H39" s="225"/>
      <c r="I39" s="226"/>
      <c r="J39" s="226">
        <f>+_xlfn.XLOOKUP(F39,Emisiones[Mnemotécnico SEN],Emisiones[Fecha Vencim.],"",0,1)</f>
        <v>56753</v>
      </c>
      <c r="K39" s="224">
        <f>+_xlfn.XLOOKUP(F39,Emisiones[Mnemotécnico SEN],Emisiones[Tasa de Interés],"",0,1)</f>
        <v>5.25</v>
      </c>
      <c r="L39" s="227">
        <v>5.3449999999999998</v>
      </c>
      <c r="M39" s="227">
        <v>102.77</v>
      </c>
      <c r="N39" s="227">
        <f>IF(C39="","",PRICE(C39,J39,K39%,L39%,100,1,3))</f>
        <v>98.569492978503703</v>
      </c>
      <c r="O39" s="227">
        <f t="shared" si="63"/>
        <v>4.2005070214962927</v>
      </c>
      <c r="P39" s="227">
        <f t="shared" si="64"/>
        <v>1.0494929785037073</v>
      </c>
      <c r="Q39" s="228">
        <f t="shared" si="65"/>
        <v>135000000</v>
      </c>
      <c r="R39" s="228">
        <f>IF(C39="","",IF('Canjes desagregado'!$G39="UVR",'Canjes desagregado'!$V39*Q39*M39%,Q39*M39%))</f>
        <v>52935348653.550003</v>
      </c>
      <c r="S39" s="228">
        <v>51508561500</v>
      </c>
      <c r="T39" s="228">
        <f t="shared" si="66"/>
        <v>1</v>
      </c>
      <c r="U39" s="228">
        <f t="shared" si="67"/>
        <v>52935348653.550003</v>
      </c>
      <c r="V39" s="229">
        <f>+IF(F39&lt;&gt;"",(_xlfn.XLOOKUP(C39,UVR[Fecha (dd/mm/aaaa)],UVR[Pesos colombianos por UVR],"",0,1)),"")</f>
        <v>381.54489999999998</v>
      </c>
      <c r="W39" s="228">
        <f t="shared" si="68"/>
        <v>2704199478.75</v>
      </c>
      <c r="X39" s="228">
        <f t="shared" si="69"/>
        <v>2704199478.75</v>
      </c>
      <c r="Y39" s="230"/>
      <c r="Z39" s="230"/>
      <c r="AA39" s="230"/>
      <c r="AB39" s="231">
        <f>IF(C39="","",ROUND(V39*(1+'Inflación observada '!$B$390%)^(("31-12-2025"-C39)/365),3))</f>
        <v>397.78500000000003</v>
      </c>
      <c r="AC39" s="230"/>
      <c r="AD39" s="232">
        <f t="shared" si="70"/>
        <v>2192413500</v>
      </c>
      <c r="AE39" s="233">
        <f t="shared" si="71"/>
        <v>0.19990342447689663</v>
      </c>
      <c r="AF39" s="228">
        <f t="shared" si="72"/>
        <v>1416815.5209800049</v>
      </c>
      <c r="AG39" s="232">
        <f ca="1">(Tabla6[[#This Row],[Fecha Vto]]-TODAY())/365</f>
        <v>29.452054794520549</v>
      </c>
      <c r="AH39" s="234"/>
      <c r="AI39" s="235"/>
      <c r="AJ39" s="236">
        <f t="shared" si="61"/>
        <v>-51508561500</v>
      </c>
    </row>
    <row r="40" spans="1:36">
      <c r="A40" s="219">
        <f t="shared" si="62"/>
        <v>2025</v>
      </c>
      <c r="B40" s="220">
        <v>619</v>
      </c>
      <c r="C40" s="221">
        <v>45726</v>
      </c>
      <c r="D40" s="222" t="s">
        <v>42</v>
      </c>
      <c r="E40" s="223" t="s">
        <v>194</v>
      </c>
      <c r="F40" s="224" t="s">
        <v>208</v>
      </c>
      <c r="G40" s="225" t="str">
        <f>+_xlfn.XLOOKUP(F40,Emisiones[Mnemotécnico SEN],Emisiones[Moneda],"",0,1)</f>
        <v>UVR</v>
      </c>
      <c r="H40" s="225"/>
      <c r="I40" s="226"/>
      <c r="J40" s="226">
        <f>+_xlfn.XLOOKUP(F40,Emisiones[Mnemotécnico SEN],Emisiones[Fecha Vencim.],"",0,1)</f>
        <v>45784</v>
      </c>
      <c r="K40" s="224">
        <f>+_xlfn.XLOOKUP(F40,Emisiones[Mnemotécnico SEN],Emisiones[Tasa de Interés],"",0,1)</f>
        <v>3.5</v>
      </c>
      <c r="L40" s="227">
        <v>-1.032</v>
      </c>
      <c r="M40" s="227">
        <v>103.67100000000001</v>
      </c>
      <c r="N40" s="227">
        <v>101.727</v>
      </c>
      <c r="O40" s="227">
        <f t="shared" si="63"/>
        <v>1.9440000000000026</v>
      </c>
      <c r="P40" s="227">
        <f t="shared" si="64"/>
        <v>1.5559999999999978</v>
      </c>
      <c r="Q40" s="228">
        <f t="shared" si="65"/>
        <v>-205000000</v>
      </c>
      <c r="R40" s="228">
        <f>IF(C40="","",IF('Canjes desagregado'!$G40="UVR",'Canjes desagregado'!$V40*Q40*M40%,Q40*M40%))</f>
        <v>-81169373250.180008</v>
      </c>
      <c r="S40" s="228">
        <v>-78295158000</v>
      </c>
      <c r="T40" s="228">
        <f t="shared" si="66"/>
        <v>1</v>
      </c>
      <c r="U40" s="228">
        <f t="shared" si="67"/>
        <v>-81169373250.180008</v>
      </c>
      <c r="V40" s="229">
        <f>+IF(F40&lt;&gt;"",(_xlfn.XLOOKUP(C40,UVR[Fecha (dd/mm/aaaa)],UVR[Pesos colombianos por UVR],"",0,1)),"")</f>
        <v>381.92759999999998</v>
      </c>
      <c r="W40" s="228">
        <f t="shared" si="68"/>
        <v>2740330530.0000005</v>
      </c>
      <c r="X40" s="228">
        <f t="shared" si="69"/>
        <v>-2740330530.0000005</v>
      </c>
      <c r="Y40" s="230"/>
      <c r="Z40" s="230"/>
      <c r="AA40" s="230"/>
      <c r="AB40" s="231">
        <f>IF(C40="","",ROUND(V40*(1+'Inflación observada '!$B$391%)^(("31-12-2025"-C40)/365),3))</f>
        <v>398.20100000000002</v>
      </c>
      <c r="AC40" s="230"/>
      <c r="AD40" s="232">
        <f t="shared" si="70"/>
        <v>-3336047000</v>
      </c>
      <c r="AE40" s="233">
        <f t="shared" si="71"/>
        <v>0.4445714285714279</v>
      </c>
      <c r="AF40" s="228">
        <f t="shared" si="72"/>
        <v>-3189799.9999999953</v>
      </c>
      <c r="AG40" s="232">
        <f ca="1">(Tabla6[[#This Row],[Fecha Vto]]-TODAY())/365</f>
        <v>-0.6</v>
      </c>
      <c r="AH40" s="234"/>
      <c r="AI40" s="235"/>
      <c r="AJ40" s="236">
        <f t="shared" si="61"/>
        <v>78295158000</v>
      </c>
    </row>
    <row r="41" spans="1:36">
      <c r="A41" s="219">
        <f t="shared" si="62"/>
        <v>2025</v>
      </c>
      <c r="B41" s="220">
        <v>619</v>
      </c>
      <c r="C41" s="221">
        <v>45726</v>
      </c>
      <c r="D41" s="222" t="s">
        <v>42</v>
      </c>
      <c r="E41" s="223" t="s">
        <v>195</v>
      </c>
      <c r="F41" s="224" t="s">
        <v>373</v>
      </c>
      <c r="G41" s="225" t="str">
        <f>+_xlfn.XLOOKUP(F41,Emisiones[Mnemotécnico SEN],Emisiones[Moneda],"",0,1)</f>
        <v>UVR</v>
      </c>
      <c r="H41" s="225"/>
      <c r="I41" s="226"/>
      <c r="J41" s="226">
        <f>+_xlfn.XLOOKUP(F41,Emisiones[Mnemotécnico SEN],Emisiones[Fecha Vencim.],"",0,1)</f>
        <v>56753</v>
      </c>
      <c r="K41" s="224">
        <f>+_xlfn.XLOOKUP(F41,Emisiones[Mnemotécnico SEN],Emisiones[Tasa de Interés],"",0,1)</f>
        <v>5.25</v>
      </c>
      <c r="L41" s="227">
        <v>5.3849999999999998</v>
      </c>
      <c r="M41" s="227">
        <v>102.229</v>
      </c>
      <c r="N41" s="227">
        <f>IF(C41="","",PRICE(C41,J41,K41%,L41%,100,1,3))</f>
        <v>97.986116922693739</v>
      </c>
      <c r="O41" s="227">
        <f t="shared" si="63"/>
        <v>4.24288307730626</v>
      </c>
      <c r="P41" s="227">
        <f t="shared" si="64"/>
        <v>1.00711692269374</v>
      </c>
      <c r="Q41" s="228">
        <f t="shared" si="65"/>
        <v>205000000</v>
      </c>
      <c r="R41" s="228">
        <f>IF(C41="","",IF('Canjes desagregado'!$G41="UVR",'Canjes desagregado'!$V41*Q41*M41%,Q41*M41%))</f>
        <v>80040357071.819992</v>
      </c>
      <c r="S41" s="228">
        <v>78295158000</v>
      </c>
      <c r="T41" s="228">
        <f t="shared" si="66"/>
        <v>1</v>
      </c>
      <c r="U41" s="228">
        <f t="shared" si="67"/>
        <v>80040357071.819992</v>
      </c>
      <c r="V41" s="229">
        <f>+IF(F41&lt;&gt;"",(_xlfn.XLOOKUP(C41,UVR[Fecha (dd/mm/aaaa)],UVR[Pesos colombianos por UVR],"",0,1)),"")</f>
        <v>381.92759999999998</v>
      </c>
      <c r="W41" s="228">
        <f t="shared" si="68"/>
        <v>4110495795</v>
      </c>
      <c r="X41" s="228">
        <f t="shared" si="69"/>
        <v>4110495795</v>
      </c>
      <c r="Y41" s="230"/>
      <c r="Z41" s="230"/>
      <c r="AA41" s="230"/>
      <c r="AB41" s="231">
        <f>IF(C41="","",ROUND(V41*(1+'Inflación observada '!$B$391%)^(("31-12-2025"-C41)/365),3))</f>
        <v>398.20100000000002</v>
      </c>
      <c r="AC41" s="230"/>
      <c r="AD41" s="232">
        <f t="shared" si="70"/>
        <v>3336047000</v>
      </c>
      <c r="AE41" s="233">
        <f t="shared" si="71"/>
        <v>0.1918317947988076</v>
      </c>
      <c r="AF41" s="228">
        <f t="shared" si="72"/>
        <v>2064589.6915221668</v>
      </c>
      <c r="AG41" s="232">
        <f ca="1">(Tabla6[[#This Row],[Fecha Vto]]-TODAY())/365</f>
        <v>29.452054794520549</v>
      </c>
      <c r="AH41" s="234"/>
      <c r="AI41" s="235"/>
      <c r="AJ41" s="236">
        <f t="shared" si="61"/>
        <v>-78295158000</v>
      </c>
    </row>
    <row r="42" spans="1:36">
      <c r="A42" s="219">
        <f t="shared" ref="A42:A43" si="73">IF(C42="","",YEAR(C42))</f>
        <v>2025</v>
      </c>
      <c r="B42" s="220">
        <v>620</v>
      </c>
      <c r="C42" s="221">
        <v>45727</v>
      </c>
      <c r="D42" s="222" t="s">
        <v>42</v>
      </c>
      <c r="E42" s="223" t="s">
        <v>194</v>
      </c>
      <c r="F42" s="224" t="s">
        <v>208</v>
      </c>
      <c r="G42" s="225" t="str">
        <f>+_xlfn.XLOOKUP(F42,Emisiones[Mnemotécnico SEN],Emisiones[Moneda],"",0,1)</f>
        <v>UVR</v>
      </c>
      <c r="H42" s="225"/>
      <c r="I42" s="226"/>
      <c r="J42" s="226">
        <f>+_xlfn.XLOOKUP(F42,Emisiones[Mnemotécnico SEN],Emisiones[Fecha Vencim.],"",0,1)</f>
        <v>45784</v>
      </c>
      <c r="K42" s="224">
        <f>+_xlfn.XLOOKUP(F42,Emisiones[Mnemotécnico SEN],Emisiones[Tasa de Interés],"",0,1)</f>
        <v>3.5</v>
      </c>
      <c r="L42" s="227">
        <v>-1.1879999999999999</v>
      </c>
      <c r="M42" s="227">
        <v>103.693</v>
      </c>
      <c r="N42" s="227">
        <v>100.74</v>
      </c>
      <c r="O42" s="227">
        <f t="shared" ref="O42:O43" si="74">IF(C42="","",M42-N42)</f>
        <v>2.953000000000003</v>
      </c>
      <c r="P42" s="227">
        <f t="shared" ref="P42:P43" si="75">IF(C42="","",100*K42%-O42)</f>
        <v>0.54699999999999749</v>
      </c>
      <c r="Q42" s="228">
        <f t="shared" ref="Q42:Q43" si="76">IF(C42="","",IF(G42="UVR",S42/V42,S42))</f>
        <v>-465000000</v>
      </c>
      <c r="R42" s="228">
        <f>IF(C42="","",IF('Canjes desagregado'!$G42="UVR",'Canjes desagregado'!$V42*Q42*M42%,Q42*M42%))</f>
        <v>-184216491819.23999</v>
      </c>
      <c r="S42" s="228">
        <v>-177655668000</v>
      </c>
      <c r="T42" s="228">
        <f t="shared" ref="T42:T43" si="77">IFERROR(IF(RIGHT(F42,2)=RIGHT(YEAR(J42),2),1,0),"")</f>
        <v>1</v>
      </c>
      <c r="U42" s="228">
        <f t="shared" ref="U42:U43" si="78">+IF(R42="","",R42)</f>
        <v>-184216491819.23999</v>
      </c>
      <c r="V42" s="229">
        <f>+IF(F42&lt;&gt;"",(_xlfn.XLOOKUP(C42,UVR[Fecha (dd/mm/aaaa)],UVR[Pesos colombianos por UVR],"",0,1)),"")</f>
        <v>382.05520000000001</v>
      </c>
      <c r="W42" s="228">
        <f t="shared" ref="W42:W43" si="79">IF(C42="","",IF(CONCATENATE(DAY(C42),"/",MONTH(C42),"/",2000)-CONCATENATE(DAY(J42),"/",MONTH(J42),"/",2000)&lt;0,K42%*ABS(S42),0))</f>
        <v>6217948380.000001</v>
      </c>
      <c r="X42" s="228">
        <f t="shared" ref="X42:X43" si="80">IF(S42&lt;0,-W42,W42)</f>
        <v>-6217948380.000001</v>
      </c>
      <c r="Y42" s="230"/>
      <c r="Z42" s="230"/>
      <c r="AA42" s="230"/>
      <c r="AB42" s="231">
        <f>IF(C42="","",ROUND(V42*(1+'Inflación observada '!$B$391%)^(("31-12-2025"-C42)/365),3))</f>
        <v>398.27800000000002</v>
      </c>
      <c r="AC42" s="230"/>
      <c r="AD42" s="232">
        <f t="shared" ref="AD42:AD43" si="81">IF(C42="","",IF(G42="UVR",Q42*AB42-S42,0))</f>
        <v>-7543602000</v>
      </c>
      <c r="AE42" s="233">
        <f t="shared" ref="AE42:AE43" si="82">IF(C42="","",P42/+(O42+P42))</f>
        <v>0.15628571428571356</v>
      </c>
      <c r="AF42" s="228">
        <f t="shared" ref="AF42:AF43" si="83">IF(C42="","",AE42*Q42*K42%)</f>
        <v>-2543549.9999999884</v>
      </c>
      <c r="AG42" s="232">
        <f ca="1">(Tabla6[[#This Row],[Fecha Vto]]-TODAY())/365</f>
        <v>-0.6</v>
      </c>
      <c r="AH42" s="234"/>
      <c r="AI42" s="235"/>
      <c r="AJ42" s="236">
        <f t="shared" si="61"/>
        <v>177655668000</v>
      </c>
    </row>
    <row r="43" spans="1:36">
      <c r="A43" s="239">
        <f t="shared" si="73"/>
        <v>2025</v>
      </c>
      <c r="B43" s="240">
        <v>620</v>
      </c>
      <c r="C43" s="241">
        <v>45727</v>
      </c>
      <c r="D43" s="237" t="s">
        <v>42</v>
      </c>
      <c r="E43" s="238" t="s">
        <v>195</v>
      </c>
      <c r="F43" s="242" t="s">
        <v>373</v>
      </c>
      <c r="G43" s="243" t="str">
        <f>+_xlfn.XLOOKUP(F43,Emisiones[Mnemotécnico SEN],Emisiones[Moneda],"",0,1)</f>
        <v>UVR</v>
      </c>
      <c r="H43" s="243"/>
      <c r="I43" s="244"/>
      <c r="J43" s="244">
        <f>+_xlfn.XLOOKUP(F43,Emisiones[Mnemotécnico SEN],Emisiones[Fecha Vencim.],"",0,1)</f>
        <v>56753</v>
      </c>
      <c r="K43" s="242">
        <f>+_xlfn.XLOOKUP(F43,Emisiones[Mnemotécnico SEN],Emisiones[Tasa de Interés],"",0,1)</f>
        <v>5.25</v>
      </c>
      <c r="L43" s="245">
        <v>5.39</v>
      </c>
      <c r="M43" s="245">
        <v>102.17100000000001</v>
      </c>
      <c r="N43" s="245">
        <f t="shared" ref="N43" si="84">IF(C43="","",PRICE(C43,J43,K43%,L43%,100,1,3))</f>
        <v>97.913767999878047</v>
      </c>
      <c r="O43" s="245">
        <f t="shared" si="74"/>
        <v>4.2572320001219595</v>
      </c>
      <c r="P43" s="245">
        <f t="shared" si="75"/>
        <v>0.99276799987804054</v>
      </c>
      <c r="Q43" s="246">
        <f t="shared" si="76"/>
        <v>465000000</v>
      </c>
      <c r="R43" s="246">
        <f>IF(C43="","",IF('Canjes desagregado'!$G43="UVR",'Canjes desagregado'!$V43*Q43*M43%,Q43*M43%))</f>
        <v>181512572552.28003</v>
      </c>
      <c r="S43" s="228">
        <v>177655668000</v>
      </c>
      <c r="T43" s="246">
        <f t="shared" si="77"/>
        <v>1</v>
      </c>
      <c r="U43" s="246">
        <f t="shared" si="78"/>
        <v>181512572552.28003</v>
      </c>
      <c r="V43" s="247">
        <f>+IF(F43&lt;&gt;"",(_xlfn.XLOOKUP(C43,UVR[Fecha (dd/mm/aaaa)],UVR[Pesos colombianos por UVR],"",0,1)),"")</f>
        <v>382.05520000000001</v>
      </c>
      <c r="W43" s="246">
        <f t="shared" si="79"/>
        <v>9326922570</v>
      </c>
      <c r="X43" s="246">
        <f t="shared" si="80"/>
        <v>9326922570</v>
      </c>
      <c r="AB43" s="231">
        <f>IF(C43="","",ROUND(V43*(1+'Inflación observada '!$B$391%)^(("31-12-2025"-C43)/365),3))</f>
        <v>398.27800000000002</v>
      </c>
      <c r="AD43" s="248">
        <f t="shared" si="81"/>
        <v>7543602000</v>
      </c>
      <c r="AE43" s="249">
        <f t="shared" si="82"/>
        <v>0.1890986666434363</v>
      </c>
      <c r="AF43" s="246">
        <f t="shared" si="83"/>
        <v>4616371.1994328881</v>
      </c>
      <c r="AG43" s="248">
        <f ca="1">(Tabla6[[#This Row],[Fecha Vto]]-TODAY())/365</f>
        <v>29.452054794520549</v>
      </c>
      <c r="AH43" s="235"/>
      <c r="AI43" s="235"/>
      <c r="AJ43" s="236">
        <f t="shared" si="61"/>
        <v>-177655668000</v>
      </c>
    </row>
    <row r="44" spans="1:36">
      <c r="A44" s="219">
        <f t="shared" ref="A44:A46" si="85">IF(C44="","",YEAR(C44))</f>
        <v>2025</v>
      </c>
      <c r="B44" s="220">
        <v>621</v>
      </c>
      <c r="C44" s="221">
        <v>45728</v>
      </c>
      <c r="D44" s="222" t="s">
        <v>42</v>
      </c>
      <c r="E44" s="223" t="s">
        <v>194</v>
      </c>
      <c r="F44" s="224" t="s">
        <v>309</v>
      </c>
      <c r="G44" s="225" t="str">
        <f>+_xlfn.XLOOKUP(F44,Emisiones[Mnemotécnico SEN],Emisiones[Moneda],"",0,1)</f>
        <v>COP</v>
      </c>
      <c r="H44" s="225"/>
      <c r="I44" s="226"/>
      <c r="J44" s="226">
        <f>+_xlfn.XLOOKUP(F44,Emisiones[Mnemotécnico SEN],Emisiones[Fecha Vencim.],"",0,1)</f>
        <v>45987</v>
      </c>
      <c r="K44" s="224">
        <f>+_xlfn.XLOOKUP(F44,Emisiones[Mnemotécnico SEN],Emisiones[Tasa de Interés],"",0,1)</f>
        <v>6.25</v>
      </c>
      <c r="L44" s="227">
        <v>8.9060000000000006</v>
      </c>
      <c r="M44" s="227">
        <v>100.009</v>
      </c>
      <c r="N44" s="227">
        <f t="shared" ref="N44:N46" si="86">IF(C44="","",PRICE(C44,J44,K44%,L44%,100,1,3))</f>
        <v>98.119468506612279</v>
      </c>
      <c r="O44" s="227">
        <f t="shared" ref="O44:O46" si="87">IF(C44="","",M44-N44)</f>
        <v>1.8895314933877216</v>
      </c>
      <c r="P44" s="227">
        <f t="shared" ref="P44:P46" si="88">IF(C44="","",100*K44%-O44)</f>
        <v>4.3604685066122784</v>
      </c>
      <c r="Q44" s="228">
        <f t="shared" ref="Q44:Q46" si="89">IF(C44="","",IF(G44="UVR",S44/V44,S44))</f>
        <v>-90000000000</v>
      </c>
      <c r="R44" s="228">
        <f>IF(C44="","",IF('Canjes desagregado'!$G44="UVR",'Canjes desagregado'!$V44*Q44*M44%,Q44*M44%))</f>
        <v>-90008100000</v>
      </c>
      <c r="S44" s="228">
        <v>-90000000000</v>
      </c>
      <c r="T44" s="228">
        <f t="shared" ref="T44:T46" si="90">IFERROR(IF(RIGHT(F44,2)=RIGHT(YEAR(J44),2),1,0),"")</f>
        <v>1</v>
      </c>
      <c r="U44" s="228">
        <f t="shared" ref="U44:U46" si="91">+IF(R44="","",R44)</f>
        <v>-90008100000</v>
      </c>
      <c r="V44" s="229">
        <f>+IF(F44&lt;&gt;"",(_xlfn.XLOOKUP(C44,UVR[Fecha (dd/mm/aaaa)],UVR[Pesos colombianos por UVR],"",0,1)),"")</f>
        <v>382.18290000000002</v>
      </c>
      <c r="W44" s="228">
        <f t="shared" ref="W44:W46" si="92">IF(C44="","",IF(CONCATENATE(DAY(C44),"/",MONTH(C44),"/",2000)-CONCATENATE(DAY(J44),"/",MONTH(J44),"/",2000)&lt;0,K44%*ABS(S44),0))</f>
        <v>5625000000</v>
      </c>
      <c r="X44" s="228">
        <f t="shared" ref="X44:X46" si="93">IF(S44&lt;0,-W44,W44)</f>
        <v>-5625000000</v>
      </c>
      <c r="Y44" s="230"/>
      <c r="Z44" s="230"/>
      <c r="AA44" s="230"/>
      <c r="AB44" s="231">
        <f>IF(C44="","",ROUND(V44*(1+'Inflación observada '!$B$391%)^(("31-12-2025"-C44)/365),3))</f>
        <v>398.35500000000002</v>
      </c>
      <c r="AC44" s="230"/>
      <c r="AD44" s="232">
        <f t="shared" ref="AD44:AD46" si="94">IF(C44="","",IF(G44="UVR",Q44*AB44-S44,0))</f>
        <v>0</v>
      </c>
      <c r="AE44" s="233">
        <f t="shared" ref="AE44:AE46" si="95">IF(C44="","",P44/+(O44+P44))</f>
        <v>0.69767496105796456</v>
      </c>
      <c r="AF44" s="228">
        <f t="shared" ref="AF44:AF46" si="96">IF(C44="","",AE44*Q44*K44%)</f>
        <v>-3924421655.9510508</v>
      </c>
      <c r="AG44" s="232">
        <f ca="1">(Tabla6[[#This Row],[Fecha Vto]]-TODAY())/365</f>
        <v>-4.3835616438356165E-2</v>
      </c>
      <c r="AH44" s="234"/>
      <c r="AI44" s="235"/>
      <c r="AJ44" s="236">
        <f t="shared" si="61"/>
        <v>0</v>
      </c>
    </row>
    <row r="45" spans="1:36">
      <c r="A45" s="239">
        <f t="shared" si="85"/>
        <v>2025</v>
      </c>
      <c r="B45" s="240">
        <v>621</v>
      </c>
      <c r="C45" s="241">
        <v>45728</v>
      </c>
      <c r="D45" s="237" t="s">
        <v>42</v>
      </c>
      <c r="E45" s="238" t="s">
        <v>194</v>
      </c>
      <c r="F45" s="242" t="s">
        <v>211</v>
      </c>
      <c r="G45" s="243" t="str">
        <f>+_xlfn.XLOOKUP(F45,Emisiones[Mnemotécnico SEN],Emisiones[Moneda],"",0,1)</f>
        <v>COP</v>
      </c>
      <c r="H45" s="243"/>
      <c r="I45" s="244"/>
      <c r="J45" s="244">
        <f>+_xlfn.XLOOKUP(F45,Emisiones[Mnemotécnico SEN],Emisiones[Fecha Vencim.],"",0,1)</f>
        <v>46260</v>
      </c>
      <c r="K45" s="242">
        <f>+_xlfn.XLOOKUP(F45,Emisiones[Mnemotécnico SEN],Emisiones[Tasa de Interés],"",0,1)</f>
        <v>7.5</v>
      </c>
      <c r="L45" s="245">
        <v>8.8889999999999993</v>
      </c>
      <c r="M45" s="245">
        <v>102.16500000000001</v>
      </c>
      <c r="N45" s="245">
        <f t="shared" si="86"/>
        <v>98.096660164878415</v>
      </c>
      <c r="O45" s="245">
        <f t="shared" si="87"/>
        <v>4.0683398351215914</v>
      </c>
      <c r="P45" s="245">
        <f t="shared" si="88"/>
        <v>3.4316601648784086</v>
      </c>
      <c r="Q45" s="246">
        <f t="shared" si="89"/>
        <v>-60000000000</v>
      </c>
      <c r="R45" s="246">
        <f>IF(C45="","",IF('Canjes desagregado'!$G45="UVR",'Canjes desagregado'!$V45*Q45*M45%,Q45*M45%))</f>
        <v>-61299000000.000008</v>
      </c>
      <c r="S45" s="246">
        <v>-60000000000</v>
      </c>
      <c r="T45" s="246">
        <f t="shared" si="90"/>
        <v>1</v>
      </c>
      <c r="U45" s="246">
        <f t="shared" si="91"/>
        <v>-61299000000.000008</v>
      </c>
      <c r="V45" s="247">
        <f>+IF(F45&lt;&gt;"",(_xlfn.XLOOKUP(C45,UVR[Fecha (dd/mm/aaaa)],UVR[Pesos colombianos por UVR],"",0,1)),"")</f>
        <v>382.18290000000002</v>
      </c>
      <c r="W45" s="246">
        <f t="shared" si="92"/>
        <v>4500000000</v>
      </c>
      <c r="X45" s="246">
        <f t="shared" si="93"/>
        <v>-4500000000</v>
      </c>
      <c r="AB45" s="231">
        <f>IF(C45="","",ROUND(V45*(1+'Inflación observada '!$B$391%)^(("31-12-2025"-C45)/365),3))</f>
        <v>398.35500000000002</v>
      </c>
      <c r="AD45" s="248">
        <f t="shared" si="94"/>
        <v>0</v>
      </c>
      <c r="AE45" s="249">
        <f t="shared" si="95"/>
        <v>0.45755468865045451</v>
      </c>
      <c r="AF45" s="246">
        <f t="shared" si="96"/>
        <v>-2058996098.9270453</v>
      </c>
      <c r="AG45" s="248">
        <f ca="1">(Tabla6[[#This Row],[Fecha Vto]]-TODAY())/365</f>
        <v>0.70410958904109588</v>
      </c>
      <c r="AH45" s="235"/>
      <c r="AI45" s="235"/>
      <c r="AJ45" s="236">
        <f t="shared" si="61"/>
        <v>0</v>
      </c>
    </row>
    <row r="46" spans="1:36">
      <c r="A46" s="239">
        <f t="shared" si="85"/>
        <v>2025</v>
      </c>
      <c r="B46" s="240">
        <v>621</v>
      </c>
      <c r="C46" s="241">
        <v>45728</v>
      </c>
      <c r="D46" s="237" t="s">
        <v>42</v>
      </c>
      <c r="E46" s="238" t="s">
        <v>195</v>
      </c>
      <c r="F46" s="242" t="s">
        <v>360</v>
      </c>
      <c r="G46" s="243" t="str">
        <f>+_xlfn.XLOOKUP(F46,Emisiones[Mnemotécnico SEN],Emisiones[Moneda],"",0,1)</f>
        <v>COP</v>
      </c>
      <c r="H46" s="243"/>
      <c r="I46" s="244"/>
      <c r="J46" s="244">
        <f>+_xlfn.XLOOKUP(F46,Emisiones[Mnemotécnico SEN],Emisiones[Fecha Vencim.],"",0,1)</f>
        <v>53533</v>
      </c>
      <c r="K46" s="242">
        <f>+_xlfn.XLOOKUP(F46,Emisiones[Mnemotécnico SEN],Emisiones[Tasa de Interés],"",0,1)</f>
        <v>11.5</v>
      </c>
      <c r="L46" s="245">
        <v>12.49</v>
      </c>
      <c r="M46" s="245">
        <v>99.802999999999997</v>
      </c>
      <c r="N46" s="245">
        <f t="shared" si="86"/>
        <v>92.556050111208521</v>
      </c>
      <c r="O46" s="245">
        <f t="shared" si="87"/>
        <v>7.2469498887914767</v>
      </c>
      <c r="P46" s="245">
        <f t="shared" si="88"/>
        <v>4.2530501112085233</v>
      </c>
      <c r="Q46" s="246">
        <f t="shared" si="89"/>
        <v>150000000000</v>
      </c>
      <c r="R46" s="246">
        <f>IF(C46="","",IF('Canjes desagregado'!$G46="UVR",'Canjes desagregado'!$V46*Q46*M46%,Q46*M46%))</f>
        <v>149704500000</v>
      </c>
      <c r="S46" s="246">
        <v>150000000000</v>
      </c>
      <c r="T46" s="246">
        <f t="shared" si="90"/>
        <v>1</v>
      </c>
      <c r="U46" s="246">
        <f t="shared" si="91"/>
        <v>149704500000</v>
      </c>
      <c r="V46" s="247">
        <f>+IF(F46&lt;&gt;"",(_xlfn.XLOOKUP(C46,UVR[Fecha (dd/mm/aaaa)],UVR[Pesos colombianos por UVR],"",0,1)),"")</f>
        <v>382.18290000000002</v>
      </c>
      <c r="W46" s="246">
        <f t="shared" si="92"/>
        <v>17250000000</v>
      </c>
      <c r="X46" s="246">
        <f t="shared" si="93"/>
        <v>17250000000</v>
      </c>
      <c r="AB46" s="231">
        <f>IF(C46="","",ROUND(V46*(1+'Inflación observada '!$B$391%)^(("31-12-2025"-C46)/365),3))</f>
        <v>398.35500000000002</v>
      </c>
      <c r="AD46" s="248">
        <f t="shared" si="94"/>
        <v>0</v>
      </c>
      <c r="AE46" s="249">
        <f t="shared" si="95"/>
        <v>0.36983044445291507</v>
      </c>
      <c r="AF46" s="246">
        <f t="shared" si="96"/>
        <v>6379575166.8127851</v>
      </c>
      <c r="AG46" s="248">
        <f ca="1">(Tabla6[[#This Row],[Fecha Vto]]-TODAY())/365</f>
        <v>20.63013698630137</v>
      </c>
      <c r="AH46" s="235"/>
      <c r="AI46" s="235"/>
      <c r="AJ46" s="236">
        <f t="shared" si="61"/>
        <v>0</v>
      </c>
    </row>
    <row r="47" spans="1:36">
      <c r="A47" s="219">
        <f t="shared" ref="A47:A52" si="97">IF(C47="","",YEAR(C47))</f>
        <v>2025</v>
      </c>
      <c r="B47" s="220">
        <v>622</v>
      </c>
      <c r="C47" s="221">
        <v>45729</v>
      </c>
      <c r="D47" s="222" t="s">
        <v>42</v>
      </c>
      <c r="E47" s="223" t="s">
        <v>194</v>
      </c>
      <c r="F47" s="224" t="s">
        <v>309</v>
      </c>
      <c r="G47" s="225" t="str">
        <f>+_xlfn.XLOOKUP(F47,Emisiones[Mnemotécnico SEN],Emisiones[Moneda],"",0,1)</f>
        <v>COP</v>
      </c>
      <c r="H47" s="225"/>
      <c r="I47" s="226"/>
      <c r="J47" s="226">
        <f>+_xlfn.XLOOKUP(F47,Emisiones[Mnemotécnico SEN],Emisiones[Fecha Vencim.],"",0,1)</f>
        <v>45987</v>
      </c>
      <c r="K47" s="224">
        <f>+_xlfn.XLOOKUP(F47,Emisiones[Mnemotécnico SEN],Emisiones[Tasa de Interés],"",0,1)</f>
        <v>6.25</v>
      </c>
      <c r="L47" s="227">
        <v>8.9049999999999994</v>
      </c>
      <c r="M47" s="227">
        <v>100.033</v>
      </c>
      <c r="N47" s="227">
        <f t="shared" ref="N47:N52" si="98">IF(C47="","",PRICE(C47,J47,K47%,L47%,100,1,3))</f>
        <v>98.125949841226316</v>
      </c>
      <c r="O47" s="227">
        <f t="shared" ref="O47:O52" si="99">IF(C47="","",M47-N47)</f>
        <v>1.9070501587736857</v>
      </c>
      <c r="P47" s="227">
        <f t="shared" ref="P47:P52" si="100">IF(C47="","",100*K47%-O47)</f>
        <v>4.3429498412263143</v>
      </c>
      <c r="Q47" s="228">
        <f t="shared" ref="Q47:Q52" si="101">IF(C47="","",IF(G47="UVR",S47/V47,S47))</f>
        <v>-91000000000</v>
      </c>
      <c r="R47" s="228">
        <f>IF(C47="","",IF('Canjes desagregado'!$G47="UVR",'Canjes desagregado'!$V47*Q47*M47%,Q47*M47%))</f>
        <v>-91030030000</v>
      </c>
      <c r="S47" s="228">
        <v>-91000000000</v>
      </c>
      <c r="T47" s="228">
        <f t="shared" ref="T47:T52" si="102">IFERROR(IF(RIGHT(F47,2)=RIGHT(YEAR(J47),2),1,0),"")</f>
        <v>1</v>
      </c>
      <c r="U47" s="228">
        <f t="shared" ref="U47:U52" si="103">+IF(R47="","",R47)</f>
        <v>-91030030000</v>
      </c>
      <c r="V47" s="229">
        <f>+IF(F47&lt;&gt;"",(_xlfn.XLOOKUP(C47,UVR[Fecha (dd/mm/aaaa)],UVR[Pesos colombianos por UVR],"",0,1)),"")</f>
        <v>382.3107</v>
      </c>
      <c r="W47" s="228">
        <f t="shared" ref="W47:W52" si="104">IF(C47="","",IF(CONCATENATE(DAY(C47),"/",MONTH(C47),"/",2000)-CONCATENATE(DAY(J47),"/",MONTH(J47),"/",2000)&lt;0,K47%*ABS(S47),0))</f>
        <v>5687500000</v>
      </c>
      <c r="X47" s="228">
        <f t="shared" ref="X47:X52" si="105">IF(S47&lt;0,-W47,W47)</f>
        <v>-5687500000</v>
      </c>
      <c r="Y47" s="230"/>
      <c r="Z47" s="230"/>
      <c r="AA47" s="230"/>
      <c r="AB47" s="231">
        <f>IF(C47="","",ROUND(V47*(1+'Inflación observada '!$B$391%)^(("31-12-2025"-C47)/365),3))</f>
        <v>398.43200000000002</v>
      </c>
      <c r="AC47" s="230"/>
      <c r="AD47" s="232">
        <f t="shared" ref="AD47:AD52" si="106">IF(C47="","",IF(G47="UVR",Q47*AB47-S47,0))</f>
        <v>0</v>
      </c>
      <c r="AE47" s="233">
        <f t="shared" ref="AE47:AE52" si="107">IF(C47="","",P47/+(O47+P47))</f>
        <v>0.69487197459621031</v>
      </c>
      <c r="AF47" s="228">
        <f t="shared" ref="AF47:AF52" si="108">IF(C47="","",AE47*Q47*K47%)</f>
        <v>-3952084355.5159459</v>
      </c>
      <c r="AG47" s="232">
        <f ca="1">(Tabla6[[#This Row],[Fecha Vto]]-TODAY())/365</f>
        <v>-4.3835616438356165E-2</v>
      </c>
      <c r="AH47" s="234"/>
      <c r="AI47" s="235"/>
      <c r="AJ47" s="236">
        <f t="shared" si="61"/>
        <v>0</v>
      </c>
    </row>
    <row r="48" spans="1:36">
      <c r="A48" s="219">
        <f t="shared" si="97"/>
        <v>2025</v>
      </c>
      <c r="B48" s="220">
        <v>622</v>
      </c>
      <c r="C48" s="221">
        <v>45729</v>
      </c>
      <c r="D48" s="237" t="s">
        <v>42</v>
      </c>
      <c r="E48" s="238" t="s">
        <v>194</v>
      </c>
      <c r="F48" s="242" t="s">
        <v>211</v>
      </c>
      <c r="G48" s="225" t="str">
        <f>+_xlfn.XLOOKUP(F48,Emisiones[Mnemotécnico SEN],Emisiones[Moneda],"",0,1)</f>
        <v>COP</v>
      </c>
      <c r="H48" s="225"/>
      <c r="I48" s="226"/>
      <c r="J48" s="226">
        <f>+_xlfn.XLOOKUP(F48,Emisiones[Mnemotécnico SEN],Emisiones[Fecha Vencim.],"",0,1)</f>
        <v>46260</v>
      </c>
      <c r="K48" s="224">
        <f>+_xlfn.XLOOKUP(F48,Emisiones[Mnemotécnico SEN],Emisiones[Tasa de Interés],"",0,1)</f>
        <v>7.5</v>
      </c>
      <c r="L48" s="227">
        <v>8.8580000000000005</v>
      </c>
      <c r="M48" s="227">
        <v>102.229</v>
      </c>
      <c r="N48" s="227">
        <f t="shared" si="98"/>
        <v>98.140234882074751</v>
      </c>
      <c r="O48" s="227">
        <f t="shared" si="99"/>
        <v>4.0887651179252487</v>
      </c>
      <c r="P48" s="227">
        <f t="shared" si="100"/>
        <v>3.4112348820747513</v>
      </c>
      <c r="Q48" s="228">
        <f t="shared" si="101"/>
        <v>-90000000000</v>
      </c>
      <c r="R48" s="228">
        <f>IF(C48="","",IF('Canjes desagregado'!$G48="UVR",'Canjes desagregado'!$V48*Q48*M48%,Q48*M48%))</f>
        <v>-92006100000</v>
      </c>
      <c r="S48" s="228">
        <v>-90000000000</v>
      </c>
      <c r="T48" s="228">
        <f t="shared" si="102"/>
        <v>1</v>
      </c>
      <c r="U48" s="228">
        <f t="shared" si="103"/>
        <v>-92006100000</v>
      </c>
      <c r="V48" s="229">
        <f>+IF(F48&lt;&gt;"",(_xlfn.XLOOKUP(C48,UVR[Fecha (dd/mm/aaaa)],UVR[Pesos colombianos por UVR],"",0,1)),"")</f>
        <v>382.3107</v>
      </c>
      <c r="W48" s="228">
        <f t="shared" si="104"/>
        <v>6750000000</v>
      </c>
      <c r="X48" s="228">
        <f t="shared" si="105"/>
        <v>-6750000000</v>
      </c>
      <c r="Y48" s="230"/>
      <c r="Z48" s="230"/>
      <c r="AA48" s="230"/>
      <c r="AB48" s="231">
        <f>IF(C48="","",ROUND(V48*(1+'Inflación observada '!$B$391%)^(("31-12-2025"-C48)/365),3))</f>
        <v>398.43200000000002</v>
      </c>
      <c r="AC48" s="230"/>
      <c r="AD48" s="232">
        <f t="shared" si="106"/>
        <v>0</v>
      </c>
      <c r="AE48" s="233">
        <f t="shared" si="107"/>
        <v>0.45483131760996687</v>
      </c>
      <c r="AF48" s="228">
        <f t="shared" si="108"/>
        <v>-3070111393.8672762</v>
      </c>
      <c r="AG48" s="232">
        <f ca="1">(Tabla6[[#This Row],[Fecha Vto]]-TODAY())/365</f>
        <v>0.70410958904109588</v>
      </c>
      <c r="AH48" s="234"/>
      <c r="AI48" s="235"/>
      <c r="AJ48" s="236">
        <f t="shared" si="61"/>
        <v>0</v>
      </c>
    </row>
    <row r="49" spans="1:36">
      <c r="A49" s="219">
        <f t="shared" si="97"/>
        <v>2025</v>
      </c>
      <c r="B49" s="220">
        <v>622</v>
      </c>
      <c r="C49" s="221">
        <v>45729</v>
      </c>
      <c r="D49" s="237" t="s">
        <v>42</v>
      </c>
      <c r="E49" s="238" t="s">
        <v>195</v>
      </c>
      <c r="F49" s="242" t="s">
        <v>360</v>
      </c>
      <c r="G49" s="225" t="str">
        <f>+_xlfn.XLOOKUP(F49,Emisiones[Mnemotécnico SEN],Emisiones[Moneda],"",0,1)</f>
        <v>COP</v>
      </c>
      <c r="H49" s="225"/>
      <c r="I49" s="226"/>
      <c r="J49" s="226">
        <f>+_xlfn.XLOOKUP(F49,Emisiones[Mnemotécnico SEN],Emisiones[Fecha Vencim.],"",0,1)</f>
        <v>53533</v>
      </c>
      <c r="K49" s="224">
        <f>+_xlfn.XLOOKUP(F49,Emisiones[Mnemotécnico SEN],Emisiones[Tasa de Interés],"",0,1)</f>
        <v>11.5</v>
      </c>
      <c r="L49" s="227">
        <v>12.496</v>
      </c>
      <c r="M49" s="227">
        <v>99.793999999999997</v>
      </c>
      <c r="N49" s="227">
        <f t="shared" si="98"/>
        <v>92.51528974085997</v>
      </c>
      <c r="O49" s="227">
        <f t="shared" si="99"/>
        <v>7.278710259140027</v>
      </c>
      <c r="P49" s="227">
        <f t="shared" si="100"/>
        <v>4.221289740859973</v>
      </c>
      <c r="Q49" s="228">
        <f t="shared" si="101"/>
        <v>181000000000</v>
      </c>
      <c r="R49" s="228">
        <f>IF(C49="","",IF('Canjes desagregado'!$G49="UVR",'Canjes desagregado'!$V49*Q49*M49%,Q49*M49%))</f>
        <v>180627140000</v>
      </c>
      <c r="S49" s="228">
        <v>181000000000</v>
      </c>
      <c r="T49" s="228">
        <f t="shared" si="102"/>
        <v>1</v>
      </c>
      <c r="U49" s="228">
        <f t="shared" si="103"/>
        <v>180627140000</v>
      </c>
      <c r="V49" s="229">
        <f>+IF(F49&lt;&gt;"",(_xlfn.XLOOKUP(C49,UVR[Fecha (dd/mm/aaaa)],UVR[Pesos colombianos por UVR],"",0,1)),"")</f>
        <v>382.3107</v>
      </c>
      <c r="W49" s="228">
        <f t="shared" si="104"/>
        <v>20815000000</v>
      </c>
      <c r="X49" s="228">
        <f t="shared" si="105"/>
        <v>20815000000</v>
      </c>
      <c r="Y49" s="230"/>
      <c r="Z49" s="230"/>
      <c r="AA49" s="230"/>
      <c r="AB49" s="231">
        <f>IF(C49="","",ROUND(V49*(1+'Inflación observada '!$B$391%)^(("31-12-2025"-C49)/365),3))</f>
        <v>398.43200000000002</v>
      </c>
      <c r="AC49" s="230"/>
      <c r="AD49" s="232">
        <f t="shared" si="106"/>
        <v>0</v>
      </c>
      <c r="AE49" s="233">
        <f t="shared" si="107"/>
        <v>0.36706867311825853</v>
      </c>
      <c r="AF49" s="228">
        <f t="shared" si="108"/>
        <v>7640534430.9565516</v>
      </c>
      <c r="AG49" s="232">
        <f ca="1">(Tabla6[[#This Row],[Fecha Vto]]-TODAY())/365</f>
        <v>20.63013698630137</v>
      </c>
      <c r="AH49" s="234"/>
      <c r="AI49" s="235"/>
      <c r="AJ49" s="236">
        <f t="shared" si="61"/>
        <v>0</v>
      </c>
    </row>
    <row r="50" spans="1:36">
      <c r="A50" s="219">
        <f t="shared" si="97"/>
        <v>2025</v>
      </c>
      <c r="B50" s="220">
        <v>623</v>
      </c>
      <c r="C50" s="221">
        <v>45785</v>
      </c>
      <c r="D50" s="222" t="s">
        <v>42</v>
      </c>
      <c r="E50" s="223" t="s">
        <v>194</v>
      </c>
      <c r="F50" s="242" t="s">
        <v>211</v>
      </c>
      <c r="G50" s="225" t="str">
        <f>+_xlfn.XLOOKUP(F50,Emisiones[Mnemotécnico SEN],Emisiones[Moneda],"",0,1)</f>
        <v>COP</v>
      </c>
      <c r="H50" s="225"/>
      <c r="I50" s="226"/>
      <c r="J50" s="226">
        <f>+_xlfn.XLOOKUP(F50,Emisiones[Mnemotécnico SEN],Emisiones[Fecha Vencim.],"",0,1)</f>
        <v>46260</v>
      </c>
      <c r="K50" s="224">
        <f>+_xlfn.XLOOKUP(F50,Emisiones[Mnemotécnico SEN],Emisiones[Tasa de Interés],"",0,1)</f>
        <v>7.5</v>
      </c>
      <c r="L50" s="227">
        <v>8.86</v>
      </c>
      <c r="M50" s="227">
        <v>103.56699999999999</v>
      </c>
      <c r="N50" s="227">
        <f t="shared" si="98"/>
        <v>98.327120142194673</v>
      </c>
      <c r="O50" s="227">
        <f t="shared" si="99"/>
        <v>5.2398798578053203</v>
      </c>
      <c r="P50" s="227">
        <f t="shared" si="100"/>
        <v>2.2601201421946797</v>
      </c>
      <c r="Q50" s="228">
        <f t="shared" si="101"/>
        <v>-147500000000</v>
      </c>
      <c r="R50" s="228">
        <f>IF(C50="","",IF('Canjes desagregado'!$G50="UVR",'Canjes desagregado'!$V50*Q50*M50%,Q50*M50%))</f>
        <v>-152761324999.99997</v>
      </c>
      <c r="S50" s="228">
        <v>-147500000000</v>
      </c>
      <c r="T50" s="228">
        <f t="shared" si="102"/>
        <v>1</v>
      </c>
      <c r="U50" s="228">
        <f t="shared" si="103"/>
        <v>-152761324999.99997</v>
      </c>
      <c r="V50" s="229">
        <f>+IF(F50&lt;&gt;"",(_xlfn.XLOOKUP(C50,UVR[Fecha (dd/mm/aaaa)],UVR[Pesos colombianos por UVR],"",0,1)),"")</f>
        <v>388.46910000000003</v>
      </c>
      <c r="W50" s="228">
        <f t="shared" si="104"/>
        <v>11062500000</v>
      </c>
      <c r="X50" s="228">
        <f t="shared" si="105"/>
        <v>-11062500000</v>
      </c>
      <c r="Y50" s="230"/>
      <c r="Z50" s="230"/>
      <c r="AA50" s="230"/>
      <c r="AB50" s="231">
        <f>IF(C50="","",ROUND(V50*(1+'Inflación observada '!$B$392%)^(("31-12-2025"-C50)/365),3))</f>
        <v>401.19600000000003</v>
      </c>
      <c r="AC50" s="230"/>
      <c r="AD50" s="232">
        <f t="shared" si="106"/>
        <v>0</v>
      </c>
      <c r="AE50" s="233">
        <f t="shared" si="107"/>
        <v>0.30134935229262394</v>
      </c>
      <c r="AF50" s="228">
        <f t="shared" si="108"/>
        <v>-3333677209.7371526</v>
      </c>
      <c r="AG50" s="232">
        <f ca="1">(Tabla6[[#This Row],[Fecha Vto]]-TODAY())/365</f>
        <v>0.70410958904109588</v>
      </c>
      <c r="AH50" s="234"/>
      <c r="AI50" s="235"/>
      <c r="AJ50" s="236">
        <f t="shared" si="61"/>
        <v>0</v>
      </c>
    </row>
    <row r="51" spans="1:36">
      <c r="A51" s="219">
        <f t="shared" si="97"/>
        <v>2025</v>
      </c>
      <c r="B51" s="220">
        <v>623</v>
      </c>
      <c r="C51" s="221">
        <v>45785</v>
      </c>
      <c r="D51" s="237" t="s">
        <v>42</v>
      </c>
      <c r="E51" s="238" t="s">
        <v>195</v>
      </c>
      <c r="F51" s="224" t="s">
        <v>484</v>
      </c>
      <c r="G51" s="225" t="str">
        <f>+_xlfn.XLOOKUP(F51,Emisiones[Mnemotécnico SEN],Emisiones[Moneda],"",0,1)</f>
        <v>COP</v>
      </c>
      <c r="H51" s="225"/>
      <c r="I51" s="226"/>
      <c r="J51" s="226">
        <f>+_xlfn.XLOOKUP(F51,Emisiones[Mnemotécnico SEN],Emisiones[Fecha Vencim.],"",0,1)</f>
        <v>47352</v>
      </c>
      <c r="K51" s="224">
        <f>+_xlfn.XLOOKUP(F51,Emisiones[Mnemotécnico SEN],Emisiones[Tasa de Interés],"",0,1)</f>
        <v>11</v>
      </c>
      <c r="L51" s="227">
        <v>10.62</v>
      </c>
      <c r="M51" s="227">
        <v>108.94799999999999</v>
      </c>
      <c r="N51" s="227">
        <f t="shared" si="98"/>
        <v>101.14240321922135</v>
      </c>
      <c r="O51" s="227">
        <f t="shared" si="99"/>
        <v>7.8055967807786431</v>
      </c>
      <c r="P51" s="227">
        <f t="shared" si="100"/>
        <v>3.1944032192213569</v>
      </c>
      <c r="Q51" s="228">
        <f t="shared" si="101"/>
        <v>116000000000</v>
      </c>
      <c r="R51" s="228">
        <f>IF(C51="","",IF('Canjes desagregado'!$G51="UVR",'Canjes desagregado'!$V51*Q51*M51%,Q51*M51%))</f>
        <v>126379680000</v>
      </c>
      <c r="S51" s="228">
        <v>116000000000</v>
      </c>
      <c r="T51" s="228">
        <f t="shared" si="102"/>
        <v>1</v>
      </c>
      <c r="U51" s="228">
        <f t="shared" si="103"/>
        <v>126379680000</v>
      </c>
      <c r="V51" s="229">
        <f>+IF(F51&lt;&gt;"",(_xlfn.XLOOKUP(C51,UVR[Fecha (dd/mm/aaaa)],UVR[Pesos colombianos por UVR],"",0,1)),"")</f>
        <v>388.46910000000003</v>
      </c>
      <c r="W51" s="228">
        <f t="shared" si="104"/>
        <v>12760000000</v>
      </c>
      <c r="X51" s="228">
        <f t="shared" si="105"/>
        <v>12760000000</v>
      </c>
      <c r="Y51" s="230"/>
      <c r="Z51" s="230"/>
      <c r="AA51" s="230"/>
      <c r="AB51" s="231">
        <f>IF(C51="","",ROUND(V51*(1+'Inflación observada '!$B$392%)^(("31-12-2025"-C51)/365),3))</f>
        <v>401.19600000000003</v>
      </c>
      <c r="AC51" s="230"/>
      <c r="AD51" s="232">
        <f t="shared" si="106"/>
        <v>0</v>
      </c>
      <c r="AE51" s="233">
        <f t="shared" si="107"/>
        <v>0.29040029265648698</v>
      </c>
      <c r="AF51" s="228">
        <f t="shared" si="108"/>
        <v>3705507734.2967739</v>
      </c>
      <c r="AG51" s="232">
        <f ca="1">(Tabla6[[#This Row],[Fecha Vto]]-TODAY())/365</f>
        <v>3.6958904109589041</v>
      </c>
      <c r="AH51" s="234"/>
      <c r="AI51" s="235"/>
      <c r="AJ51" s="236">
        <f t="shared" si="61"/>
        <v>0</v>
      </c>
    </row>
    <row r="52" spans="1:36">
      <c r="A52" s="219">
        <f t="shared" si="97"/>
        <v>2025</v>
      </c>
      <c r="B52" s="220">
        <v>623</v>
      </c>
      <c r="C52" s="221">
        <v>45785</v>
      </c>
      <c r="D52" s="237" t="s">
        <v>42</v>
      </c>
      <c r="E52" s="238" t="s">
        <v>195</v>
      </c>
      <c r="F52" s="224" t="s">
        <v>207</v>
      </c>
      <c r="G52" s="225" t="str">
        <f>+_xlfn.XLOOKUP(F52,Emisiones[Mnemotécnico SEN],Emisiones[Moneda],"",0,1)</f>
        <v>COP</v>
      </c>
      <c r="H52" s="225"/>
      <c r="I52" s="226"/>
      <c r="J52" s="226">
        <f>+_xlfn.XLOOKUP(F52,Emisiones[Mnemotécnico SEN],Emisiones[Fecha Vencim.],"",0,1)</f>
        <v>47933</v>
      </c>
      <c r="K52" s="224">
        <f>+_xlfn.XLOOKUP(F52,Emisiones[Mnemotécnico SEN],Emisiones[Tasa de Interés],"",0,1)</f>
        <v>7</v>
      </c>
      <c r="L52" s="227">
        <v>11.324999999999999</v>
      </c>
      <c r="M52" s="227">
        <v>82.914000000000001</v>
      </c>
      <c r="N52" s="227">
        <f t="shared" si="98"/>
        <v>82.089654067086471</v>
      </c>
      <c r="O52" s="227">
        <f t="shared" si="99"/>
        <v>0.82434593291353053</v>
      </c>
      <c r="P52" s="227">
        <f t="shared" si="100"/>
        <v>6.1756540670864704</v>
      </c>
      <c r="Q52" s="228">
        <f t="shared" si="101"/>
        <v>31500000000</v>
      </c>
      <c r="R52" s="228">
        <f>IF(C52="","",IF('Canjes desagregado'!$G52="UVR",'Canjes desagregado'!$V52*Q52*M52%,Q52*M52%))</f>
        <v>26117910000</v>
      </c>
      <c r="S52" s="228">
        <v>31500000000</v>
      </c>
      <c r="T52" s="228">
        <f t="shared" si="102"/>
        <v>1</v>
      </c>
      <c r="U52" s="228">
        <f t="shared" si="103"/>
        <v>26117910000</v>
      </c>
      <c r="V52" s="229">
        <f>+IF(F52&lt;&gt;"",(_xlfn.XLOOKUP(C52,UVR[Fecha (dd/mm/aaaa)],UVR[Pesos colombianos por UVR],"",0,1)),"")</f>
        <v>388.46910000000003</v>
      </c>
      <c r="W52" s="228">
        <f t="shared" si="104"/>
        <v>0</v>
      </c>
      <c r="X52" s="228">
        <f t="shared" si="105"/>
        <v>0</v>
      </c>
      <c r="Y52" s="230"/>
      <c r="Z52" s="230"/>
      <c r="AA52" s="230"/>
      <c r="AB52" s="231">
        <f>IF(C52="","",ROUND(V52*(1+'Inflación observada '!$B$392%)^(("31-12-2025"-C52)/365),3))</f>
        <v>401.19600000000003</v>
      </c>
      <c r="AC52" s="230"/>
      <c r="AD52" s="232">
        <f t="shared" si="106"/>
        <v>0</v>
      </c>
      <c r="AE52" s="233">
        <f t="shared" si="107"/>
        <v>0.88223629529806713</v>
      </c>
      <c r="AF52" s="228">
        <f t="shared" si="108"/>
        <v>1945331031.1322381</v>
      </c>
      <c r="AG52" s="232">
        <f ca="1">(Tabla6[[#This Row],[Fecha Vto]]-TODAY())/365</f>
        <v>5.2876712328767121</v>
      </c>
      <c r="AH52" s="234"/>
      <c r="AI52" s="235"/>
      <c r="AJ52" s="236">
        <f t="shared" si="61"/>
        <v>0</v>
      </c>
    </row>
    <row r="53" spans="1:36">
      <c r="A53" s="219">
        <f>IF(C53="","",YEAR(C53))</f>
        <v>2025</v>
      </c>
      <c r="B53" s="220">
        <v>624</v>
      </c>
      <c r="C53" s="221">
        <v>45786</v>
      </c>
      <c r="D53" s="222" t="s">
        <v>42</v>
      </c>
      <c r="E53" s="223" t="s">
        <v>194</v>
      </c>
      <c r="F53" s="242" t="s">
        <v>211</v>
      </c>
      <c r="G53" s="225" t="str">
        <f>+_xlfn.XLOOKUP(F53,Emisiones[Mnemotécnico SEN],Emisiones[Moneda],"",0,1)</f>
        <v>COP</v>
      </c>
      <c r="H53" s="225"/>
      <c r="I53" s="226"/>
      <c r="J53" s="226">
        <f>+_xlfn.XLOOKUP(F53,Emisiones[Mnemotécnico SEN],Emisiones[Fecha Vencim.],"",0,1)</f>
        <v>46260</v>
      </c>
      <c r="K53" s="224">
        <f>+_xlfn.XLOOKUP(F53,Emisiones[Mnemotécnico SEN],Emisiones[Tasa de Interés],"",0,1)</f>
        <v>7.5</v>
      </c>
      <c r="L53" s="227">
        <v>9.0129999999999999</v>
      </c>
      <c r="M53" s="227">
        <v>103.413</v>
      </c>
      <c r="N53" s="227">
        <f t="shared" ref="N53:N60" si="109">IF(C53="","",PRICE(C53,J53,K53%,L53%,100,1,3))</f>
        <v>98.152152841992063</v>
      </c>
      <c r="O53" s="227">
        <f t="shared" ref="O53:O60" si="110">IF(C53="","",M53-N53)</f>
        <v>5.2608471580079339</v>
      </c>
      <c r="P53" s="227">
        <f t="shared" ref="P53:P60" si="111">IF(C53="","",100*K53%-O53)</f>
        <v>2.2391528419920661</v>
      </c>
      <c r="Q53" s="228">
        <f t="shared" ref="Q53:Q60" si="112">IF(C53="","",IF(G53="UVR",S53/V53,S53))</f>
        <v>-21500000000</v>
      </c>
      <c r="R53" s="228">
        <f>IF(C53="","",IF('Canjes desagregado'!$G53="UVR",'Canjes desagregado'!$V53*Q53*M53%,Q53*M53%))</f>
        <v>-22233795000</v>
      </c>
      <c r="S53" s="228">
        <v>-21500000000</v>
      </c>
      <c r="T53" s="228">
        <f t="shared" ref="T53:T60" si="113">IFERROR(IF(RIGHT(F53,2)=RIGHT(YEAR(J53),2),1,0),"")</f>
        <v>1</v>
      </c>
      <c r="U53" s="228">
        <f t="shared" ref="U53:U60" si="114">+IF(R53="","",R53)</f>
        <v>-22233795000</v>
      </c>
      <c r="V53" s="229">
        <f>+IF(F53&lt;&gt;"",(_xlfn.XLOOKUP(C53,UVR[Fecha (dd/mm/aaaa)],UVR[Pesos colombianos por UVR],"",0,1)),"")</f>
        <v>388.53629999999998</v>
      </c>
      <c r="W53" s="228">
        <f t="shared" ref="W53:W60" si="115">IF(C53="","",IF(CONCATENATE(DAY(C53),"/",MONTH(C53),"/",2000)-CONCATENATE(DAY(J53),"/",MONTH(J53),"/",2000)&lt;0,K53%*ABS(S53),0))</f>
        <v>1612500000</v>
      </c>
      <c r="X53" s="228">
        <f t="shared" ref="X53:X60" si="116">IF(S53&lt;0,-W53,W53)</f>
        <v>-1612500000</v>
      </c>
      <c r="Y53" s="230"/>
      <c r="Z53" s="230"/>
      <c r="AA53" s="230"/>
      <c r="AB53" s="231">
        <f>IF(C53="","",ROUND(V53*(1+'Inflación observada '!$B$390%)^(("31-12-2025"-C53)/365),3))</f>
        <v>401.53199999999998</v>
      </c>
      <c r="AC53" s="230"/>
      <c r="AD53" s="232">
        <f t="shared" ref="AD53:AD60" si="117">IF(C53="","",IF(G53="UVR",Q53*AB53-S53,0))</f>
        <v>0</v>
      </c>
      <c r="AE53" s="233">
        <f t="shared" ref="AE53:AE60" si="118">IF(C53="","",P53/+(O53+P53))</f>
        <v>0.29855371226560884</v>
      </c>
      <c r="AF53" s="228">
        <f t="shared" ref="AF53:AF60" si="119">IF(C53="","",AE53*Q53*K53%)</f>
        <v>-481417861.02829427</v>
      </c>
      <c r="AG53" s="232">
        <f ca="1">(Tabla6[[#This Row],[Fecha Vto]]-TODAY())/365</f>
        <v>0.70410958904109588</v>
      </c>
      <c r="AH53" s="234"/>
      <c r="AI53" s="235"/>
      <c r="AJ53" s="236">
        <f t="shared" si="61"/>
        <v>0</v>
      </c>
    </row>
    <row r="54" spans="1:36">
      <c r="A54" s="219">
        <f>IF(C54="","",YEAR(C54))</f>
        <v>2025</v>
      </c>
      <c r="B54" s="220">
        <v>624</v>
      </c>
      <c r="C54" s="221">
        <v>45786</v>
      </c>
      <c r="D54" s="237" t="s">
        <v>42</v>
      </c>
      <c r="E54" s="238" t="s">
        <v>195</v>
      </c>
      <c r="F54" s="224" t="s">
        <v>484</v>
      </c>
      <c r="G54" s="225" t="str">
        <f>+_xlfn.XLOOKUP(F54,Emisiones[Mnemotécnico SEN],Emisiones[Moneda],"",0,1)</f>
        <v>COP</v>
      </c>
      <c r="H54" s="225"/>
      <c r="I54" s="226"/>
      <c r="J54" s="226">
        <f>+_xlfn.XLOOKUP(F54,Emisiones[Mnemotécnico SEN],Emisiones[Fecha Vencim.],"",0,1)</f>
        <v>47352</v>
      </c>
      <c r="K54" s="224">
        <f>+_xlfn.XLOOKUP(F54,Emisiones[Mnemotécnico SEN],Emisiones[Tasa de Interés],"",0,1)</f>
        <v>11</v>
      </c>
      <c r="L54" s="227">
        <v>10.67</v>
      </c>
      <c r="M54" s="227">
        <v>108.81100000000001</v>
      </c>
      <c r="N54" s="227">
        <f t="shared" si="109"/>
        <v>100.97526205558115</v>
      </c>
      <c r="O54" s="227">
        <f t="shared" si="110"/>
        <v>7.8357379444188524</v>
      </c>
      <c r="P54" s="227">
        <f t="shared" si="111"/>
        <v>3.1642620555811476</v>
      </c>
      <c r="Q54" s="228">
        <f t="shared" si="112"/>
        <v>15000000000</v>
      </c>
      <c r="R54" s="228">
        <f>IF(C54="","",IF('Canjes desagregado'!$G54="UVR",'Canjes desagregado'!$V54*Q54*M54%,Q54*M54%))</f>
        <v>16321650000.000002</v>
      </c>
      <c r="S54" s="228">
        <v>15000000000</v>
      </c>
      <c r="T54" s="228">
        <f t="shared" si="113"/>
        <v>1</v>
      </c>
      <c r="U54" s="228">
        <f t="shared" si="114"/>
        <v>16321650000.000002</v>
      </c>
      <c r="V54" s="229">
        <f>+IF(F54&lt;&gt;"",(_xlfn.XLOOKUP(C54,UVR[Fecha (dd/mm/aaaa)],UVR[Pesos colombianos por UVR],"",0,1)),"")</f>
        <v>388.53629999999998</v>
      </c>
      <c r="W54" s="228">
        <f t="shared" si="115"/>
        <v>1650000000</v>
      </c>
      <c r="X54" s="228">
        <f t="shared" si="116"/>
        <v>1650000000</v>
      </c>
      <c r="Y54" s="230"/>
      <c r="Z54" s="230"/>
      <c r="AA54" s="230"/>
      <c r="AB54" s="231">
        <f>IF(C54="","",ROUND(V54*(1+'Inflación observada '!$B$390%)^(("31-12-2025"-C54)/365),3))</f>
        <v>401.53199999999998</v>
      </c>
      <c r="AC54" s="230"/>
      <c r="AD54" s="232">
        <f t="shared" si="117"/>
        <v>0</v>
      </c>
      <c r="AE54" s="233">
        <f t="shared" si="118"/>
        <v>0.28766018687101341</v>
      </c>
      <c r="AF54" s="228">
        <f t="shared" si="119"/>
        <v>474639308.33717209</v>
      </c>
      <c r="AG54" s="232">
        <f ca="1">(Tabla6[[#This Row],[Fecha Vto]]-TODAY())/365</f>
        <v>3.6958904109589041</v>
      </c>
      <c r="AH54" s="234"/>
      <c r="AI54" s="235"/>
      <c r="AJ54" s="236">
        <f t="shared" si="61"/>
        <v>0</v>
      </c>
    </row>
    <row r="55" spans="1:36">
      <c r="A55" s="219">
        <f>IF(C55="","",YEAR(C55))</f>
        <v>2025</v>
      </c>
      <c r="B55" s="220">
        <v>624</v>
      </c>
      <c r="C55" s="221">
        <v>45786</v>
      </c>
      <c r="D55" s="237" t="s">
        <v>42</v>
      </c>
      <c r="E55" s="238" t="s">
        <v>195</v>
      </c>
      <c r="F55" s="224" t="s">
        <v>207</v>
      </c>
      <c r="G55" s="225" t="str">
        <f>+_xlfn.XLOOKUP(F55,Emisiones[Mnemotécnico SEN],Emisiones[Moneda],"",0,1)</f>
        <v>COP</v>
      </c>
      <c r="H55" s="225"/>
      <c r="I55" s="226"/>
      <c r="J55" s="226">
        <f>+_xlfn.XLOOKUP(F55,Emisiones[Mnemotécnico SEN],Emisiones[Fecha Vencim.],"",0,1)</f>
        <v>47933</v>
      </c>
      <c r="K55" s="224">
        <f>+_xlfn.XLOOKUP(F55,Emisiones[Mnemotécnico SEN],Emisiones[Tasa de Interés],"",0,1)</f>
        <v>7</v>
      </c>
      <c r="L55" s="227">
        <v>11.391999999999999</v>
      </c>
      <c r="M55" s="227">
        <v>82.695999999999998</v>
      </c>
      <c r="N55" s="227">
        <f t="shared" si="109"/>
        <v>81.852118913883459</v>
      </c>
      <c r="O55" s="227">
        <f t="shared" si="110"/>
        <v>0.84388108611653934</v>
      </c>
      <c r="P55" s="227">
        <f t="shared" si="111"/>
        <v>6.1561189138834616</v>
      </c>
      <c r="Q55" s="228">
        <f t="shared" si="112"/>
        <v>6500000000</v>
      </c>
      <c r="R55" s="228">
        <f>IF(C55="","",IF('Canjes desagregado'!$G55="UVR",'Canjes desagregado'!$V55*Q55*M55%,Q55*M55%))</f>
        <v>5375240000</v>
      </c>
      <c r="S55" s="228">
        <v>6500000000</v>
      </c>
      <c r="T55" s="228">
        <f t="shared" si="113"/>
        <v>1</v>
      </c>
      <c r="U55" s="228">
        <f t="shared" si="114"/>
        <v>5375240000</v>
      </c>
      <c r="V55" s="229">
        <f>+IF(F55&lt;&gt;"",(_xlfn.XLOOKUP(C55,UVR[Fecha (dd/mm/aaaa)],UVR[Pesos colombianos por UVR],"",0,1)),"")</f>
        <v>388.53629999999998</v>
      </c>
      <c r="W55" s="228">
        <f t="shared" si="115"/>
        <v>0</v>
      </c>
      <c r="X55" s="228">
        <f t="shared" si="116"/>
        <v>0</v>
      </c>
      <c r="Y55" s="230"/>
      <c r="Z55" s="230"/>
      <c r="AA55" s="230"/>
      <c r="AB55" s="231">
        <f>IF(C55="","",ROUND(V55*(1+'Inflación observada '!$B$390%)^(("31-12-2025"-C55)/365),3))</f>
        <v>401.53199999999998</v>
      </c>
      <c r="AC55" s="230"/>
      <c r="AD55" s="232">
        <f t="shared" si="117"/>
        <v>0</v>
      </c>
      <c r="AE55" s="233">
        <f t="shared" si="118"/>
        <v>0.8794455591262087</v>
      </c>
      <c r="AF55" s="228">
        <f t="shared" si="119"/>
        <v>400147729.40242499</v>
      </c>
      <c r="AG55" s="232">
        <f ca="1">(Tabla6[[#This Row],[Fecha Vto]]-TODAY())/365</f>
        <v>5.2876712328767121</v>
      </c>
      <c r="AH55" s="234"/>
      <c r="AI55" s="235"/>
      <c r="AJ55" s="236">
        <f t="shared" si="61"/>
        <v>0</v>
      </c>
    </row>
    <row r="56" spans="1:36">
      <c r="A56" s="219">
        <f t="shared" ref="A56:A57" si="120">IF(C56="","",YEAR(C56))</f>
        <v>2025</v>
      </c>
      <c r="B56" s="220">
        <v>625</v>
      </c>
      <c r="C56" s="221">
        <v>45797</v>
      </c>
      <c r="D56" s="237" t="s">
        <v>42</v>
      </c>
      <c r="E56" s="223" t="s">
        <v>194</v>
      </c>
      <c r="F56" s="224" t="s">
        <v>211</v>
      </c>
      <c r="G56" s="225" t="str">
        <f>+_xlfn.XLOOKUP(F56,Emisiones[Mnemotécnico SEN],Emisiones[Moneda],"",0,1)</f>
        <v>COP</v>
      </c>
      <c r="H56" s="225"/>
      <c r="I56" s="226"/>
      <c r="J56" s="226">
        <f>+_xlfn.XLOOKUP(F56,Emisiones[Mnemotécnico SEN],Emisiones[Fecha Vencim.],"",0,1)</f>
        <v>46260</v>
      </c>
      <c r="K56" s="224">
        <f>+_xlfn.XLOOKUP(F56,Emisiones[Mnemotécnico SEN],Emisiones[Tasa de Interés],"",0,1)</f>
        <v>7.5</v>
      </c>
      <c r="L56" s="227">
        <v>8.8710000000000004</v>
      </c>
      <c r="M56" s="227">
        <v>103.84399999999999</v>
      </c>
      <c r="N56" s="227">
        <f t="shared" si="109"/>
        <v>98.357432227949943</v>
      </c>
      <c r="O56" s="227">
        <f t="shared" si="110"/>
        <v>5.4865677720500514</v>
      </c>
      <c r="P56" s="227">
        <f t="shared" si="111"/>
        <v>2.0134322279499486</v>
      </c>
      <c r="Q56" s="228">
        <f t="shared" si="112"/>
        <v>-394363800000</v>
      </c>
      <c r="R56" s="228">
        <f>IF(C56="","",IF('Canjes desagregado'!$G56="UVR",'Canjes desagregado'!$V56*Q56*M56%,Q56*M56%))</f>
        <v>-409523144472</v>
      </c>
      <c r="S56" s="228">
        <v>-394363800000</v>
      </c>
      <c r="T56" s="228">
        <f t="shared" si="113"/>
        <v>1</v>
      </c>
      <c r="U56" s="228">
        <f t="shared" si="114"/>
        <v>-409523144472</v>
      </c>
      <c r="V56" s="229">
        <f>+IF(F56&lt;&gt;"",(_xlfn.XLOOKUP(C56,UVR[Fecha (dd/mm/aaaa)],UVR[Pesos colombianos por UVR],"",0,1)),"")</f>
        <v>389.35239999999999</v>
      </c>
      <c r="W56" s="228">
        <f t="shared" si="115"/>
        <v>29577285000</v>
      </c>
      <c r="X56" s="228">
        <f t="shared" si="116"/>
        <v>-29577285000</v>
      </c>
      <c r="Y56" s="230"/>
      <c r="Z56" s="230"/>
      <c r="AA56" s="230"/>
      <c r="AB56" s="231">
        <f>IF(C56="","",ROUND(V56*(1+'Inflación observada '!$B$390%)^(("31-12-2025"-C56)/365),3))</f>
        <v>401.75900000000001</v>
      </c>
      <c r="AC56" s="230"/>
      <c r="AD56" s="232">
        <f t="shared" si="117"/>
        <v>0</v>
      </c>
      <c r="AE56" s="233">
        <f t="shared" si="118"/>
        <v>0.26845763039332649</v>
      </c>
      <c r="AF56" s="228">
        <f t="shared" si="119"/>
        <v>-7940247844.568079</v>
      </c>
      <c r="AG56" s="232">
        <f ca="1">(Tabla6[[#This Row],[Fecha Vto]]-TODAY())/365</f>
        <v>0.70410958904109588</v>
      </c>
      <c r="AH56" s="234"/>
      <c r="AI56" s="235"/>
      <c r="AJ56" s="236">
        <f t="shared" si="61"/>
        <v>0</v>
      </c>
    </row>
    <row r="57" spans="1:36">
      <c r="A57" s="219">
        <f t="shared" si="120"/>
        <v>2025</v>
      </c>
      <c r="B57" s="220">
        <v>625</v>
      </c>
      <c r="C57" s="221">
        <v>45797</v>
      </c>
      <c r="D57" s="237" t="s">
        <v>42</v>
      </c>
      <c r="E57" s="238" t="s">
        <v>195</v>
      </c>
      <c r="F57" s="224" t="s">
        <v>484</v>
      </c>
      <c r="G57" s="225" t="str">
        <f>+_xlfn.XLOOKUP(F57,Emisiones[Mnemotécnico SEN],Emisiones[Moneda],"",0,1)</f>
        <v>COP</v>
      </c>
      <c r="H57" s="225"/>
      <c r="I57" s="226"/>
      <c r="J57" s="226">
        <f>+_xlfn.XLOOKUP(F57,Emisiones[Mnemotécnico SEN],Emisiones[Fecha Vencim.],"",0,1)</f>
        <v>47352</v>
      </c>
      <c r="K57" s="224">
        <f>+_xlfn.XLOOKUP(F57,Emisiones[Mnemotécnico SEN],Emisiones[Tasa de Interés],"",0,1)</f>
        <v>11</v>
      </c>
      <c r="L57" s="227">
        <v>11.1</v>
      </c>
      <c r="M57" s="227">
        <v>107.73</v>
      </c>
      <c r="N57" s="227">
        <f t="shared" si="109"/>
        <v>99.562982556068306</v>
      </c>
      <c r="O57" s="227">
        <f t="shared" si="110"/>
        <v>8.167017443931698</v>
      </c>
      <c r="P57" s="227">
        <f t="shared" si="111"/>
        <v>2.832982556068302</v>
      </c>
      <c r="Q57" s="228">
        <f t="shared" si="112"/>
        <v>380138400000</v>
      </c>
      <c r="R57" s="228">
        <f>IF(C57="","",IF('Canjes desagregado'!$G57="UVR",'Canjes desagregado'!$V57*Q57*M57%,Q57*M57%))</f>
        <v>409523098320.00006</v>
      </c>
      <c r="S57" s="228">
        <v>380138400000</v>
      </c>
      <c r="T57" s="228">
        <f t="shared" si="113"/>
        <v>1</v>
      </c>
      <c r="U57" s="228">
        <f t="shared" si="114"/>
        <v>409523098320.00006</v>
      </c>
      <c r="V57" s="229">
        <f>+IF(F57&lt;&gt;"",(_xlfn.XLOOKUP(C57,UVR[Fecha (dd/mm/aaaa)],UVR[Pesos colombianos por UVR],"",0,1)),"")</f>
        <v>389.35239999999999</v>
      </c>
      <c r="W57" s="228">
        <f t="shared" si="115"/>
        <v>41815224000</v>
      </c>
      <c r="X57" s="228">
        <f t="shared" si="116"/>
        <v>41815224000</v>
      </c>
      <c r="Y57" s="230"/>
      <c r="Z57" s="230"/>
      <c r="AA57" s="230"/>
      <c r="AB57" s="231">
        <f>IF(C57="","",ROUND(V57*(1+'Inflación observada '!$B$390%)^(("31-12-2025"-C57)/365),3))</f>
        <v>401.75900000000001</v>
      </c>
      <c r="AC57" s="230"/>
      <c r="AD57" s="232">
        <f t="shared" si="117"/>
        <v>0</v>
      </c>
      <c r="AE57" s="233">
        <f t="shared" si="118"/>
        <v>0.25754386873348201</v>
      </c>
      <c r="AF57" s="228">
        <f t="shared" si="119"/>
        <v>10769254560.917147</v>
      </c>
      <c r="AG57" s="232">
        <f ca="1">(Tabla6[[#This Row],[Fecha Vto]]-TODAY())/365</f>
        <v>3.6958904109589041</v>
      </c>
      <c r="AH57" s="234"/>
      <c r="AI57" s="235"/>
      <c r="AJ57" s="236">
        <f t="shared" si="61"/>
        <v>0</v>
      </c>
    </row>
    <row r="58" spans="1:36">
      <c r="A58" s="219">
        <v>2025</v>
      </c>
      <c r="B58" s="220">
        <v>626</v>
      </c>
      <c r="C58" s="221">
        <v>45797</v>
      </c>
      <c r="D58" s="237" t="s">
        <v>12</v>
      </c>
      <c r="E58" s="223" t="s">
        <v>194</v>
      </c>
      <c r="F58" s="224" t="s">
        <v>309</v>
      </c>
      <c r="G58" s="225" t="str">
        <f>+_xlfn.XLOOKUP(F58,Emisiones[Mnemotécnico SEN],Emisiones[Moneda],"",0,1)</f>
        <v>COP</v>
      </c>
      <c r="H58" s="225"/>
      <c r="I58" s="226"/>
      <c r="J58" s="226">
        <f>+_xlfn.XLOOKUP(F58,Emisiones[Mnemotécnico SEN],Emisiones[Fecha Vencim.],"",0,1)</f>
        <v>45987</v>
      </c>
      <c r="K58" s="224">
        <f>+_xlfn.XLOOKUP(F58,Emisiones[Mnemotécnico SEN],Emisiones[Tasa de Interés],"",0,1)</f>
        <v>6.25</v>
      </c>
      <c r="L58" s="227">
        <v>8.8750000000000036</v>
      </c>
      <c r="M58" s="227">
        <v>101.69700000000005</v>
      </c>
      <c r="N58" s="227">
        <f t="shared" si="109"/>
        <v>98.561577133883716</v>
      </c>
      <c r="O58" s="227">
        <f t="shared" si="110"/>
        <v>3.135422866116329</v>
      </c>
      <c r="P58" s="227">
        <f t="shared" si="111"/>
        <v>3.114577133883671</v>
      </c>
      <c r="Q58" s="228">
        <f t="shared" si="112"/>
        <v>-873412400000</v>
      </c>
      <c r="R58" s="228">
        <f>IF(C58="","",IF('Canjes desagregado'!$G58="UVR",'Canjes desagregado'!$V58*Q58*M58%,Q58*M58%))</f>
        <v>-888234208428.00037</v>
      </c>
      <c r="S58" s="228">
        <v>-873412400000</v>
      </c>
      <c r="T58" s="228">
        <f t="shared" si="113"/>
        <v>1</v>
      </c>
      <c r="U58" s="228">
        <f t="shared" si="114"/>
        <v>-888234208428.00037</v>
      </c>
      <c r="V58" s="229">
        <f>+IF(F58&lt;&gt;"",(_xlfn.XLOOKUP(C58,UVR[Fecha (dd/mm/aaaa)],UVR[Pesos colombianos por UVR],"",0,1)),"")</f>
        <v>389.35239999999999</v>
      </c>
      <c r="W58" s="228">
        <f t="shared" si="115"/>
        <v>54588275000</v>
      </c>
      <c r="X58" s="228">
        <f t="shared" si="116"/>
        <v>-54588275000</v>
      </c>
      <c r="Y58" s="230"/>
      <c r="Z58" s="230"/>
      <c r="AA58" s="230"/>
      <c r="AB58" s="231">
        <f>IF(C58="","",ROUND(V58*(1+'Inflación observada '!$B$390%)^(("31-12-2025"-C58)/365),3))</f>
        <v>401.75900000000001</v>
      </c>
      <c r="AC58" s="230"/>
      <c r="AD58" s="232">
        <f t="shared" si="117"/>
        <v>0</v>
      </c>
      <c r="AE58" s="233">
        <f t="shared" si="118"/>
        <v>0.49833234142138738</v>
      </c>
      <c r="AF58" s="228">
        <f t="shared" si="119"/>
        <v>-27203102894.904587</v>
      </c>
      <c r="AG58" s="232">
        <f ca="1">(Tabla6[[#This Row],[Fecha Vto]]-TODAY())/365</f>
        <v>-4.3835616438356165E-2</v>
      </c>
      <c r="AH58" s="234"/>
      <c r="AI58" s="235"/>
      <c r="AJ58" s="236">
        <f t="shared" si="61"/>
        <v>0</v>
      </c>
    </row>
    <row r="59" spans="1:36">
      <c r="A59" s="219">
        <v>2025</v>
      </c>
      <c r="B59" s="220">
        <v>626</v>
      </c>
      <c r="C59" s="221">
        <v>45797</v>
      </c>
      <c r="D59" s="237" t="s">
        <v>12</v>
      </c>
      <c r="E59" s="223" t="s">
        <v>194</v>
      </c>
      <c r="F59" s="224" t="s">
        <v>211</v>
      </c>
      <c r="G59" s="225" t="str">
        <f>+_xlfn.XLOOKUP(F59,Emisiones[Mnemotécnico SEN],Emisiones[Moneda],"",0,1)</f>
        <v>COP</v>
      </c>
      <c r="H59" s="225"/>
      <c r="I59" s="226"/>
      <c r="J59" s="226">
        <f>+_xlfn.XLOOKUP(F59,Emisiones[Mnemotécnico SEN],Emisiones[Fecha Vencim.],"",0,1)</f>
        <v>46260</v>
      </c>
      <c r="K59" s="224">
        <f>+_xlfn.XLOOKUP(F59,Emisiones[Mnemotécnico SEN],Emisiones[Tasa de Interés],"",0,1)</f>
        <v>7.5</v>
      </c>
      <c r="L59" s="227">
        <v>8.7870000000000061</v>
      </c>
      <c r="M59" s="227">
        <v>103.98799999999984</v>
      </c>
      <c r="N59" s="227">
        <f t="shared" si="109"/>
        <v>98.453492772736084</v>
      </c>
      <c r="O59" s="227">
        <f t="shared" si="110"/>
        <v>5.5345072272637594</v>
      </c>
      <c r="P59" s="227">
        <f t="shared" si="111"/>
        <v>1.9654927727362406</v>
      </c>
      <c r="Q59" s="228">
        <f t="shared" si="112"/>
        <v>-1928000000000</v>
      </c>
      <c r="R59" s="228">
        <f>IF(C59="","",IF('Canjes desagregado'!$G59="UVR",'Canjes desagregado'!$V59*Q59*M59%,Q59*M59%))</f>
        <v>-2004888639999.9968</v>
      </c>
      <c r="S59" s="228">
        <v>-1928000000000</v>
      </c>
      <c r="T59" s="228">
        <f t="shared" si="113"/>
        <v>1</v>
      </c>
      <c r="U59" s="228">
        <f t="shared" si="114"/>
        <v>-2004888639999.9968</v>
      </c>
      <c r="V59" s="229">
        <f>+IF(F59&lt;&gt;"",(_xlfn.XLOOKUP(C59,UVR[Fecha (dd/mm/aaaa)],UVR[Pesos colombianos por UVR],"",0,1)),"")</f>
        <v>389.35239999999999</v>
      </c>
      <c r="W59" s="228">
        <f t="shared" si="115"/>
        <v>144600000000</v>
      </c>
      <c r="X59" s="228">
        <f t="shared" si="116"/>
        <v>-144600000000</v>
      </c>
      <c r="Y59" s="230"/>
      <c r="Z59" s="230"/>
      <c r="AA59" s="230"/>
      <c r="AB59" s="231">
        <f>IF(C59="","",ROUND(V59*(1+'Inflación observada '!$B$390%)^(("31-12-2025"-C59)/365),3))</f>
        <v>401.75900000000001</v>
      </c>
      <c r="AC59" s="230"/>
      <c r="AD59" s="232">
        <f t="shared" si="117"/>
        <v>0</v>
      </c>
      <c r="AE59" s="233">
        <f t="shared" si="118"/>
        <v>0.26206570303149873</v>
      </c>
      <c r="AF59" s="228">
        <f t="shared" si="119"/>
        <v>-37894700658.354713</v>
      </c>
      <c r="AG59" s="232">
        <f ca="1">(Tabla6[[#This Row],[Fecha Vto]]-TODAY())/365</f>
        <v>0.70410958904109588</v>
      </c>
      <c r="AH59" s="234"/>
      <c r="AI59" s="235"/>
      <c r="AJ59" s="236">
        <f t="shared" si="61"/>
        <v>0</v>
      </c>
    </row>
    <row r="60" spans="1:36">
      <c r="A60" s="219">
        <v>2025</v>
      </c>
      <c r="B60" s="220">
        <v>626</v>
      </c>
      <c r="C60" s="221">
        <v>45797</v>
      </c>
      <c r="D60" s="237" t="s">
        <v>12</v>
      </c>
      <c r="E60" s="238" t="s">
        <v>195</v>
      </c>
      <c r="F60" s="224" t="s">
        <v>484</v>
      </c>
      <c r="G60" s="225" t="str">
        <f>+_xlfn.XLOOKUP(F60,Emisiones[Mnemotécnico SEN],Emisiones[Moneda],"",0,1)</f>
        <v>COP</v>
      </c>
      <c r="H60" s="225"/>
      <c r="I60" s="226"/>
      <c r="J60" s="226">
        <f>+_xlfn.XLOOKUP(F60,Emisiones[Mnemotécnico SEN],Emisiones[Fecha Vencim.],"",0,1)</f>
        <v>47352</v>
      </c>
      <c r="K60" s="224">
        <f>+_xlfn.XLOOKUP(F60,Emisiones[Mnemotécnico SEN],Emisiones[Tasa de Interés],"",0,1)</f>
        <v>11</v>
      </c>
      <c r="L60" s="227">
        <v>11.032999999999973</v>
      </c>
      <c r="M60" s="227">
        <v>108.01000000000018</v>
      </c>
      <c r="N60" s="227">
        <f t="shared" si="109"/>
        <v>99.781483013852679</v>
      </c>
      <c r="O60" s="227">
        <f t="shared" si="110"/>
        <v>8.2285169861474969</v>
      </c>
      <c r="P60" s="227">
        <f t="shared" si="111"/>
        <v>2.7714830138525031</v>
      </c>
      <c r="Q60" s="228">
        <f t="shared" si="112"/>
        <v>2678565900000</v>
      </c>
      <c r="R60" s="228">
        <f>IF(C60="","",IF('Canjes desagregado'!$G60="UVR",'Canjes desagregado'!$V60*Q60*M60%,Q60*M60%))</f>
        <v>2893119028590.0049</v>
      </c>
      <c r="S60" s="228">
        <v>2678565900000</v>
      </c>
      <c r="T60" s="228">
        <f t="shared" si="113"/>
        <v>1</v>
      </c>
      <c r="U60" s="228">
        <f t="shared" si="114"/>
        <v>2893119028590.0049</v>
      </c>
      <c r="V60" s="229">
        <f>+IF(F60&lt;&gt;"",(_xlfn.XLOOKUP(C60,UVR[Fecha (dd/mm/aaaa)],UVR[Pesos colombianos por UVR],"",0,1)),"")</f>
        <v>389.35239999999999</v>
      </c>
      <c r="W60" s="228">
        <f t="shared" si="115"/>
        <v>294642249000</v>
      </c>
      <c r="X60" s="228">
        <f t="shared" si="116"/>
        <v>294642249000</v>
      </c>
      <c r="Y60" s="230"/>
      <c r="Z60" s="230"/>
      <c r="AA60" s="230"/>
      <c r="AB60" s="231">
        <f>IF(C60="","",ROUND(V60*(1+'Inflación observada '!$B$390%)^(("31-12-2025"-C60)/365),3))</f>
        <v>401.75900000000001</v>
      </c>
      <c r="AC60" s="230"/>
      <c r="AD60" s="232">
        <f t="shared" si="117"/>
        <v>0</v>
      </c>
      <c r="AE60" s="233">
        <f t="shared" si="118"/>
        <v>0.25195300125931847</v>
      </c>
      <c r="AF60" s="228">
        <f t="shared" si="119"/>
        <v>74235998933.345428</v>
      </c>
      <c r="AG60" s="232">
        <f ca="1">(Tabla6[[#This Row],[Fecha Vto]]-TODAY())/365</f>
        <v>3.6958904109589041</v>
      </c>
      <c r="AH60" s="234"/>
      <c r="AI60" s="235"/>
      <c r="AJ60" s="236">
        <f t="shared" si="61"/>
        <v>0</v>
      </c>
    </row>
    <row r="61" spans="1:36">
      <c r="A61" s="219">
        <f t="shared" ref="A61:A63" si="121">IF(C61="","",YEAR(C61))</f>
        <v>2025</v>
      </c>
      <c r="B61" s="220">
        <v>627</v>
      </c>
      <c r="C61" s="221">
        <v>45811</v>
      </c>
      <c r="D61" s="237" t="s">
        <v>12</v>
      </c>
      <c r="E61" s="223" t="s">
        <v>194</v>
      </c>
      <c r="F61" s="224" t="s">
        <v>211</v>
      </c>
      <c r="G61" s="225" t="str">
        <f>+_xlfn.XLOOKUP(F61,Emisiones[Mnemotécnico SEN],Emisiones[Moneda],"",0,1)</f>
        <v>COP</v>
      </c>
      <c r="H61" s="225"/>
      <c r="I61" s="226"/>
      <c r="J61" s="226">
        <f>+_xlfn.XLOOKUP(F61,Emisiones[Mnemotécnico SEN],Emisiones[Fecha Vencim.],"",0,1)</f>
        <v>46260</v>
      </c>
      <c r="K61" s="224">
        <f>+_xlfn.XLOOKUP(F61,Emisiones[Mnemotécnico SEN],Emisiones[Tasa de Interés],"",0,1)</f>
        <v>7.5</v>
      </c>
      <c r="L61" s="227">
        <v>8.7149999999999856</v>
      </c>
      <c r="M61" s="227">
        <v>104.40399999999998</v>
      </c>
      <c r="N61" s="227">
        <f t="shared" ref="N61:N63" si="122">IF(C61="","",PRICE(C61,J61,K61%,L61%,100,1,3))</f>
        <v>98.582221088098322</v>
      </c>
      <c r="O61" s="227">
        <f t="shared" ref="O61:O63" si="123">IF(C61="","",M61-N61)</f>
        <v>5.8217789119016601</v>
      </c>
      <c r="P61" s="227">
        <f t="shared" ref="P61:P63" si="124">IF(C61="","",100*K61%-O61)</f>
        <v>1.6782210880983399</v>
      </c>
      <c r="Q61" s="228">
        <f t="shared" ref="Q61:Q63" si="125">IF(C61="","",IF(G61="UVR",S61/V61,S61))</f>
        <v>-3840025500000</v>
      </c>
      <c r="R61" s="228">
        <f>IF(C61="","",IF('Canjes desagregado'!$G61="UVR",'Canjes desagregado'!$V61*Q61*M61%,Q61*M61%))</f>
        <v>-4009140223019.9995</v>
      </c>
      <c r="S61" s="228">
        <v>-3840025500000</v>
      </c>
      <c r="T61" s="228">
        <f t="shared" ref="T61:T63" si="126">IFERROR(IF(RIGHT(F61,2)=RIGHT(YEAR(J61),2),1,0),"")</f>
        <v>1</v>
      </c>
      <c r="U61" s="228">
        <f t="shared" ref="U61:U63" si="127">+IF(R61="","",R61)</f>
        <v>-4009140223019.9995</v>
      </c>
      <c r="V61" s="229">
        <f>+IF(F61&lt;&gt;"",(_xlfn.XLOOKUP(C61,UVR[Fecha (dd/mm/aaaa)],UVR[Pesos colombianos por UVR],"",0,1)),"")</f>
        <v>390.51080000000002</v>
      </c>
      <c r="W61" s="228">
        <f t="shared" ref="W61:W63" si="128">IF(C61="","",IF(CONCATENATE(DAY(C61),"/",MONTH(C61),"/",2000)-CONCATENATE(DAY(J61),"/",MONTH(J61),"/",2000)&lt;0,K61%*ABS(S61),0))</f>
        <v>288001912500</v>
      </c>
      <c r="X61" s="228">
        <f t="shared" ref="X61:X63" si="129">IF(S61&lt;0,-W61,W61)</f>
        <v>-288001912500</v>
      </c>
      <c r="Y61" s="230"/>
      <c r="Z61" s="230"/>
      <c r="AA61" s="230"/>
      <c r="AB61" s="231">
        <f>IF(C61="","",ROUND(V61*(1+'Inflación observada '!$B$390%)^(("31-12-2025"-C61)/365),3))</f>
        <v>402.16800000000001</v>
      </c>
      <c r="AC61" s="230"/>
      <c r="AD61" s="232">
        <f t="shared" ref="AD61:AD63" si="130">IF(C61="","",IF(G61="UVR",Q61*AB61-S61,0))</f>
        <v>0</v>
      </c>
      <c r="AE61" s="233">
        <f t="shared" ref="AE61:AE63" si="131">IF(C61="","",P61/+(O61+P61))</f>
        <v>0.22376281174644533</v>
      </c>
      <c r="AF61" s="228">
        <f t="shared" ref="AF61:AF63" si="132">IF(C61="","",AE61*Q61*K61%)</f>
        <v>-64444117729.353714</v>
      </c>
      <c r="AG61" s="232">
        <f ca="1">(Tabla6[[#This Row],[Fecha Vto]]-TODAY())/365</f>
        <v>0.70410958904109588</v>
      </c>
      <c r="AH61" s="234"/>
      <c r="AI61" s="235"/>
      <c r="AJ61" s="236">
        <f t="shared" si="61"/>
        <v>0</v>
      </c>
    </row>
    <row r="62" spans="1:36">
      <c r="A62" s="219">
        <f t="shared" si="121"/>
        <v>2025</v>
      </c>
      <c r="B62" s="220">
        <v>627</v>
      </c>
      <c r="C62" s="221">
        <v>45811</v>
      </c>
      <c r="D62" s="237" t="s">
        <v>12</v>
      </c>
      <c r="E62" s="238" t="s">
        <v>195</v>
      </c>
      <c r="F62" s="224" t="s">
        <v>484</v>
      </c>
      <c r="G62" s="225" t="str">
        <f>+_xlfn.XLOOKUP(F62,Emisiones[Mnemotécnico SEN],Emisiones[Moneda],"",0,1)</f>
        <v>COP</v>
      </c>
      <c r="H62" s="225"/>
      <c r="I62" s="226"/>
      <c r="J62" s="226">
        <f>+_xlfn.XLOOKUP(F62,Emisiones[Mnemotécnico SEN],Emisiones[Fecha Vencim.],"",0,1)</f>
        <v>47352</v>
      </c>
      <c r="K62" s="224">
        <f>+_xlfn.XLOOKUP(F62,Emisiones[Mnemotécnico SEN],Emisiones[Tasa de Interés],"",0,1)</f>
        <v>11</v>
      </c>
      <c r="L62" s="227">
        <v>10.96000000000002</v>
      </c>
      <c r="M62" s="227">
        <v>108.68200000000007</v>
      </c>
      <c r="N62" s="227">
        <f t="shared" si="122"/>
        <v>100.03080101228031</v>
      </c>
      <c r="O62" s="227">
        <f t="shared" si="123"/>
        <v>8.6511989877197664</v>
      </c>
      <c r="P62" s="227">
        <f t="shared" si="124"/>
        <v>2.3488010122802336</v>
      </c>
      <c r="Q62" s="228">
        <f t="shared" si="125"/>
        <v>2869443700000</v>
      </c>
      <c r="R62" s="228">
        <f>IF(C62="","",IF('Canjes desagregado'!$G62="UVR",'Canjes desagregado'!$V62*Q62*M62%,Q62*M62%))</f>
        <v>3118568802034.0024</v>
      </c>
      <c r="S62" s="228">
        <v>2869443700000</v>
      </c>
      <c r="T62" s="228">
        <f t="shared" si="126"/>
        <v>1</v>
      </c>
      <c r="U62" s="228">
        <f t="shared" si="127"/>
        <v>3118568802034.0024</v>
      </c>
      <c r="V62" s="229">
        <f>+IF(F62&lt;&gt;"",(_xlfn.XLOOKUP(C62,UVR[Fecha (dd/mm/aaaa)],UVR[Pesos colombianos por UVR],"",0,1)),"")</f>
        <v>390.51080000000002</v>
      </c>
      <c r="W62" s="228">
        <f t="shared" si="128"/>
        <v>315638807000</v>
      </c>
      <c r="X62" s="228">
        <f t="shared" si="129"/>
        <v>315638807000</v>
      </c>
      <c r="Y62" s="230"/>
      <c r="Z62" s="230"/>
      <c r="AA62" s="230"/>
      <c r="AB62" s="231">
        <f>IF(C62="","",ROUND(V62*(1+'Inflación observada '!$B$390%)^(("31-12-2025"-C62)/365),3))</f>
        <v>402.16800000000001</v>
      </c>
      <c r="AC62" s="230"/>
      <c r="AD62" s="232">
        <f t="shared" si="130"/>
        <v>0</v>
      </c>
      <c r="AE62" s="233">
        <f t="shared" si="131"/>
        <v>0.2135273647527485</v>
      </c>
      <c r="AF62" s="228">
        <f t="shared" si="132"/>
        <v>67397522672.411385</v>
      </c>
      <c r="AG62" s="232">
        <f ca="1">(Tabla6[[#This Row],[Fecha Vto]]-TODAY())/365</f>
        <v>3.6958904109589041</v>
      </c>
      <c r="AH62" s="234"/>
      <c r="AI62" s="235"/>
      <c r="AJ62" s="236">
        <f t="shared" si="61"/>
        <v>0</v>
      </c>
    </row>
    <row r="63" spans="1:36">
      <c r="A63" s="219">
        <f t="shared" si="121"/>
        <v>2025</v>
      </c>
      <c r="B63" s="220">
        <v>627</v>
      </c>
      <c r="C63" s="221">
        <v>45811</v>
      </c>
      <c r="D63" s="237" t="s">
        <v>12</v>
      </c>
      <c r="E63" s="238" t="s">
        <v>195</v>
      </c>
      <c r="F63" s="224" t="s">
        <v>213</v>
      </c>
      <c r="G63" s="225" t="str">
        <f>+_xlfn.XLOOKUP(F63,Emisiones[Mnemotécnico SEN],Emisiones[Moneda],"",0,1)</f>
        <v>COP</v>
      </c>
      <c r="H63" s="225"/>
      <c r="I63" s="226"/>
      <c r="J63" s="226">
        <f>+_xlfn.XLOOKUP(F63,Emisiones[Mnemotécnico SEN],Emisiones[Fecha Vencim.],"",0,1)</f>
        <v>48619</v>
      </c>
      <c r="K63" s="224">
        <f>+_xlfn.XLOOKUP(F63,Emisiones[Mnemotécnico SEN],Emisiones[Tasa de Interés],"",0,1)</f>
        <v>13.25</v>
      </c>
      <c r="L63" s="227">
        <v>12.059000000000001</v>
      </c>
      <c r="M63" s="227">
        <v>109.8069999999999</v>
      </c>
      <c r="N63" s="227">
        <f t="shared" si="122"/>
        <v>105.59967479219327</v>
      </c>
      <c r="O63" s="227">
        <f t="shared" si="123"/>
        <v>4.2073252078066332</v>
      </c>
      <c r="P63" s="227">
        <f t="shared" si="124"/>
        <v>9.0426747921933668</v>
      </c>
      <c r="Q63" s="228">
        <f t="shared" si="125"/>
        <v>645589000000</v>
      </c>
      <c r="R63" s="228">
        <f>IF(C63="","",IF('Canjes desagregado'!$G63="UVR",'Canjes desagregado'!$V63*Q63*M63%,Q63*M63%))</f>
        <v>708901913229.99939</v>
      </c>
      <c r="S63" s="228">
        <v>645589000000</v>
      </c>
      <c r="T63" s="228">
        <f t="shared" si="126"/>
        <v>1</v>
      </c>
      <c r="U63" s="228">
        <f t="shared" si="127"/>
        <v>708901913229.99939</v>
      </c>
      <c r="V63" s="229">
        <f>+IF(F63&lt;&gt;"",(_xlfn.XLOOKUP(C63,UVR[Fecha (dd/mm/aaaa)],UVR[Pesos colombianos por UVR],"",0,1)),"")</f>
        <v>390.51080000000002</v>
      </c>
      <c r="W63" s="228">
        <f t="shared" si="128"/>
        <v>0</v>
      </c>
      <c r="X63" s="228">
        <f t="shared" si="129"/>
        <v>0</v>
      </c>
      <c r="Y63" s="230"/>
      <c r="Z63" s="230"/>
      <c r="AA63" s="230"/>
      <c r="AB63" s="231">
        <f>IF(C63="","",ROUND(V63*(1+'Inflación observada '!$B$390%)^(("31-12-2025"-C63)/365),3))</f>
        <v>402.16800000000001</v>
      </c>
      <c r="AC63" s="230"/>
      <c r="AD63" s="232">
        <f t="shared" si="130"/>
        <v>0</v>
      </c>
      <c r="AE63" s="233">
        <f t="shared" si="131"/>
        <v>0.68246602205232954</v>
      </c>
      <c r="AF63" s="228">
        <f t="shared" si="132"/>
        <v>58378513764.173241</v>
      </c>
      <c r="AG63" s="232">
        <f ca="1">(Tabla6[[#This Row],[Fecha Vto]]-TODAY())/365</f>
        <v>7.1671232876712327</v>
      </c>
      <c r="AH63" s="234"/>
      <c r="AI63" s="235"/>
      <c r="AJ63" s="236">
        <f t="shared" si="61"/>
        <v>0</v>
      </c>
    </row>
    <row r="64" spans="1:36">
      <c r="A64" s="219">
        <f t="shared" ref="A64:A69" si="133">IF(C64="","",YEAR(C64))</f>
        <v>2025</v>
      </c>
      <c r="B64" s="220">
        <v>627</v>
      </c>
      <c r="C64" s="221">
        <v>45811</v>
      </c>
      <c r="D64" s="237" t="s">
        <v>12</v>
      </c>
      <c r="E64" s="238" t="s">
        <v>195</v>
      </c>
      <c r="F64" s="224" t="s">
        <v>486</v>
      </c>
      <c r="G64" s="225" t="str">
        <f>+_xlfn.XLOOKUP(F64,Emisiones[Mnemotécnico SEN],Emisiones[Moneda],"",0,1)</f>
        <v>COP</v>
      </c>
      <c r="H64" s="225"/>
      <c r="I64" s="226"/>
      <c r="J64" s="226">
        <f>+_xlfn.XLOOKUP(F64,Emisiones[Mnemotécnico SEN],Emisiones[Fecha Vencim.],"",0,1)</f>
        <v>51468</v>
      </c>
      <c r="K64" s="224">
        <f>+_xlfn.XLOOKUP(F64,Emisiones[Mnemotécnico SEN],Emisiones[Tasa de Interés],"",0,1)</f>
        <v>12.75</v>
      </c>
      <c r="L64" s="227">
        <v>12.889999999999993</v>
      </c>
      <c r="M64" s="227">
        <v>105.48900000000002</v>
      </c>
      <c r="N64" s="227">
        <f t="shared" ref="N64:N69" si="134">IF(C64="","",PRICE(C64,J64,K64%,L64%,100,1,3))</f>
        <v>98.886832985831333</v>
      </c>
      <c r="O64" s="227">
        <f t="shared" ref="O64:O69" si="135">IF(C64="","",M64-N64)</f>
        <v>6.6021670141686855</v>
      </c>
      <c r="P64" s="227">
        <f t="shared" ref="P64:P69" si="136">IF(C64="","",100*K64%-O64)</f>
        <v>6.1478329858313145</v>
      </c>
      <c r="Q64" s="228">
        <f t="shared" ref="Q64:Q69" si="137">IF(C64="","",IF(G64="UVR",S64/V64,S64))</f>
        <v>55918400000</v>
      </c>
      <c r="R64" s="228">
        <f>IF(C64="","",IF('Canjes desagregado'!$G64="UVR",'Canjes desagregado'!$V64*Q64*M64%,Q64*M64%))</f>
        <v>58987760976.000008</v>
      </c>
      <c r="S64" s="228">
        <v>55918400000</v>
      </c>
      <c r="T64" s="228">
        <f t="shared" ref="T64:T69" si="138">IFERROR(IF(RIGHT(F64,2)=RIGHT(YEAR(J64),2),1,0),"")</f>
        <v>1</v>
      </c>
      <c r="U64" s="228">
        <f t="shared" ref="U64:U69" si="139">+IF(R64="","",R64)</f>
        <v>58987760976.000008</v>
      </c>
      <c r="V64" s="229">
        <f>+IF(F64&lt;&gt;"",(_xlfn.XLOOKUP(C64,UVR[Fecha (dd/mm/aaaa)],UVR[Pesos colombianos por UVR],"",0,1)),"")</f>
        <v>390.51080000000002</v>
      </c>
      <c r="W64" s="228">
        <f t="shared" ref="W64:W69" si="140">IF(C64="","",IF(CONCATENATE(DAY(C64),"/",MONTH(C64),"/",2000)-CONCATENATE(DAY(J64),"/",MONTH(J64),"/",2000)&lt;0,K64%*ABS(S64),0))</f>
        <v>7129596000</v>
      </c>
      <c r="X64" s="228">
        <f t="shared" ref="X64:X69" si="141">IF(S64&lt;0,-W64,W64)</f>
        <v>7129596000</v>
      </c>
      <c r="Y64" s="230"/>
      <c r="Z64" s="230"/>
      <c r="AA64" s="230"/>
      <c r="AB64" s="231">
        <f>IF(C64="","",ROUND(V64*(1+'Inflación observada '!$B$390%)^(("31-12-2025"-C64)/365),3))</f>
        <v>402.16800000000001</v>
      </c>
      <c r="AC64" s="230"/>
      <c r="AD64" s="232">
        <f t="shared" ref="AD64:AD69" si="142">IF(C64="","",IF(G64="UVR",Q64*AB64-S64,0))</f>
        <v>0</v>
      </c>
      <c r="AE64" s="233">
        <f t="shared" ref="AE64:AE69" si="143">IF(C64="","",P64/+(O64+P64))</f>
        <v>0.48218297928088744</v>
      </c>
      <c r="AF64" s="228">
        <f t="shared" ref="AF64:AF69" si="144">IF(C64="","",AE64*Q64*K64%)</f>
        <v>3437769840.3490982</v>
      </c>
      <c r="AG64" s="232">
        <f ca="1">(Tabla6[[#This Row],[Fecha Vto]]-TODAY())/365</f>
        <v>14.972602739726028</v>
      </c>
      <c r="AH64" s="234"/>
      <c r="AI64" s="235"/>
      <c r="AJ64" s="236">
        <f t="shared" si="61"/>
        <v>0</v>
      </c>
    </row>
    <row r="65" spans="1:36">
      <c r="A65" s="219">
        <f t="shared" si="133"/>
        <v>2025</v>
      </c>
      <c r="B65" s="220">
        <v>627</v>
      </c>
      <c r="C65" s="221">
        <v>45811</v>
      </c>
      <c r="D65" s="237" t="s">
        <v>12</v>
      </c>
      <c r="E65" s="238" t="s">
        <v>195</v>
      </c>
      <c r="F65" s="224" t="s">
        <v>360</v>
      </c>
      <c r="G65" s="225" t="str">
        <f>+_xlfn.XLOOKUP(F65,Emisiones[Mnemotécnico SEN],Emisiones[Moneda],"",0,1)</f>
        <v>COP</v>
      </c>
      <c r="H65" s="225"/>
      <c r="I65" s="226"/>
      <c r="J65" s="226">
        <f>+_xlfn.XLOOKUP(F65,Emisiones[Mnemotécnico SEN],Emisiones[Fecha Vencim.],"",0,1)</f>
        <v>53533</v>
      </c>
      <c r="K65" s="224">
        <f>+_xlfn.XLOOKUP(F65,Emisiones[Mnemotécnico SEN],Emisiones[Tasa de Interés],"",0,1)</f>
        <v>11.5</v>
      </c>
      <c r="L65" s="227">
        <v>12.870000000000001</v>
      </c>
      <c r="M65" s="227">
        <v>100.02</v>
      </c>
      <c r="N65" s="227">
        <f t="shared" si="134"/>
        <v>90.092023669593686</v>
      </c>
      <c r="O65" s="227">
        <f t="shared" si="135"/>
        <v>9.9279763304063096</v>
      </c>
      <c r="P65" s="227">
        <f t="shared" si="136"/>
        <v>1.5720236695936904</v>
      </c>
      <c r="Q65" s="228">
        <f t="shared" si="137"/>
        <v>80000000000</v>
      </c>
      <c r="R65" s="228">
        <f>IF(C65="","",IF('Canjes desagregado'!$G65="UVR",'Canjes desagregado'!$V65*Q65*M65%,Q65*M65%))</f>
        <v>80016000000</v>
      </c>
      <c r="S65" s="228">
        <v>80000000000</v>
      </c>
      <c r="T65" s="228">
        <f t="shared" si="138"/>
        <v>1</v>
      </c>
      <c r="U65" s="228">
        <f t="shared" si="139"/>
        <v>80016000000</v>
      </c>
      <c r="V65" s="229">
        <f>+IF(F65&lt;&gt;"",(_xlfn.XLOOKUP(C65,UVR[Fecha (dd/mm/aaaa)],UVR[Pesos colombianos por UVR],"",0,1)),"")</f>
        <v>390.51080000000002</v>
      </c>
      <c r="W65" s="228">
        <f t="shared" si="140"/>
        <v>9200000000</v>
      </c>
      <c r="X65" s="228">
        <f t="shared" si="141"/>
        <v>9200000000</v>
      </c>
      <c r="Y65" s="230"/>
      <c r="Z65" s="230"/>
      <c r="AA65" s="230"/>
      <c r="AB65" s="231">
        <f>IF(C65="","",ROUND(V65*(1+'Inflación observada '!$B$390%)^(("31-12-2025"-C65)/365),3))</f>
        <v>402.16800000000001</v>
      </c>
      <c r="AC65" s="230"/>
      <c r="AD65" s="232">
        <f t="shared" si="142"/>
        <v>0</v>
      </c>
      <c r="AE65" s="233">
        <f t="shared" si="143"/>
        <v>0.13669771039945133</v>
      </c>
      <c r="AF65" s="228">
        <f t="shared" si="144"/>
        <v>1257618935.6749523</v>
      </c>
      <c r="AG65" s="232">
        <f ca="1">(Tabla6[[#This Row],[Fecha Vto]]-TODAY())/365</f>
        <v>20.63013698630137</v>
      </c>
      <c r="AH65" s="234"/>
      <c r="AI65" s="235"/>
      <c r="AJ65" s="236">
        <f t="shared" si="61"/>
        <v>0</v>
      </c>
    </row>
    <row r="66" spans="1:36">
      <c r="A66" s="219">
        <f t="shared" si="133"/>
        <v>2025</v>
      </c>
      <c r="B66" s="220">
        <v>627</v>
      </c>
      <c r="C66" s="221">
        <v>45811</v>
      </c>
      <c r="D66" s="237" t="s">
        <v>12</v>
      </c>
      <c r="E66" s="238" t="s">
        <v>195</v>
      </c>
      <c r="F66" s="224" t="s">
        <v>324</v>
      </c>
      <c r="G66" s="225" t="str">
        <f>+_xlfn.XLOOKUP(F66,Emisiones[Mnemotécnico SEN],Emisiones[Moneda],"",0,1)</f>
        <v>COP</v>
      </c>
      <c r="H66" s="225"/>
      <c r="I66" s="226"/>
      <c r="J66" s="226">
        <f>+_xlfn.XLOOKUP(F66,Emisiones[Mnemotécnico SEN],Emisiones[Fecha Vencim.],"",0,1)</f>
        <v>55087</v>
      </c>
      <c r="K66" s="224">
        <f>+_xlfn.XLOOKUP(F66,Emisiones[Mnemotécnico SEN],Emisiones[Tasa de Interés],"",0,1)</f>
        <v>7.25</v>
      </c>
      <c r="L66" s="227">
        <v>12.749999999999998</v>
      </c>
      <c r="M66" s="227">
        <v>63.216999999999992</v>
      </c>
      <c r="N66" s="227">
        <f t="shared" si="134"/>
        <v>58.805738162579829</v>
      </c>
      <c r="O66" s="227">
        <f t="shared" si="135"/>
        <v>4.4112618374201631</v>
      </c>
      <c r="P66" s="227">
        <f t="shared" si="136"/>
        <v>2.838738162579836</v>
      </c>
      <c r="Q66" s="228">
        <f t="shared" si="137"/>
        <v>37500000000</v>
      </c>
      <c r="R66" s="228">
        <f>IF(C66="","",IF('Canjes desagregado'!$G66="UVR",'Canjes desagregado'!$V66*Q66*M66%,Q66*M66%))</f>
        <v>23706374999.999996</v>
      </c>
      <c r="S66" s="228">
        <v>37500000000</v>
      </c>
      <c r="T66" s="228">
        <f t="shared" si="138"/>
        <v>1</v>
      </c>
      <c r="U66" s="228">
        <f t="shared" si="139"/>
        <v>23706374999.999996</v>
      </c>
      <c r="V66" s="229">
        <f>+IF(F66&lt;&gt;"",(_xlfn.XLOOKUP(C66,UVR[Fecha (dd/mm/aaaa)],UVR[Pesos colombianos por UVR],"",0,1)),"")</f>
        <v>390.51080000000002</v>
      </c>
      <c r="W66" s="228">
        <f t="shared" si="140"/>
        <v>2718750000</v>
      </c>
      <c r="X66" s="228">
        <f t="shared" si="141"/>
        <v>2718750000</v>
      </c>
      <c r="Y66" s="230"/>
      <c r="Z66" s="230"/>
      <c r="AA66" s="230"/>
      <c r="AB66" s="231">
        <f>IF(C66="","",ROUND(V66*(1+'Inflación observada '!$B$390%)^(("31-12-2025"-C66)/365),3))</f>
        <v>402.16800000000001</v>
      </c>
      <c r="AC66" s="230"/>
      <c r="AD66" s="232">
        <f t="shared" si="142"/>
        <v>0</v>
      </c>
      <c r="AE66" s="233">
        <f t="shared" si="143"/>
        <v>0.39155009139032226</v>
      </c>
      <c r="AF66" s="228">
        <f t="shared" si="144"/>
        <v>1064526810.9674386</v>
      </c>
      <c r="AG66" s="232">
        <f ca="1">(Tabla6[[#This Row],[Fecha Vto]]-TODAY())/365</f>
        <v>24.887671232876713</v>
      </c>
      <c r="AH66" s="234"/>
      <c r="AI66" s="235"/>
      <c r="AJ66" s="236">
        <f t="shared" ref="AJ66:AJ86" si="145">IF(C66="","",IF(G66="UVR",Q66*AI66-S66,0))</f>
        <v>0</v>
      </c>
    </row>
    <row r="67" spans="1:36">
      <c r="A67" s="219">
        <f t="shared" si="133"/>
        <v>2025</v>
      </c>
      <c r="B67" s="220">
        <v>628</v>
      </c>
      <c r="C67" s="221">
        <v>45821</v>
      </c>
      <c r="D67" s="222" t="s">
        <v>42</v>
      </c>
      <c r="E67" s="223" t="s">
        <v>194</v>
      </c>
      <c r="F67" s="224" t="s">
        <v>309</v>
      </c>
      <c r="G67" s="225" t="str">
        <f>+_xlfn.XLOOKUP(F67,Emisiones[Mnemotécnico SEN],Emisiones[Moneda],"",0,1)</f>
        <v>COP</v>
      </c>
      <c r="H67" s="225"/>
      <c r="I67" s="226"/>
      <c r="J67" s="226">
        <f>+_xlfn.XLOOKUP(F67,Emisiones[Mnemotécnico SEN],Emisiones[Fecha Vencim.],"",0,1)</f>
        <v>45987</v>
      </c>
      <c r="K67" s="224">
        <f>+_xlfn.XLOOKUP(F67,Emisiones[Mnemotécnico SEN],Emisiones[Tasa de Interés],"",0,1)</f>
        <v>6.25</v>
      </c>
      <c r="L67" s="227">
        <v>8.8019999999999996</v>
      </c>
      <c r="M67" s="227">
        <v>102.251</v>
      </c>
      <c r="N67" s="227">
        <f t="shared" si="134"/>
        <v>98.75288078003662</v>
      </c>
      <c r="O67" s="227">
        <f t="shared" si="135"/>
        <v>3.4981192199633853</v>
      </c>
      <c r="P67" s="227">
        <f t="shared" si="136"/>
        <v>2.7518807800366147</v>
      </c>
      <c r="Q67" s="228">
        <f t="shared" si="137"/>
        <v>-241140800000</v>
      </c>
      <c r="R67" s="228">
        <f>IF(C67="","",IF('Canjes desagregado'!$G67="UVR",'Canjes desagregado'!$V67*Q67*M67%,Q67*M67%))</f>
        <v>-246568879408</v>
      </c>
      <c r="S67" s="228">
        <v>-241140800000</v>
      </c>
      <c r="T67" s="228">
        <f t="shared" si="138"/>
        <v>1</v>
      </c>
      <c r="U67" s="228">
        <f t="shared" si="139"/>
        <v>-246568879408</v>
      </c>
      <c r="V67" s="229">
        <f>+IF(F67&lt;&gt;"",(_xlfn.XLOOKUP(C67,UVR[Fecha (dd/mm/aaaa)],UVR[Pesos colombianos por UVR],"",0,1)),"")</f>
        <v>391.34039999999999</v>
      </c>
      <c r="W67" s="228">
        <f t="shared" si="140"/>
        <v>15071300000</v>
      </c>
      <c r="X67" s="228">
        <f t="shared" si="141"/>
        <v>-15071300000</v>
      </c>
      <c r="Y67" s="230"/>
      <c r="Z67" s="230"/>
      <c r="AA67" s="230"/>
      <c r="AB67" s="231">
        <f>IF(C67="","",ROUND(V67*(1+'Inflación observada '!$B$390%)^(("31-12-2025"-C67)/365),3))</f>
        <v>402.46100000000001</v>
      </c>
      <c r="AC67" s="230"/>
      <c r="AD67" s="232">
        <f t="shared" si="142"/>
        <v>0</v>
      </c>
      <c r="AE67" s="233">
        <f t="shared" si="143"/>
        <v>0.44030092480585836</v>
      </c>
      <c r="AF67" s="228">
        <f t="shared" si="144"/>
        <v>-6635907328.0265331</v>
      </c>
      <c r="AG67" s="232">
        <f ca="1">(Tabla6[[#This Row],[Fecha Vto]]-TODAY())/365</f>
        <v>-4.3835616438356165E-2</v>
      </c>
      <c r="AH67" s="234"/>
      <c r="AI67" s="235"/>
      <c r="AJ67" s="236">
        <f t="shared" si="145"/>
        <v>0</v>
      </c>
    </row>
    <row r="68" spans="1:36">
      <c r="A68" s="219">
        <f t="shared" si="133"/>
        <v>2025</v>
      </c>
      <c r="B68" s="220">
        <v>628</v>
      </c>
      <c r="C68" s="221">
        <v>45821</v>
      </c>
      <c r="D68" s="222" t="s">
        <v>42</v>
      </c>
      <c r="E68" s="223" t="s">
        <v>194</v>
      </c>
      <c r="F68" s="224" t="s">
        <v>211</v>
      </c>
      <c r="G68" s="225" t="str">
        <f>+_xlfn.XLOOKUP(F68,Emisiones[Mnemotécnico SEN],Emisiones[Moneda],"",0,1)</f>
        <v>COP</v>
      </c>
      <c r="H68" s="225"/>
      <c r="I68" s="226"/>
      <c r="J68" s="226">
        <f>+_xlfn.XLOOKUP(F68,Emisiones[Mnemotécnico SEN],Emisiones[Fecha Vencim.],"",0,1)</f>
        <v>46260</v>
      </c>
      <c r="K68" s="224">
        <f>+_xlfn.XLOOKUP(F68,Emisiones[Mnemotécnico SEN],Emisiones[Tasa de Interés],"",0,1)</f>
        <v>7.5</v>
      </c>
      <c r="L68" s="227">
        <v>9.1010000000000009</v>
      </c>
      <c r="M68" s="227">
        <v>104.17700000000001</v>
      </c>
      <c r="N68" s="227">
        <f t="shared" si="134"/>
        <v>98.197063966548967</v>
      </c>
      <c r="O68" s="227">
        <f t="shared" si="135"/>
        <v>5.9799360334510396</v>
      </c>
      <c r="P68" s="227">
        <f t="shared" si="136"/>
        <v>1.5200639665489604</v>
      </c>
      <c r="Q68" s="228">
        <f t="shared" si="137"/>
        <v>-1865500000000</v>
      </c>
      <c r="R68" s="228">
        <f>IF(C68="","",IF('Canjes desagregado'!$G68="UVR",'Canjes desagregado'!$V68*Q68*M68%,Q68*M68%))</f>
        <v>-1943421935000.0002</v>
      </c>
      <c r="S68" s="228">
        <v>-1865500000000</v>
      </c>
      <c r="T68" s="228">
        <f t="shared" si="138"/>
        <v>1</v>
      </c>
      <c r="U68" s="228">
        <f t="shared" si="139"/>
        <v>-1943421935000.0002</v>
      </c>
      <c r="V68" s="229">
        <f>+IF(F68&lt;&gt;"",(_xlfn.XLOOKUP(C68,UVR[Fecha (dd/mm/aaaa)],UVR[Pesos colombianos por UVR],"",0,1)),"")</f>
        <v>391.34039999999999</v>
      </c>
      <c r="W68" s="228">
        <f t="shared" si="140"/>
        <v>139912500000</v>
      </c>
      <c r="X68" s="228">
        <f t="shared" si="141"/>
        <v>-139912500000</v>
      </c>
      <c r="Y68" s="230"/>
      <c r="Z68" s="230"/>
      <c r="AA68" s="230"/>
      <c r="AB68" s="231">
        <f>IF(C68="","",ROUND(V68*(1+'Inflación observada '!$B$390%)^(("31-12-2025"-C68)/365),3))</f>
        <v>402.46100000000001</v>
      </c>
      <c r="AC68" s="230"/>
      <c r="AD68" s="232">
        <f t="shared" si="142"/>
        <v>0</v>
      </c>
      <c r="AE68" s="233">
        <f t="shared" si="143"/>
        <v>0.20267519553986138</v>
      </c>
      <c r="AF68" s="228">
        <f t="shared" si="144"/>
        <v>-28356793295.970852</v>
      </c>
      <c r="AG68" s="232">
        <f ca="1">(Tabla6[[#This Row],[Fecha Vto]]-TODAY())/365</f>
        <v>0.70410958904109588</v>
      </c>
      <c r="AH68" s="234"/>
      <c r="AI68" s="235"/>
      <c r="AJ68" s="236">
        <f t="shared" si="145"/>
        <v>0</v>
      </c>
    </row>
    <row r="69" spans="1:36">
      <c r="A69" s="219">
        <f t="shared" si="133"/>
        <v>2025</v>
      </c>
      <c r="B69" s="220">
        <v>628</v>
      </c>
      <c r="C69" s="221">
        <v>45821</v>
      </c>
      <c r="D69" s="222" t="s">
        <v>42</v>
      </c>
      <c r="E69" s="238" t="s">
        <v>195</v>
      </c>
      <c r="F69" s="224" t="s">
        <v>212</v>
      </c>
      <c r="G69" s="225" t="str">
        <f>+_xlfn.XLOOKUP(F69,Emisiones[Mnemotécnico SEN],Emisiones[Moneda],"",0,1)</f>
        <v>COP</v>
      </c>
      <c r="H69" s="225"/>
      <c r="I69" s="226"/>
      <c r="J69" s="226">
        <f>+_xlfn.XLOOKUP(F69,Emisiones[Mnemotécnico SEN],Emisiones[Fecha Vencim.],"",0,1)</f>
        <v>46871</v>
      </c>
      <c r="K69" s="224">
        <f>+_xlfn.XLOOKUP(F69,Emisiones[Mnemotécnico SEN],Emisiones[Tasa de Interés],"",0,1)</f>
        <v>6</v>
      </c>
      <c r="L69" s="227">
        <v>10.318</v>
      </c>
      <c r="M69" s="227">
        <v>90.433999999999997</v>
      </c>
      <c r="N69" s="227">
        <f t="shared" si="134"/>
        <v>89.677709909829261</v>
      </c>
      <c r="O69" s="227">
        <f t="shared" si="135"/>
        <v>0.75629009017073656</v>
      </c>
      <c r="P69" s="227">
        <f t="shared" si="136"/>
        <v>5.2437099098292634</v>
      </c>
      <c r="Q69" s="228">
        <f t="shared" si="137"/>
        <v>2106640800000</v>
      </c>
      <c r="R69" s="228">
        <f>IF(C69="","",IF('Canjes desagregado'!$G69="UVR",'Canjes desagregado'!$V69*Q69*M69%,Q69*M69%))</f>
        <v>1905119541071.9998</v>
      </c>
      <c r="S69" s="228">
        <v>2106640800000</v>
      </c>
      <c r="T69" s="228">
        <f t="shared" si="138"/>
        <v>1</v>
      </c>
      <c r="U69" s="228">
        <f t="shared" si="139"/>
        <v>1905119541071.9998</v>
      </c>
      <c r="V69" s="229">
        <f>+IF(F69&lt;&gt;"",(_xlfn.XLOOKUP(C69,UVR[Fecha (dd/mm/aaaa)],UVR[Pesos colombianos por UVR],"",0,1)),"")</f>
        <v>391.34039999999999</v>
      </c>
      <c r="W69" s="228">
        <f t="shared" si="140"/>
        <v>0</v>
      </c>
      <c r="X69" s="228">
        <f t="shared" si="141"/>
        <v>0</v>
      </c>
      <c r="Y69" s="230"/>
      <c r="Z69" s="230"/>
      <c r="AA69" s="230"/>
      <c r="AB69" s="231">
        <f>IF(C69="","",ROUND(V69*(1+'Inflación observada '!$B$390%)^(("31-12-2025"-C69)/365),3))</f>
        <v>402.46100000000001</v>
      </c>
      <c r="AC69" s="230"/>
      <c r="AD69" s="232">
        <f t="shared" si="142"/>
        <v>0</v>
      </c>
      <c r="AE69" s="233">
        <f t="shared" si="143"/>
        <v>0.87395165163821054</v>
      </c>
      <c r="AF69" s="228">
        <f t="shared" si="144"/>
        <v>110466132394.10646</v>
      </c>
      <c r="AG69" s="232">
        <f ca="1">(Tabla6[[#This Row],[Fecha Vto]]-TODAY())/365</f>
        <v>2.3780821917808219</v>
      </c>
      <c r="AH69" s="234"/>
      <c r="AI69" s="235"/>
      <c r="AJ69" s="236">
        <f t="shared" si="145"/>
        <v>0</v>
      </c>
    </row>
    <row r="70" spans="1:36">
      <c r="A70" s="219">
        <f>IF(C70="","",YEAR(C70))</f>
        <v>2025</v>
      </c>
      <c r="B70" s="220">
        <v>629</v>
      </c>
      <c r="C70" s="221">
        <v>45860</v>
      </c>
      <c r="D70" s="222" t="s">
        <v>42</v>
      </c>
      <c r="E70" s="223" t="s">
        <v>194</v>
      </c>
      <c r="F70" s="224" t="s">
        <v>309</v>
      </c>
      <c r="G70" s="225" t="str">
        <f>+_xlfn.XLOOKUP(F70,Emisiones[Mnemotécnico SEN],Emisiones[Moneda],"",0,1)</f>
        <v>COP</v>
      </c>
      <c r="H70" s="225"/>
      <c r="I70" s="226"/>
      <c r="J70" s="226">
        <f>+_xlfn.XLOOKUP(F70,Emisiones[Mnemotécnico SEN],Emisiones[Fecha Vencim.],"",0,1)</f>
        <v>45987</v>
      </c>
      <c r="K70" s="224">
        <f>+_xlfn.XLOOKUP(F70,Emisiones[Mnemotécnico SEN],Emisiones[Tasa de Interés],"",0,1)</f>
        <v>6.25</v>
      </c>
      <c r="L70" s="227">
        <v>9.1840000000000011</v>
      </c>
      <c r="M70" s="227">
        <v>103.051</v>
      </c>
      <c r="N70" s="227">
        <f>IF(C70="","",PRICE(C70,J70,K70%,L70%,100,1,3))</f>
        <v>98.884544720608702</v>
      </c>
      <c r="O70" s="227">
        <f>IF(C70="","",M70-N70)</f>
        <v>4.1664552793913003</v>
      </c>
      <c r="P70" s="227">
        <f>IF(C70="","",100*K70%-O70)</f>
        <v>2.0835447206086997</v>
      </c>
      <c r="Q70" s="228">
        <f>IF(C70="","",IF(G70="UVR",S70/V70,S70))</f>
        <v>-373500000000</v>
      </c>
      <c r="R70" s="228">
        <f>IF(C70="","",IF('Canjes desagregado'!$G70="UVR",'Canjes desagregado'!$V70*Q70*M70%,Q70*M70%))</f>
        <v>-384895485000</v>
      </c>
      <c r="S70" s="228">
        <v>-373500000000</v>
      </c>
      <c r="T70" s="228">
        <f>IFERROR(IF(RIGHT(F70,2)=RIGHT(YEAR(J70),2),1,0),"")</f>
        <v>1</v>
      </c>
      <c r="U70" s="228">
        <f>+IF(R70="","",R70)</f>
        <v>-384895485000</v>
      </c>
      <c r="V70" s="229">
        <f>+IF(F70&lt;&gt;"",(_xlfn.XLOOKUP(C70,UVR[Fecha (dd/mm/aaaa)],UVR[Pesos colombianos por UVR],"",0,1)),"")</f>
        <v>392.84800000000001</v>
      </c>
      <c r="W70" s="228">
        <f>IF(C70="","",IF(CONCATENATE(DAY(C70),"/",MONTH(C70),"/",2000)-CONCATENATE(DAY(J70),"/",MONTH(J70),"/",2000)&lt;0,K70%*ABS(S70),0))</f>
        <v>23343750000</v>
      </c>
      <c r="X70" s="228">
        <f>IF(S70&lt;0,-W70,W70)</f>
        <v>-23343750000</v>
      </c>
      <c r="Y70" s="230"/>
      <c r="Z70" s="230"/>
      <c r="AA70" s="230"/>
      <c r="AB70" s="231">
        <f>IF(C70="","",ROUND(V70*(1+'Inflación observada '!$B$390%)^(("31-12-2025"-C70)/365),3))</f>
        <v>401.82100000000003</v>
      </c>
      <c r="AC70" s="230"/>
      <c r="AD70" s="232">
        <f>IF(C70="","",IF(G70="UVR",Q70*AB70-S70,0))</f>
        <v>0</v>
      </c>
      <c r="AE70" s="233">
        <f>IF(C70="","",P70/+(O70+P70))</f>
        <v>0.33336715529739197</v>
      </c>
      <c r="AF70" s="228">
        <f>IF(C70="","",AE70*Q70*K70%)</f>
        <v>-7782039531.4734936</v>
      </c>
      <c r="AG70" s="232">
        <f ca="1">(Tabla6[[#This Row],[Fecha Vto]]-TODAY())/365</f>
        <v>-4.3835616438356165E-2</v>
      </c>
      <c r="AH70" s="234"/>
      <c r="AI70" s="235"/>
      <c r="AJ70" s="236">
        <f t="shared" si="145"/>
        <v>0</v>
      </c>
    </row>
    <row r="71" spans="1:36">
      <c r="A71" s="219">
        <f t="shared" ref="A71:A78" si="146">IF(C71="","",YEAR(C71))</f>
        <v>2025</v>
      </c>
      <c r="B71" s="220">
        <v>629</v>
      </c>
      <c r="C71" s="221">
        <v>45860</v>
      </c>
      <c r="D71" s="222" t="s">
        <v>42</v>
      </c>
      <c r="E71" s="223" t="s">
        <v>194</v>
      </c>
      <c r="F71" s="224" t="s">
        <v>211</v>
      </c>
      <c r="G71" s="225" t="str">
        <f>+_xlfn.XLOOKUP(F71,Emisiones[Mnemotécnico SEN],Emisiones[Moneda],"",0,1)</f>
        <v>COP</v>
      </c>
      <c r="H71" s="225"/>
      <c r="I71" s="226"/>
      <c r="J71" s="226">
        <f>+_xlfn.XLOOKUP(F71,Emisiones[Mnemotécnico SEN],Emisiones[Fecha Vencim.],"",0,1)</f>
        <v>46260</v>
      </c>
      <c r="K71" s="224">
        <f>+_xlfn.XLOOKUP(F71,Emisiones[Mnemotécnico SEN],Emisiones[Tasa de Interés],"",0,1)</f>
        <v>7.5</v>
      </c>
      <c r="L71" s="227">
        <v>8.907</v>
      </c>
      <c r="M71" s="227">
        <v>105.343</v>
      </c>
      <c r="N71" s="227">
        <f>IF(C71="","",PRICE(C71,J71,K71%,L71%,100,1,3))</f>
        <v>98.561825794120139</v>
      </c>
      <c r="O71" s="227">
        <f>IF(C71="","",M71-N71)</f>
        <v>6.7811742058798643</v>
      </c>
      <c r="P71" s="227">
        <f>IF(C71="","",100*K71%-O71)</f>
        <v>0.7188257941201357</v>
      </c>
      <c r="Q71" s="228">
        <f>IF(C71="","",IF(G71="UVR",S71/V71,S71))</f>
        <v>-246817300000</v>
      </c>
      <c r="R71" s="228">
        <f>IF(C71="","",IF('Canjes desagregado'!$G71="UVR",'Canjes desagregado'!$V71*Q71*M71%,Q71*M71%))</f>
        <v>-260004748339.00003</v>
      </c>
      <c r="S71" s="228">
        <v>-246817300000</v>
      </c>
      <c r="T71" s="228">
        <f>IFERROR(IF(RIGHT(F71,2)=RIGHT(YEAR(J71),2),1,0),"")</f>
        <v>1</v>
      </c>
      <c r="U71" s="228">
        <f>+IF(R71="","",R71)</f>
        <v>-260004748339.00003</v>
      </c>
      <c r="V71" s="229">
        <f>+IF(F71&lt;&gt;"",(_xlfn.XLOOKUP(C71,UVR[Fecha (dd/mm/aaaa)],UVR[Pesos colombianos por UVR],"",0,1)),"")</f>
        <v>392.84800000000001</v>
      </c>
      <c r="W71" s="228">
        <f>IF(C71="","",IF(CONCATENATE(DAY(C71),"/",MONTH(C71),"/",2000)-CONCATENATE(DAY(J71),"/",MONTH(J71),"/",2000)&lt;0,K71%*ABS(S71),0))</f>
        <v>18511297500</v>
      </c>
      <c r="X71" s="228">
        <f>IF(S71&lt;0,-W71,W71)</f>
        <v>-18511297500</v>
      </c>
      <c r="Y71" s="230"/>
      <c r="Z71" s="230"/>
      <c r="AA71" s="230"/>
      <c r="AB71" s="231">
        <f>IF(C71="","",ROUND(V71*(1+'Inflación observada '!$B$390%)^(("31-12-2025"-C71)/365),3))</f>
        <v>401.82100000000003</v>
      </c>
      <c r="AC71" s="230"/>
      <c r="AD71" s="232">
        <f>IF(C71="","",IF(G71="UVR",Q71*AB71-S71,0))</f>
        <v>0</v>
      </c>
      <c r="AE71" s="233">
        <f>IF(C71="","",P71/+(O71+P71))</f>
        <v>9.5843439216018095E-2</v>
      </c>
      <c r="AF71" s="228">
        <f>IF(C71="","",AE71*Q71*K71%)</f>
        <v>-1774186416.7508776</v>
      </c>
      <c r="AG71" s="232">
        <f ca="1">(Tabla6[[#This Row],[Fecha Vto]]-TODAY())/365</f>
        <v>0.70410958904109588</v>
      </c>
      <c r="AH71" s="234"/>
      <c r="AI71" s="235"/>
      <c r="AJ71" s="236">
        <f t="shared" si="145"/>
        <v>0</v>
      </c>
    </row>
    <row r="72" spans="1:36">
      <c r="A72" s="219">
        <f t="shared" si="146"/>
        <v>2025</v>
      </c>
      <c r="B72" s="220">
        <v>629</v>
      </c>
      <c r="C72" s="221">
        <v>45860</v>
      </c>
      <c r="D72" s="222" t="s">
        <v>42</v>
      </c>
      <c r="E72" s="223" t="s">
        <v>194</v>
      </c>
      <c r="F72" s="224" t="s">
        <v>197</v>
      </c>
      <c r="G72" s="225" t="str">
        <f>+_xlfn.XLOOKUP(F72,Emisiones[Mnemotécnico SEN],Emisiones[Moneda],"",0,1)</f>
        <v>COP</v>
      </c>
      <c r="H72" s="225"/>
      <c r="I72" s="226"/>
      <c r="J72" s="226">
        <f>+_xlfn.XLOOKUP(F72,Emisiones[Mnemotécnico SEN],Emisiones[Fecha Vencim.],"",0,1)</f>
        <v>48395</v>
      </c>
      <c r="K72" s="224">
        <f>+_xlfn.XLOOKUP(F72,Emisiones[Mnemotécnico SEN],Emisiones[Tasa de Interés],"",0,1)</f>
        <v>7</v>
      </c>
      <c r="L72" s="227">
        <v>11.447000000000001</v>
      </c>
      <c r="M72" s="227">
        <v>79.864000000000004</v>
      </c>
      <c r="N72" s="227">
        <f>IF(C72="","",PRICE(C72,J72,K72%,L72%,100,1,3))</f>
        <v>79.442165568783366</v>
      </c>
      <c r="O72" s="227">
        <f>IF(C72="","",M72-N72)</f>
        <v>0.421834431216638</v>
      </c>
      <c r="P72" s="227">
        <f>IF(C72="","",100*K72%-O72)</f>
        <v>6.5781655687833629</v>
      </c>
      <c r="Q72" s="228">
        <f>IF(C72="","",IF(G72="UVR",S72/V72,S72))</f>
        <v>-271000000000</v>
      </c>
      <c r="R72" s="228">
        <f>IF(C72="","",IF('Canjes desagregado'!$G72="UVR",'Canjes desagregado'!$V72*Q72*M72%,Q72*M72%))</f>
        <v>-216431440000</v>
      </c>
      <c r="S72" s="228">
        <v>-271000000000</v>
      </c>
      <c r="T72" s="228">
        <f>IFERROR(IF(RIGHT(F72,2)=RIGHT(YEAR(J72),2),1,0),"")</f>
        <v>1</v>
      </c>
      <c r="U72" s="228">
        <f>+IF(R72="","",R72)</f>
        <v>-216431440000</v>
      </c>
      <c r="V72" s="229">
        <f>+IF(F72&lt;&gt;"",(_xlfn.XLOOKUP(C72,UVR[Fecha (dd/mm/aaaa)],UVR[Pesos colombianos por UVR],"",0,1)),"")</f>
        <v>392.84800000000001</v>
      </c>
      <c r="W72" s="228">
        <f>IF(C72="","",IF(CONCATENATE(DAY(C72),"/",MONTH(C72),"/",2000)-CONCATENATE(DAY(J72),"/",MONTH(J72),"/",2000)&lt;0,K72%*ABS(S72),0))</f>
        <v>0</v>
      </c>
      <c r="X72" s="228">
        <f>IF(S72&lt;0,-W72,W72)</f>
        <v>0</v>
      </c>
      <c r="Y72" s="230"/>
      <c r="Z72" s="230"/>
      <c r="AA72" s="230"/>
      <c r="AB72" s="231">
        <f>IF(C72="","",ROUND(V72*(1+'Inflación observada '!$B$390%)^(("31-12-2025"-C72)/365),3))</f>
        <v>401.82100000000003</v>
      </c>
      <c r="AC72" s="230"/>
      <c r="AD72" s="232">
        <f>IF(C72="","",IF(G72="UVR",Q72*AB72-S72,0))</f>
        <v>0</v>
      </c>
      <c r="AE72" s="233">
        <f>IF(C72="","",P72/+(O72+P72))</f>
        <v>0.9397379383976231</v>
      </c>
      <c r="AF72" s="228">
        <f>IF(C72="","",AE72*Q72*K72%)</f>
        <v>-17826828691.402912</v>
      </c>
      <c r="AG72" s="232">
        <f ca="1">(Tabla6[[#This Row],[Fecha Vto]]-TODAY())/365</f>
        <v>6.5534246575342463</v>
      </c>
      <c r="AH72" s="234"/>
      <c r="AI72" s="235"/>
      <c r="AJ72" s="236">
        <f t="shared" si="145"/>
        <v>0</v>
      </c>
    </row>
    <row r="73" spans="1:36">
      <c r="A73" s="219">
        <f t="shared" si="146"/>
        <v>2025</v>
      </c>
      <c r="B73" s="220">
        <v>629</v>
      </c>
      <c r="C73" s="221">
        <v>45860</v>
      </c>
      <c r="D73" s="222" t="s">
        <v>42</v>
      </c>
      <c r="E73" s="223" t="s">
        <v>194</v>
      </c>
      <c r="F73" s="224" t="s">
        <v>196</v>
      </c>
      <c r="G73" s="225" t="str">
        <f>+_xlfn.XLOOKUP(F73,Emisiones[Mnemotécnico SEN],Emisiones[Moneda],"",0,1)</f>
        <v>COP</v>
      </c>
      <c r="H73" s="225"/>
      <c r="I73" s="226"/>
      <c r="J73" s="226">
        <f>+_xlfn.XLOOKUP(F73,Emisiones[Mnemotécnico SEN],Emisiones[Fecha Vencim.],"",0,1)</f>
        <v>49235</v>
      </c>
      <c r="K73" s="224">
        <f>+_xlfn.XLOOKUP(F73,Emisiones[Mnemotécnico SEN],Emisiones[Tasa de Interés],"",0,1)</f>
        <v>7.25</v>
      </c>
      <c r="L73" s="227">
        <v>11.529</v>
      </c>
      <c r="M73" s="227">
        <v>81.855000000000004</v>
      </c>
      <c r="N73" s="227">
        <f t="shared" ref="N73:N75" si="147">IF(C73="","",PRICE(C73,J73,K73%,L73%,100,1,3))</f>
        <v>76.352380148703489</v>
      </c>
      <c r="O73" s="227">
        <f t="shared" ref="O73:O75" si="148">IF(C73="","",M73-N73)</f>
        <v>5.5026198512965152</v>
      </c>
      <c r="P73" s="227">
        <f t="shared" ref="P73:P75" si="149">IF(C73="","",100*K73%-O73)</f>
        <v>1.7473801487034839</v>
      </c>
      <c r="Q73" s="228">
        <f t="shared" ref="Q73:Q75" si="150">IF(C73="","",IF(G73="UVR",S73/V73,S73))</f>
        <v>-615846600000</v>
      </c>
      <c r="R73" s="228">
        <f>IF(C73="","",IF('Canjes desagregado'!$G73="UVR",'Canjes desagregado'!$V73*Q73*M73%,Q73*M73%))</f>
        <v>-504101234430</v>
      </c>
      <c r="S73" s="228">
        <v>-615846600000</v>
      </c>
      <c r="T73" s="228">
        <f t="shared" ref="T73:T75" si="151">IFERROR(IF(RIGHT(F73,2)=RIGHT(YEAR(J73),2),1,0),"")</f>
        <v>1</v>
      </c>
      <c r="U73" s="228">
        <f t="shared" ref="U73:U75" si="152">+IF(R73="","",R73)</f>
        <v>-504101234430</v>
      </c>
      <c r="V73" s="229">
        <f>+IF(F73&lt;&gt;"",(_xlfn.XLOOKUP(C73,UVR[Fecha (dd/mm/aaaa)],UVR[Pesos colombianos por UVR],"",0,1)),"")</f>
        <v>392.84800000000001</v>
      </c>
      <c r="W73" s="228">
        <f t="shared" ref="W73:W75" si="153">IF(C73="","",IF(CONCATENATE(DAY(C73),"/",MONTH(C73),"/",2000)-CONCATENATE(DAY(J73),"/",MONTH(J73),"/",2000)&lt;0,K73%*ABS(S73),0))</f>
        <v>44648878500</v>
      </c>
      <c r="X73" s="228">
        <f t="shared" ref="X73:X75" si="154">IF(S73&lt;0,-W73,W73)</f>
        <v>-44648878500</v>
      </c>
      <c r="Y73" s="230"/>
      <c r="Z73" s="230"/>
      <c r="AA73" s="230"/>
      <c r="AB73" s="231">
        <f>IF(C73="","",ROUND(V73*(1+'Inflación observada '!$B$390%)^(("31-12-2025"-C73)/365),3))</f>
        <v>401.82100000000003</v>
      </c>
      <c r="AC73" s="230"/>
      <c r="AD73" s="232">
        <f t="shared" ref="AD73:AD75" si="155">IF(C73="","",IF(G73="UVR",Q73*AB73-S73,0))</f>
        <v>0</v>
      </c>
      <c r="AE73" s="233">
        <f t="shared" ref="AE73:AE75" si="156">IF(C73="","",P73/+(O73+P73))</f>
        <v>0.24101795154530817</v>
      </c>
      <c r="AF73" s="228">
        <f t="shared" ref="AF73:AF75" si="157">IF(C73="","",AE73*Q73*K73%)</f>
        <v>-10761181234.865351</v>
      </c>
      <c r="AG73" s="232">
        <f ca="1">(Tabla6[[#This Row],[Fecha Vto]]-TODAY())/365</f>
        <v>8.8547945205479444</v>
      </c>
      <c r="AH73" s="234"/>
      <c r="AI73" s="235"/>
      <c r="AJ73" s="236">
        <f t="shared" si="145"/>
        <v>0</v>
      </c>
    </row>
    <row r="74" spans="1:36">
      <c r="A74" s="219">
        <f t="shared" si="146"/>
        <v>2025</v>
      </c>
      <c r="B74" s="240">
        <v>629</v>
      </c>
      <c r="C74" s="221">
        <v>45860</v>
      </c>
      <c r="D74" s="222" t="s">
        <v>42</v>
      </c>
      <c r="E74" s="223" t="s">
        <v>194</v>
      </c>
      <c r="F74" s="242" t="s">
        <v>321</v>
      </c>
      <c r="G74" s="243" t="str">
        <f>+_xlfn.XLOOKUP(F74,Emisiones[Mnemotécnico SEN],Emisiones[Moneda],"",0,1)</f>
        <v>COP</v>
      </c>
      <c r="H74" s="243"/>
      <c r="I74" s="244"/>
      <c r="J74" s="244">
        <f>+_xlfn.XLOOKUP(F74,Emisiones[Mnemotécnico SEN],Emisiones[Fecha Vencim.],"",0,1)</f>
        <v>49865</v>
      </c>
      <c r="K74" s="242">
        <f>+_xlfn.XLOOKUP(F74,Emisiones[Mnemotécnico SEN],Emisiones[Tasa de Interés],"",0,1)</f>
        <v>6.25</v>
      </c>
      <c r="L74" s="227">
        <v>11.557</v>
      </c>
      <c r="M74" s="227">
        <v>68.134</v>
      </c>
      <c r="N74" s="245">
        <f t="shared" si="147"/>
        <v>67.911249108149292</v>
      </c>
      <c r="O74" s="245">
        <f t="shared" si="148"/>
        <v>0.2227508918507084</v>
      </c>
      <c r="P74" s="245">
        <f t="shared" si="149"/>
        <v>6.0272491081492916</v>
      </c>
      <c r="Q74" s="246">
        <f t="shared" si="150"/>
        <v>-5418184500000</v>
      </c>
      <c r="R74" s="246">
        <f>IF(C74="","",IF('Canjes desagregado'!$G74="UVR",'Canjes desagregado'!$V74*Q74*M74%,Q74*M74%))</f>
        <v>-3691625827230.0005</v>
      </c>
      <c r="S74" s="246">
        <v>-5418184500000</v>
      </c>
      <c r="T74" s="246">
        <f t="shared" si="151"/>
        <v>1</v>
      </c>
      <c r="U74" s="246">
        <f t="shared" si="152"/>
        <v>-3691625827230.0005</v>
      </c>
      <c r="V74" s="229">
        <f>+IF(F74&lt;&gt;"",(_xlfn.XLOOKUP(C74,UVR[Fecha (dd/mm/aaaa)],UVR[Pesos colombianos por UVR],"",0,1)),"")</f>
        <v>392.84800000000001</v>
      </c>
      <c r="W74" s="246">
        <f t="shared" si="153"/>
        <v>0</v>
      </c>
      <c r="X74" s="246">
        <f t="shared" si="154"/>
        <v>0</v>
      </c>
      <c r="AB74" s="250">
        <f>IF(C74="","",ROUND(V74*(1+'Inflación observada '!$B$390%)^(("31-12-2025"-C74)/365),3))</f>
        <v>401.82100000000003</v>
      </c>
      <c r="AD74" s="248">
        <f t="shared" si="155"/>
        <v>0</v>
      </c>
      <c r="AE74" s="249">
        <f t="shared" si="156"/>
        <v>0.96435985730388663</v>
      </c>
      <c r="AF74" s="246">
        <f t="shared" si="157"/>
        <v>-326567476954.13312</v>
      </c>
      <c r="AG74" s="248">
        <f ca="1">(Tabla6[[#This Row],[Fecha Vto]]-TODAY())/365</f>
        <v>10.580821917808219</v>
      </c>
      <c r="AH74" s="235"/>
      <c r="AI74" s="235"/>
      <c r="AJ74" s="236">
        <f t="shared" si="145"/>
        <v>0</v>
      </c>
    </row>
    <row r="75" spans="1:36">
      <c r="A75" s="219">
        <f t="shared" si="146"/>
        <v>2025</v>
      </c>
      <c r="B75" s="240">
        <v>629</v>
      </c>
      <c r="C75" s="221">
        <v>45860</v>
      </c>
      <c r="D75" s="222" t="s">
        <v>42</v>
      </c>
      <c r="E75" s="223" t="s">
        <v>194</v>
      </c>
      <c r="F75" s="242" t="s">
        <v>209</v>
      </c>
      <c r="G75" s="243" t="str">
        <f>+_xlfn.XLOOKUP(F75,Emisiones[Mnemotécnico SEN],Emisiones[Moneda],"",0,1)</f>
        <v>COP</v>
      </c>
      <c r="H75" s="243"/>
      <c r="I75" s="244"/>
      <c r="J75" s="244">
        <f>+_xlfn.XLOOKUP(F75,Emisiones[Mnemotécnico SEN],Emisiones[Fecha Vencim.],"",0,1)</f>
        <v>52014</v>
      </c>
      <c r="K75" s="242">
        <f>+_xlfn.XLOOKUP(F75,Emisiones[Mnemotécnico SEN],Emisiones[Tasa de Interés],"",0,1)</f>
        <v>9.25</v>
      </c>
      <c r="L75" s="227">
        <v>11.769</v>
      </c>
      <c r="M75" s="227">
        <v>83.207999999999998</v>
      </c>
      <c r="N75" s="245">
        <f t="shared" si="147"/>
        <v>81.814587238465478</v>
      </c>
      <c r="O75" s="245">
        <f t="shared" si="148"/>
        <v>1.3934127615345204</v>
      </c>
      <c r="P75" s="245">
        <f t="shared" si="149"/>
        <v>7.8565872384654796</v>
      </c>
      <c r="Q75" s="246">
        <f t="shared" si="150"/>
        <v>-1210017900000</v>
      </c>
      <c r="R75" s="246">
        <f>IF(C75="","",IF('Canjes desagregado'!$G75="UVR",'Canjes desagregado'!$V75*Q75*M75%,Q75*M75%))</f>
        <v>-1006831694231.9999</v>
      </c>
      <c r="S75" s="246">
        <v>-1210017900000</v>
      </c>
      <c r="T75" s="246">
        <f t="shared" si="151"/>
        <v>1</v>
      </c>
      <c r="U75" s="246">
        <f t="shared" si="152"/>
        <v>-1006831694231.9999</v>
      </c>
      <c r="V75" s="229">
        <f>+IF(F75&lt;&gt;"",(_xlfn.XLOOKUP(C75,UVR[Fecha (dd/mm/aaaa)],UVR[Pesos colombianos por UVR],"",0,1)),"")</f>
        <v>392.84800000000001</v>
      </c>
      <c r="W75" s="246">
        <f t="shared" si="153"/>
        <v>0</v>
      </c>
      <c r="X75" s="246">
        <f t="shared" si="154"/>
        <v>0</v>
      </c>
      <c r="AB75" s="250">
        <f>IF(C75="","",ROUND(V75*(1+'Inflación observada '!$B$390%)^(("31-12-2025"-C75)/365),3))</f>
        <v>401.82100000000003</v>
      </c>
      <c r="AD75" s="248">
        <f t="shared" si="155"/>
        <v>0</v>
      </c>
      <c r="AE75" s="249">
        <f t="shared" si="156"/>
        <v>0.84936078253680858</v>
      </c>
      <c r="AF75" s="246">
        <f t="shared" si="157"/>
        <v>-95066111914.547989</v>
      </c>
      <c r="AG75" s="248">
        <f ca="1">(Tabla6[[#This Row],[Fecha Vto]]-TODAY())/365</f>
        <v>16.468493150684932</v>
      </c>
      <c r="AH75" s="235"/>
      <c r="AI75" s="235"/>
      <c r="AJ75" s="236">
        <f t="shared" si="145"/>
        <v>0</v>
      </c>
    </row>
    <row r="76" spans="1:36">
      <c r="A76" s="219">
        <f t="shared" si="146"/>
        <v>2025</v>
      </c>
      <c r="B76" s="220">
        <v>629</v>
      </c>
      <c r="C76" s="221">
        <v>45860</v>
      </c>
      <c r="D76" s="222" t="s">
        <v>42</v>
      </c>
      <c r="E76" s="223" t="s">
        <v>194</v>
      </c>
      <c r="F76" s="224" t="s">
        <v>360</v>
      </c>
      <c r="G76" s="225" t="str">
        <f>+_xlfn.XLOOKUP(F76,Emisiones[Mnemotécnico SEN],Emisiones[Moneda],"",0,1)</f>
        <v>COP</v>
      </c>
      <c r="H76" s="225"/>
      <c r="I76" s="226"/>
      <c r="J76" s="226">
        <f>+_xlfn.XLOOKUP(F76,Emisiones[Mnemotécnico SEN],Emisiones[Fecha Vencim.],"",0,1)</f>
        <v>53533</v>
      </c>
      <c r="K76" s="224">
        <f>+_xlfn.XLOOKUP(F76,Emisiones[Mnemotécnico SEN],Emisiones[Tasa de Interés],"",0,1)</f>
        <v>11.5</v>
      </c>
      <c r="L76" s="227">
        <v>11.969000000000001</v>
      </c>
      <c r="M76" s="227">
        <v>107.846</v>
      </c>
      <c r="N76" s="227">
        <f t="shared" ref="N76:N78" si="158">IF(C76="","",PRICE(C76,J76,K76%,L76%,100,1,3))</f>
        <v>96.44061342842943</v>
      </c>
      <c r="O76" s="227">
        <f t="shared" ref="O76:O78" si="159">IF(C76="","",M76-N76)</f>
        <v>11.405386571570574</v>
      </c>
      <c r="P76" s="227">
        <f t="shared" ref="P76:P78" si="160">IF(C76="","",100*K76%-O76)</f>
        <v>9.4613428429425994E-2</v>
      </c>
      <c r="Q76" s="228">
        <f t="shared" ref="Q76:Q78" si="161">IF(C76="","",IF(G76="UVR",S76/V76,S76))</f>
        <v>-7492590700000</v>
      </c>
      <c r="R76" s="228">
        <f>IF(C76="","",IF('Canjes desagregado'!$G76="UVR",'Canjes desagregado'!$V76*Q76*M76%,Q76*M76%))</f>
        <v>-8080459366322</v>
      </c>
      <c r="S76" s="228">
        <v>-7492590700000</v>
      </c>
      <c r="T76" s="228">
        <f t="shared" ref="T76:T78" si="162">IFERROR(IF(RIGHT(F76,2)=RIGHT(YEAR(J76),2),1,0),"")</f>
        <v>1</v>
      </c>
      <c r="U76" s="228">
        <f t="shared" ref="U76:U78" si="163">+IF(R76="","",R76)</f>
        <v>-8080459366322</v>
      </c>
      <c r="V76" s="229">
        <f>+IF(F76&lt;&gt;"",(_xlfn.XLOOKUP(C76,UVR[Fecha (dd/mm/aaaa)],UVR[Pesos colombianos por UVR],"",0,1)),"")</f>
        <v>392.84800000000001</v>
      </c>
      <c r="W76" s="228">
        <f t="shared" ref="W76:W78" si="164">IF(C76="","",IF(CONCATENATE(DAY(C76),"/",MONTH(C76),"/",2000)-CONCATENATE(DAY(J76),"/",MONTH(J76),"/",2000)&lt;0,K76%*ABS(S76),0))</f>
        <v>861647930500</v>
      </c>
      <c r="X76" s="228">
        <f t="shared" ref="X76:X78" si="165">IF(S76&lt;0,-W76,W76)</f>
        <v>-861647930500</v>
      </c>
      <c r="Y76" s="230"/>
      <c r="Z76" s="230"/>
      <c r="AA76" s="230"/>
      <c r="AB76" s="231">
        <f>IF(C76="","",ROUND(V76*(1+'Inflación observada '!$B$390%)^(("31-12-2025"-C76)/365),3))</f>
        <v>401.82100000000003</v>
      </c>
      <c r="AC76" s="230"/>
      <c r="AD76" s="232">
        <f t="shared" ref="AD76:AD78" si="166">IF(C76="","",IF(G76="UVR",Q76*AB76-S76,0))</f>
        <v>0</v>
      </c>
      <c r="AE76" s="233">
        <f t="shared" ref="AE76:AE78" si="167">IF(C76="","",P76/+(O76+P76))</f>
        <v>8.2272546460370431E-3</v>
      </c>
      <c r="AF76" s="228">
        <f t="shared" ref="AF76:AF78" si="168">IF(C76="","",AE76*Q76*K76%)</f>
        <v>-7088996939.4543285</v>
      </c>
      <c r="AG76" s="232">
        <f ca="1">(Tabla6[[#This Row],[Fecha Vto]]-TODAY())/365</f>
        <v>20.63013698630137</v>
      </c>
      <c r="AH76" s="234"/>
      <c r="AI76" s="235"/>
      <c r="AJ76" s="236">
        <f t="shared" si="145"/>
        <v>0</v>
      </c>
    </row>
    <row r="77" spans="1:36">
      <c r="A77" s="219">
        <f t="shared" si="146"/>
        <v>2025</v>
      </c>
      <c r="B77" s="240">
        <v>629</v>
      </c>
      <c r="C77" s="221">
        <v>45860</v>
      </c>
      <c r="D77" s="222" t="s">
        <v>42</v>
      </c>
      <c r="E77" s="223" t="s">
        <v>194</v>
      </c>
      <c r="F77" s="242" t="s">
        <v>324</v>
      </c>
      <c r="G77" s="243" t="str">
        <f>+_xlfn.XLOOKUP(F77,Emisiones[Mnemotécnico SEN],Emisiones[Moneda],"",0,1)</f>
        <v>COP</v>
      </c>
      <c r="H77" s="243"/>
      <c r="I77" s="244"/>
      <c r="J77" s="244">
        <f>+_xlfn.XLOOKUP(F77,Emisiones[Mnemotécnico SEN],Emisiones[Fecha Vencim.],"",0,1)</f>
        <v>55087</v>
      </c>
      <c r="K77" s="242">
        <f>+_xlfn.XLOOKUP(F77,Emisiones[Mnemotécnico SEN],Emisiones[Tasa de Interés],"",0,1)</f>
        <v>7.25</v>
      </c>
      <c r="L77" s="227">
        <v>11.758000000000001</v>
      </c>
      <c r="M77" s="227">
        <v>69.236000000000004</v>
      </c>
      <c r="N77" s="245">
        <f t="shared" si="158"/>
        <v>63.893359906521162</v>
      </c>
      <c r="O77" s="245">
        <f t="shared" si="159"/>
        <v>5.3426400934788418</v>
      </c>
      <c r="P77" s="245">
        <f t="shared" si="160"/>
        <v>1.9073599065211573</v>
      </c>
      <c r="Q77" s="246">
        <f t="shared" si="161"/>
        <v>-5338501700000</v>
      </c>
      <c r="R77" s="246">
        <f>IF(C77="","",IF('Canjes desagregado'!$G77="UVR",'Canjes desagregado'!$V77*Q77*M77%,Q77*M77%))</f>
        <v>-3696165037012.0005</v>
      </c>
      <c r="S77" s="246">
        <v>-5338501700000</v>
      </c>
      <c r="T77" s="246">
        <f t="shared" si="162"/>
        <v>1</v>
      </c>
      <c r="U77" s="246">
        <f t="shared" si="163"/>
        <v>-3696165037012.0005</v>
      </c>
      <c r="V77" s="229">
        <f>+IF(F77&lt;&gt;"",(_xlfn.XLOOKUP(C77,UVR[Fecha (dd/mm/aaaa)],UVR[Pesos colombianos por UVR],"",0,1)),"")</f>
        <v>392.84800000000001</v>
      </c>
      <c r="W77" s="246">
        <f t="shared" si="164"/>
        <v>387041373250</v>
      </c>
      <c r="X77" s="246">
        <f t="shared" si="165"/>
        <v>-387041373250</v>
      </c>
      <c r="AB77" s="250">
        <f>IF(C77="","",ROUND(V77*(1+'Inflación observada '!$B$390%)^(("31-12-2025"-C77)/365),3))</f>
        <v>401.82100000000003</v>
      </c>
      <c r="AD77" s="248">
        <f t="shared" si="166"/>
        <v>0</v>
      </c>
      <c r="AE77" s="249">
        <f t="shared" si="167"/>
        <v>0.26308412503740103</v>
      </c>
      <c r="AF77" s="246">
        <f t="shared" si="168"/>
        <v>-101824441034.7504</v>
      </c>
      <c r="AG77" s="248">
        <f ca="1">(Tabla6[[#This Row],[Fecha Vto]]-TODAY())/365</f>
        <v>24.887671232876713</v>
      </c>
      <c r="AH77" s="235"/>
      <c r="AI77" s="235"/>
      <c r="AJ77" s="236">
        <f t="shared" si="145"/>
        <v>0</v>
      </c>
    </row>
    <row r="78" spans="1:36">
      <c r="A78" s="219">
        <f t="shared" si="146"/>
        <v>2025</v>
      </c>
      <c r="B78" s="240">
        <v>629</v>
      </c>
      <c r="C78" s="221">
        <v>45860</v>
      </c>
      <c r="D78" s="222" t="s">
        <v>42</v>
      </c>
      <c r="E78" s="238" t="s">
        <v>195</v>
      </c>
      <c r="F78" s="242" t="s">
        <v>484</v>
      </c>
      <c r="G78" s="243" t="str">
        <f>+_xlfn.XLOOKUP(F78,Emisiones[Mnemotécnico SEN],Emisiones[Moneda],"",0,1)</f>
        <v>COP</v>
      </c>
      <c r="H78" s="243"/>
      <c r="I78" s="244"/>
      <c r="J78" s="244">
        <f>+_xlfn.XLOOKUP(F78,Emisiones[Mnemotécnico SEN],Emisiones[Fecha Vencim.],"",0,1)</f>
        <v>47352</v>
      </c>
      <c r="K78" s="242">
        <f>+_xlfn.XLOOKUP(F78,Emisiones[Mnemotécnico SEN],Emisiones[Tasa de Interés],"",0,1)</f>
        <v>11</v>
      </c>
      <c r="L78" s="227">
        <v>10.654</v>
      </c>
      <c r="M78" s="227">
        <v>111.122</v>
      </c>
      <c r="N78" s="245">
        <f t="shared" si="158"/>
        <v>101.05609288986327</v>
      </c>
      <c r="O78" s="245">
        <f t="shared" si="159"/>
        <v>10.065907110136735</v>
      </c>
      <c r="P78" s="245">
        <f t="shared" si="160"/>
        <v>0.93409288986326544</v>
      </c>
      <c r="Q78" s="246">
        <f t="shared" si="161"/>
        <v>1100000000000</v>
      </c>
      <c r="R78" s="246">
        <f>IF(C78="","",IF('Canjes desagregado'!$G78="UVR",'Canjes desagregado'!$V78*Q78*M78%,Q78*M78%))</f>
        <v>1222342000000</v>
      </c>
      <c r="S78" s="246">
        <v>1100000000000</v>
      </c>
      <c r="T78" s="246">
        <f t="shared" si="162"/>
        <v>1</v>
      </c>
      <c r="U78" s="246">
        <f t="shared" si="163"/>
        <v>1222342000000</v>
      </c>
      <c r="V78" s="229">
        <f>+IF(F78&lt;&gt;"",(_xlfn.XLOOKUP(C78,UVR[Fecha (dd/mm/aaaa)],UVR[Pesos colombianos por UVR],"",0,1)),"")</f>
        <v>392.84800000000001</v>
      </c>
      <c r="W78" s="246">
        <f t="shared" si="164"/>
        <v>121000000000</v>
      </c>
      <c r="X78" s="246">
        <f t="shared" si="165"/>
        <v>121000000000</v>
      </c>
      <c r="AB78" s="250">
        <f>IF(C78="","",ROUND(V78*(1+'Inflación observada '!$B$390%)^(("31-12-2025"-C78)/365),3))</f>
        <v>401.82100000000003</v>
      </c>
      <c r="AD78" s="248">
        <f t="shared" si="166"/>
        <v>0</v>
      </c>
      <c r="AE78" s="249">
        <f t="shared" si="167"/>
        <v>8.4917535442115041E-2</v>
      </c>
      <c r="AF78" s="246">
        <f t="shared" si="168"/>
        <v>10275021788.49592</v>
      </c>
      <c r="AG78" s="248">
        <f ca="1">(Tabla6[[#This Row],[Fecha Vto]]-TODAY())/365</f>
        <v>3.6958904109589041</v>
      </c>
      <c r="AH78" s="235"/>
      <c r="AI78" s="235"/>
      <c r="AJ78" s="236">
        <f t="shared" si="145"/>
        <v>0</v>
      </c>
    </row>
    <row r="79" spans="1:36">
      <c r="A79" s="219">
        <v>2025</v>
      </c>
      <c r="B79" s="220">
        <v>629</v>
      </c>
      <c r="C79" s="221">
        <v>45860</v>
      </c>
      <c r="D79" s="222" t="s">
        <v>42</v>
      </c>
      <c r="E79" s="223" t="s">
        <v>195</v>
      </c>
      <c r="F79" s="224" t="s">
        <v>213</v>
      </c>
      <c r="G79" s="225" t="str">
        <f>+_xlfn.XLOOKUP(F79,Emisiones[Mnemotécnico SEN],Emisiones[Moneda],"",0,1)</f>
        <v>COP</v>
      </c>
      <c r="H79" s="225"/>
      <c r="I79" s="226"/>
      <c r="J79" s="226">
        <f>+_xlfn.XLOOKUP(F79,Emisiones[Mnemotécnico SEN],Emisiones[Fecha Vencim.],"",0,1)</f>
        <v>48619</v>
      </c>
      <c r="K79" s="224">
        <f>+_xlfn.XLOOKUP(F79,Emisiones[Mnemotécnico SEN],Emisiones[Tasa de Interés],"",0,1)</f>
        <v>13.25</v>
      </c>
      <c r="L79" s="227">
        <v>11.58</v>
      </c>
      <c r="M79" s="227">
        <v>113.85599999999999</v>
      </c>
      <c r="N79" s="227">
        <f t="shared" ref="N79:N86" si="169">IF(C79="","",PRICE(C79,J79,K79%,L79%,100,1,3))</f>
        <v>107.93910481832403</v>
      </c>
      <c r="O79" s="227">
        <f t="shared" ref="O79:O86" si="170">IF(C79="","",M79-N79)</f>
        <v>5.9168951816759687</v>
      </c>
      <c r="P79" s="227">
        <f t="shared" ref="P79:P86" si="171">IF(C79="","",100*K79%-O79)</f>
        <v>7.3331048183240313</v>
      </c>
      <c r="Q79" s="228">
        <f>IF(C79="","",IF(G79="UVR",S79/V79,S79))</f>
        <v>14595781300000</v>
      </c>
      <c r="R79" s="228">
        <f>IF(C79="","",IF('Canjes desagregado'!$G79="UVR",'Canjes desagregado'!$V79*Q79*M79%,Q79*M79%))</f>
        <v>16618172756928</v>
      </c>
      <c r="S79" s="228">
        <v>14595781300000</v>
      </c>
      <c r="T79" s="228">
        <f t="shared" ref="T79:T86" si="172">IFERROR(IF(RIGHT(F79,2)=RIGHT(YEAR(J79),2),1,0),"")</f>
        <v>1</v>
      </c>
      <c r="U79" s="228">
        <f t="shared" ref="U79:U86" si="173">+IF(R79="","",R79)</f>
        <v>16618172756928</v>
      </c>
      <c r="V79" s="229">
        <f>+IF(F79&lt;&gt;"",(_xlfn.XLOOKUP(C79,UVR[Fecha (dd/mm/aaaa)],UVR[Pesos colombianos por UVR],"",0,1)),"")</f>
        <v>392.84800000000001</v>
      </c>
      <c r="W79" s="228">
        <f t="shared" ref="W79:W86" si="174">IF(C79="","",IF(CONCATENATE(DAY(C79),"/",MONTH(C79),"/",2000)-CONCATENATE(DAY(J79),"/",MONTH(J79),"/",2000)&lt;0,K79%*ABS(S79),0))</f>
        <v>0</v>
      </c>
      <c r="X79" s="228">
        <f t="shared" ref="X79:X86" si="175">IF(S79&lt;0,-W79,W79)</f>
        <v>0</v>
      </c>
      <c r="Y79" s="230"/>
      <c r="Z79" s="230"/>
      <c r="AA79" s="230"/>
      <c r="AB79" s="231">
        <f>IF(C79="","",ROUND(V79*(1+'Inflación observada '!$B$390%)^(("31-12-2025"-C79)/365),3))</f>
        <v>401.82100000000003</v>
      </c>
      <c r="AC79" s="230"/>
      <c r="AD79" s="232">
        <f t="shared" ref="AD79:AD86" si="176">IF(C79="","",IF(G79="UVR",Q79*AB79-S79,0))</f>
        <v>0</v>
      </c>
      <c r="AE79" s="233">
        <f t="shared" ref="AE79:AE86" si="177">IF(C79="","",P79/+(O79+P79))</f>
        <v>0.55344187308105897</v>
      </c>
      <c r="AF79" s="228">
        <f t="shared" ref="AF79:AF86" si="178">IF(C79="","",AE79*Q79*K79%)</f>
        <v>1070323941782.338</v>
      </c>
      <c r="AG79" s="232">
        <f ca="1">(Tabla6[[#This Row],[Fecha Vto]]-TODAY())/365</f>
        <v>7.1671232876712327</v>
      </c>
      <c r="AH79" s="234"/>
      <c r="AI79" s="235"/>
      <c r="AJ79" s="236">
        <f t="shared" si="145"/>
        <v>0</v>
      </c>
    </row>
    <row r="80" spans="1:36">
      <c r="A80" s="219">
        <f t="shared" ref="A80:A86" si="179">IF(C80="","",YEAR(C80))</f>
        <v>2025</v>
      </c>
      <c r="B80" s="220">
        <v>630</v>
      </c>
      <c r="C80" s="221">
        <v>45863</v>
      </c>
      <c r="D80" s="222" t="s">
        <v>12</v>
      </c>
      <c r="E80" s="223" t="s">
        <v>194</v>
      </c>
      <c r="F80" s="224" t="s">
        <v>205</v>
      </c>
      <c r="G80" s="225" t="str">
        <f>+_xlfn.XLOOKUP(F80,Emisiones[Mnemotécnico SEN],Emisiones[Moneda],"",0,1)</f>
        <v>UVR</v>
      </c>
      <c r="H80" s="225"/>
      <c r="I80" s="226"/>
      <c r="J80" s="226">
        <f>+_xlfn.XLOOKUP(F80,Emisiones[Mnemotécnico SEN],Emisiones[Fecha Vencim.],"",0,1)</f>
        <v>46463</v>
      </c>
      <c r="K80" s="224">
        <f>+_xlfn.XLOOKUP(F80,Emisiones[Mnemotécnico SEN],Emisiones[Tasa de Interés],"",0,1)</f>
        <v>3.3</v>
      </c>
      <c r="L80" s="227">
        <v>5.3019999999999996</v>
      </c>
      <c r="M80" s="227">
        <v>98.081999999999994</v>
      </c>
      <c r="N80" s="227">
        <f t="shared" si="169"/>
        <v>96.906209020822217</v>
      </c>
      <c r="O80" s="227">
        <f t="shared" si="170"/>
        <v>1.1757909791777763</v>
      </c>
      <c r="P80" s="227">
        <f t="shared" si="171"/>
        <v>2.124209020822224</v>
      </c>
      <c r="Q80" s="228">
        <f t="shared" ref="Q80:Q83" si="180">IF(C80="","",IF(G80="UVR",S80/V80,S80))</f>
        <v>-3503500000</v>
      </c>
      <c r="R80" s="228">
        <f>IF(C80="","",IF('Canjes desagregado'!$G80="UVR",'Canjes desagregado'!$V80*Q80*M80%,Q80*M80%))</f>
        <v>-1350075289382.8198</v>
      </c>
      <c r="S80" s="228">
        <v>-1376476101000</v>
      </c>
      <c r="T80" s="228">
        <f t="shared" si="172"/>
        <v>1</v>
      </c>
      <c r="U80" s="228">
        <f t="shared" si="173"/>
        <v>-1350075289382.8198</v>
      </c>
      <c r="V80" s="229">
        <f>+IF(F80&lt;&gt;"",(_xlfn.XLOOKUP(C80,UVR[Fecha (dd/mm/aaaa)],UVR[Pesos colombianos por UVR],"",0,1)),"")</f>
        <v>392.88600000000002</v>
      </c>
      <c r="W80" s="228">
        <f t="shared" si="174"/>
        <v>0</v>
      </c>
      <c r="X80" s="228">
        <f t="shared" si="175"/>
        <v>0</v>
      </c>
      <c r="Y80" s="230"/>
      <c r="Z80" s="230"/>
      <c r="AA80" s="230"/>
      <c r="AB80" s="231">
        <f>IF(C80="","",ROUND(V80*(1+'Inflación observada '!$B$390%)^(("31-12-2025"-C80)/365),3))</f>
        <v>401.69200000000001</v>
      </c>
      <c r="AC80" s="230"/>
      <c r="AD80" s="232">
        <f t="shared" si="176"/>
        <v>-30851821000</v>
      </c>
      <c r="AE80" s="233">
        <f t="shared" si="177"/>
        <v>0.6436997032794618</v>
      </c>
      <c r="AF80" s="228">
        <f t="shared" si="178"/>
        <v>-74421663.044506609</v>
      </c>
      <c r="AG80" s="232">
        <f ca="1">(Tabla6[[#This Row],[Fecha Vto]]-TODAY())/365</f>
        <v>1.2602739726027397</v>
      </c>
      <c r="AH80" s="234"/>
      <c r="AI80" s="235"/>
      <c r="AJ80" s="236">
        <f t="shared" si="145"/>
        <v>1376476101000</v>
      </c>
    </row>
    <row r="81" spans="1:36">
      <c r="A81" s="219">
        <f t="shared" si="179"/>
        <v>2025</v>
      </c>
      <c r="B81" s="220">
        <v>630</v>
      </c>
      <c r="C81" s="221">
        <v>45863</v>
      </c>
      <c r="D81" s="222" t="s">
        <v>12</v>
      </c>
      <c r="E81" s="223" t="s">
        <v>194</v>
      </c>
      <c r="F81" s="224" t="s">
        <v>204</v>
      </c>
      <c r="G81" s="225" t="str">
        <f>+_xlfn.XLOOKUP(F81,Emisiones[Mnemotécnico SEN],Emisiones[Moneda],"",0,1)</f>
        <v>UVR</v>
      </c>
      <c r="H81" s="225"/>
      <c r="I81" s="226"/>
      <c r="J81" s="226">
        <f>+_xlfn.XLOOKUP(F81,Emisiones[Mnemotécnico SEN],Emisiones[Fecha Vencim.],"",0,1)</f>
        <v>47226</v>
      </c>
      <c r="K81" s="224">
        <f>+_xlfn.XLOOKUP(F81,Emisiones[Mnemotécnico SEN],Emisiones[Tasa de Interés],"",0,1)</f>
        <v>2.25</v>
      </c>
      <c r="L81" s="227">
        <v>5.8689999999999998</v>
      </c>
      <c r="M81" s="227">
        <v>88.771000000000001</v>
      </c>
      <c r="N81" s="227">
        <f t="shared" si="169"/>
        <v>88.166941548381388</v>
      </c>
      <c r="O81" s="227">
        <f t="shared" si="170"/>
        <v>0.60405845161861293</v>
      </c>
      <c r="P81" s="227">
        <f t="shared" si="171"/>
        <v>1.6459415483813871</v>
      </c>
      <c r="Q81" s="228">
        <f t="shared" si="180"/>
        <v>-8761512000</v>
      </c>
      <c r="R81" s="228">
        <f>IF(C81="","",IF('Canjes desagregado'!$G81="UVR",'Canjes desagregado'!$V81*Q81*M81%,Q81*M81%))</f>
        <v>-3055742298558.1626</v>
      </c>
      <c r="S81" s="228">
        <v>-3442275403632</v>
      </c>
      <c r="T81" s="228">
        <f t="shared" si="172"/>
        <v>1</v>
      </c>
      <c r="U81" s="228">
        <f t="shared" si="173"/>
        <v>-3055742298558.1626</v>
      </c>
      <c r="V81" s="229">
        <f>+IF(F81&lt;&gt;"",(_xlfn.XLOOKUP(C81,UVR[Fecha (dd/mm/aaaa)],UVR[Pesos colombianos por UVR],"",0,1)),"")</f>
        <v>392.88600000000002</v>
      </c>
      <c r="W81" s="228">
        <f t="shared" si="174"/>
        <v>0</v>
      </c>
      <c r="X81" s="228">
        <f t="shared" si="175"/>
        <v>0</v>
      </c>
      <c r="Y81" s="230"/>
      <c r="Z81" s="230"/>
      <c r="AA81" s="230"/>
      <c r="AB81" s="231">
        <f>IF(C81="","",ROUND(V81*(1+'Inflación observada '!$B$390%)^(("31-12-2025"-C81)/365),3))</f>
        <v>401.69200000000001</v>
      </c>
      <c r="AC81" s="230"/>
      <c r="AD81" s="232">
        <f t="shared" si="176"/>
        <v>-77153874672</v>
      </c>
      <c r="AE81" s="233">
        <f t="shared" si="177"/>
        <v>0.73152957705839428</v>
      </c>
      <c r="AF81" s="228">
        <f t="shared" si="178"/>
        <v>-144209366.27442104</v>
      </c>
      <c r="AG81" s="232">
        <f ca="1">(Tabla6[[#This Row],[Fecha Vto]]-TODAY())/365</f>
        <v>3.3506849315068492</v>
      </c>
      <c r="AH81" s="234"/>
      <c r="AI81" s="235"/>
      <c r="AJ81" s="236">
        <f t="shared" si="145"/>
        <v>3442275403632</v>
      </c>
    </row>
    <row r="82" spans="1:36">
      <c r="A82" s="219">
        <f t="shared" si="179"/>
        <v>2025</v>
      </c>
      <c r="B82" s="220">
        <v>630</v>
      </c>
      <c r="C82" s="221">
        <v>45863</v>
      </c>
      <c r="D82" s="222" t="s">
        <v>12</v>
      </c>
      <c r="E82" s="223" t="s">
        <v>195</v>
      </c>
      <c r="F82" s="224" t="s">
        <v>499</v>
      </c>
      <c r="G82" s="225" t="str">
        <f>+_xlfn.XLOOKUP(F82,Emisiones[Mnemotécnico SEN],Emisiones[Moneda],"",0,1)</f>
        <v>UVR</v>
      </c>
      <c r="H82" s="225"/>
      <c r="I82" s="226"/>
      <c r="J82" s="226">
        <f>+_xlfn.XLOOKUP(F82,Emisiones[Mnemotécnico SEN],Emisiones[Fecha Vencim.],"",0,1)</f>
        <v>47870</v>
      </c>
      <c r="K82" s="224">
        <f>+_xlfn.XLOOKUP(F82,Emisiones[Mnemotécnico SEN],Emisiones[Tasa de Interés],"",0,1)</f>
        <v>6.5</v>
      </c>
      <c r="L82" s="227">
        <v>6.47</v>
      </c>
      <c r="M82" s="227">
        <v>103.361</v>
      </c>
      <c r="N82" s="227">
        <f t="shared" si="169"/>
        <v>100.08421065738676</v>
      </c>
      <c r="O82" s="227">
        <f t="shared" si="170"/>
        <v>3.2767893426132417</v>
      </c>
      <c r="P82" s="227">
        <f t="shared" si="171"/>
        <v>3.2232106573867583</v>
      </c>
      <c r="Q82" s="228">
        <f t="shared" si="180"/>
        <v>6344532000</v>
      </c>
      <c r="R82" s="228">
        <f>IF(C82="","",IF('Canjes desagregado'!$G82="UVR",'Canjes desagregado'!$V82*Q82*M82%,Q82*M82%))</f>
        <v>2576456700188.2212</v>
      </c>
      <c r="S82" s="228">
        <v>2492677799352</v>
      </c>
      <c r="T82" s="228">
        <f t="shared" si="172"/>
        <v>1</v>
      </c>
      <c r="U82" s="228">
        <f t="shared" si="173"/>
        <v>2576456700188.2212</v>
      </c>
      <c r="V82" s="229">
        <f>+IF(F82&lt;&gt;"",(_xlfn.XLOOKUP(C82,UVR[Fecha (dd/mm/aaaa)],UVR[Pesos colombianos por UVR],"",0,1)),"")</f>
        <v>392.88600000000002</v>
      </c>
      <c r="W82" s="228">
        <f t="shared" si="174"/>
        <v>0</v>
      </c>
      <c r="X82" s="228">
        <f t="shared" si="175"/>
        <v>0</v>
      </c>
      <c r="Y82" s="230"/>
      <c r="Z82" s="230"/>
      <c r="AA82" s="230"/>
      <c r="AB82" s="231">
        <f>IF(C82="","",ROUND(V82*(1+'Inflación observada '!$B$390%)^(("31-12-2025"-C82)/365),3))</f>
        <v>401.69200000000001</v>
      </c>
      <c r="AC82" s="230"/>
      <c r="AD82" s="232">
        <f t="shared" si="176"/>
        <v>55869948792</v>
      </c>
      <c r="AE82" s="233">
        <f t="shared" si="177"/>
        <v>0.49587856267488589</v>
      </c>
      <c r="AF82" s="228">
        <f t="shared" si="178"/>
        <v>204497631.58531323</v>
      </c>
      <c r="AG82" s="232">
        <f ca="1">(Tabla6[[#This Row],[Fecha Vto]]-TODAY())/365</f>
        <v>5.1150684931506847</v>
      </c>
      <c r="AH82" s="234"/>
      <c r="AI82" s="235"/>
      <c r="AJ82" s="236">
        <f t="shared" si="145"/>
        <v>-2492677799352</v>
      </c>
    </row>
    <row r="83" spans="1:36">
      <c r="A83" s="219">
        <f t="shared" si="179"/>
        <v>2025</v>
      </c>
      <c r="B83" s="220">
        <v>630</v>
      </c>
      <c r="C83" s="221">
        <v>45863</v>
      </c>
      <c r="D83" s="222" t="s">
        <v>12</v>
      </c>
      <c r="E83" s="223" t="s">
        <v>195</v>
      </c>
      <c r="F83" s="224" t="s">
        <v>497</v>
      </c>
      <c r="G83" s="225" t="str">
        <f>+_xlfn.XLOOKUP(F83,Emisiones[Mnemotécnico SEN],Emisiones[Moneda],"",0,1)</f>
        <v>UVR</v>
      </c>
      <c r="H83" s="225"/>
      <c r="I83" s="226"/>
      <c r="J83" s="226">
        <f>+_xlfn.XLOOKUP(F83,Emisiones[Mnemotécnico SEN],Emisiones[Fecha Vencim.],"",0,1)</f>
        <v>59203</v>
      </c>
      <c r="K83" s="224">
        <f>+_xlfn.XLOOKUP(F83,Emisiones[Mnemotécnico SEN],Emisiones[Tasa de Interés],"",0,1)</f>
        <v>6.5</v>
      </c>
      <c r="L83" s="227">
        <v>6.5279999999999996</v>
      </c>
      <c r="M83" s="227">
        <v>102.661</v>
      </c>
      <c r="N83" s="227">
        <f t="shared" si="169"/>
        <v>99.562428993131206</v>
      </c>
      <c r="O83" s="227">
        <f t="shared" si="170"/>
        <v>3.0985710068687951</v>
      </c>
      <c r="P83" s="227">
        <f t="shared" si="171"/>
        <v>3.4014289931312049</v>
      </c>
      <c r="Q83" s="228">
        <f t="shared" si="180"/>
        <v>4535451000</v>
      </c>
      <c r="R83" s="228">
        <f>IF(C83="","",IF('Canjes desagregado'!$G83="UVR",'Canjes desagregado'!$V83*Q83*M83%,Q83*M83%))</f>
        <v>1829331965100.2036</v>
      </c>
      <c r="S83" s="228">
        <v>1781915201586</v>
      </c>
      <c r="T83" s="228">
        <f t="shared" si="172"/>
        <v>1</v>
      </c>
      <c r="U83" s="228">
        <f t="shared" si="173"/>
        <v>1829331965100.2036</v>
      </c>
      <c r="V83" s="229">
        <f>+IF(F83&lt;&gt;"",(_xlfn.XLOOKUP(C83,UVR[Fecha (dd/mm/aaaa)],UVR[Pesos colombianos por UVR],"",0,1)),"")</f>
        <v>392.88600000000002</v>
      </c>
      <c r="W83" s="228">
        <f t="shared" si="174"/>
        <v>0</v>
      </c>
      <c r="X83" s="228">
        <f t="shared" si="175"/>
        <v>0</v>
      </c>
      <c r="Y83" s="230"/>
      <c r="Z83" s="230"/>
      <c r="AA83" s="230"/>
      <c r="AB83" s="231">
        <f>IF(C83="","",ROUND(V83*(1+'Inflación observada '!$B$390%)^(("31-12-2025"-C83)/365),3))</f>
        <v>401.69200000000001</v>
      </c>
      <c r="AC83" s="230"/>
      <c r="AD83" s="232">
        <f t="shared" si="176"/>
        <v>39939181506</v>
      </c>
      <c r="AE83" s="233">
        <f t="shared" si="177"/>
        <v>0.52329676817403148</v>
      </c>
      <c r="AF83" s="228">
        <f t="shared" si="178"/>
        <v>154270145.28325915</v>
      </c>
      <c r="AG83" s="232">
        <f ca="1">(Tabla6[[#This Row],[Fecha Vto]]-TODAY())/365</f>
        <v>36.164383561643838</v>
      </c>
      <c r="AH83" s="234"/>
      <c r="AI83" s="235"/>
      <c r="AJ83" s="236">
        <f t="shared" si="145"/>
        <v>-1781915201586</v>
      </c>
    </row>
    <row r="84" spans="1:36">
      <c r="A84" s="219">
        <f t="shared" si="179"/>
        <v>2025</v>
      </c>
      <c r="B84" s="220">
        <v>631</v>
      </c>
      <c r="C84" s="221">
        <v>45869</v>
      </c>
      <c r="D84" s="222" t="s">
        <v>42</v>
      </c>
      <c r="E84" s="223" t="s">
        <v>194</v>
      </c>
      <c r="F84" s="224" t="s">
        <v>309</v>
      </c>
      <c r="G84" s="225" t="str">
        <f>+_xlfn.XLOOKUP(F84,Emisiones[Mnemotécnico SEN],Emisiones[Moneda],"",0,1)</f>
        <v>COP</v>
      </c>
      <c r="H84" s="225"/>
      <c r="I84" s="226"/>
      <c r="J84" s="226">
        <f>+_xlfn.XLOOKUP(F84,Emisiones[Mnemotécnico SEN],Emisiones[Fecha Vencim.],"",0,1)</f>
        <v>45987</v>
      </c>
      <c r="K84" s="224">
        <f>+_xlfn.XLOOKUP(F84,Emisiones[Mnemotécnico SEN],Emisiones[Tasa de Interés],"",0,1)</f>
        <v>6.25</v>
      </c>
      <c r="L84" s="227">
        <v>8.9770000000000003</v>
      </c>
      <c r="M84" s="227">
        <v>103.33799999999999</v>
      </c>
      <c r="N84" s="227">
        <f t="shared" si="169"/>
        <v>99.023975073719043</v>
      </c>
      <c r="O84" s="227">
        <f t="shared" si="170"/>
        <v>4.3140249262809505</v>
      </c>
      <c r="P84" s="227">
        <f t="shared" si="171"/>
        <v>1.9359750737190495</v>
      </c>
      <c r="Q84" s="228">
        <v>-240000000000</v>
      </c>
      <c r="R84" s="228">
        <f>IF(C84="","",IF('Canjes desagregado'!$G84="UVR",'Canjes desagregado'!$V84*Q84*M84%,Q84*M84%))</f>
        <v>-248011200000</v>
      </c>
      <c r="S84" s="228">
        <v>-240000000000</v>
      </c>
      <c r="T84" s="228">
        <f t="shared" si="172"/>
        <v>1</v>
      </c>
      <c r="U84" s="228">
        <f t="shared" si="173"/>
        <v>-248011200000</v>
      </c>
      <c r="V84" s="229">
        <f>+IF(F84&lt;&gt;"",(_xlfn.XLOOKUP(C84,UVR[Fecha (dd/mm/aaaa)],UVR[Pesos colombianos por UVR],"",0,1)),"")</f>
        <v>392.96199999999999</v>
      </c>
      <c r="W84" s="228">
        <f t="shared" si="174"/>
        <v>15000000000</v>
      </c>
      <c r="X84" s="228">
        <f t="shared" si="175"/>
        <v>-15000000000</v>
      </c>
      <c r="Y84" s="230"/>
      <c r="Z84" s="230"/>
      <c r="AA84" s="230"/>
      <c r="AB84" s="231">
        <f>IF(C84="","",ROUND(V84*(1+'Inflación observada '!$B$390%)^(("31-12-2025"-C84)/365),3))</f>
        <v>401.43400000000003</v>
      </c>
      <c r="AC84" s="230"/>
      <c r="AD84" s="232">
        <f t="shared" si="176"/>
        <v>0</v>
      </c>
      <c r="AE84" s="233">
        <f t="shared" si="177"/>
        <v>0.30975601179504791</v>
      </c>
      <c r="AF84" s="228">
        <f t="shared" si="178"/>
        <v>-4646340176.9257183</v>
      </c>
      <c r="AG84" s="232">
        <f ca="1">(Tabla6[[#This Row],[Fecha Vto]]-TODAY())/365</f>
        <v>-4.3835616438356165E-2</v>
      </c>
      <c r="AH84" s="234"/>
      <c r="AI84" s="235"/>
      <c r="AJ84" s="236">
        <f t="shared" si="145"/>
        <v>0</v>
      </c>
    </row>
    <row r="85" spans="1:36">
      <c r="A85" s="219">
        <f t="shared" si="179"/>
        <v>2025</v>
      </c>
      <c r="B85" s="220">
        <v>631</v>
      </c>
      <c r="C85" s="221">
        <v>45869</v>
      </c>
      <c r="D85" s="222" t="s">
        <v>42</v>
      </c>
      <c r="E85" s="223" t="s">
        <v>194</v>
      </c>
      <c r="F85" s="224" t="s">
        <v>211</v>
      </c>
      <c r="G85" s="225" t="str">
        <f>+_xlfn.XLOOKUP(F85,Emisiones[Mnemotécnico SEN],Emisiones[Moneda],"",0,1)</f>
        <v>COP</v>
      </c>
      <c r="H85" s="225"/>
      <c r="I85" s="226"/>
      <c r="J85" s="226">
        <f>+_xlfn.XLOOKUP(F85,Emisiones[Mnemotécnico SEN],Emisiones[Fecha Vencim.],"",0,1)</f>
        <v>46260</v>
      </c>
      <c r="K85" s="224">
        <f>+_xlfn.XLOOKUP(F85,Emisiones[Mnemotécnico SEN],Emisiones[Tasa de Interés],"",0,1)</f>
        <v>7.5</v>
      </c>
      <c r="L85" s="227">
        <v>8.5250000000000004</v>
      </c>
      <c r="M85" s="227">
        <v>105.93600000000001</v>
      </c>
      <c r="N85" s="227">
        <f t="shared" si="169"/>
        <v>98.970607889648264</v>
      </c>
      <c r="O85" s="227">
        <f t="shared" si="170"/>
        <v>6.9653921103517433</v>
      </c>
      <c r="P85" s="227">
        <f t="shared" si="171"/>
        <v>0.53460788964825667</v>
      </c>
      <c r="Q85" s="228">
        <v>-1026012700000</v>
      </c>
      <c r="R85" s="228">
        <f>IF(C85="","",IF('Canjes desagregado'!$G85="UVR",'Canjes desagregado'!$V85*Q85*M85%,Q85*M85%))</f>
        <v>-1086916813872.0001</v>
      </c>
      <c r="S85" s="228">
        <v>-1026012700000</v>
      </c>
      <c r="T85" s="228">
        <f t="shared" si="172"/>
        <v>1</v>
      </c>
      <c r="U85" s="228">
        <f t="shared" si="173"/>
        <v>-1086916813872.0001</v>
      </c>
      <c r="V85" s="229">
        <f>+IF(F85&lt;&gt;"",(_xlfn.XLOOKUP(C85,UVR[Fecha (dd/mm/aaaa)],UVR[Pesos colombianos por UVR],"",0,1)),"")</f>
        <v>392.96199999999999</v>
      </c>
      <c r="W85" s="228">
        <f t="shared" si="174"/>
        <v>76950952500</v>
      </c>
      <c r="X85" s="228">
        <f t="shared" si="175"/>
        <v>-76950952500</v>
      </c>
      <c r="Y85" s="230"/>
      <c r="Z85" s="230"/>
      <c r="AA85" s="230"/>
      <c r="AB85" s="231">
        <f>IF(C85="","",ROUND(V85*(1+'Inflación observada '!$B$390%)^(("31-12-2025"-C85)/365),3))</f>
        <v>401.43400000000003</v>
      </c>
      <c r="AC85" s="230"/>
      <c r="AD85" s="232">
        <f t="shared" si="176"/>
        <v>0</v>
      </c>
      <c r="AE85" s="233">
        <f t="shared" si="177"/>
        <v>7.1281051953100888E-2</v>
      </c>
      <c r="AF85" s="228">
        <f t="shared" si="178"/>
        <v>-5485144842.9930983</v>
      </c>
      <c r="AG85" s="232">
        <f ca="1">(Tabla6[[#This Row],[Fecha Vto]]-TODAY())/365</f>
        <v>0.70410958904109588</v>
      </c>
      <c r="AH85" s="234"/>
      <c r="AI85" s="235"/>
      <c r="AJ85" s="236">
        <f t="shared" si="145"/>
        <v>0</v>
      </c>
    </row>
    <row r="86" spans="1:36">
      <c r="A86" s="219">
        <f t="shared" si="179"/>
        <v>2025</v>
      </c>
      <c r="B86" s="220">
        <v>631</v>
      </c>
      <c r="C86" s="221">
        <v>45869</v>
      </c>
      <c r="D86" s="222" t="s">
        <v>42</v>
      </c>
      <c r="E86" s="223" t="s">
        <v>195</v>
      </c>
      <c r="F86" s="224" t="s">
        <v>484</v>
      </c>
      <c r="G86" s="225" t="str">
        <f>+_xlfn.XLOOKUP(F86,Emisiones[Mnemotécnico SEN],Emisiones[Moneda],"",0,1)</f>
        <v>COP</v>
      </c>
      <c r="H86" s="225"/>
      <c r="I86" s="226"/>
      <c r="J86" s="226">
        <f>+_xlfn.XLOOKUP(F86,Emisiones[Mnemotécnico SEN],Emisiones[Fecha Vencim.],"",0,1)</f>
        <v>47352</v>
      </c>
      <c r="K86" s="224">
        <f>+_xlfn.XLOOKUP(F86,Emisiones[Mnemotécnico SEN],Emisiones[Tasa de Interés],"",0,1)</f>
        <v>11</v>
      </c>
      <c r="L86" s="227">
        <v>10.702999999999999</v>
      </c>
      <c r="M86" s="227">
        <v>111.244</v>
      </c>
      <c r="N86" s="227">
        <f t="shared" si="169"/>
        <v>100.90644219299462</v>
      </c>
      <c r="O86" s="227">
        <f t="shared" si="170"/>
        <v>10.337557807005382</v>
      </c>
      <c r="P86" s="227">
        <f t="shared" si="171"/>
        <v>0.66244219299461804</v>
      </c>
      <c r="Q86" s="228">
        <f>IF(C86="","",IF(G86="UVR",S86/V86,S86))</f>
        <v>1200000000000</v>
      </c>
      <c r="R86" s="228">
        <f>IF(C86="","",IF('Canjes desagregado'!$G86="UVR",'Canjes desagregado'!$V86*Q86*M86%,Q86*M86%))</f>
        <v>1334928000000</v>
      </c>
      <c r="S86" s="228">
        <v>1200000000000</v>
      </c>
      <c r="T86" s="228">
        <f t="shared" si="172"/>
        <v>1</v>
      </c>
      <c r="U86" s="228">
        <f t="shared" si="173"/>
        <v>1334928000000</v>
      </c>
      <c r="V86" s="229">
        <f>+IF(F86&lt;&gt;"",(_xlfn.XLOOKUP(C86,UVR[Fecha (dd/mm/aaaa)],UVR[Pesos colombianos por UVR],"",0,1)),"")</f>
        <v>392.96199999999999</v>
      </c>
      <c r="W86" s="228">
        <f t="shared" si="174"/>
        <v>132000000000</v>
      </c>
      <c r="X86" s="228">
        <f t="shared" si="175"/>
        <v>132000000000</v>
      </c>
      <c r="Y86" s="230"/>
      <c r="Z86" s="230"/>
      <c r="AA86" s="230"/>
      <c r="AB86" s="231">
        <f>IF(C86="","",ROUND(V86*(1+'Inflación observada '!$B$390%)^(("31-12-2025"-C86)/365),3))</f>
        <v>401.43400000000003</v>
      </c>
      <c r="AC86" s="230"/>
      <c r="AD86" s="232">
        <f t="shared" si="176"/>
        <v>0</v>
      </c>
      <c r="AE86" s="233">
        <f t="shared" si="177"/>
        <v>6.0222017544965277E-2</v>
      </c>
      <c r="AF86" s="228">
        <f t="shared" si="178"/>
        <v>7949306315.9354162</v>
      </c>
      <c r="AG86" s="232">
        <f ca="1">(Tabla6[[#This Row],[Fecha Vto]]-TODAY())/365</f>
        <v>3.6958904109589041</v>
      </c>
      <c r="AH86" s="234"/>
      <c r="AI86" s="235"/>
      <c r="AJ86" s="236">
        <f t="shared" si="145"/>
        <v>0</v>
      </c>
    </row>
    <row r="87" spans="1:36">
      <c r="A87" s="219">
        <f>IF(C87="","",YEAR(C87))</f>
        <v>2025</v>
      </c>
      <c r="B87" s="220">
        <v>632</v>
      </c>
      <c r="C87" s="221">
        <v>45881</v>
      </c>
      <c r="D87" s="222" t="s">
        <v>42</v>
      </c>
      <c r="E87" s="223" t="s">
        <v>194</v>
      </c>
      <c r="F87" s="224" t="s">
        <v>211</v>
      </c>
      <c r="G87" s="225" t="str">
        <f>+_xlfn.XLOOKUP(F87,Emisiones[Mnemotécnico SEN],Emisiones[Moneda],"",0,1)</f>
        <v>COP</v>
      </c>
      <c r="H87" s="225"/>
      <c r="I87" s="226"/>
      <c r="J87" s="226">
        <f>+_xlfn.XLOOKUP(F87,Emisiones[Mnemotécnico SEN],Emisiones[Fecha Vencim.],"",0,1)</f>
        <v>46260</v>
      </c>
      <c r="K87" s="224">
        <f>+_xlfn.XLOOKUP(F87,Emisiones[Mnemotécnico SEN],Emisiones[Tasa de Interés],"",0,1)</f>
        <v>7.5</v>
      </c>
      <c r="L87" s="227">
        <v>8.9960000000000004</v>
      </c>
      <c r="M87" s="227">
        <v>105.77800000000001</v>
      </c>
      <c r="N87" s="227">
        <f>IF(C87="","",PRICE(C87,J87,K87%,L87%,100,1,3))</f>
        <v>98.56507320929569</v>
      </c>
      <c r="O87" s="227">
        <f>IF(C87="","",M87-N87)</f>
        <v>7.2129267907043157</v>
      </c>
      <c r="P87" s="227">
        <f>IF(C87="","",100*K87%-O87)</f>
        <v>0.28707320929568425</v>
      </c>
      <c r="Q87" s="228">
        <f>IF(C87="","",IF(G87="UVR",S87/V87,S87))</f>
        <v>-117052300000</v>
      </c>
      <c r="R87" s="228">
        <f>IF(C87="","",IF('Canjes desagregado'!$G87="UVR",'Canjes desagregado'!$V87*Q87*M87%,Q87*M87%))</f>
        <v>-123815581894.00002</v>
      </c>
      <c r="S87" s="228">
        <v>-117052300000</v>
      </c>
      <c r="T87" s="228">
        <f>IFERROR(IF(RIGHT(F87,2)=RIGHT(YEAR(J87),2),1,0),"")</f>
        <v>1</v>
      </c>
      <c r="U87" s="228">
        <f>+IF(R87="","",R87)</f>
        <v>-123815581894.00002</v>
      </c>
      <c r="V87" s="229">
        <f>+IF(F87&lt;&gt;"",(_xlfn.XLOOKUP(C87,UVR[Fecha (dd/mm/aaaa)],UVR[Pesos colombianos por UVR],"",0,1)),"")</f>
        <v>393.11399999999998</v>
      </c>
      <c r="W87" s="228">
        <f>IF(C87="","",IF(CONCATENATE(DAY(C87),"/",MONTH(C87),"/",2000)-CONCATENATE(DAY(J87),"/",MONTH(J87),"/",2000)&lt;0,K87%*ABS(S87),0))</f>
        <v>8778922500</v>
      </c>
      <c r="X87" s="228">
        <f>IF(S87&lt;0,-W87,W87)</f>
        <v>-8778922500</v>
      </c>
      <c r="Y87" s="230"/>
      <c r="Z87" s="230"/>
      <c r="AA87" s="230"/>
      <c r="AB87" s="231">
        <f>IF(C87="","",ROUND(V87*(1+'Inflación observada '!$B$390%)^(("31-12-2025"-C87)/365),3))</f>
        <v>400.91800000000001</v>
      </c>
      <c r="AC87" s="230"/>
      <c r="AD87" s="232">
        <f>IF(C87="","",IF(G87="UVR",Q87*AB87-S87,0))</f>
        <v>0</v>
      </c>
      <c r="AE87" s="233">
        <f>IF(C87="","",P87/+(O87+P87))</f>
        <v>3.8276427906091232E-2</v>
      </c>
      <c r="AF87" s="228">
        <f>IF(C87="","",AE87*Q87*K87%)</f>
        <v>-336025794.1644122</v>
      </c>
      <c r="AG87" s="232">
        <f ca="1">(Tabla6[[#This Row],[Fecha Vto]]-TODAY())/365</f>
        <v>0.70410958904109588</v>
      </c>
      <c r="AH87" s="234"/>
      <c r="AI87" s="235"/>
      <c r="AJ87" s="236">
        <f>IF(C87="","",IF(G87="UVR",Q87*AI87-S87,0))</f>
        <v>0</v>
      </c>
    </row>
    <row r="88" spans="1:36">
      <c r="A88" s="219">
        <f>IF(C88="","",YEAR(C88))</f>
        <v>2025</v>
      </c>
      <c r="B88" s="220">
        <v>632</v>
      </c>
      <c r="C88" s="221">
        <v>45881</v>
      </c>
      <c r="D88" s="222" t="s">
        <v>42</v>
      </c>
      <c r="E88" s="223" t="s">
        <v>194</v>
      </c>
      <c r="F88" s="224" t="s">
        <v>199</v>
      </c>
      <c r="G88" s="225" t="str">
        <f>+_xlfn.XLOOKUP(F88,Emisiones[Mnemotécnico SEN],Emisiones[Moneda],"",0,1)</f>
        <v>COP</v>
      </c>
      <c r="H88" s="225"/>
      <c r="I88" s="226"/>
      <c r="J88" s="226">
        <f>+_xlfn.XLOOKUP(F88,Emisiones[Mnemotécnico SEN],Emisiones[Fecha Vencim.],"",0,1)</f>
        <v>47744</v>
      </c>
      <c r="K88" s="224">
        <f>+_xlfn.XLOOKUP(F88,Emisiones[Mnemotécnico SEN],Emisiones[Tasa de Interés],"",0,1)</f>
        <v>7.75</v>
      </c>
      <c r="L88" s="227">
        <v>10.85</v>
      </c>
      <c r="M88" s="227">
        <v>95.25</v>
      </c>
      <c r="N88" s="227">
        <f>IF(C88="","",PRICE(C88,J88,K88%,L88%,100,1,3))</f>
        <v>88.285176506485897</v>
      </c>
      <c r="O88" s="227">
        <f>IF(C88="","",M88-N88)</f>
        <v>6.9648234935141033</v>
      </c>
      <c r="P88" s="227">
        <f>IF(C88="","",100*K88%-O88)</f>
        <v>0.78517650648589665</v>
      </c>
      <c r="Q88" s="228">
        <f>IF(C88="","",IF(G88="UVR",S88/V88,S88))</f>
        <v>-1256822800000</v>
      </c>
      <c r="R88" s="228">
        <f>IF(C88="","",IF('Canjes desagregado'!$G88="UVR",'Canjes desagregado'!$V88*Q88*M88%,Q88*M88%))</f>
        <v>-1197123717000</v>
      </c>
      <c r="S88" s="228">
        <v>-1256822800000</v>
      </c>
      <c r="T88" s="228">
        <f>IFERROR(IF(RIGHT(F88,2)=RIGHT(YEAR(J88),2),1,0),"")</f>
        <v>1</v>
      </c>
      <c r="U88" s="228">
        <f>+IF(R88="","",R88)</f>
        <v>-1197123717000</v>
      </c>
      <c r="V88" s="229">
        <f>+IF(F88&lt;&gt;"",(_xlfn.XLOOKUP(C88,UVR[Fecha (dd/mm/aaaa)],UVR[Pesos colombianos por UVR],"",0,1)),"")</f>
        <v>393.11399999999998</v>
      </c>
      <c r="W88" s="228">
        <f>IF(C88="","",IF(CONCATENATE(DAY(C88),"/",MONTH(C88),"/",2000)-CONCATENATE(DAY(J88),"/",MONTH(J88),"/",2000)&lt;0,K88%*ABS(S88),0))</f>
        <v>97403767000</v>
      </c>
      <c r="X88" s="228">
        <f>IF(S88&lt;0,-W88,W88)</f>
        <v>-97403767000</v>
      </c>
      <c r="Y88" s="230"/>
      <c r="Z88" s="230"/>
      <c r="AA88" s="230"/>
      <c r="AB88" s="231">
        <f>IF(C88="","",ROUND(V88*(1+'Inflación observada '!$B$390%)^(("31-12-2025"-C88)/365),3))</f>
        <v>400.91800000000001</v>
      </c>
      <c r="AC88" s="230"/>
      <c r="AD88" s="232">
        <f>IF(C88="","",IF(G88="UVR",Q88*AB88-S88,0))</f>
        <v>0</v>
      </c>
      <c r="AE88" s="233">
        <f>IF(C88="","",P88/+(O88+P88))</f>
        <v>0.10131309761108344</v>
      </c>
      <c r="AF88" s="228">
        <f>IF(C88="","",AE88*Q88*K88%)</f>
        <v>-9868277353.7582283</v>
      </c>
      <c r="AG88" s="232">
        <f ca="1">(Tabla6[[#This Row],[Fecha Vto]]-TODAY())/365</f>
        <v>4.7698630136986298</v>
      </c>
      <c r="AH88" s="234"/>
      <c r="AI88" s="235"/>
      <c r="AJ88" s="236">
        <f>IF(C88="","",IF(G88="UVR",Q88*AI88-S88,0))</f>
        <v>0</v>
      </c>
    </row>
    <row r="89" spans="1:36">
      <c r="A89" s="219">
        <f>IF(C89="","",YEAR(C89))</f>
        <v>2025</v>
      </c>
      <c r="B89" s="220">
        <v>632</v>
      </c>
      <c r="C89" s="221">
        <v>45881</v>
      </c>
      <c r="D89" s="222" t="s">
        <v>42</v>
      </c>
      <c r="E89" s="223" t="s">
        <v>194</v>
      </c>
      <c r="F89" s="224" t="s">
        <v>321</v>
      </c>
      <c r="G89" s="225" t="str">
        <f>+_xlfn.XLOOKUP(F89,Emisiones[Mnemotécnico SEN],Emisiones[Moneda],"",0,1)</f>
        <v>COP</v>
      </c>
      <c r="H89" s="225"/>
      <c r="I89" s="226"/>
      <c r="J89" s="226">
        <f>+_xlfn.XLOOKUP(F89,Emisiones[Mnemotécnico SEN],Emisiones[Fecha Vencim.],"",0,1)</f>
        <v>49865</v>
      </c>
      <c r="K89" s="224">
        <f>+_xlfn.XLOOKUP(F89,Emisiones[Mnemotécnico SEN],Emisiones[Tasa de Interés],"",0,1)</f>
        <v>6.25</v>
      </c>
      <c r="L89" s="227">
        <v>11.68</v>
      </c>
      <c r="M89" s="227">
        <v>67.998000000000005</v>
      </c>
      <c r="N89" s="227">
        <f>IF(C89="","",PRICE(C89,J89,K89%,L89%,100,1,3))</f>
        <v>67.416215042554782</v>
      </c>
      <c r="O89" s="227">
        <f>IF(C89="","",M89-N89)</f>
        <v>0.58178495744522252</v>
      </c>
      <c r="P89" s="227">
        <f>IF(C89="","",100*K89%-O89)</f>
        <v>5.6682150425547775</v>
      </c>
      <c r="Q89" s="228">
        <f>IF(C89="","",IF(G89="UVR",S89/V89,S89))</f>
        <v>-580000000000</v>
      </c>
      <c r="R89" s="228">
        <f>IF(C89="","",IF('Canjes desagregado'!$G89="UVR",'Canjes desagregado'!$V89*Q89*M89%,Q89*M89%))</f>
        <v>-394388400000</v>
      </c>
      <c r="S89" s="228">
        <v>-580000000000</v>
      </c>
      <c r="T89" s="228">
        <f>IFERROR(IF(RIGHT(F89,2)=RIGHT(YEAR(J89),2),1,0),"")</f>
        <v>1</v>
      </c>
      <c r="U89" s="228">
        <f>+IF(R89="","",R89)</f>
        <v>-394388400000</v>
      </c>
      <c r="V89" s="229">
        <f>+IF(F89&lt;&gt;"",(_xlfn.XLOOKUP(C89,UVR[Fecha (dd/mm/aaaa)],UVR[Pesos colombianos por UVR],"",0,1)),"")</f>
        <v>393.11399999999998</v>
      </c>
      <c r="W89" s="228">
        <f>IF(C89="","",IF(CONCATENATE(DAY(C89),"/",MONTH(C89),"/",2000)-CONCATENATE(DAY(J89),"/",MONTH(J89),"/",2000)&lt;0,K89%*ABS(S89),0))</f>
        <v>0</v>
      </c>
      <c r="X89" s="228">
        <f>IF(S89&lt;0,-W89,W89)</f>
        <v>0</v>
      </c>
      <c r="Y89" s="230"/>
      <c r="Z89" s="230"/>
      <c r="AA89" s="230"/>
      <c r="AB89" s="231">
        <f>IF(C89="","",ROUND(V89*(1+'Inflación observada '!$B$390%)^(("31-12-2025"-C89)/365),3))</f>
        <v>400.91800000000001</v>
      </c>
      <c r="AC89" s="230"/>
      <c r="AD89" s="232">
        <f>IF(C89="","",IF(G89="UVR",Q89*AB89-S89,0))</f>
        <v>0</v>
      </c>
      <c r="AE89" s="233">
        <f>IF(C89="","",P89/+(O89+P89))</f>
        <v>0.90691440680876445</v>
      </c>
      <c r="AF89" s="228">
        <f>IF(C89="","",AE89*Q89*K89%)</f>
        <v>-32875647246.817711</v>
      </c>
      <c r="AG89" s="232">
        <f ca="1">(Tabla6[[#This Row],[Fecha Vto]]-TODAY())/365</f>
        <v>10.580821917808219</v>
      </c>
      <c r="AH89" s="234"/>
      <c r="AI89" s="235"/>
      <c r="AJ89" s="236">
        <f>IF(C89="","",IF(G89="UVR",Q89*AI89-S89,0))</f>
        <v>0</v>
      </c>
    </row>
    <row r="90" spans="1:36">
      <c r="A90" s="219">
        <f t="shared" ref="A90:A91" si="181">IF(C90="","",YEAR(C90))</f>
        <v>2025</v>
      </c>
      <c r="B90" s="220">
        <v>632</v>
      </c>
      <c r="C90" s="221">
        <v>45881</v>
      </c>
      <c r="D90" s="222" t="s">
        <v>42</v>
      </c>
      <c r="E90" s="223" t="s">
        <v>195</v>
      </c>
      <c r="F90" s="224" t="s">
        <v>484</v>
      </c>
      <c r="G90" s="225" t="str">
        <f>+_xlfn.XLOOKUP(F90,Emisiones[Mnemotécnico SEN],Emisiones[Moneda],"",0,1)</f>
        <v>COP</v>
      </c>
      <c r="H90" s="225"/>
      <c r="I90" s="226"/>
      <c r="J90" s="226">
        <f>+_xlfn.XLOOKUP(F90,Emisiones[Mnemotécnico SEN],Emisiones[Fecha Vencim.],"",0,1)</f>
        <v>47352</v>
      </c>
      <c r="K90" s="224">
        <f>+_xlfn.XLOOKUP(F90,Emisiones[Mnemotécnico SEN],Emisiones[Tasa de Interés],"",0,1)</f>
        <v>11</v>
      </c>
      <c r="L90" s="227">
        <v>10.74</v>
      </c>
      <c r="M90" s="227">
        <v>111.499</v>
      </c>
      <c r="N90" s="227">
        <f t="shared" ref="N90:N91" si="182">IF(C90="","",PRICE(C90,J90,K90%,L90%,100,1,3))</f>
        <v>100.80043613866283</v>
      </c>
      <c r="O90" s="227">
        <f t="shared" ref="O90:O91" si="183">IF(C90="","",M90-N90)</f>
        <v>10.698563861337163</v>
      </c>
      <c r="P90" s="227">
        <f t="shared" ref="P90:P91" si="184">IF(C90="","",100*K90%-O90)</f>
        <v>0.30143613866283658</v>
      </c>
      <c r="Q90" s="228">
        <f t="shared" ref="Q90:Q91" si="185">IF(C90="","",IF(G90="UVR",S90/V90,S90))</f>
        <v>800000000000</v>
      </c>
      <c r="R90" s="228">
        <f>IF(C90="","",IF('Canjes desagregado'!$G90="UVR",'Canjes desagregado'!$V90*Q90*M90%,Q90*M90%))</f>
        <v>891992000000</v>
      </c>
      <c r="S90" s="228">
        <v>800000000000</v>
      </c>
      <c r="T90" s="228">
        <f t="shared" ref="T90:T92" si="186">IFERROR(IF(RIGHT(F90,2)=RIGHT(YEAR(J90),2),1,0),"")</f>
        <v>1</v>
      </c>
      <c r="U90" s="228">
        <f t="shared" ref="U90:U91" si="187">+IF(R90="","",R90)</f>
        <v>891992000000</v>
      </c>
      <c r="V90" s="229">
        <f>+IF(F90&lt;&gt;"",(_xlfn.XLOOKUP(C90,UVR[Fecha (dd/mm/aaaa)],UVR[Pesos colombianos por UVR],"",0,1)),"")</f>
        <v>393.11399999999998</v>
      </c>
      <c r="W90" s="228">
        <f t="shared" ref="W90:W91" si="188">IF(C90="","",IF(CONCATENATE(DAY(C90),"/",MONTH(C90),"/",2000)-CONCATENATE(DAY(J90),"/",MONTH(J90),"/",2000)&lt;0,K90%*ABS(S90),0))</f>
        <v>88000000000</v>
      </c>
      <c r="X90" s="228">
        <f t="shared" ref="X90:X91" si="189">IF(S90&lt;0,-W90,W90)</f>
        <v>88000000000</v>
      </c>
      <c r="Y90" s="230"/>
      <c r="Z90" s="230"/>
      <c r="AA90" s="230"/>
      <c r="AB90" s="231">
        <f>IF(C90="","",ROUND(V90*(1+'Inflación observada '!$B$390%)^(("31-12-2025"-C90)/365),3))</f>
        <v>400.91800000000001</v>
      </c>
      <c r="AC90" s="230"/>
      <c r="AD90" s="232">
        <f t="shared" ref="AD90:AD91" si="190">IF(C90="","",IF(G90="UVR",Q90*AB90-S90,0))</f>
        <v>0</v>
      </c>
      <c r="AE90" s="233">
        <f t="shared" ref="AE90:AE91" si="191">IF(C90="","",P90/+(O90+P90))</f>
        <v>2.7403285332985142E-2</v>
      </c>
      <c r="AF90" s="228">
        <f t="shared" ref="AF90:AF91" si="192">IF(C90="","",AE90*Q90*K90%)</f>
        <v>2411489109.3026929</v>
      </c>
      <c r="AG90" s="232">
        <f ca="1">(Tabla6[[#This Row],[Fecha Vto]]-TODAY())/365</f>
        <v>3.6958904109589041</v>
      </c>
      <c r="AH90" s="234"/>
      <c r="AI90" s="235"/>
      <c r="AJ90" s="236">
        <f t="shared" ref="AJ90:AJ91" si="193">IF(C90="","",IF(G90="UVR",Q90*AI90-S90,0))</f>
        <v>0</v>
      </c>
    </row>
    <row r="91" spans="1:36">
      <c r="A91" s="219">
        <f t="shared" si="181"/>
        <v>2025</v>
      </c>
      <c r="B91" s="220">
        <v>632</v>
      </c>
      <c r="C91" s="221">
        <v>45881</v>
      </c>
      <c r="D91" s="222" t="s">
        <v>42</v>
      </c>
      <c r="E91" s="223" t="s">
        <v>195</v>
      </c>
      <c r="F91" s="224" t="s">
        <v>213</v>
      </c>
      <c r="G91" s="225" t="str">
        <f>+_xlfn.XLOOKUP(F91,Emisiones[Mnemotécnico SEN],Emisiones[Moneda],"",0,1)</f>
        <v>COP</v>
      </c>
      <c r="H91" s="225"/>
      <c r="I91" s="226"/>
      <c r="J91" s="226">
        <f>+_xlfn.XLOOKUP(F91,Emisiones[Mnemotécnico SEN],Emisiones[Fecha Vencim.],"",0,1)</f>
        <v>48619</v>
      </c>
      <c r="K91" s="224">
        <f>+_xlfn.XLOOKUP(F91,Emisiones[Mnemotécnico SEN],Emisiones[Tasa de Interés],"",0,1)</f>
        <v>13.25</v>
      </c>
      <c r="L91" s="227">
        <v>11.792999999999999</v>
      </c>
      <c r="M91" s="227">
        <v>113.49299999999999</v>
      </c>
      <c r="N91" s="227">
        <f t="shared" si="182"/>
        <v>106.81314522404053</v>
      </c>
      <c r="O91" s="227">
        <f t="shared" si="183"/>
        <v>6.6798547759594697</v>
      </c>
      <c r="P91" s="227">
        <f t="shared" si="184"/>
        <v>6.5701452240405303</v>
      </c>
      <c r="Q91" s="228">
        <f t="shared" si="185"/>
        <v>725450600000</v>
      </c>
      <c r="R91" s="228">
        <f>IF(C91="","",IF('Canjes desagregado'!$G91="UVR",'Canjes desagregado'!$V91*Q91*M91%,Q91*M91%))</f>
        <v>823335649458</v>
      </c>
      <c r="S91" s="228">
        <v>725450600000</v>
      </c>
      <c r="T91" s="228">
        <f t="shared" si="186"/>
        <v>1</v>
      </c>
      <c r="U91" s="228">
        <f t="shared" si="187"/>
        <v>823335649458</v>
      </c>
      <c r="V91" s="229">
        <f>+IF(F91&lt;&gt;"",(_xlfn.XLOOKUP(C91,UVR[Fecha (dd/mm/aaaa)],UVR[Pesos colombianos por UVR],"",0,1)),"")</f>
        <v>393.11399999999998</v>
      </c>
      <c r="W91" s="228">
        <f t="shared" si="188"/>
        <v>0</v>
      </c>
      <c r="X91" s="228">
        <f t="shared" si="189"/>
        <v>0</v>
      </c>
      <c r="Y91" s="230"/>
      <c r="Z91" s="230"/>
      <c r="AA91" s="230"/>
      <c r="AB91" s="231">
        <f>IF(C91="","",ROUND(V91*(1+'Inflación observada '!$B$390%)^(("31-12-2025"-C91)/365),3))</f>
        <v>400.91800000000001</v>
      </c>
      <c r="AC91" s="230"/>
      <c r="AD91" s="232">
        <f t="shared" si="190"/>
        <v>0</v>
      </c>
      <c r="AE91" s="233">
        <f t="shared" si="191"/>
        <v>0.49586001690871928</v>
      </c>
      <c r="AF91" s="228">
        <f t="shared" si="192"/>
        <v>47663157948.673378</v>
      </c>
      <c r="AG91" s="232">
        <f ca="1">(Tabla6[[#This Row],[Fecha Vto]]-TODAY())/365</f>
        <v>7.1671232876712327</v>
      </c>
      <c r="AH91" s="234"/>
      <c r="AI91" s="235"/>
      <c r="AJ91" s="236">
        <f t="shared" si="193"/>
        <v>0</v>
      </c>
    </row>
    <row r="92" spans="1:36">
      <c r="A92" s="219">
        <f>IF(C92="","",YEAR(C92))</f>
        <v>2025</v>
      </c>
      <c r="B92" s="220">
        <v>633</v>
      </c>
      <c r="C92" s="221">
        <v>45904</v>
      </c>
      <c r="D92" s="222" t="s">
        <v>42</v>
      </c>
      <c r="E92" s="223" t="s">
        <v>194</v>
      </c>
      <c r="F92" s="224" t="s">
        <v>213</v>
      </c>
      <c r="G92" s="225" t="str">
        <f>+_xlfn.XLOOKUP(F92,Emisiones[Mnemotécnico SEN],Emisiones[Moneda],"",0,1)</f>
        <v>COP</v>
      </c>
      <c r="H92" s="225"/>
      <c r="I92" s="226"/>
      <c r="J92" s="226">
        <f>+_xlfn.XLOOKUP(F92,Emisiones[Mnemotécnico SEN],Emisiones[Fecha Vencim.],"",0,1)</f>
        <v>48619</v>
      </c>
      <c r="K92" s="224">
        <f>+_xlfn.XLOOKUP(F92,Emisiones[Mnemotécnico SEN],Emisiones[Tasa de Interés],"",0,1)</f>
        <v>13.25</v>
      </c>
      <c r="L92" s="227">
        <v>11.851000000000001</v>
      </c>
      <c r="M92" s="227">
        <v>114.002</v>
      </c>
      <c r="N92" s="227">
        <f>IF(C92="","",PRICE(C92,J92,K92%,L92%,100,1,3))</f>
        <v>106.48748936138763</v>
      </c>
      <c r="O92" s="227">
        <f>IF(C92="","",M92-N92)</f>
        <v>7.5145106386123643</v>
      </c>
      <c r="P92" s="227">
        <f>IF(C92="","",100*K92%-O92)</f>
        <v>5.7354893613876357</v>
      </c>
      <c r="Q92" s="228">
        <f>IF(C92="","",IF(G92="UVR",S92/V92,S92))</f>
        <v>-546000000000</v>
      </c>
      <c r="R92" s="228">
        <f>IF(C92="","",IF('Canjes desagregado'!$G92="UVR",'Canjes desagregado'!$V92*Q92*M92%,Q92*M92%))</f>
        <v>-622450920000</v>
      </c>
      <c r="S92" s="228">
        <v>-546000000000</v>
      </c>
      <c r="T92" s="228">
        <f t="shared" si="186"/>
        <v>1</v>
      </c>
      <c r="U92" s="228">
        <f>+IF(R92="","",R92)</f>
        <v>-622450920000</v>
      </c>
      <c r="V92" s="229">
        <f>+IF(F92&lt;&gt;"",(_xlfn.XLOOKUP(C92,UVR[Fecha (dd/mm/aaaa)],UVR[Pesos colombianos por UVR],"",0,1)),"")</f>
        <v>393.86200000000002</v>
      </c>
      <c r="W92" s="228">
        <f>IF(C92="","",IF(CONCATENATE(DAY(C92),"/",MONTH(C92),"/",2000)-CONCATENATE(DAY(J92),"/",MONTH(J92),"/",2000)&lt;0,K92%*ABS(S92),0))</f>
        <v>0</v>
      </c>
      <c r="X92" s="228">
        <f>IF(S92&lt;0,-W92,W92)</f>
        <v>0</v>
      </c>
      <c r="Y92" s="230"/>
      <c r="Z92" s="230"/>
      <c r="AA92" s="230"/>
      <c r="AB92" s="231">
        <f>IF(C92="","",ROUND(V92*(1+'Inflación observada '!$B$390%)^(("31-12-2025"-C92)/365),3))</f>
        <v>400.39499999999998</v>
      </c>
      <c r="AC92" s="230"/>
      <c r="AD92" s="232">
        <f>IF(C92="","",IF(G92="UVR",Q92*AB92-S92,0))</f>
        <v>0</v>
      </c>
      <c r="AE92" s="233">
        <f>IF(C92="","",P92/+(O92+P92))</f>
        <v>0.43286712161416119</v>
      </c>
      <c r="AF92" s="228">
        <f>IF(C92="","",AE92*Q92*K92%)</f>
        <v>-31315771913.176491</v>
      </c>
      <c r="AG92" s="232">
        <f ca="1">(Tabla6[[#This Row],[Fecha Vto]]-TODAY())/365</f>
        <v>7.1671232876712327</v>
      </c>
      <c r="AH92" s="234"/>
      <c r="AI92" s="235"/>
      <c r="AJ92" s="236">
        <f>IF(C92="","",IF(G92="UVR",Q92*AI92-S92,0))</f>
        <v>0</v>
      </c>
    </row>
    <row r="93" spans="1:36">
      <c r="A93" s="219">
        <f t="shared" ref="A93" si="194">IF(C93="","",YEAR(C93))</f>
        <v>2025</v>
      </c>
      <c r="B93" s="220">
        <v>633</v>
      </c>
      <c r="C93" s="221">
        <v>45904</v>
      </c>
      <c r="D93" s="222" t="s">
        <v>42</v>
      </c>
      <c r="E93" s="223" t="s">
        <v>195</v>
      </c>
      <c r="F93" s="224" t="s">
        <v>486</v>
      </c>
      <c r="G93" s="225" t="str">
        <f>+_xlfn.XLOOKUP(F93,Emisiones[Mnemotécnico SEN],Emisiones[Moneda],"",0,1)</f>
        <v>COP</v>
      </c>
      <c r="H93" s="225"/>
      <c r="I93" s="226"/>
      <c r="J93" s="226">
        <f>+_xlfn.XLOOKUP(F93,Emisiones[Mnemotécnico SEN],Emisiones[Fecha Vencim.],"",0,1)</f>
        <v>51468</v>
      </c>
      <c r="K93" s="224">
        <f>+_xlfn.XLOOKUP(F93,Emisiones[Mnemotécnico SEN],Emisiones[Tasa de Interés],"",0,1)</f>
        <v>12.75</v>
      </c>
      <c r="L93" s="227">
        <v>12.65</v>
      </c>
      <c r="M93" s="227">
        <v>110.306</v>
      </c>
      <c r="N93" s="227">
        <f t="shared" ref="N93" si="195">IF(C93="","",PRICE(C93,J93,K93%,L93%,100,1,3))</f>
        <v>100.52465433787424</v>
      </c>
      <c r="O93" s="227">
        <f t="shared" ref="O93" si="196">IF(C93="","",M93-N93)</f>
        <v>9.7813456621257586</v>
      </c>
      <c r="P93" s="227">
        <f t="shared" ref="P93" si="197">IF(C93="","",100*K93%-O93)</f>
        <v>2.9686543378742414</v>
      </c>
      <c r="Q93" s="228">
        <f t="shared" ref="Q93:Q95" si="198">IF(C93="","",IF(G93="UVR",S93/V93,S93))</f>
        <v>546000000000</v>
      </c>
      <c r="R93" s="228">
        <f>IF(C93="","",IF('Canjes desagregado'!$G93="UVR",'Canjes desagregado'!$V93*Q93*M93%,Q93*M93%))</f>
        <v>602270760000</v>
      </c>
      <c r="S93" s="228">
        <v>546000000000</v>
      </c>
      <c r="T93" s="228">
        <f t="shared" ref="T93" si="199">IFERROR(IF(RIGHT(F93,2)=RIGHT(YEAR(J93),2),1,0),"")</f>
        <v>1</v>
      </c>
      <c r="U93" s="228">
        <f t="shared" ref="U93" si="200">+IF(R93="","",R93)</f>
        <v>602270760000</v>
      </c>
      <c r="V93" s="229">
        <f>+IF(F93&lt;&gt;"",(_xlfn.XLOOKUP(C93,UVR[Fecha (dd/mm/aaaa)],UVR[Pesos colombianos por UVR],"",0,1)),"")</f>
        <v>393.86200000000002</v>
      </c>
      <c r="W93" s="228">
        <f t="shared" ref="W93" si="201">IF(C93="","",IF(CONCATENATE(DAY(C93),"/",MONTH(C93),"/",2000)-CONCATENATE(DAY(J93),"/",MONTH(J93),"/",2000)&lt;0,K93%*ABS(S93),0))</f>
        <v>69615000000</v>
      </c>
      <c r="X93" s="228">
        <f t="shared" ref="X93" si="202">IF(S93&lt;0,-W93,W93)</f>
        <v>69615000000</v>
      </c>
      <c r="Y93" s="230"/>
      <c r="Z93" s="230"/>
      <c r="AA93" s="230"/>
      <c r="AB93" s="231">
        <f>IF(C93="","",ROUND(V93*(1+'Inflación observada '!$B$390%)^(("31-12-2025"-C93)/365),3))</f>
        <v>400.39499999999998</v>
      </c>
      <c r="AC93" s="230"/>
      <c r="AD93" s="232">
        <f t="shared" ref="AD93" si="203">IF(C93="","",IF(G93="UVR",Q93*AB93-S93,0))</f>
        <v>0</v>
      </c>
      <c r="AE93" s="233">
        <f t="shared" ref="AE93" si="204">IF(C93="","",P93/+(O93+P93))</f>
        <v>0.23283563434307775</v>
      </c>
      <c r="AF93" s="228">
        <f t="shared" ref="AF93" si="205">IF(C93="","",AE93*Q93*K93%)</f>
        <v>16208852684.793358</v>
      </c>
      <c r="AG93" s="232">
        <f ca="1">(Tabla6[[#This Row],[Fecha Vto]]-TODAY())/365</f>
        <v>14.972602739726028</v>
      </c>
      <c r="AH93" s="234"/>
      <c r="AI93" s="235"/>
      <c r="AJ93" s="236">
        <f t="shared" ref="AJ93" si="206">IF(C93="","",IF(G93="UVR",Q93*AI93-S93,0))</f>
        <v>0</v>
      </c>
    </row>
    <row r="94" spans="1:36">
      <c r="A94" s="219">
        <f>IF(C94="","",YEAR(C94))</f>
        <v>2025</v>
      </c>
      <c r="B94" s="220">
        <v>634</v>
      </c>
      <c r="C94" s="221">
        <v>45905</v>
      </c>
      <c r="D94" s="222" t="s">
        <v>42</v>
      </c>
      <c r="E94" s="223" t="s">
        <v>194</v>
      </c>
      <c r="F94" s="224" t="s">
        <v>213</v>
      </c>
      <c r="G94" s="225" t="str">
        <f>+_xlfn.XLOOKUP(F94,Emisiones[Mnemotécnico SEN],Emisiones[Moneda],"",0,1)</f>
        <v>COP</v>
      </c>
      <c r="H94" s="225"/>
      <c r="I94" s="226"/>
      <c r="J94" s="226">
        <f>+_xlfn.XLOOKUP(F94,Emisiones[Mnemotécnico SEN],Emisiones[Fecha Vencim.],"",0,1)</f>
        <v>48619</v>
      </c>
      <c r="K94" s="224">
        <f>+_xlfn.XLOOKUP(F94,Emisiones[Mnemotécnico SEN],Emisiones[Tasa de Interés],"",0,1)</f>
        <v>13.25</v>
      </c>
      <c r="L94" s="227">
        <v>11.771000000000001</v>
      </c>
      <c r="M94" s="227">
        <v>114.438</v>
      </c>
      <c r="N94" s="227">
        <f>IF(C94="","",PRICE(C94,J94,K94%,L94%,100,1,3))</f>
        <v>106.88744073111017</v>
      </c>
      <c r="O94" s="227">
        <f>IF(C94="","",M94-N94)</f>
        <v>7.5505592688898275</v>
      </c>
      <c r="P94" s="227">
        <f>IF(C94="","",100*K94%-O94)</f>
        <v>5.6994407311101725</v>
      </c>
      <c r="Q94" s="228">
        <f t="shared" si="198"/>
        <v>-1304000000000</v>
      </c>
      <c r="R94" s="228">
        <f>IF(C94="","",IF('Canjes desagregado'!$G94="UVR",'Canjes desagregado'!$V94*Q94*M94%,Q94*M94%))</f>
        <v>-1492271520000</v>
      </c>
      <c r="S94" s="228">
        <v>-1304000000000</v>
      </c>
      <c r="T94" s="228">
        <f>IFERROR(IF(RIGHT(F94,2)=RIGHT(YEAR(J94),2),1,0),"")</f>
        <v>1</v>
      </c>
      <c r="U94" s="228">
        <f>+IF(R94="","",R94)</f>
        <v>-1492271520000</v>
      </c>
      <c r="V94" s="229">
        <f>+IF(F94&lt;&gt;"",(_xlfn.XLOOKUP(C94,UVR[Fecha (dd/mm/aaaa)],UVR[Pesos colombianos por UVR],"",0,1)),"")</f>
        <v>393.89749999999998</v>
      </c>
      <c r="W94" s="228">
        <f>IF(C94="","",IF(CONCATENATE(DAY(C94),"/",MONTH(C94),"/",2000)-CONCATENATE(DAY(J94),"/",MONTH(J94),"/",2000)&lt;0,K94%*ABS(S94),0))</f>
        <v>0</v>
      </c>
      <c r="X94" s="228">
        <f>IF(S94&lt;0,-W94,W94)</f>
        <v>0</v>
      </c>
      <c r="Y94" s="230"/>
      <c r="Z94" s="230"/>
      <c r="AA94" s="230"/>
      <c r="AB94" s="231">
        <f>IF(C94="","",ROUND(V94*(1+'Inflación observada '!$B$390%)^(("31-12-2025"-C94)/365),3))</f>
        <v>400.375</v>
      </c>
      <c r="AC94" s="230"/>
      <c r="AD94" s="232">
        <f>IF(C94="","",IF(G94="UVR",Q94*AB94-S94,0))</f>
        <v>0</v>
      </c>
      <c r="AE94" s="233">
        <f>IF(C94="","",P94/+(O94+P94))</f>
        <v>0.43014647027246583</v>
      </c>
      <c r="AF94" s="228">
        <f>IF(C94="","",AE94*Q94*K94%)</f>
        <v>-74320707133.676651</v>
      </c>
      <c r="AG94" s="232">
        <f ca="1">(Tabla6[[#This Row],[Fecha Vto]]-TODAY())/365</f>
        <v>7.1671232876712327</v>
      </c>
      <c r="AH94" s="234"/>
      <c r="AI94" s="235"/>
      <c r="AJ94" s="236">
        <f>IF(C94="","",IF(G94="UVR",Q94*AI94-S94,0))</f>
        <v>0</v>
      </c>
    </row>
    <row r="95" spans="1:36">
      <c r="A95" s="219">
        <f>IF(C95="","",YEAR(C95))</f>
        <v>2025</v>
      </c>
      <c r="B95" s="220">
        <v>634</v>
      </c>
      <c r="C95" s="221">
        <v>45905</v>
      </c>
      <c r="D95" s="222" t="s">
        <v>42</v>
      </c>
      <c r="E95" s="223" t="s">
        <v>195</v>
      </c>
      <c r="F95" s="224" t="s">
        <v>486</v>
      </c>
      <c r="G95" s="225" t="str">
        <f>+_xlfn.XLOOKUP(F95,Emisiones[Mnemotécnico SEN],Emisiones[Moneda],"",0,1)</f>
        <v>COP</v>
      </c>
      <c r="H95" s="225"/>
      <c r="I95" s="226"/>
      <c r="J95" s="226">
        <f>+_xlfn.XLOOKUP(F95,Emisiones[Mnemotécnico SEN],Emisiones[Fecha Vencim.],"",0,1)</f>
        <v>51468</v>
      </c>
      <c r="K95" s="224">
        <f>+_xlfn.XLOOKUP(F95,Emisiones[Mnemotécnico SEN],Emisiones[Tasa de Interés],"",0,1)</f>
        <v>12.75</v>
      </c>
      <c r="L95" s="227">
        <v>12.705</v>
      </c>
      <c r="M95" s="227">
        <v>109.976</v>
      </c>
      <c r="N95" s="227">
        <f>IF(C95="","",PRICE(C95,J95,K95%,L95%,100,1,3))</f>
        <v>100.16037900195313</v>
      </c>
      <c r="O95" s="227">
        <f>IF(C95="","",M95-N95)</f>
        <v>9.8156209980468674</v>
      </c>
      <c r="P95" s="227">
        <f>IF(C95="","",100*K95%-O95)</f>
        <v>2.9343790019531326</v>
      </c>
      <c r="Q95" s="228">
        <f t="shared" si="198"/>
        <v>1304000000000</v>
      </c>
      <c r="R95" s="228">
        <f>IF(C95="","",IF('Canjes desagregado'!$G95="UVR",'Canjes desagregado'!$V95*Q95*M95%,Q95*M95%))</f>
        <v>1434087040000</v>
      </c>
      <c r="S95" s="228">
        <v>1304000000000</v>
      </c>
      <c r="T95" s="228">
        <f>IFERROR(IF(RIGHT(F95,2)=RIGHT(YEAR(J95),2),1,0),"")</f>
        <v>1</v>
      </c>
      <c r="U95" s="228">
        <f>+IF(R95="","",R95)</f>
        <v>1434087040000</v>
      </c>
      <c r="V95" s="229">
        <f>+IF(F95&lt;&gt;"",(_xlfn.XLOOKUP(C95,UVR[Fecha (dd/mm/aaaa)],UVR[Pesos colombianos por UVR],"",0,1)),"")</f>
        <v>393.89749999999998</v>
      </c>
      <c r="W95" s="228">
        <f>IF(C95="","",IF(CONCATENATE(DAY(C95),"/",MONTH(C95),"/",2000)-CONCATENATE(DAY(J95),"/",MONTH(J95),"/",2000)&lt;0,K95%*ABS(S95),0))</f>
        <v>166260000000</v>
      </c>
      <c r="X95" s="228">
        <f>IF(S95&lt;0,-W95,W95)</f>
        <v>166260000000</v>
      </c>
      <c r="Y95" s="230"/>
      <c r="Z95" s="230"/>
      <c r="AA95" s="230"/>
      <c r="AB95" s="231">
        <f>IF(C95="","",ROUND(V95*(1+'Inflación observada '!$B$390%)^(("31-12-2025"-C95)/365),3))</f>
        <v>400.375</v>
      </c>
      <c r="AC95" s="230"/>
      <c r="AD95" s="232">
        <f>IF(C95="","",IF(G95="UVR",Q95*AB95-S95,0))</f>
        <v>0</v>
      </c>
      <c r="AE95" s="233">
        <f>IF(C95="","",P95/+(O95+P95))</f>
        <v>0.23014737270220648</v>
      </c>
      <c r="AF95" s="228">
        <f>IF(C95="","",AE95*Q95*K95%)</f>
        <v>38264302185.468849</v>
      </c>
      <c r="AG95" s="232">
        <f ca="1">(Tabla6[[#This Row],[Fecha Vto]]-TODAY())/365</f>
        <v>14.972602739726028</v>
      </c>
      <c r="AH95" s="234"/>
      <c r="AI95" s="235"/>
      <c r="AJ95" s="236">
        <f>IF(C95="","",IF(G95="UVR",Q95*AI95-S95,0))</f>
        <v>0</v>
      </c>
    </row>
    <row r="96" spans="1:36">
      <c r="A96" s="219">
        <f>IF(C96="","",YEAR(C96))</f>
        <v>2025</v>
      </c>
      <c r="B96" s="220">
        <v>635</v>
      </c>
      <c r="C96" s="221">
        <v>45908</v>
      </c>
      <c r="D96" s="222" t="s">
        <v>42</v>
      </c>
      <c r="E96" s="223" t="s">
        <v>194</v>
      </c>
      <c r="F96" s="224" t="s">
        <v>213</v>
      </c>
      <c r="G96" s="225" t="str">
        <f>+_xlfn.XLOOKUP(F96,Emisiones[Mnemotécnico SEN],Emisiones[Moneda],"",0,1)</f>
        <v>COP</v>
      </c>
      <c r="H96" s="225"/>
      <c r="I96" s="226"/>
      <c r="J96" s="226">
        <f>+_xlfn.XLOOKUP(F96,Emisiones[Mnemotécnico SEN],Emisiones[Fecha Vencim.],"",0,1)</f>
        <v>48619</v>
      </c>
      <c r="K96" s="224">
        <f>+_xlfn.XLOOKUP(F96,Emisiones[Mnemotécnico SEN],Emisiones[Tasa de Interés],"",0,1)</f>
        <v>13.25</v>
      </c>
      <c r="L96" s="227">
        <v>12.722</v>
      </c>
      <c r="M96" s="227">
        <v>109.91</v>
      </c>
      <c r="N96" s="227">
        <f>IF(C96="","",PRICE(C96,J96,K96%,L96%,100,1,3))</f>
        <v>102.24986367168232</v>
      </c>
      <c r="O96" s="227">
        <f>IF(C96="","",M96-N96)</f>
        <v>7.6601363283176767</v>
      </c>
      <c r="P96" s="227">
        <f>IF(C96="","",100*K96%-O96)</f>
        <v>5.5898636716823233</v>
      </c>
      <c r="Q96" s="228">
        <f>IF(C96="","",IF(G96="UVR",S96/V96,S96))</f>
        <v>-494000000000</v>
      </c>
      <c r="R96" s="228">
        <f>IF(C96="","",IF('Canjes desagregado'!$G96="UVR",'Canjes desagregado'!$V96*Q96*M96%,Q96*M96%))</f>
        <v>-542955400000</v>
      </c>
      <c r="S96" s="228">
        <v>-494000000000</v>
      </c>
      <c r="T96" s="228">
        <f>IFERROR(IF(RIGHT(F96,2)=RIGHT(YEAR(J96),2),1,0),"")</f>
        <v>1</v>
      </c>
      <c r="U96" s="228">
        <f>+IF(R96="","",R96)</f>
        <v>-542955400000</v>
      </c>
      <c r="V96" s="229">
        <f>+IF(F96&lt;&gt;"",(_xlfn.XLOOKUP(C96,UVR[Fecha (dd/mm/aaaa)],UVR[Pesos colombianos por UVR],"",0,1)),"")</f>
        <v>394.00409999999999</v>
      </c>
      <c r="W96" s="228">
        <f>IF(C96="","",IF(CONCATENATE(DAY(C96),"/",MONTH(C96),"/",2000)-CONCATENATE(DAY(J96),"/",MONTH(J96),"/",2000)&lt;0,K96%*ABS(S96),0))</f>
        <v>0</v>
      </c>
      <c r="X96" s="228">
        <f>IF(S96&lt;0,-W96,W96)</f>
        <v>0</v>
      </c>
      <c r="Y96" s="230"/>
      <c r="Z96" s="230"/>
      <c r="AA96" s="230"/>
      <c r="AB96" s="231">
        <f>IF(C96="","",ROUND(V96*(1+'Inflación observada '!$B$390%)^(("31-12-2025"-C96)/365),3))</f>
        <v>400.31599999999997</v>
      </c>
      <c r="AC96" s="230"/>
      <c r="AD96" s="232">
        <f>IF(C96="","",IF(G96="UVR",Q96*AB96-S96,0))</f>
        <v>0</v>
      </c>
      <c r="AE96" s="233">
        <f>IF(C96="","",P96/+(O96+P96))</f>
        <v>0.42187650352319422</v>
      </c>
      <c r="AF96" s="228">
        <f>IF(C96="","",AE96*Q96*K96%)</f>
        <v>-27613926538.11068</v>
      </c>
      <c r="AG96" s="232">
        <f ca="1">(Tabla6[[#This Row],[Fecha Vto]]-TODAY())/365</f>
        <v>7.1671232876712327</v>
      </c>
      <c r="AH96" s="234"/>
      <c r="AI96" s="235"/>
      <c r="AJ96" s="236">
        <f>IF(C96="","",IF(G96="UVR",Q96*AI96-S96,0))</f>
        <v>0</v>
      </c>
    </row>
    <row r="97" spans="1:36">
      <c r="A97" s="219">
        <f>IF(C97="","",YEAR(C97))</f>
        <v>2025</v>
      </c>
      <c r="B97" s="220">
        <v>635</v>
      </c>
      <c r="C97" s="221">
        <v>45908</v>
      </c>
      <c r="D97" s="222" t="s">
        <v>42</v>
      </c>
      <c r="E97" s="223" t="s">
        <v>195</v>
      </c>
      <c r="F97" s="224" t="s">
        <v>321</v>
      </c>
      <c r="G97" s="225" t="str">
        <f>+_xlfn.XLOOKUP(F97,Emisiones[Mnemotécnico SEN],Emisiones[Moneda],"",0,1)</f>
        <v>COP</v>
      </c>
      <c r="H97" s="225"/>
      <c r="I97" s="226"/>
      <c r="J97" s="226">
        <f>+_xlfn.XLOOKUP(F97,Emisiones[Mnemotécnico SEN],Emisiones[Fecha Vencim.],"",0,1)</f>
        <v>49865</v>
      </c>
      <c r="K97" s="224">
        <f>+_xlfn.XLOOKUP(F97,Emisiones[Mnemotécnico SEN],Emisiones[Tasa de Interés],"",0,1)</f>
        <v>6.25</v>
      </c>
      <c r="L97" s="227">
        <v>11.593</v>
      </c>
      <c r="M97" s="227">
        <v>68.954999999999998</v>
      </c>
      <c r="N97" s="227">
        <f>IF(C97="","",PRICE(C97,J97,K97%,L97%,100,1,3))</f>
        <v>67.910441557007303</v>
      </c>
      <c r="O97" s="227">
        <f>IF(C97="","",M97-N97)</f>
        <v>1.0445584429926953</v>
      </c>
      <c r="P97" s="227">
        <f>IF(C97="","",100*K97%-O97)</f>
        <v>5.2054415570073047</v>
      </c>
      <c r="Q97" s="228">
        <f>IF(C97="","",IF(G97="UVR",S97/V97,S97))</f>
        <v>55000000000</v>
      </c>
      <c r="R97" s="228">
        <f>IF(C97="","",IF('Canjes desagregado'!$G97="UVR",'Canjes desagregado'!$V97*Q97*M97%,Q97*M97%))</f>
        <v>37925250000</v>
      </c>
      <c r="S97" s="228">
        <v>55000000000</v>
      </c>
      <c r="T97" s="228">
        <f>IFERROR(IF(RIGHT(F97,2)=RIGHT(YEAR(J97),2),1,0),"")</f>
        <v>1</v>
      </c>
      <c r="U97" s="228">
        <f>+IF(R97="","",R97)</f>
        <v>37925250000</v>
      </c>
      <c r="V97" s="229">
        <f>+IF(F97&lt;&gt;"",(_xlfn.XLOOKUP(C97,UVR[Fecha (dd/mm/aaaa)],UVR[Pesos colombianos por UVR],"",0,1)),"")</f>
        <v>394.00409999999999</v>
      </c>
      <c r="W97" s="228">
        <f>IF(C97="","",IF(CONCATENATE(DAY(C97),"/",MONTH(C97),"/",2000)-CONCATENATE(DAY(J97),"/",MONTH(J97),"/",2000)&lt;0,K97%*ABS(S97),0))</f>
        <v>0</v>
      </c>
      <c r="X97" s="228">
        <f>IF(S97&lt;0,-W97,W97)</f>
        <v>0</v>
      </c>
      <c r="Y97" s="230"/>
      <c r="Z97" s="230"/>
      <c r="AA97" s="230"/>
      <c r="AB97" s="231">
        <f>IF(C97="","",ROUND(V97*(1+'Inflación observada '!$B$390%)^(("31-12-2025"-C97)/365),3))</f>
        <v>400.31599999999997</v>
      </c>
      <c r="AC97" s="230"/>
      <c r="AD97" s="232">
        <f>IF(C97="","",IF(G97="UVR",Q97*AB97-S97,0))</f>
        <v>0</v>
      </c>
      <c r="AE97" s="233">
        <f>IF(C97="","",P97/+(O97+P97))</f>
        <v>0.8328706491211687</v>
      </c>
      <c r="AF97" s="228">
        <f>IF(C97="","",AE97*Q97*K97%)</f>
        <v>2862992856.3540173</v>
      </c>
      <c r="AG97" s="232">
        <f ca="1">(Tabla6[[#This Row],[Fecha Vto]]-TODAY())/365</f>
        <v>10.580821917808219</v>
      </c>
      <c r="AH97" s="234"/>
      <c r="AI97" s="235"/>
      <c r="AJ97" s="236">
        <f>IF(C97="","",IF(G97="UVR",Q97*AI97-S97,0))</f>
        <v>0</v>
      </c>
    </row>
    <row r="98" spans="1:36">
      <c r="A98" s="219">
        <f t="shared" ref="A98:A101" si="207">IF(C98="","",YEAR(C98))</f>
        <v>2025</v>
      </c>
      <c r="B98" s="220">
        <v>635</v>
      </c>
      <c r="C98" s="221">
        <v>45908</v>
      </c>
      <c r="D98" s="222" t="s">
        <v>42</v>
      </c>
      <c r="E98" s="223" t="s">
        <v>195</v>
      </c>
      <c r="F98" s="224" t="s">
        <v>486</v>
      </c>
      <c r="G98" s="225" t="str">
        <f>+_xlfn.XLOOKUP(F98,Emisiones[Mnemotécnico SEN],Emisiones[Moneda],"",0,1)</f>
        <v>COP</v>
      </c>
      <c r="H98" s="225"/>
      <c r="I98" s="226"/>
      <c r="J98" s="226">
        <f>+_xlfn.XLOOKUP(F98,Emisiones[Mnemotécnico SEN],Emisiones[Fecha Vencim.],"",0,1)</f>
        <v>51468</v>
      </c>
      <c r="K98" s="224">
        <f>+_xlfn.XLOOKUP(F98,Emisiones[Mnemotécnico SEN],Emisiones[Tasa de Interés],"",0,1)</f>
        <v>12.75</v>
      </c>
      <c r="L98" s="227">
        <v>12.702</v>
      </c>
      <c r="M98" s="227">
        <v>110.104</v>
      </c>
      <c r="N98" s="227">
        <f t="shared" ref="N98:N101" si="208">IF(C98="","",PRICE(C98,J98,K98%,L98%,100,1,3))</f>
        <v>100.18361800852144</v>
      </c>
      <c r="O98" s="227">
        <f t="shared" ref="O98:O101" si="209">IF(C98="","",M98-N98)</f>
        <v>9.920381991478564</v>
      </c>
      <c r="P98" s="227">
        <f t="shared" ref="P98:P101" si="210">IF(C98="","",100*K98%-O98)</f>
        <v>2.829618008521436</v>
      </c>
      <c r="Q98" s="228">
        <f t="shared" ref="Q98:Q101" si="211">IF(C98="","",IF(G98="UVR",S98/V98,S98))</f>
        <v>100000000000</v>
      </c>
      <c r="R98" s="228">
        <f>IF(C98="","",IF('Canjes desagregado'!$G98="UVR",'Canjes desagregado'!$V98*Q98*M98%,Q98*M98%))</f>
        <v>110104000000</v>
      </c>
      <c r="S98" s="228">
        <v>100000000000</v>
      </c>
      <c r="T98" s="228">
        <f t="shared" ref="T98:T101" si="212">IFERROR(IF(RIGHT(F98,2)=RIGHT(YEAR(J98),2),1,0),"")</f>
        <v>1</v>
      </c>
      <c r="U98" s="228">
        <f t="shared" ref="U98:U101" si="213">+IF(R98="","",R98)</f>
        <v>110104000000</v>
      </c>
      <c r="V98" s="229">
        <f>+IF(F98&lt;&gt;"",(_xlfn.XLOOKUP(C98,UVR[Fecha (dd/mm/aaaa)],UVR[Pesos colombianos por UVR],"",0,1)),"")</f>
        <v>394.00409999999999</v>
      </c>
      <c r="W98" s="228">
        <f t="shared" ref="W98:W101" si="214">IF(C98="","",IF(CONCATENATE(DAY(C98),"/",MONTH(C98),"/",2000)-CONCATENATE(DAY(J98),"/",MONTH(J98),"/",2000)&lt;0,K98%*ABS(S98),0))</f>
        <v>12750000000</v>
      </c>
      <c r="X98" s="228">
        <f t="shared" ref="X98:X101" si="215">IF(S98&lt;0,-W98,W98)</f>
        <v>12750000000</v>
      </c>
      <c r="Y98" s="230"/>
      <c r="Z98" s="230"/>
      <c r="AA98" s="230"/>
      <c r="AB98" s="231">
        <f>IF(C98="","",ROUND(V98*(1+'Inflación observada '!$B$390%)^(("31-12-2025"-C98)/365),3))</f>
        <v>400.31599999999997</v>
      </c>
      <c r="AC98" s="230"/>
      <c r="AD98" s="232">
        <f t="shared" ref="AD98:AD101" si="216">IF(C98="","",IF(G98="UVR",Q98*AB98-S98,0))</f>
        <v>0</v>
      </c>
      <c r="AE98" s="233">
        <f t="shared" ref="AE98:AE101" si="217">IF(C98="","",P98/+(O98+P98))</f>
        <v>0.2219308241977597</v>
      </c>
      <c r="AF98" s="228">
        <f t="shared" ref="AF98:AF101" si="218">IF(C98="","",AE98*Q98*K98%)</f>
        <v>2829618008.5214362</v>
      </c>
      <c r="AG98" s="232">
        <f ca="1">(Tabla6[[#This Row],[Fecha Vto]]-TODAY())/365</f>
        <v>14.972602739726028</v>
      </c>
      <c r="AH98" s="234"/>
      <c r="AI98" s="235"/>
      <c r="AJ98" s="236">
        <f t="shared" ref="AJ98:AJ101" si="219">IF(C98="","",IF(G98="UVR",Q98*AI98-S98,0))</f>
        <v>0</v>
      </c>
    </row>
    <row r="99" spans="1:36">
      <c r="A99" s="219">
        <f t="shared" si="207"/>
        <v>2025</v>
      </c>
      <c r="B99" s="220">
        <v>635</v>
      </c>
      <c r="C99" s="221">
        <v>45908</v>
      </c>
      <c r="D99" s="222" t="s">
        <v>42</v>
      </c>
      <c r="E99" s="223" t="s">
        <v>195</v>
      </c>
      <c r="F99" s="224" t="s">
        <v>209</v>
      </c>
      <c r="G99" s="225" t="str">
        <f>+_xlfn.XLOOKUP(F99,Emisiones[Mnemotécnico SEN],Emisiones[Moneda],"",0,1)</f>
        <v>COP</v>
      </c>
      <c r="H99" s="225"/>
      <c r="I99" s="226"/>
      <c r="J99" s="226">
        <f>+_xlfn.XLOOKUP(F99,Emisiones[Mnemotécnico SEN],Emisiones[Fecha Vencim.],"",0,1)</f>
        <v>52014</v>
      </c>
      <c r="K99" s="224">
        <f>+_xlfn.XLOOKUP(F99,Emisiones[Mnemotécnico SEN],Emisiones[Tasa de Interés],"",0,1)</f>
        <v>9.25</v>
      </c>
      <c r="L99" s="227">
        <v>12.099</v>
      </c>
      <c r="M99" s="227">
        <v>82.445999999999998</v>
      </c>
      <c r="N99" s="227">
        <f t="shared" si="208"/>
        <v>79.835589067577388</v>
      </c>
      <c r="O99" s="227">
        <f t="shared" si="209"/>
        <v>2.6104109324226101</v>
      </c>
      <c r="P99" s="227">
        <f t="shared" si="210"/>
        <v>6.6395890675773899</v>
      </c>
      <c r="Q99" s="228">
        <f t="shared" si="211"/>
        <v>115000000000</v>
      </c>
      <c r="R99" s="228">
        <f>IF(C99="","",IF('Canjes desagregado'!$G99="UVR",'Canjes desagregado'!$V99*Q99*M99%,Q99*M99%))</f>
        <v>94812900000</v>
      </c>
      <c r="S99" s="228">
        <v>115000000000</v>
      </c>
      <c r="T99" s="228">
        <f t="shared" si="212"/>
        <v>1</v>
      </c>
      <c r="U99" s="228">
        <f t="shared" si="213"/>
        <v>94812900000</v>
      </c>
      <c r="V99" s="229">
        <f>+IF(F99&lt;&gt;"",(_xlfn.XLOOKUP(C99,UVR[Fecha (dd/mm/aaaa)],UVR[Pesos colombianos por UVR],"",0,1)),"")</f>
        <v>394.00409999999999</v>
      </c>
      <c r="W99" s="228">
        <f t="shared" si="214"/>
        <v>0</v>
      </c>
      <c r="X99" s="228">
        <f t="shared" si="215"/>
        <v>0</v>
      </c>
      <c r="Y99" s="230"/>
      <c r="Z99" s="230"/>
      <c r="AA99" s="230"/>
      <c r="AB99" s="231">
        <f>IF(C99="","",ROUND(V99*(1+'Inflación observada '!$B$390%)^(("31-12-2025"-C99)/365),3))</f>
        <v>400.31599999999997</v>
      </c>
      <c r="AC99" s="230"/>
      <c r="AD99" s="232">
        <f t="shared" si="216"/>
        <v>0</v>
      </c>
      <c r="AE99" s="233">
        <f t="shared" si="217"/>
        <v>0.71779341271106922</v>
      </c>
      <c r="AF99" s="228">
        <f t="shared" si="218"/>
        <v>7635527427.7139988</v>
      </c>
      <c r="AG99" s="232">
        <f ca="1">(Tabla6[[#This Row],[Fecha Vto]]-TODAY())/365</f>
        <v>16.468493150684932</v>
      </c>
      <c r="AH99" s="234"/>
      <c r="AI99" s="235"/>
      <c r="AJ99" s="236">
        <f t="shared" si="219"/>
        <v>0</v>
      </c>
    </row>
    <row r="100" spans="1:36">
      <c r="A100" s="219">
        <f t="shared" si="207"/>
        <v>2025</v>
      </c>
      <c r="B100" s="220">
        <v>635</v>
      </c>
      <c r="C100" s="221">
        <v>45908</v>
      </c>
      <c r="D100" s="222" t="s">
        <v>42</v>
      </c>
      <c r="E100" s="223" t="s">
        <v>195</v>
      </c>
      <c r="F100" s="224" t="s">
        <v>360</v>
      </c>
      <c r="G100" s="225" t="str">
        <f>+_xlfn.XLOOKUP(F100,Emisiones[Mnemotécnico SEN],Emisiones[Moneda],"",0,1)</f>
        <v>COP</v>
      </c>
      <c r="H100" s="225"/>
      <c r="I100" s="226"/>
      <c r="J100" s="226">
        <f>+_xlfn.XLOOKUP(F100,Emisiones[Mnemotécnico SEN],Emisiones[Fecha Vencim.],"",0,1)</f>
        <v>53533</v>
      </c>
      <c r="K100" s="224">
        <f>+_xlfn.XLOOKUP(F100,Emisiones[Mnemotécnico SEN],Emisiones[Tasa de Interés],"",0,1)</f>
        <v>11.5</v>
      </c>
      <c r="L100" s="227">
        <v>12.281000000000001</v>
      </c>
      <c r="M100" s="227">
        <v>95.554000000000002</v>
      </c>
      <c r="N100" s="227">
        <f t="shared" si="208"/>
        <v>94.136130966665817</v>
      </c>
      <c r="O100" s="227">
        <f t="shared" si="209"/>
        <v>1.4178690333341848</v>
      </c>
      <c r="P100" s="227">
        <f t="shared" si="210"/>
        <v>10.082130966665815</v>
      </c>
      <c r="Q100" s="228">
        <f t="shared" si="211"/>
        <v>65000000000</v>
      </c>
      <c r="R100" s="228">
        <f>IF(C100="","",IF('Canjes desagregado'!$G100="UVR",'Canjes desagregado'!$V100*Q100*M100%,Q100*M100%))</f>
        <v>62110100000</v>
      </c>
      <c r="S100" s="228">
        <v>65000000000</v>
      </c>
      <c r="T100" s="228">
        <f t="shared" si="212"/>
        <v>1</v>
      </c>
      <c r="U100" s="228">
        <f t="shared" si="213"/>
        <v>62110100000</v>
      </c>
      <c r="V100" s="229">
        <f>+IF(F100&lt;&gt;"",(_xlfn.XLOOKUP(C100,UVR[Fecha (dd/mm/aaaa)],UVR[Pesos colombianos por UVR],"",0,1)),"")</f>
        <v>394.00409999999999</v>
      </c>
      <c r="W100" s="228">
        <f t="shared" si="214"/>
        <v>0</v>
      </c>
      <c r="X100" s="228">
        <f t="shared" si="215"/>
        <v>0</v>
      </c>
      <c r="Y100" s="230"/>
      <c r="Z100" s="230"/>
      <c r="AA100" s="230"/>
      <c r="AB100" s="231">
        <f>IF(C100="","",ROUND(V100*(1+'Inflación observada '!$B$390%)^(("31-12-2025"-C100)/365),3))</f>
        <v>400.31599999999997</v>
      </c>
      <c r="AC100" s="230"/>
      <c r="AD100" s="232">
        <f t="shared" si="216"/>
        <v>0</v>
      </c>
      <c r="AE100" s="233">
        <f t="shared" si="217"/>
        <v>0.87670704057963611</v>
      </c>
      <c r="AF100" s="228">
        <f t="shared" si="218"/>
        <v>6553385128.3327799</v>
      </c>
      <c r="AG100" s="232">
        <f ca="1">(Tabla6[[#This Row],[Fecha Vto]]-TODAY())/365</f>
        <v>20.63013698630137</v>
      </c>
      <c r="AH100" s="234"/>
      <c r="AI100" s="235"/>
      <c r="AJ100" s="236">
        <f t="shared" si="219"/>
        <v>0</v>
      </c>
    </row>
    <row r="101" spans="1:36">
      <c r="A101" s="219">
        <f t="shared" si="207"/>
        <v>2025</v>
      </c>
      <c r="B101" s="220">
        <v>635</v>
      </c>
      <c r="C101" s="221">
        <v>45908</v>
      </c>
      <c r="D101" s="222" t="s">
        <v>42</v>
      </c>
      <c r="E101" s="223" t="s">
        <v>195</v>
      </c>
      <c r="F101" s="224" t="s">
        <v>324</v>
      </c>
      <c r="G101" s="225" t="str">
        <f>+_xlfn.XLOOKUP(F101,Emisiones[Mnemotécnico SEN],Emisiones[Moneda],"",0,1)</f>
        <v>COP</v>
      </c>
      <c r="H101" s="225"/>
      <c r="I101" s="226"/>
      <c r="J101" s="226">
        <f>+_xlfn.XLOOKUP(F101,Emisiones[Mnemotécnico SEN],Emisiones[Fecha Vencim.],"",0,1)</f>
        <v>55087</v>
      </c>
      <c r="K101" s="224">
        <f>+_xlfn.XLOOKUP(F101,Emisiones[Mnemotécnico SEN],Emisiones[Tasa de Interés],"",0,1)</f>
        <v>7.25</v>
      </c>
      <c r="L101" s="227">
        <v>11.999000000000001</v>
      </c>
      <c r="M101" s="227">
        <v>68.965000000000003</v>
      </c>
      <c r="N101" s="227">
        <f t="shared" si="208"/>
        <v>62.668339033698054</v>
      </c>
      <c r="O101" s="227">
        <f t="shared" si="209"/>
        <v>6.2966609663019497</v>
      </c>
      <c r="P101" s="227">
        <f t="shared" si="210"/>
        <v>0.9533390336980494</v>
      </c>
      <c r="Q101" s="228">
        <f t="shared" si="211"/>
        <v>159000000000</v>
      </c>
      <c r="R101" s="228">
        <f>IF(C101="","",IF('Canjes desagregado'!$G101="UVR",'Canjes desagregado'!$V101*Q101*M101%,Q101*M101%))</f>
        <v>109654350000</v>
      </c>
      <c r="S101" s="228">
        <v>159000000000</v>
      </c>
      <c r="T101" s="228">
        <f t="shared" si="212"/>
        <v>1</v>
      </c>
      <c r="U101" s="228">
        <f t="shared" si="213"/>
        <v>109654350000</v>
      </c>
      <c r="V101" s="229">
        <f>+IF(F101&lt;&gt;"",(_xlfn.XLOOKUP(C101,UVR[Fecha (dd/mm/aaaa)],UVR[Pesos colombianos por UVR],"",0,1)),"")</f>
        <v>394.00409999999999</v>
      </c>
      <c r="W101" s="228">
        <f t="shared" si="214"/>
        <v>11527500000</v>
      </c>
      <c r="X101" s="228">
        <f t="shared" si="215"/>
        <v>11527500000</v>
      </c>
      <c r="Y101" s="230"/>
      <c r="Z101" s="230"/>
      <c r="AA101" s="230"/>
      <c r="AB101" s="231">
        <f>IF(C101="","",ROUND(V101*(1+'Inflación observada '!$B$390%)^(("31-12-2025"-C101)/365),3))</f>
        <v>400.31599999999997</v>
      </c>
      <c r="AC101" s="230"/>
      <c r="AD101" s="232">
        <f t="shared" si="216"/>
        <v>0</v>
      </c>
      <c r="AE101" s="233">
        <f t="shared" si="217"/>
        <v>0.13149503913076546</v>
      </c>
      <c r="AF101" s="228">
        <f t="shared" si="218"/>
        <v>1515809063.5798988</v>
      </c>
      <c r="AG101" s="232">
        <f ca="1">(Tabla6[[#This Row],[Fecha Vto]]-TODAY())/365</f>
        <v>24.887671232876713</v>
      </c>
      <c r="AH101" s="234"/>
      <c r="AI101" s="235"/>
      <c r="AJ101" s="236">
        <f t="shared" si="219"/>
        <v>0</v>
      </c>
    </row>
    <row r="102" spans="1:36">
      <c r="A102" s="219">
        <v>2025</v>
      </c>
      <c r="B102" s="220">
        <v>636</v>
      </c>
      <c r="C102" s="221">
        <v>45951</v>
      </c>
      <c r="D102" s="222" t="s">
        <v>42</v>
      </c>
      <c r="E102" s="223" t="s">
        <v>194</v>
      </c>
      <c r="F102" s="224"/>
      <c r="G102" s="225" t="s">
        <v>4</v>
      </c>
      <c r="H102" s="225"/>
      <c r="I102" s="226"/>
      <c r="J102" s="226">
        <v>46084</v>
      </c>
      <c r="K102" s="224"/>
      <c r="L102" s="227">
        <v>9.1189999999999998</v>
      </c>
      <c r="M102" s="227">
        <v>96.87</v>
      </c>
      <c r="N102" s="227">
        <f>IF(C102="","",PRICE(C102,J102,K102%,L102%,100,1,3))</f>
        <v>96.784046446584327</v>
      </c>
      <c r="O102" s="227">
        <f>IF(C102="","",M102-N102)</f>
        <v>8.5953553415677675E-2</v>
      </c>
      <c r="P102" s="227">
        <f>IF(C102="","",100*K102%-O102)</f>
        <v>-8.5953553415677675E-2</v>
      </c>
      <c r="Q102" s="228">
        <f>IF(C102="","",IF(G102="UVR",S102/V102,S102))</f>
        <v>-313318900000</v>
      </c>
      <c r="R102" s="228">
        <f>IF(C102="","",IF('Canjes desagregado'!$G102="UVR",'Canjes desagregado'!$V102*Q102*M102%,Q102*M102%))</f>
        <v>-303512018430</v>
      </c>
      <c r="S102" s="228">
        <v>-313318900000</v>
      </c>
      <c r="T102" s="228">
        <f>IFERROR(IF(RIGHT(F102,2)=RIGHT(YEAR(J102),2),1,0),"")</f>
        <v>0</v>
      </c>
      <c r="U102" s="228">
        <f>+IF(R102="","",R102)</f>
        <v>-303512018430</v>
      </c>
      <c r="V102" s="229" t="str">
        <f>+IF(F102&lt;&gt;"",(_xlfn.XLOOKUP(C102,UVR[Fecha (dd/mm/aaaa)],UVR[Pesos colombianos por UVR],"",0,1)),"")</f>
        <v/>
      </c>
      <c r="W102" s="228">
        <f>IF(C102="","",IF(CONCATENATE(DAY(C102),"/",MONTH(C102),"/",2000)-CONCATENATE(DAY(J102),"/",MONTH(J102),"/",2000)&lt;0,K102%*ABS(S102),0))</f>
        <v>0</v>
      </c>
      <c r="X102" s="228">
        <f>IF(S102&lt;0,-W102,W102)</f>
        <v>0</v>
      </c>
      <c r="Y102" s="230"/>
      <c r="Z102" s="230"/>
      <c r="AA102" s="230"/>
      <c r="AB102" s="231" t="e">
        <f>IF(C102="","",ROUND(V102*(1+'Inflación observada '!$B$390%)^(("31-12-2025"-C102)/365),3))</f>
        <v>#VALUE!</v>
      </c>
      <c r="AC102" s="230"/>
      <c r="AD102" s="232">
        <f>IF(C102="","",IF(G102="UVR",Q102*AB102-S102,0))</f>
        <v>0</v>
      </c>
      <c r="AE102" s="233" t="e">
        <f>IF(C102="","",P102/+(O102+P102))</f>
        <v>#DIV/0!</v>
      </c>
      <c r="AF102" s="228" t="e">
        <f>IF(C102="","",AE102*Q102*K102%)</f>
        <v>#DIV/0!</v>
      </c>
      <c r="AG102" s="232">
        <f ca="1">(Tabla6[[#This Row],[Fecha Vto]]-TODAY())/365</f>
        <v>0.22191780821917809</v>
      </c>
      <c r="AH102" s="234"/>
      <c r="AI102" s="235"/>
      <c r="AJ102" s="236">
        <f>IF(C102="","",IF(G102="UVR",Q102*AI102-S102,0))</f>
        <v>0</v>
      </c>
    </row>
    <row r="103" spans="1:36">
      <c r="A103" s="219">
        <v>2025</v>
      </c>
      <c r="B103" s="220">
        <v>636</v>
      </c>
      <c r="C103" s="221">
        <v>45951</v>
      </c>
      <c r="D103" s="222" t="s">
        <v>42</v>
      </c>
      <c r="E103" s="223" t="s">
        <v>195</v>
      </c>
      <c r="F103" s="224" t="s">
        <v>486</v>
      </c>
      <c r="G103" s="225" t="s">
        <v>4</v>
      </c>
      <c r="H103" s="225"/>
      <c r="I103" s="226"/>
      <c r="J103" s="226">
        <f>+_xlfn.XLOOKUP(F103,Emisiones[Mnemotécnico SEN],Emisiones[Fecha Vencim.],"",0,1)</f>
        <v>51468</v>
      </c>
      <c r="K103" s="224">
        <f>+_xlfn.XLOOKUP(F103,Emisiones[Mnemotécnico SEN],Emisiones[Tasa de Interés],"",0,1)</f>
        <v>12.75</v>
      </c>
      <c r="L103" s="227">
        <v>11.997999999999999</v>
      </c>
      <c r="M103" s="227">
        <v>116.49</v>
      </c>
      <c r="N103" s="227">
        <f t="shared" ref="N103:N104" si="220">IF(C103="","",PRICE(C103,J103,K103%,L103%,100,1,3))</f>
        <v>105.06737443055813</v>
      </c>
      <c r="O103" s="227">
        <f t="shared" ref="O103:O104" si="221">IF(C103="","",M103-N103)</f>
        <v>11.422625569441863</v>
      </c>
      <c r="P103" s="227">
        <f t="shared" ref="P103:P104" si="222">IF(C103="","",100*K103%-O103)</f>
        <v>1.3273744305581374</v>
      </c>
      <c r="Q103" s="228">
        <f t="shared" ref="Q103:Q104" si="223">IF(C103="","",IF(G103="UVR",S103/V103,S103))</f>
        <v>15000000000</v>
      </c>
      <c r="R103" s="228">
        <f>IF(C103="","",IF('Canjes desagregado'!$G103="UVR",'Canjes desagregado'!$V103*Q103*M103%,Q103*M103%))</f>
        <v>17473500000</v>
      </c>
      <c r="S103" s="228">
        <v>15000000000</v>
      </c>
      <c r="T103" s="228">
        <f t="shared" ref="T103:T104" si="224">IFERROR(IF(RIGHT(F103,2)=RIGHT(YEAR(J103),2),1,0),"")</f>
        <v>1</v>
      </c>
      <c r="U103" s="228">
        <f t="shared" ref="U103:U104" si="225">+IF(R103="","",R103)</f>
        <v>17473500000</v>
      </c>
      <c r="V103" s="229">
        <f>+IF(F103&lt;&gt;"",(_xlfn.XLOOKUP(C103,UVR[Fecha (dd/mm/aaaa)],UVR[Pesos colombianos por UVR],"",0,1)),"")</f>
        <v>395.24630000000002</v>
      </c>
      <c r="W103" s="228">
        <f t="shared" ref="W103:W104" si="226">IF(C103="","",IF(CONCATENATE(DAY(C103),"/",MONTH(C103),"/",2000)-CONCATENATE(DAY(J103),"/",MONTH(J103),"/",2000)&lt;0,K103%*ABS(S103),0))</f>
        <v>1912500000</v>
      </c>
      <c r="X103" s="228">
        <f t="shared" ref="X103:X104" si="227">IF(S103&lt;0,-W103,W103)</f>
        <v>1912500000</v>
      </c>
      <c r="Y103" s="230"/>
      <c r="Z103" s="230"/>
      <c r="AA103" s="230"/>
      <c r="AB103" s="231">
        <f>IF(C103="","",ROUND(V103*(1+'Inflación observada '!$B$390%)^(("31-12-2025"-C103)/365),3))</f>
        <v>399.178</v>
      </c>
      <c r="AC103" s="230"/>
      <c r="AD103" s="232">
        <f t="shared" ref="AD103:AD104" si="228">IF(C103="","",IF(G103="UVR",Q103*AB103-S103,0))</f>
        <v>0</v>
      </c>
      <c r="AE103" s="233">
        <f t="shared" ref="AE103:AE104" si="229">IF(C103="","",P103/+(O103+P103))</f>
        <v>0.10410779847514803</v>
      </c>
      <c r="AF103" s="228">
        <f t="shared" ref="AF103:AF104" si="230">IF(C103="","",AE103*Q103*K103%)</f>
        <v>199106164.58372059</v>
      </c>
      <c r="AG103" s="232">
        <f ca="1">(Tabla6[[#This Row],[Fecha Vto]]-TODAY())/365</f>
        <v>14.972602739726028</v>
      </c>
      <c r="AH103" s="234"/>
      <c r="AI103" s="235"/>
      <c r="AJ103" s="236">
        <f t="shared" ref="AJ103:AJ104" si="231">IF(C103="","",IF(G103="UVR",Q103*AI103-S103,0))</f>
        <v>0</v>
      </c>
    </row>
    <row r="104" spans="1:36">
      <c r="A104" s="219">
        <v>2025</v>
      </c>
      <c r="B104" s="220">
        <v>636</v>
      </c>
      <c r="C104" s="221">
        <v>45951</v>
      </c>
      <c r="D104" s="222" t="s">
        <v>42</v>
      </c>
      <c r="E104" s="223" t="s">
        <v>195</v>
      </c>
      <c r="F104" s="224" t="s">
        <v>360</v>
      </c>
      <c r="G104" s="225" t="s">
        <v>4</v>
      </c>
      <c r="H104" s="225"/>
      <c r="I104" s="226"/>
      <c r="J104" s="226">
        <f>+_xlfn.XLOOKUP(F104,Emisiones[Mnemotécnico SEN],Emisiones[Fecha Vencim.],"",0,1)</f>
        <v>53533</v>
      </c>
      <c r="K104" s="224">
        <f>+_xlfn.XLOOKUP(F104,Emisiones[Mnemotécnico SEN],Emisiones[Tasa de Interés],"",0,1)</f>
        <v>11.5</v>
      </c>
      <c r="L104" s="227">
        <v>12.081</v>
      </c>
      <c r="M104" s="227">
        <v>98.295000000000002</v>
      </c>
      <c r="N104" s="227">
        <f t="shared" si="220"/>
        <v>95.522663656325022</v>
      </c>
      <c r="O104" s="227">
        <f t="shared" si="221"/>
        <v>2.7723363436749793</v>
      </c>
      <c r="P104" s="227">
        <f t="shared" si="222"/>
        <v>8.7276636563250207</v>
      </c>
      <c r="Q104" s="228">
        <f t="shared" si="223"/>
        <v>291000000000</v>
      </c>
      <c r="R104" s="228">
        <f>IF(C104="","",IF('Canjes desagregado'!$G104="UVR",'Canjes desagregado'!$V104*Q104*M104%,Q104*M104%))</f>
        <v>286038450000</v>
      </c>
      <c r="S104" s="228">
        <v>291000000000</v>
      </c>
      <c r="T104" s="228">
        <f t="shared" si="224"/>
        <v>1</v>
      </c>
      <c r="U104" s="228">
        <f t="shared" si="225"/>
        <v>286038450000</v>
      </c>
      <c r="V104" s="229">
        <f>+IF(F104&lt;&gt;"",(_xlfn.XLOOKUP(C104,UVR[Fecha (dd/mm/aaaa)],UVR[Pesos colombianos por UVR],"",0,1)),"")</f>
        <v>395.24630000000002</v>
      </c>
      <c r="W104" s="228">
        <f t="shared" si="226"/>
        <v>0</v>
      </c>
      <c r="X104" s="228">
        <f t="shared" si="227"/>
        <v>0</v>
      </c>
      <c r="Y104" s="230"/>
      <c r="Z104" s="230"/>
      <c r="AA104" s="230"/>
      <c r="AB104" s="231">
        <f>IF(C104="","",ROUND(V104*(1+'Inflación observada '!$B$390%)^(("31-12-2025"-C104)/365),3))</f>
        <v>399.178</v>
      </c>
      <c r="AC104" s="230"/>
      <c r="AD104" s="232">
        <f t="shared" si="228"/>
        <v>0</v>
      </c>
      <c r="AE104" s="233">
        <f t="shared" si="229"/>
        <v>0.75892727446304531</v>
      </c>
      <c r="AF104" s="228">
        <f t="shared" si="230"/>
        <v>25397501239.905811</v>
      </c>
      <c r="AG104" s="232">
        <f ca="1">(Tabla6[[#This Row],[Fecha Vto]]-TODAY())/365</f>
        <v>20.63013698630137</v>
      </c>
      <c r="AH104" s="234"/>
      <c r="AI104" s="235"/>
      <c r="AJ104" s="236">
        <f t="shared" si="231"/>
        <v>0</v>
      </c>
    </row>
    <row r="105" spans="1:36">
      <c r="A105" s="219">
        <v>2025</v>
      </c>
      <c r="B105" s="220">
        <v>637</v>
      </c>
      <c r="C105" s="221">
        <v>45952</v>
      </c>
      <c r="D105" s="222" t="s">
        <v>42</v>
      </c>
      <c r="E105" s="223" t="s">
        <v>194</v>
      </c>
      <c r="F105" s="224"/>
      <c r="G105" s="225" t="s">
        <v>4</v>
      </c>
      <c r="H105" s="225"/>
      <c r="I105" s="226"/>
      <c r="J105" s="226">
        <v>46175</v>
      </c>
      <c r="K105" s="224">
        <v>0</v>
      </c>
      <c r="L105" s="227">
        <v>9.1</v>
      </c>
      <c r="M105" s="227">
        <v>94.817999999999998</v>
      </c>
      <c r="N105" s="227">
        <f t="shared" ref="N105:N112" si="232">IF(C105="","",PRICE(C105,J105,K105%,L105%,100,1,3))</f>
        <v>94.733099225784002</v>
      </c>
      <c r="O105" s="227">
        <f t="shared" ref="O105:O112" si="233">IF(C105="","",M105-N105)</f>
        <v>8.4900774215995511E-2</v>
      </c>
      <c r="P105" s="227">
        <f t="shared" ref="P105:P112" si="234">IF(C105="","",100*K105%-O105)</f>
        <v>-8.4900774215995511E-2</v>
      </c>
      <c r="Q105" s="228">
        <f t="shared" ref="Q105:Q112" si="235">IF(C105="","",IF(G105="UVR",S105/V105,S105))</f>
        <v>-397613400000</v>
      </c>
      <c r="R105" s="228">
        <f>IF(C105="","",IF('Canjes desagregado'!$G105="UVR",'Canjes desagregado'!$V105*Q105*M105%,Q105*M105%))</f>
        <v>-377009073612</v>
      </c>
      <c r="S105" s="228">
        <v>-397613400000</v>
      </c>
      <c r="T105" s="228">
        <f>IFERROR(IF(RIGHT(F105,2)=RIGHT(YEAR(J105),2),1,0),"")</f>
        <v>0</v>
      </c>
      <c r="U105" s="228">
        <f t="shared" ref="U105:U112" si="236">+IF(R105="","",R105)</f>
        <v>-377009073612</v>
      </c>
      <c r="V105" s="229" t="str">
        <f>+IF(F105&lt;&gt;"",(_xlfn.XLOOKUP(C105,UVR[Fecha (dd/mm/aaaa)],UVR[Pesos colombianos por UVR],"",0,1)),"")</f>
        <v/>
      </c>
      <c r="W105" s="228">
        <f t="shared" ref="W105:W112" si="237">IF(C105="","",IF(CONCATENATE(DAY(C105),"/",MONTH(C105),"/",2000)-CONCATENATE(DAY(J105),"/",MONTH(J105),"/",2000)&lt;0,K105%*ABS(S105),0))</f>
        <v>0</v>
      </c>
      <c r="X105" s="228">
        <f t="shared" ref="X105:X112" si="238">IF(S105&lt;0,-W105,W105)</f>
        <v>0</v>
      </c>
      <c r="Y105" s="230"/>
      <c r="Z105" s="230"/>
      <c r="AA105" s="230"/>
      <c r="AB105" s="231" t="e">
        <f>IF(C105="","",ROUND(V105*(1+'Inflación observada '!$B$390%)^(("31-12-2025"-C105)/365),3))</f>
        <v>#VALUE!</v>
      </c>
      <c r="AC105" s="230"/>
      <c r="AD105" s="232">
        <f t="shared" ref="AD105:AD112" si="239">IF(C105="","",IF(G105="UVR",Q105*AB105-S105,0))</f>
        <v>0</v>
      </c>
      <c r="AE105" s="233" t="e">
        <f t="shared" ref="AE105:AE112" si="240">IF(C105="","",P105/+(O105+P105))</f>
        <v>#DIV/0!</v>
      </c>
      <c r="AF105" s="228" t="e">
        <f t="shared" ref="AF105:AF112" si="241">IF(C105="","",AE105*Q105*K105%)</f>
        <v>#DIV/0!</v>
      </c>
      <c r="AG105" s="232">
        <f ca="1">(Tabla6[[#This Row],[Fecha Vto]]-TODAY())/365</f>
        <v>0.47123287671232877</v>
      </c>
      <c r="AH105" s="234"/>
      <c r="AI105" s="235"/>
      <c r="AJ105" s="236">
        <f t="shared" ref="AJ105:AJ112" si="242">IF(C105="","",IF(G105="UVR",Q105*AI105-S105,0))</f>
        <v>0</v>
      </c>
    </row>
    <row r="106" spans="1:36">
      <c r="A106" s="219">
        <v>2025</v>
      </c>
      <c r="B106" s="220">
        <v>637</v>
      </c>
      <c r="C106" s="221">
        <v>45952</v>
      </c>
      <c r="D106" s="222" t="s">
        <v>42</v>
      </c>
      <c r="E106" s="223" t="s">
        <v>195</v>
      </c>
      <c r="F106" s="224" t="s">
        <v>552</v>
      </c>
      <c r="G106" s="225" t="str">
        <f>+_xlfn.XLOOKUP(F106,Emisiones[Mnemotécnico SEN],Emisiones[Moneda],"",0,1)</f>
        <v>COP</v>
      </c>
      <c r="H106" s="225"/>
      <c r="I106" s="226"/>
      <c r="J106" s="226">
        <f>+_xlfn.XLOOKUP(F106,Emisiones[Mnemotécnico SEN],Emisiones[Fecha Vencim.],"",0,1)</f>
        <v>49313</v>
      </c>
      <c r="K106" s="224">
        <f>+_xlfn.XLOOKUP(F106,Emisiones[Mnemotécnico SEN],Emisiones[Tasa de Interés],"",0,1)</f>
        <v>11.75</v>
      </c>
      <c r="L106" s="227">
        <v>11.93</v>
      </c>
      <c r="M106" s="227">
        <v>107.619</v>
      </c>
      <c r="N106" s="227">
        <f t="shared" si="232"/>
        <v>98.91779583545275</v>
      </c>
      <c r="O106" s="227">
        <f t="shared" si="233"/>
        <v>8.7012041645472493</v>
      </c>
      <c r="P106" s="227">
        <f t="shared" si="234"/>
        <v>3.0487958354527507</v>
      </c>
      <c r="Q106" s="228">
        <f t="shared" si="235"/>
        <v>197000000000</v>
      </c>
      <c r="R106" s="228">
        <f>IF(C106="","",IF('Canjes desagregado'!$G106="UVR",'Canjes desagregado'!$V106*Q106*M106%,Q106*M106%))</f>
        <v>212009430000</v>
      </c>
      <c r="S106" s="228">
        <v>197000000000</v>
      </c>
      <c r="T106" s="228" t="e" cm="1">
        <f t="array" aca="1" ref="T106" ca="1">SIERROR(IF(RIGHT(F106,2)=RIGHT(YEAR(J106),2),1,0),"")</f>
        <v>#NAME?</v>
      </c>
      <c r="U106" s="228">
        <f t="shared" si="236"/>
        <v>212009430000</v>
      </c>
      <c r="V106" s="229">
        <f>+IF(F106&lt;&gt;"",(_xlfn.XLOOKUP(C106,UVR[Fecha (dd/mm/aaaa)],UVR[Pesos colombianos por UVR],"",0,1)),"")</f>
        <v>395.28710000000001</v>
      </c>
      <c r="W106" s="228">
        <f t="shared" si="237"/>
        <v>0</v>
      </c>
      <c r="X106" s="228">
        <f t="shared" si="238"/>
        <v>0</v>
      </c>
      <c r="Y106" s="230"/>
      <c r="Z106" s="230"/>
      <c r="AA106" s="230"/>
      <c r="AB106" s="231">
        <f>IF(C106="","",ROUND(V106*(1+'Inflación observada '!$B$390%)^(("31-12-2025"-C106)/365),3))</f>
        <v>399.16300000000001</v>
      </c>
      <c r="AC106" s="230"/>
      <c r="AD106" s="232">
        <f t="shared" si="239"/>
        <v>0</v>
      </c>
      <c r="AE106" s="233">
        <f t="shared" si="240"/>
        <v>0.25947198599597876</v>
      </c>
      <c r="AF106" s="228">
        <f t="shared" si="241"/>
        <v>6006127795.841918</v>
      </c>
      <c r="AG106" s="232">
        <f ca="1">(Tabla6[[#This Row],[Fecha Vto]]-TODAY())/365</f>
        <v>9.0684931506849313</v>
      </c>
      <c r="AH106" s="234"/>
      <c r="AI106" s="235"/>
      <c r="AJ106" s="236">
        <f t="shared" si="242"/>
        <v>0</v>
      </c>
    </row>
    <row r="107" spans="1:36">
      <c r="A107" s="219">
        <v>2025</v>
      </c>
      <c r="B107" s="220">
        <v>637</v>
      </c>
      <c r="C107" s="221">
        <v>45952</v>
      </c>
      <c r="D107" s="222" t="s">
        <v>42</v>
      </c>
      <c r="E107" s="223" t="s">
        <v>195</v>
      </c>
      <c r="F107" s="224" t="s">
        <v>486</v>
      </c>
      <c r="G107" s="225" t="str">
        <f>+_xlfn.XLOOKUP(F107,Emisiones[Mnemotécnico SEN],Emisiones[Moneda],"",0,1)</f>
        <v>COP</v>
      </c>
      <c r="H107" s="225"/>
      <c r="I107" s="226"/>
      <c r="J107" s="226">
        <f>+_xlfn.XLOOKUP(F107,Emisiones[Mnemotécnico SEN],Emisiones[Fecha Vencim.],"",0,1)</f>
        <v>51468</v>
      </c>
      <c r="K107" s="224">
        <f>+_xlfn.XLOOKUP(F107,Emisiones[Mnemotécnico SEN],Emisiones[Tasa de Interés],"",0,1)</f>
        <v>12.75</v>
      </c>
      <c r="L107" s="227">
        <v>12.12</v>
      </c>
      <c r="M107" s="227">
        <v>115.664</v>
      </c>
      <c r="N107" s="227">
        <f t="shared" si="232"/>
        <v>104.20683056254757</v>
      </c>
      <c r="O107" s="227">
        <f t="shared" si="233"/>
        <v>11.457169437452436</v>
      </c>
      <c r="P107" s="227">
        <f t="shared" si="234"/>
        <v>1.2928305625475645</v>
      </c>
      <c r="Q107" s="228">
        <f t="shared" si="235"/>
        <v>35000000000</v>
      </c>
      <c r="R107" s="228">
        <f>IF(C107="","",IF('Canjes desagregado'!$G107="UVR",'Canjes desagregado'!$V107*Q107*M107%,Q107*M107%))</f>
        <v>40482400000.000008</v>
      </c>
      <c r="S107" s="228">
        <v>35000000000</v>
      </c>
      <c r="T107" s="228">
        <f t="shared" ref="T107:T112" si="243">IFERROR(IF(RIGHT(F107,2)=RIGHT(YEAR(J107),2),1,0),"")</f>
        <v>1</v>
      </c>
      <c r="U107" s="228">
        <f t="shared" si="236"/>
        <v>40482400000.000008</v>
      </c>
      <c r="V107" s="229">
        <f>+IF(F107&lt;&gt;"",(_xlfn.XLOOKUP(C107,UVR[Fecha (dd/mm/aaaa)],UVR[Pesos colombianos por UVR],"",0,1)),"")</f>
        <v>395.28710000000001</v>
      </c>
      <c r="W107" s="228">
        <f t="shared" si="237"/>
        <v>4462500000</v>
      </c>
      <c r="X107" s="228">
        <f t="shared" si="238"/>
        <v>4462500000</v>
      </c>
      <c r="Y107" s="230"/>
      <c r="Z107" s="230"/>
      <c r="AA107" s="230"/>
      <c r="AB107" s="231">
        <f>IF(C107="","",ROUND(V107*(1+'Inflación observada '!$B$390%)^(("31-12-2025"-C107)/365),3))</f>
        <v>399.16300000000001</v>
      </c>
      <c r="AC107" s="230"/>
      <c r="AD107" s="232">
        <f t="shared" si="239"/>
        <v>0</v>
      </c>
      <c r="AE107" s="233">
        <f t="shared" si="240"/>
        <v>0.10139847549392662</v>
      </c>
      <c r="AF107" s="228">
        <f t="shared" si="241"/>
        <v>452490696.89164758</v>
      </c>
      <c r="AG107" s="232">
        <f ca="1">(Tabla6[[#This Row],[Fecha Vto]]-TODAY())/365</f>
        <v>14.972602739726028</v>
      </c>
      <c r="AH107" s="234"/>
      <c r="AI107" s="235"/>
      <c r="AJ107" s="236">
        <f t="shared" si="242"/>
        <v>0</v>
      </c>
    </row>
    <row r="108" spans="1:36">
      <c r="A108" s="219">
        <v>2025</v>
      </c>
      <c r="B108" s="220">
        <v>637</v>
      </c>
      <c r="C108" s="221">
        <v>45952</v>
      </c>
      <c r="D108" s="222" t="s">
        <v>42</v>
      </c>
      <c r="E108" s="223" t="s">
        <v>195</v>
      </c>
      <c r="F108" s="224" t="s">
        <v>360</v>
      </c>
      <c r="G108" s="225" t="str">
        <f>+_xlfn.XLOOKUP(F108,Emisiones[Mnemotécnico SEN],Emisiones[Moneda],"",0,1)</f>
        <v>COP</v>
      </c>
      <c r="H108" s="225"/>
      <c r="I108" s="226"/>
      <c r="J108" s="226">
        <f>+_xlfn.XLOOKUP(F108,Emisiones[Mnemotécnico SEN],Emisiones[Fecha Vencim.],"",0,1)</f>
        <v>53533</v>
      </c>
      <c r="K108" s="224">
        <f>+_xlfn.XLOOKUP(F108,Emisiones[Mnemotécnico SEN],Emisiones[Tasa de Interés],"",0,1)</f>
        <v>11.5</v>
      </c>
      <c r="L108" s="227">
        <v>12.12</v>
      </c>
      <c r="M108" s="227">
        <v>98.045000000000002</v>
      </c>
      <c r="N108" s="227">
        <f t="shared" si="232"/>
        <v>95.240469355599558</v>
      </c>
      <c r="O108" s="227">
        <f t="shared" si="233"/>
        <v>2.8045306444004439</v>
      </c>
      <c r="P108" s="227">
        <f t="shared" si="234"/>
        <v>8.6954693555995561</v>
      </c>
      <c r="Q108" s="228">
        <f t="shared" si="235"/>
        <v>127000000000</v>
      </c>
      <c r="R108" s="228">
        <f>IF(C108="","",IF('Canjes desagregado'!$G108="UVR",'Canjes desagregado'!$V108*Q108*M108%,Q108*M108%))</f>
        <v>124517150000</v>
      </c>
      <c r="S108" s="228">
        <v>127000000000</v>
      </c>
      <c r="T108" s="228">
        <f t="shared" si="243"/>
        <v>1</v>
      </c>
      <c r="U108" s="228">
        <f t="shared" si="236"/>
        <v>124517150000</v>
      </c>
      <c r="V108" s="229">
        <f>+IF(F108&lt;&gt;"",(_xlfn.XLOOKUP(C108,UVR[Fecha (dd/mm/aaaa)],UVR[Pesos colombianos por UVR],"",0,1)),"")</f>
        <v>395.28710000000001</v>
      </c>
      <c r="W108" s="228">
        <f t="shared" si="237"/>
        <v>0</v>
      </c>
      <c r="X108" s="228">
        <f t="shared" si="238"/>
        <v>0</v>
      </c>
      <c r="Y108" s="230"/>
      <c r="Z108" s="230"/>
      <c r="AA108" s="230"/>
      <c r="AB108" s="231">
        <f>IF(C108="","",ROUND(V108*(1+'Inflación observada '!$B$390%)^(("31-12-2025"-C108)/365),3))</f>
        <v>399.16300000000001</v>
      </c>
      <c r="AC108" s="230"/>
      <c r="AD108" s="232">
        <f t="shared" si="239"/>
        <v>0</v>
      </c>
      <c r="AE108" s="233">
        <f t="shared" si="240"/>
        <v>0.75612777005213527</v>
      </c>
      <c r="AF108" s="228">
        <f t="shared" si="241"/>
        <v>11043246081.611437</v>
      </c>
      <c r="AG108" s="232">
        <f ca="1">(Tabla6[[#This Row],[Fecha Vto]]-TODAY())/365</f>
        <v>20.63013698630137</v>
      </c>
      <c r="AH108" s="234"/>
      <c r="AI108" s="235"/>
      <c r="AJ108" s="236">
        <f t="shared" si="242"/>
        <v>0</v>
      </c>
    </row>
    <row r="109" spans="1:36">
      <c r="A109" s="219">
        <v>2025</v>
      </c>
      <c r="B109" s="220">
        <v>638</v>
      </c>
      <c r="C109" s="221">
        <v>45953</v>
      </c>
      <c r="D109" s="222" t="s">
        <v>42</v>
      </c>
      <c r="E109" s="223" t="s">
        <v>194</v>
      </c>
      <c r="F109" s="224"/>
      <c r="G109" s="225" t="s">
        <v>4</v>
      </c>
      <c r="H109" s="225"/>
      <c r="I109" s="226"/>
      <c r="J109" s="226">
        <v>46084</v>
      </c>
      <c r="K109" s="224"/>
      <c r="L109" s="227">
        <v>9.1069999999999993</v>
      </c>
      <c r="M109" s="227">
        <v>96.92</v>
      </c>
      <c r="N109" s="227">
        <f t="shared" si="232"/>
        <v>96.834912418923651</v>
      </c>
      <c r="O109" s="227">
        <f t="shared" si="233"/>
        <v>8.5087581076351171E-2</v>
      </c>
      <c r="P109" s="227">
        <f t="shared" si="234"/>
        <v>-8.5087581076351171E-2</v>
      </c>
      <c r="Q109" s="228">
        <f t="shared" si="235"/>
        <v>-120077500000</v>
      </c>
      <c r="R109" s="228">
        <f>IF(C109="","",IF('Canjes desagregado'!$G109="UVR",'Canjes desagregado'!$V109*Q109*M109%,Q109*M109%))</f>
        <v>-116379113000</v>
      </c>
      <c r="S109" s="228">
        <v>-120077500000</v>
      </c>
      <c r="T109" s="228">
        <f t="shared" si="243"/>
        <v>0</v>
      </c>
      <c r="U109" s="228">
        <f t="shared" si="236"/>
        <v>-116379113000</v>
      </c>
      <c r="V109" s="229" t="str">
        <f>+IF(F109&lt;&gt;"",(_xlfn.XLOOKUP(C109,UVR[Fecha (dd/mm/aaaa)],UVR[Pesos colombianos por UVR],"",0,1)),"")</f>
        <v/>
      </c>
      <c r="W109" s="228">
        <f t="shared" si="237"/>
        <v>0</v>
      </c>
      <c r="X109" s="228">
        <f t="shared" si="238"/>
        <v>0</v>
      </c>
      <c r="Y109" s="230"/>
      <c r="Z109" s="230"/>
      <c r="AA109" s="230"/>
      <c r="AB109" s="231" t="e">
        <f>IF(C109="","",ROUND(V109*(1+'Inflación observada '!$B$390%)^(("31-12-2025"-C109)/365),3))</f>
        <v>#VALUE!</v>
      </c>
      <c r="AC109" s="230"/>
      <c r="AD109" s="232">
        <f t="shared" si="239"/>
        <v>0</v>
      </c>
      <c r="AE109" s="233" t="e">
        <f t="shared" si="240"/>
        <v>#DIV/0!</v>
      </c>
      <c r="AF109" s="228" t="e">
        <f t="shared" si="241"/>
        <v>#DIV/0!</v>
      </c>
      <c r="AG109" s="232">
        <f ca="1">(Tabla6[[#This Row],[Fecha Vto]]-TODAY())/365</f>
        <v>0.22191780821917809</v>
      </c>
      <c r="AH109" s="234"/>
      <c r="AI109" s="235"/>
      <c r="AJ109" s="236">
        <f t="shared" si="242"/>
        <v>0</v>
      </c>
    </row>
    <row r="110" spans="1:36">
      <c r="A110" s="219">
        <v>2025</v>
      </c>
      <c r="B110" s="220">
        <v>638</v>
      </c>
      <c r="C110" s="221">
        <v>45953</v>
      </c>
      <c r="D110" s="222" t="s">
        <v>42</v>
      </c>
      <c r="E110" s="223" t="s">
        <v>194</v>
      </c>
      <c r="F110" s="224"/>
      <c r="G110" s="225" t="s">
        <v>4</v>
      </c>
      <c r="H110" s="225"/>
      <c r="I110" s="226"/>
      <c r="J110" s="226">
        <v>46175</v>
      </c>
      <c r="K110" s="224"/>
      <c r="L110" s="227">
        <v>9.1</v>
      </c>
      <c r="M110" s="227">
        <v>94.840999999999994</v>
      </c>
      <c r="N110" s="227">
        <f t="shared" si="232"/>
        <v>94.755478943515342</v>
      </c>
      <c r="O110" s="227">
        <f t="shared" si="233"/>
        <v>8.5521056484651581E-2</v>
      </c>
      <c r="P110" s="227">
        <f t="shared" si="234"/>
        <v>-8.5521056484651581E-2</v>
      </c>
      <c r="Q110" s="228">
        <f t="shared" si="235"/>
        <v>-105250000000</v>
      </c>
      <c r="R110" s="228">
        <f>IF(C110="","",IF('Canjes desagregado'!$G110="UVR",'Canjes desagregado'!$V110*Q110*M110%,Q110*M110%))</f>
        <v>-99820152500</v>
      </c>
      <c r="S110" s="228">
        <v>-105250000000</v>
      </c>
      <c r="T110" s="228">
        <f t="shared" si="243"/>
        <v>0</v>
      </c>
      <c r="U110" s="228">
        <f t="shared" si="236"/>
        <v>-99820152500</v>
      </c>
      <c r="V110" s="229" t="str">
        <f>+IF(F110&lt;&gt;"",(_xlfn.XLOOKUP(C110,UVR[Fecha (dd/mm/aaaa)],UVR[Pesos colombianos por UVR],"",0,1)),"")</f>
        <v/>
      </c>
      <c r="W110" s="228">
        <f t="shared" si="237"/>
        <v>0</v>
      </c>
      <c r="X110" s="228">
        <f t="shared" si="238"/>
        <v>0</v>
      </c>
      <c r="Y110" s="230"/>
      <c r="Z110" s="230"/>
      <c r="AA110" s="230"/>
      <c r="AB110" s="231" t="e">
        <f>IF(C110="","",ROUND(V110*(1+'Inflación observada '!$B$390%)^(("31-12-2025"-C110)/365),3))</f>
        <v>#VALUE!</v>
      </c>
      <c r="AC110" s="230"/>
      <c r="AD110" s="232">
        <f t="shared" si="239"/>
        <v>0</v>
      </c>
      <c r="AE110" s="233" t="e">
        <f t="shared" si="240"/>
        <v>#DIV/0!</v>
      </c>
      <c r="AF110" s="228" t="e">
        <f t="shared" si="241"/>
        <v>#DIV/0!</v>
      </c>
      <c r="AG110" s="232">
        <f ca="1">(Tabla6[[#This Row],[Fecha Vto]]-TODAY())/365</f>
        <v>0.47123287671232877</v>
      </c>
      <c r="AH110" s="234"/>
      <c r="AI110" s="235"/>
      <c r="AJ110" s="236">
        <f t="shared" si="242"/>
        <v>0</v>
      </c>
    </row>
    <row r="111" spans="1:36">
      <c r="A111" s="219">
        <v>2025</v>
      </c>
      <c r="B111" s="220">
        <v>638</v>
      </c>
      <c r="C111" s="221">
        <v>45953</v>
      </c>
      <c r="D111" s="222" t="s">
        <v>42</v>
      </c>
      <c r="E111" s="223" t="s">
        <v>195</v>
      </c>
      <c r="F111" s="224" t="s">
        <v>552</v>
      </c>
      <c r="G111" s="225" t="str">
        <f>+_xlfn.XLOOKUP(F111,Emisiones[Mnemotécnico SEN],Emisiones[Moneda],"",0,1)</f>
        <v>COP</v>
      </c>
      <c r="H111" s="225"/>
      <c r="I111" s="226"/>
      <c r="J111" s="226">
        <f>+_xlfn.XLOOKUP(F111,Emisiones[Mnemotécnico SEN],Emisiones[Fecha Vencim.],"",0,1)</f>
        <v>49313</v>
      </c>
      <c r="K111" s="224">
        <f>+_xlfn.XLOOKUP(F111,Emisiones[Mnemotécnico SEN],Emisiones[Tasa de Interés],"",0,1)</f>
        <v>11.75</v>
      </c>
      <c r="L111" s="227">
        <v>11.973000000000001</v>
      </c>
      <c r="M111" s="227">
        <v>107.42100000000001</v>
      </c>
      <c r="N111" s="227">
        <f t="shared" si="232"/>
        <v>98.688040765145729</v>
      </c>
      <c r="O111" s="227">
        <f t="shared" si="233"/>
        <v>8.7329592348542775</v>
      </c>
      <c r="P111" s="227">
        <f t="shared" si="234"/>
        <v>3.0170407651457225</v>
      </c>
      <c r="Q111" s="228">
        <f t="shared" si="235"/>
        <v>107500000000</v>
      </c>
      <c r="R111" s="228">
        <f>IF(C111="","",IF('Canjes desagregado'!$G111="UVR",'Canjes desagregado'!$V111*Q111*M111%,Q111*M111%))</f>
        <v>115477575000.00002</v>
      </c>
      <c r="S111" s="228">
        <v>107500000000</v>
      </c>
      <c r="T111" s="228">
        <f t="shared" si="243"/>
        <v>0</v>
      </c>
      <c r="U111" s="228">
        <f t="shared" si="236"/>
        <v>115477575000.00002</v>
      </c>
      <c r="V111" s="229">
        <f>+IF(F111&lt;&gt;"",(_xlfn.XLOOKUP(C111,UVR[Fecha (dd/mm/aaaa)],UVR[Pesos colombianos por UVR],"",0,1)),"")</f>
        <v>395.32780000000002</v>
      </c>
      <c r="W111" s="228">
        <f t="shared" si="237"/>
        <v>0</v>
      </c>
      <c r="X111" s="228">
        <f t="shared" si="238"/>
        <v>0</v>
      </c>
      <c r="Y111" s="230"/>
      <c r="Z111" s="230"/>
      <c r="AA111" s="230"/>
      <c r="AB111" s="231">
        <f>IF(C111="","",ROUND(V111*(1+'Inflación observada '!$B$390%)^(("31-12-2025"-C111)/365),3))</f>
        <v>399.149</v>
      </c>
      <c r="AC111" s="230"/>
      <c r="AD111" s="232">
        <f t="shared" si="239"/>
        <v>0</v>
      </c>
      <c r="AE111" s="233">
        <f t="shared" si="240"/>
        <v>0.25676942682091253</v>
      </c>
      <c r="AF111" s="228">
        <f t="shared" si="241"/>
        <v>3243318822.531651</v>
      </c>
      <c r="AG111" s="232">
        <f ca="1">(Tabla6[[#This Row],[Fecha Vto]]-TODAY())/365</f>
        <v>9.0684931506849313</v>
      </c>
      <c r="AH111" s="234"/>
      <c r="AI111" s="235"/>
      <c r="AJ111" s="236">
        <f t="shared" si="242"/>
        <v>0</v>
      </c>
    </row>
    <row r="112" spans="1:36">
      <c r="A112" s="219">
        <v>2025</v>
      </c>
      <c r="B112" s="220">
        <v>638</v>
      </c>
      <c r="C112" s="221">
        <v>45953</v>
      </c>
      <c r="D112" s="222" t="s">
        <v>42</v>
      </c>
      <c r="E112" s="223" t="s">
        <v>195</v>
      </c>
      <c r="F112" s="224" t="s">
        <v>360</v>
      </c>
      <c r="G112" s="225" t="str">
        <f>+_xlfn.XLOOKUP(F112,Emisiones[Mnemotécnico SEN],Emisiones[Moneda],"",0,1)</f>
        <v>COP</v>
      </c>
      <c r="H112" s="225"/>
      <c r="I112" s="226"/>
      <c r="J112" s="226">
        <f>+_xlfn.XLOOKUP(F112,Emisiones[Mnemotécnico SEN],Emisiones[Fecha Vencim.],"",0,1)</f>
        <v>53533</v>
      </c>
      <c r="K112" s="224">
        <f>+_xlfn.XLOOKUP(F112,Emisiones[Mnemotécnico SEN],Emisiones[Tasa de Interés],"",0,1)</f>
        <v>11.5</v>
      </c>
      <c r="L112" s="227">
        <v>12.16</v>
      </c>
      <c r="M112" s="227">
        <v>97.787999999999997</v>
      </c>
      <c r="N112" s="227">
        <f t="shared" si="232"/>
        <v>94.952532290076533</v>
      </c>
      <c r="O112" s="227">
        <f t="shared" si="233"/>
        <v>2.8354677099234635</v>
      </c>
      <c r="P112" s="227">
        <f t="shared" si="234"/>
        <v>8.6645322900765365</v>
      </c>
      <c r="Q112" s="228">
        <f t="shared" si="235"/>
        <v>103000000000</v>
      </c>
      <c r="R112" s="228">
        <f>IF(C112="","",IF('Canjes desagregado'!$G112="UVR",'Canjes desagregado'!$V112*Q112*M112%,Q112*M112%))</f>
        <v>100721640000</v>
      </c>
      <c r="S112" s="228">
        <v>103000000000</v>
      </c>
      <c r="T112" s="228">
        <f t="shared" si="243"/>
        <v>1</v>
      </c>
      <c r="U112" s="228">
        <f t="shared" si="236"/>
        <v>100721640000</v>
      </c>
      <c r="V112" s="229">
        <f>+IF(F112&lt;&gt;"",(_xlfn.XLOOKUP(C112,UVR[Fecha (dd/mm/aaaa)],UVR[Pesos colombianos por UVR],"",0,1)),"")</f>
        <v>395.32780000000002</v>
      </c>
      <c r="W112" s="228">
        <f t="shared" si="237"/>
        <v>0</v>
      </c>
      <c r="X112" s="228">
        <f t="shared" si="238"/>
        <v>0</v>
      </c>
      <c r="Y112" s="230"/>
      <c r="Z112" s="230"/>
      <c r="AA112" s="230"/>
      <c r="AB112" s="231">
        <f>IF(C112="","",ROUND(V112*(1+'Inflación observada '!$B$390%)^(("31-12-2025"-C112)/365),3))</f>
        <v>399.149</v>
      </c>
      <c r="AC112" s="230"/>
      <c r="AD112" s="232">
        <f t="shared" si="239"/>
        <v>0</v>
      </c>
      <c r="AE112" s="233">
        <f t="shared" si="240"/>
        <v>0.75343759044143799</v>
      </c>
      <c r="AF112" s="228">
        <f t="shared" si="241"/>
        <v>8924468258.7788334</v>
      </c>
      <c r="AG112" s="232">
        <f ca="1">(Tabla6[[#This Row],[Fecha Vto]]-TODAY())/365</f>
        <v>20.63013698630137</v>
      </c>
      <c r="AH112" s="234"/>
      <c r="AI112" s="235"/>
      <c r="AJ112" s="236">
        <f t="shared" si="242"/>
        <v>0</v>
      </c>
    </row>
    <row r="113" spans="1:36">
      <c r="A113" s="219">
        <f>IF(C113="","",YEAR(C113))</f>
        <v>2025</v>
      </c>
      <c r="B113" s="220">
        <v>639</v>
      </c>
      <c r="C113" s="221">
        <v>45957</v>
      </c>
      <c r="D113" s="222" t="s">
        <v>42</v>
      </c>
      <c r="E113" s="223" t="s">
        <v>194</v>
      </c>
      <c r="F113" s="224" t="s">
        <v>553</v>
      </c>
      <c r="G113" s="225" t="str">
        <f>+_xlfn.XLOOKUP(F113,Emisiones[Mnemotécnico SEN],Emisiones[Moneda],"",0,1)</f>
        <v>COP</v>
      </c>
      <c r="H113" s="225"/>
      <c r="I113" s="226"/>
      <c r="J113" s="226">
        <f>+_xlfn.XLOOKUP(F113,Emisiones[Mnemotécnico SEN],Emisiones[Fecha Vencim.],"",0,1)</f>
        <v>46084</v>
      </c>
      <c r="K113" s="224">
        <f>+_xlfn.XLOOKUP(F113,Emisiones[Mnemotécnico SEN],Emisiones[Tasa de Interés],"",0,1)</f>
        <v>0</v>
      </c>
      <c r="L113" s="227">
        <v>9.06</v>
      </c>
      <c r="M113" s="227">
        <v>97.027000000000001</v>
      </c>
      <c r="N113" s="227">
        <f>IF(C113="","",PRICE(C113,J113,K113%,L113%,100,1,3))</f>
        <v>96.943954707784357</v>
      </c>
      <c r="O113" s="227">
        <f>IF(C113="","",M113-N113)</f>
        <v>8.304529221564394E-2</v>
      </c>
      <c r="P113" s="227">
        <f>IF(C113="","",100*K113%-O113)</f>
        <v>-8.304529221564394E-2</v>
      </c>
      <c r="Q113" s="228">
        <f>IF(C113="","",IF(G113="UVR",S113/V113,S113))</f>
        <v>-396635400000</v>
      </c>
      <c r="R113" s="228">
        <f>IF(C113="","",IF('Canjes desagregado'!$G113="UVR",'Canjes desagregado'!$V113*Q113*M113%,Q113*M113%))</f>
        <v>-384843429558</v>
      </c>
      <c r="S113" s="228">
        <v>-396635400000</v>
      </c>
      <c r="T113" s="228">
        <f>IFERROR(IF(RIGHT(F113,2)=RIGHT(YEAR(J113),2),1,0),"")</f>
        <v>0</v>
      </c>
      <c r="U113" s="228">
        <f>+IF(R113="","",R113)</f>
        <v>-384843429558</v>
      </c>
      <c r="V113" s="229">
        <f>+IF(F113&lt;&gt;"",(_xlfn.XLOOKUP(C113,UVR[Fecha (dd/mm/aaaa)],UVR[Pesos colombianos por UVR],"",0,1)),"")</f>
        <v>395.49079999999998</v>
      </c>
      <c r="W113" s="228">
        <f>IF(C113="","",IF(CONCATENATE(DAY(C113),"/",MONTH(C113),"/",2000)-CONCATENATE(DAY(J113),"/",MONTH(J113),"/",2000)&lt;0,K113%*ABS(S113),0))</f>
        <v>0</v>
      </c>
      <c r="X113" s="228">
        <f>IF(S113&lt;0,-W113,W113)</f>
        <v>0</v>
      </c>
      <c r="Y113" s="230"/>
      <c r="Z113" s="230"/>
      <c r="AA113" s="230"/>
      <c r="AB113" s="231">
        <f>IF(C113="","",ROUND(V113*(1+'Inflación observada '!$B$390%)^(("31-12-2025"-C113)/365),3))</f>
        <v>399.09100000000001</v>
      </c>
      <c r="AC113" s="230"/>
      <c r="AD113" s="232">
        <f>IF(C113="","",IF(G113="UVR",Q113*AB113-S113,0))</f>
        <v>0</v>
      </c>
      <c r="AE113" s="233" t="e">
        <f>IF(C113="","",P113/+(O113+P113))</f>
        <v>#DIV/0!</v>
      </c>
      <c r="AF113" s="228" t="e">
        <f>IF(C113="","",AE113*Q113*K113%)</f>
        <v>#DIV/0!</v>
      </c>
      <c r="AG113" s="232">
        <f ca="1">(Tabla6[[#This Row],[Fecha Vto]]-TODAY())/365</f>
        <v>0.22191780821917809</v>
      </c>
      <c r="AH113" s="234"/>
      <c r="AI113" s="235"/>
      <c r="AJ113" s="236">
        <f>IF(C113="","",IF(G113="UVR",Q113*AI113-S113,0))</f>
        <v>0</v>
      </c>
    </row>
    <row r="114" spans="1:36">
      <c r="A114" s="219">
        <f>IF(C114="","",YEAR(C114))</f>
        <v>2025</v>
      </c>
      <c r="B114" s="220">
        <v>639</v>
      </c>
      <c r="C114" s="221">
        <v>45957</v>
      </c>
      <c r="D114" s="222" t="s">
        <v>42</v>
      </c>
      <c r="E114" s="223" t="s">
        <v>194</v>
      </c>
      <c r="F114" s="224" t="s">
        <v>554</v>
      </c>
      <c r="G114" s="225" t="str">
        <f>+_xlfn.XLOOKUP(F114,Emisiones[Mnemotécnico SEN],Emisiones[Moneda],"",0,1)</f>
        <v>COP</v>
      </c>
      <c r="H114" s="225"/>
      <c r="I114" s="226"/>
      <c r="J114" s="226">
        <f>+_xlfn.XLOOKUP(F114,Emisiones[Mnemotécnico SEN],Emisiones[Fecha Vencim.],"",0,1)</f>
        <v>46175</v>
      </c>
      <c r="K114" s="224">
        <f>+_xlfn.XLOOKUP(F114,Emisiones[Mnemotécnico SEN],Emisiones[Tasa de Interés],"",0,1)</f>
        <v>0</v>
      </c>
      <c r="L114" s="227">
        <v>9.0749999999999993</v>
      </c>
      <c r="M114" s="227">
        <v>94.944000000000003</v>
      </c>
      <c r="N114" s="227">
        <f>IF(C114="","",PRICE(C114,J114,K114%,L114%,100,1,3))</f>
        <v>94.858537333331597</v>
      </c>
      <c r="O114" s="227">
        <f>IF(C114="","",M114-N114)</f>
        <v>8.5462666668405518E-2</v>
      </c>
      <c r="P114" s="227">
        <f>IF(C114="","",100*K114%-O114)</f>
        <v>-8.5462666668405518E-2</v>
      </c>
      <c r="Q114" s="228">
        <f>IF(C114="","",IF(G114="UVR",S114/V114,S114))</f>
        <v>-92300000000</v>
      </c>
      <c r="R114" s="228">
        <f>IF(C114="","",IF('Canjes desagregado'!$G114="UVR",'Canjes desagregado'!$V114*Q114*M114%,Q114*M114%))</f>
        <v>-87633312000</v>
      </c>
      <c r="S114" s="228">
        <v>-92300000000</v>
      </c>
      <c r="T114" s="228">
        <f>IFERROR(IF(RIGHT(F114,2)=RIGHT(YEAR(J114),2),1,0),"")</f>
        <v>0</v>
      </c>
      <c r="U114" s="228">
        <f>+IF(R114="","",R114)</f>
        <v>-87633312000</v>
      </c>
      <c r="V114" s="229">
        <f>+IF(F114&lt;&gt;"",(_xlfn.XLOOKUP(C114,UVR[Fecha (dd/mm/aaaa)],UVR[Pesos colombianos por UVR],"",0,1)),"")</f>
        <v>395.49079999999998</v>
      </c>
      <c r="W114" s="228">
        <f>IF(C114="","",IF(CONCATENATE(DAY(C114),"/",MONTH(C114),"/",2000)-CONCATENATE(DAY(J114),"/",MONTH(J114),"/",2000)&lt;0,K114%*ABS(S114),0))</f>
        <v>0</v>
      </c>
      <c r="X114" s="228">
        <f>IF(S114&lt;0,-W114,W114)</f>
        <v>0</v>
      </c>
      <c r="Y114" s="230"/>
      <c r="Z114" s="230"/>
      <c r="AA114" s="230"/>
      <c r="AB114" s="231">
        <f>IF(C114="","",ROUND(V114*(1+'Inflación observada '!$B$390%)^(("31-12-2025"-C114)/365),3))</f>
        <v>399.09100000000001</v>
      </c>
      <c r="AC114" s="230"/>
      <c r="AD114" s="232">
        <f>IF(C114="","",IF(G114="UVR",Q114*AB114-S114,0))</f>
        <v>0</v>
      </c>
      <c r="AE114" s="233" t="e">
        <f>IF(C114="","",P114/+(O114+P114))</f>
        <v>#DIV/0!</v>
      </c>
      <c r="AF114" s="228" t="e">
        <f>IF(C114="","",AE114*Q114*K114%)</f>
        <v>#DIV/0!</v>
      </c>
      <c r="AG114" s="232">
        <f ca="1">(Tabla6[[#This Row],[Fecha Vto]]-TODAY())/365</f>
        <v>0.47123287671232877</v>
      </c>
      <c r="AH114" s="234"/>
      <c r="AI114" s="235"/>
      <c r="AJ114" s="236">
        <f>IF(C114="","",IF(G114="UVR",Q114*AI114-S114,0))</f>
        <v>0</v>
      </c>
    </row>
    <row r="115" spans="1:36">
      <c r="A115" s="219">
        <f t="shared" ref="A115" si="244">IF(C115="","",YEAR(C115))</f>
        <v>2025</v>
      </c>
      <c r="B115" s="220">
        <v>639</v>
      </c>
      <c r="C115" s="221">
        <v>45957</v>
      </c>
      <c r="D115" s="222" t="s">
        <v>42</v>
      </c>
      <c r="E115" s="223" t="s">
        <v>195</v>
      </c>
      <c r="F115" s="224" t="s">
        <v>360</v>
      </c>
      <c r="G115" s="225" t="str">
        <f>+_xlfn.XLOOKUP(F115,Emisiones[Mnemotécnico SEN],Emisiones[Moneda],"",0,1)</f>
        <v>COP</v>
      </c>
      <c r="H115" s="225"/>
      <c r="I115" s="226"/>
      <c r="J115" s="226">
        <f>+_xlfn.XLOOKUP(F115,Emisiones[Mnemotécnico SEN],Emisiones[Fecha Vencim.],"",0,1)</f>
        <v>53533</v>
      </c>
      <c r="K115" s="224">
        <f>+_xlfn.XLOOKUP(F115,Emisiones[Mnemotécnico SEN],Emisiones[Tasa de Interés],"",0,1)</f>
        <v>11.5</v>
      </c>
      <c r="L115" s="227">
        <v>12.13</v>
      </c>
      <c r="M115" s="227">
        <v>98.126000000000005</v>
      </c>
      <c r="N115" s="227">
        <f t="shared" ref="N115" si="245">IF(C115="","",PRICE(C115,J115,K115%,L115%,100,1,3))</f>
        <v>95.164779955951857</v>
      </c>
      <c r="O115" s="227">
        <f t="shared" ref="O115" si="246">IF(C115="","",M115-N115)</f>
        <v>2.9612200440481473</v>
      </c>
      <c r="P115" s="227">
        <f t="shared" ref="P115" si="247">IF(C115="","",100*K115%-O115)</f>
        <v>8.5387799559518527</v>
      </c>
      <c r="Q115" s="228">
        <f t="shared" ref="Q115" si="248">IF(C115="","",IF(G115="UVR",S115/V115,S115))</f>
        <v>481500000000</v>
      </c>
      <c r="R115" s="228">
        <f>IF(C115="","",IF('Canjes desagregado'!$G115="UVR",'Canjes desagregado'!$V115*Q115*M115%,Q115*M115%))</f>
        <v>472476690000</v>
      </c>
      <c r="S115" s="228">
        <v>481500000000</v>
      </c>
      <c r="T115" s="228">
        <f t="shared" ref="T115" si="249">IFERROR(IF(RIGHT(F115,2)=RIGHT(YEAR(J115),2),1,0),"")</f>
        <v>1</v>
      </c>
      <c r="U115" s="228">
        <f t="shared" ref="U115" si="250">+IF(R115="","",R115)</f>
        <v>472476690000</v>
      </c>
      <c r="V115" s="229">
        <f>+IF(F115&lt;&gt;"",(_xlfn.XLOOKUP(C115,UVR[Fecha (dd/mm/aaaa)],UVR[Pesos colombianos por UVR],"",0,1)),"")</f>
        <v>395.49079999999998</v>
      </c>
      <c r="W115" s="228">
        <f t="shared" ref="W115" si="251">IF(C115="","",IF(CONCATENATE(DAY(C115),"/",MONTH(C115),"/",2000)-CONCATENATE(DAY(J115),"/",MONTH(J115),"/",2000)&lt;0,K115%*ABS(S115),0))</f>
        <v>0</v>
      </c>
      <c r="X115" s="228">
        <f t="shared" ref="X115" si="252">IF(S115&lt;0,-W115,W115)</f>
        <v>0</v>
      </c>
      <c r="Y115" s="230"/>
      <c r="Z115" s="230"/>
      <c r="AA115" s="230"/>
      <c r="AB115" s="231">
        <f>IF(C115="","",ROUND(V115*(1+'Inflación observada '!$B$390%)^(("31-12-2025"-C115)/365),3))</f>
        <v>399.09100000000001</v>
      </c>
      <c r="AC115" s="230"/>
      <c r="AD115" s="232">
        <f t="shared" ref="AD115" si="253">IF(C115="","",IF(G115="UVR",Q115*AB115-S115,0))</f>
        <v>0</v>
      </c>
      <c r="AE115" s="233">
        <f t="shared" ref="AE115" si="254">IF(C115="","",P115/+(O115+P115))</f>
        <v>0.74250260486537845</v>
      </c>
      <c r="AF115" s="228">
        <f t="shared" ref="AF115" si="255">IF(C115="","",AE115*Q115*K115%)</f>
        <v>41114225487.908173</v>
      </c>
      <c r="AG115" s="232">
        <f ca="1">(Tabla6[[#This Row],[Fecha Vto]]-TODAY())/365</f>
        <v>20.63013698630137</v>
      </c>
      <c r="AH115" s="234"/>
      <c r="AI115" s="235"/>
      <c r="AJ115" s="236">
        <f t="shared" ref="AJ115" si="256">IF(C115="","",IF(G115="UVR",Q115*AI115-S115,0))</f>
        <v>0</v>
      </c>
    </row>
    <row r="116" spans="1:36">
      <c r="A116" s="219">
        <f>IF(C116="","",YEAR(C116))</f>
        <v>2025</v>
      </c>
      <c r="B116" s="220">
        <v>640</v>
      </c>
      <c r="C116" s="221">
        <v>45958</v>
      </c>
      <c r="D116" s="222" t="s">
        <v>42</v>
      </c>
      <c r="E116" s="223" t="s">
        <v>194</v>
      </c>
      <c r="F116" s="224" t="s">
        <v>554</v>
      </c>
      <c r="G116" s="225" t="str">
        <f>+_xlfn.XLOOKUP(F116,Emisiones[Mnemotécnico SEN],Emisiones[Moneda],"",0,1)</f>
        <v>COP</v>
      </c>
      <c r="H116" s="225"/>
      <c r="I116" s="226"/>
      <c r="J116" s="226">
        <f>+_xlfn.XLOOKUP(F116,Emisiones[Mnemotécnico SEN],Emisiones[Fecha Vencim.],"",0,1)</f>
        <v>46175</v>
      </c>
      <c r="K116" s="224">
        <f>+_xlfn.XLOOKUP(F116,Emisiones[Mnemotécnico SEN],Emisiones[Tasa de Interés],"",0,1)</f>
        <v>0</v>
      </c>
      <c r="L116" s="227">
        <v>9.1</v>
      </c>
      <c r="M116" s="227">
        <v>94.953999999999994</v>
      </c>
      <c r="N116" s="227">
        <f>IF(C116="","",PRICE(C116,J116,K116%,L116%,100,1,3))</f>
        <v>94.867536329068187</v>
      </c>
      <c r="O116" s="227">
        <f>IF(C116="","",M116-N116)</f>
        <v>8.6463670931806291E-2</v>
      </c>
      <c r="P116" s="227">
        <f>IF(C116="","",100*K116%-O116)</f>
        <v>-8.6463670931806291E-2</v>
      </c>
      <c r="Q116" s="228">
        <f>IF(C116="","",IF(G116="UVR",S116/V116,S116))</f>
        <v>-517245200000</v>
      </c>
      <c r="R116" s="228">
        <f>IF(C116="","",IF('Canjes desagregado'!$G116="UVR",'Canjes desagregado'!$V116*Q116*M116%,Q116*M116%))</f>
        <v>-491145007207.99994</v>
      </c>
      <c r="S116" s="228">
        <v>-517245200000</v>
      </c>
      <c r="T116" s="228">
        <f>IFERROR(IF(RIGHT(F116,2)=RIGHT(YEAR(J116),2),1,0),"")</f>
        <v>0</v>
      </c>
      <c r="U116" s="228">
        <f>+IF(R116="","",R116)</f>
        <v>-491145007207.99994</v>
      </c>
      <c r="V116" s="229">
        <f>+IF(F116&lt;&gt;"",(_xlfn.XLOOKUP(C116,UVR[Fecha (dd/mm/aaaa)],UVR[Pesos colombianos por UVR],"",0,1)),"")</f>
        <v>395.53160000000003</v>
      </c>
      <c r="W116" s="228">
        <f>IF(C116="","",IF(CONCATENATE(DAY(C116),"/",MONTH(C116),"/",2000)-CONCATENATE(DAY(J116),"/",MONTH(J116),"/",2000)&lt;0,K116%*ABS(S116),0))</f>
        <v>0</v>
      </c>
      <c r="X116" s="228">
        <f>IF(S116&lt;0,-W116,W116)</f>
        <v>0</v>
      </c>
      <c r="Y116" s="230"/>
      <c r="Z116" s="230"/>
      <c r="AA116" s="230"/>
      <c r="AB116" s="231">
        <f>IF(C116="","",ROUND(V116*(1+'Inflación observada '!$B$390%)^(("31-12-2025"-C116)/365),3))</f>
        <v>399.07600000000002</v>
      </c>
      <c r="AC116" s="230"/>
      <c r="AD116" s="232">
        <f>IF(C116="","",IF(G116="UVR",Q116*AB116-S116,0))</f>
        <v>0</v>
      </c>
      <c r="AE116" s="233" t="e">
        <f>IF(C116="","",P116/+(O116+P116))</f>
        <v>#DIV/0!</v>
      </c>
      <c r="AF116" s="228" t="e">
        <f>IF(C116="","",AE116*Q116*K116%)</f>
        <v>#DIV/0!</v>
      </c>
      <c r="AG116" s="232">
        <f ca="1">(Tabla6[[#This Row],[Fecha Vto]]-TODAY())/365</f>
        <v>0.47123287671232877</v>
      </c>
      <c r="AH116" s="234"/>
      <c r="AI116" s="235"/>
      <c r="AJ116" s="236">
        <f>IF(C116="","",IF(G116="UVR",Q116*AI116-S116,0))</f>
        <v>0</v>
      </c>
    </row>
    <row r="117" spans="1:36">
      <c r="A117" s="219">
        <f>IF(C117="","",YEAR(C117))</f>
        <v>2025</v>
      </c>
      <c r="B117" s="220">
        <v>640</v>
      </c>
      <c r="C117" s="221">
        <v>45958</v>
      </c>
      <c r="D117" s="222" t="s">
        <v>42</v>
      </c>
      <c r="E117" s="223" t="s">
        <v>195</v>
      </c>
      <c r="F117" s="224" t="s">
        <v>360</v>
      </c>
      <c r="G117" s="225" t="str">
        <f>+_xlfn.XLOOKUP(F117,Emisiones[Mnemotécnico SEN],Emisiones[Moneda],"",0,1)</f>
        <v>COP</v>
      </c>
      <c r="H117" s="225"/>
      <c r="I117" s="226"/>
      <c r="J117" s="226">
        <f>+_xlfn.XLOOKUP(F117,Emisiones[Mnemotécnico SEN],Emisiones[Fecha Vencim.],"",0,1)</f>
        <v>53533</v>
      </c>
      <c r="K117" s="224">
        <f>+_xlfn.XLOOKUP(F117,Emisiones[Mnemotécnico SEN],Emisiones[Tasa de Interés],"",0,1)</f>
        <v>11.5</v>
      </c>
      <c r="L117" s="227">
        <v>12.12</v>
      </c>
      <c r="M117" s="227">
        <v>98.228999999999999</v>
      </c>
      <c r="N117" s="227">
        <f>IF(C117="","",PRICE(C117,J117,K117%,L117%,100,1,3))</f>
        <v>95.235978523025537</v>
      </c>
      <c r="O117" s="227">
        <f>IF(C117="","",M117-N117)</f>
        <v>2.9930214769744623</v>
      </c>
      <c r="P117" s="227">
        <f>IF(C117="","",100*K117%-O117)</f>
        <v>8.5069785230255377</v>
      </c>
      <c r="Q117" s="228">
        <f>IF(C117="","",IF(G117="UVR",S117/V117,S117))</f>
        <v>500000000000</v>
      </c>
      <c r="R117" s="228">
        <f>IF(C117="","",IF('Canjes desagregado'!$G117="UVR",'Canjes desagregado'!$V117*Q117*M117%,Q117*M117%))</f>
        <v>491145000000</v>
      </c>
      <c r="S117" s="228">
        <v>500000000000</v>
      </c>
      <c r="T117" s="228">
        <f>IFERROR(IF(RIGHT(F117,2)=RIGHT(YEAR(J117),2),1,0),"")</f>
        <v>1</v>
      </c>
      <c r="U117" s="228">
        <f>+IF(R117="","",R117)</f>
        <v>491145000000</v>
      </c>
      <c r="V117" s="229">
        <f>+IF(F117&lt;&gt;"",(_xlfn.XLOOKUP(C117,UVR[Fecha (dd/mm/aaaa)],UVR[Pesos colombianos por UVR],"",0,1)),"")</f>
        <v>395.53160000000003</v>
      </c>
      <c r="W117" s="228">
        <f>IF(C117="","",IF(CONCATENATE(DAY(C117),"/",MONTH(C117),"/",2000)-CONCATENATE(DAY(J117),"/",MONTH(J117),"/",2000)&lt;0,K117%*ABS(S117),0))</f>
        <v>0</v>
      </c>
      <c r="X117" s="228">
        <f>IF(S117&lt;0,-W117,W117)</f>
        <v>0</v>
      </c>
      <c r="Y117" s="230"/>
      <c r="Z117" s="230"/>
      <c r="AA117" s="230"/>
      <c r="AB117" s="231">
        <f>IF(C117="","",ROUND(V117*(1+'Inflación observada '!$B$390%)^(("31-12-2025"-C117)/365),3))</f>
        <v>399.07600000000002</v>
      </c>
      <c r="AC117" s="230"/>
      <c r="AD117" s="232">
        <f>IF(C117="","",IF(G117="UVR",Q117*AB117-S117,0))</f>
        <v>0</v>
      </c>
      <c r="AE117" s="233">
        <f>IF(C117="","",P117/+(O117+P117))</f>
        <v>0.73973726287178587</v>
      </c>
      <c r="AF117" s="228">
        <f>IF(C117="","",AE117*Q117*K117%)</f>
        <v>42534892615.127693</v>
      </c>
      <c r="AG117" s="232">
        <f ca="1">(Tabla6[[#This Row],[Fecha Vto]]-TODAY())/365</f>
        <v>20.63013698630137</v>
      </c>
      <c r="AH117" s="234"/>
      <c r="AI117" s="235"/>
      <c r="AJ117" s="236">
        <f>IF(C117="","",IF(G117="UVR",Q117*AI117-S117,0))</f>
        <v>0</v>
      </c>
    </row>
    <row r="118" spans="1:36">
      <c r="A118" s="219" t="str">
        <f>IF(C118="","",YEAR(C118))</f>
        <v/>
      </c>
      <c r="B118" s="220">
        <v>641</v>
      </c>
      <c r="C118" s="221"/>
      <c r="D118" s="222"/>
      <c r="E118" s="223"/>
      <c r="F118" s="224"/>
      <c r="G118" s="225">
        <f>+_xlfn.XLOOKUP(F118,Emisiones[Mnemotécnico SEN],Emisiones[Moneda],"",0,1)</f>
        <v>0</v>
      </c>
      <c r="H118" s="225"/>
      <c r="I118" s="226"/>
      <c r="J118" s="226">
        <f>+_xlfn.XLOOKUP(F118,Emisiones[Mnemotécnico SEN],Emisiones[Fecha Vencim.],"",0,1)</f>
        <v>0</v>
      </c>
      <c r="K118" s="224">
        <f>+_xlfn.XLOOKUP(F118,Emisiones[Mnemotécnico SEN],Emisiones[Tasa de Interés],"",0,1)</f>
        <v>0</v>
      </c>
      <c r="L118" s="227"/>
      <c r="M118" s="227"/>
      <c r="N118" s="227" t="str">
        <f>IF(C118="","",PRICE(C118,J118,K118%,L118%,100,1,3))</f>
        <v/>
      </c>
      <c r="O118" s="227" t="str">
        <f>IF(C118="","",M118-N118)</f>
        <v/>
      </c>
      <c r="P118" s="227" t="str">
        <f>IF(C118="","",100*K118%-O118)</f>
        <v/>
      </c>
      <c r="Q118" s="228" t="str">
        <f>IF(C118="","",IF(G118="UVR",S118/V118,S118))</f>
        <v/>
      </c>
      <c r="R118" s="228" t="str">
        <f>IF(C118="","",IF('Canjes desagregado'!$G118="UVR",'Canjes desagregado'!$V118*Q118*M118%,Q118*M118%))</f>
        <v/>
      </c>
      <c r="S118" s="228"/>
      <c r="T118" s="228">
        <f>IFERROR(IF(RIGHT(F118,2)=RIGHT(YEAR(J118),2),1,0),"")</f>
        <v>0</v>
      </c>
      <c r="U118" s="228" t="str">
        <f>+IF(R118="","",R118)</f>
        <v/>
      </c>
      <c r="V118" s="229" t="str">
        <f>+IF(F118&lt;&gt;"",(_xlfn.XLOOKUP(C118,UVR[Fecha (dd/mm/aaaa)],UVR[Pesos colombianos por UVR],"",0,1)),"")</f>
        <v/>
      </c>
      <c r="W118" s="228" t="str">
        <f>IF(C118="","",IF(CONCATENATE(DAY(C118),"/",MONTH(C118),"/",2000)-CONCATENATE(DAY(J118),"/",MONTH(J118),"/",2000)&lt;0,K118%*ABS(S118),0))</f>
        <v/>
      </c>
      <c r="X118" s="228" t="str">
        <f>IF(S118&lt;0,-W118,W118)</f>
        <v/>
      </c>
      <c r="Y118" s="230"/>
      <c r="Z118" s="230"/>
      <c r="AA118" s="230"/>
      <c r="AB118" s="231" t="str">
        <f>IF(C118="","",ROUND(V118*(1+'Inflación observada '!$B$390%)^(("31-12-2025"-C118)/365),3))</f>
        <v/>
      </c>
      <c r="AC118" s="230"/>
      <c r="AD118" s="232" t="str">
        <f>IF(C118="","",IF(G118="UVR",Q118*AB118-S118,0))</f>
        <v/>
      </c>
      <c r="AE118" s="233" t="str">
        <f>IF(C118="","",P118/+(O118+P118))</f>
        <v/>
      </c>
      <c r="AF118" s="228" t="str">
        <f>IF(C118="","",AE118*Q118*K118%)</f>
        <v/>
      </c>
      <c r="AG118" s="232">
        <f ca="1">(Tabla6[[#This Row],[Fecha Vto]]-TODAY())/365</f>
        <v>-126.03561643835616</v>
      </c>
      <c r="AH118" s="234"/>
      <c r="AI118" s="235"/>
      <c r="AJ118" s="236" t="str">
        <f>IF(C118="","",IF(G118="UVR",Q118*AI118-S118,0))</f>
        <v/>
      </c>
    </row>
    <row r="119" spans="1:36">
      <c r="A119" s="219">
        <f>IF(C119="","",YEAR(C119))</f>
        <v>2025</v>
      </c>
      <c r="B119" s="220">
        <v>642</v>
      </c>
      <c r="C119" s="221">
        <v>45966</v>
      </c>
      <c r="D119" s="222" t="s">
        <v>42</v>
      </c>
      <c r="E119" s="223" t="s">
        <v>194</v>
      </c>
      <c r="F119" s="224" t="s">
        <v>553</v>
      </c>
      <c r="G119" s="225" t="str">
        <f>+_xlfn.XLOOKUP(F119,Emisiones[Mnemotécnico SEN],Emisiones[Moneda],"",0,1)</f>
        <v>COP</v>
      </c>
      <c r="H119" s="225"/>
      <c r="I119" s="226"/>
      <c r="J119" s="226">
        <f>+_xlfn.XLOOKUP(F119,Emisiones[Mnemotécnico SEN],Emisiones[Fecha Vencim.],"",0,1)</f>
        <v>46084</v>
      </c>
      <c r="K119" s="224">
        <f>+_xlfn.XLOOKUP(F119,Emisiones[Mnemotécnico SEN],Emisiones[Tasa de Interés],"",0,1)</f>
        <v>0</v>
      </c>
      <c r="L119" s="227">
        <v>9.1389999999999993</v>
      </c>
      <c r="M119" s="227">
        <v>97.212000000000003</v>
      </c>
      <c r="N119" s="227">
        <f>IF(C119="","",PRICE(C119,J119,K119%,L119%,100,1,3))</f>
        <v>97.130261153734011</v>
      </c>
      <c r="O119" s="227">
        <f>IF(C119="","",M119-N119)</f>
        <v>8.1738846265992038E-2</v>
      </c>
      <c r="P119" s="227">
        <f>IF(C119="","",100*K119%-O119)</f>
        <v>-8.1738846265992038E-2</v>
      </c>
      <c r="Q119" s="228">
        <f>IF(C119="","",IF(G119="UVR",S119/V119,S119))</f>
        <v>-179000000000</v>
      </c>
      <c r="R119" s="228">
        <f>IF(C119="","",IF('Canjes desagregado'!$G119="UVR",'Canjes desagregado'!$V119*Q119*M119%,Q119*M119%))</f>
        <v>-174009480000</v>
      </c>
      <c r="S119" s="228">
        <v>-179000000000</v>
      </c>
      <c r="T119" s="228">
        <f>IFERROR(IF(RIGHT(F119,2)=RIGHT(YEAR(J119),2),1,0),"")</f>
        <v>0</v>
      </c>
      <c r="U119" s="228">
        <f>+IF(R119="","",R119)</f>
        <v>-174009480000</v>
      </c>
      <c r="V119" s="229">
        <f>+IF(F119&lt;&gt;"",(_xlfn.XLOOKUP(C119,UVR[Fecha (dd/mm/aaaa)],UVR[Pesos colombianos por UVR],"",0,1)),"")</f>
        <v>395.8578</v>
      </c>
      <c r="W119" s="228">
        <f>IF(C119="","",IF(CONCATENATE(DAY(C119),"/",MONTH(C119),"/",2000)-CONCATENATE(DAY(J119),"/",MONTH(J119),"/",2000)&lt;0,K119%*ABS(S119),0))</f>
        <v>0</v>
      </c>
      <c r="X119" s="228">
        <f>IF(S119&lt;0,-W119,W119)</f>
        <v>0</v>
      </c>
      <c r="Y119" s="230"/>
      <c r="Z119" s="230"/>
      <c r="AA119" s="230"/>
      <c r="AB119" s="231">
        <f>IF(C119="","",ROUND(V119*(1+'Inflación observada '!$B$390%)^(("31-12-2025"-C119)/365),3))</f>
        <v>398.96</v>
      </c>
      <c r="AC119" s="230"/>
      <c r="AD119" s="232">
        <f>IF(C119="","",IF(G119="UVR",Q119*AB119-S119,0))</f>
        <v>0</v>
      </c>
      <c r="AE119" s="233" t="e">
        <f>IF(C119="","",P119/+(O119+P119))</f>
        <v>#DIV/0!</v>
      </c>
      <c r="AF119" s="228" t="e">
        <f>IF(C119="","",AE119*Q119*K119%)</f>
        <v>#DIV/0!</v>
      </c>
      <c r="AG119" s="232">
        <f ca="1">(Tabla6[[#This Row],[Fecha Vto]]-TODAY())/365</f>
        <v>0.22191780821917809</v>
      </c>
      <c r="AH119" s="234"/>
      <c r="AI119" s="235"/>
      <c r="AJ119" s="236">
        <f>IF(C119="","",IF(G119="UVR",Q119*AI119-S119,0))</f>
        <v>0</v>
      </c>
    </row>
    <row r="120" spans="1:36">
      <c r="A120" s="219">
        <f t="shared" ref="A120:A121" si="257">IF(C120="","",YEAR(C120))</f>
        <v>2025</v>
      </c>
      <c r="B120" s="220">
        <v>642</v>
      </c>
      <c r="C120" s="221">
        <v>45966</v>
      </c>
      <c r="D120" s="222" t="s">
        <v>42</v>
      </c>
      <c r="E120" s="223" t="s">
        <v>194</v>
      </c>
      <c r="F120" s="224" t="s">
        <v>211</v>
      </c>
      <c r="G120" s="225" t="str">
        <f>+_xlfn.XLOOKUP(F120,Emisiones[Mnemotécnico SEN],Emisiones[Moneda],"",0,1)</f>
        <v>COP</v>
      </c>
      <c r="H120" s="225"/>
      <c r="I120" s="226"/>
      <c r="J120" s="226">
        <f>+_xlfn.XLOOKUP(F120,Emisiones[Mnemotécnico SEN],Emisiones[Fecha Vencim.],"",0,1)</f>
        <v>46260</v>
      </c>
      <c r="K120" s="224">
        <f>+_xlfn.XLOOKUP(F120,Emisiones[Mnemotécnico SEN],Emisiones[Tasa de Interés],"",0,1)</f>
        <v>7.5</v>
      </c>
      <c r="L120" s="227">
        <v>9.1829999999999998</v>
      </c>
      <c r="M120" s="227">
        <v>100.15600000000001</v>
      </c>
      <c r="N120" s="227">
        <f t="shared" ref="N120:N121" si="258">IF(C120="","",PRICE(C120,J120,K120%,L120%,100,1,3))</f>
        <v>98.637264743508737</v>
      </c>
      <c r="O120" s="227">
        <f t="shared" ref="O120:O121" si="259">IF(C120="","",M120-N120)</f>
        <v>1.5187352564912686</v>
      </c>
      <c r="P120" s="227">
        <f t="shared" ref="P120:P121" si="260">IF(C120="","",100*K120%-O120)</f>
        <v>5.9812647435087314</v>
      </c>
      <c r="Q120" s="228">
        <f t="shared" ref="Q120:Q121" si="261">IF(C120="","",IF(G120="UVR",S120/V120,S120))</f>
        <v>-41273300000</v>
      </c>
      <c r="R120" s="228">
        <f>IF(C120="","",IF('Canjes desagregado'!$G120="UVR",'Canjes desagregado'!$V120*Q120*M120%,Q120*M120%))</f>
        <v>-41337686348</v>
      </c>
      <c r="S120" s="228">
        <v>-41273300000</v>
      </c>
      <c r="T120" s="228">
        <f t="shared" ref="T120:T121" si="262">IFERROR(IF(RIGHT(F120,2)=RIGHT(YEAR(J120),2),1,0),"")</f>
        <v>1</v>
      </c>
      <c r="U120" s="228">
        <f t="shared" ref="U120:U121" si="263">+IF(R120="","",R120)</f>
        <v>-41337686348</v>
      </c>
      <c r="V120" s="229">
        <f>+IF(F120&lt;&gt;"",(_xlfn.XLOOKUP(C120,UVR[Fecha (dd/mm/aaaa)],UVR[Pesos colombianos por UVR],"",0,1)),"")</f>
        <v>395.8578</v>
      </c>
      <c r="W120" s="228">
        <f t="shared" ref="W120:W121" si="264">IF(C120="","",IF(CONCATENATE(DAY(C120),"/",MONTH(C120),"/",2000)-CONCATENATE(DAY(J120),"/",MONTH(J120),"/",2000)&lt;0,K120%*ABS(S120),0))</f>
        <v>0</v>
      </c>
      <c r="X120" s="228">
        <f t="shared" ref="X120:X121" si="265">IF(S120&lt;0,-W120,W120)</f>
        <v>0</v>
      </c>
      <c r="Y120" s="230"/>
      <c r="Z120" s="230"/>
      <c r="AA120" s="230"/>
      <c r="AB120" s="231">
        <f>IF(C120="","",ROUND(V120*(1+'Inflación observada '!$B$390%)^(("31-12-2025"-C120)/365),3))</f>
        <v>398.96</v>
      </c>
      <c r="AC120" s="230"/>
      <c r="AD120" s="232">
        <f t="shared" ref="AD120:AD121" si="266">IF(C120="","",IF(G120="UVR",Q120*AB120-S120,0))</f>
        <v>0</v>
      </c>
      <c r="AE120" s="233">
        <f t="shared" ref="AE120:AE121" si="267">IF(C120="","",P120/+(O120+P120))</f>
        <v>0.79750196580116417</v>
      </c>
      <c r="AF120" s="228">
        <f t="shared" ref="AF120:AF121" si="268">IF(C120="","",AE120*Q120*K120%)</f>
        <v>-2468665341.3825889</v>
      </c>
      <c r="AG120" s="232">
        <f ca="1">(Tabla6[[#This Row],[Fecha Vto]]-TODAY())/365</f>
        <v>0.70410958904109588</v>
      </c>
      <c r="AH120" s="234"/>
      <c r="AI120" s="235"/>
      <c r="AJ120" s="236">
        <f t="shared" ref="AJ120:AJ121" si="269">IF(C120="","",IF(G120="UVR",Q120*AI120-S120,0))</f>
        <v>0</v>
      </c>
    </row>
    <row r="121" spans="1:36">
      <c r="A121" s="219">
        <f t="shared" si="257"/>
        <v>2025</v>
      </c>
      <c r="B121" s="220">
        <v>642</v>
      </c>
      <c r="C121" s="221">
        <v>45966</v>
      </c>
      <c r="D121" s="222" t="s">
        <v>42</v>
      </c>
      <c r="E121" s="223" t="s">
        <v>195</v>
      </c>
      <c r="F121" s="224" t="s">
        <v>360</v>
      </c>
      <c r="G121" s="225" t="str">
        <f>+_xlfn.XLOOKUP(F121,Emisiones[Mnemotécnico SEN],Emisiones[Moneda],"",0,1)</f>
        <v>COP</v>
      </c>
      <c r="H121" s="225"/>
      <c r="I121" s="226"/>
      <c r="J121" s="226">
        <f>+_xlfn.XLOOKUP(F121,Emisiones[Mnemotécnico SEN],Emisiones[Fecha Vencim.],"",0,1)</f>
        <v>53533</v>
      </c>
      <c r="K121" s="224">
        <f>+_xlfn.XLOOKUP(F121,Emisiones[Mnemotécnico SEN],Emisiones[Tasa de Interés],"",0,1)</f>
        <v>11.5</v>
      </c>
      <c r="L121" s="227">
        <v>12.14</v>
      </c>
      <c r="M121" s="227">
        <v>98.331999999999994</v>
      </c>
      <c r="N121" s="227">
        <f t="shared" si="258"/>
        <v>95.08680347286645</v>
      </c>
      <c r="O121" s="227">
        <f t="shared" si="259"/>
        <v>3.2451965271335439</v>
      </c>
      <c r="P121" s="227">
        <f t="shared" si="260"/>
        <v>8.2548034728664561</v>
      </c>
      <c r="Q121" s="228">
        <f t="shared" si="261"/>
        <v>219000000000</v>
      </c>
      <c r="R121" s="228">
        <f>IF(C121="","",IF('Canjes desagregado'!$G121="UVR",'Canjes desagregado'!$V121*Q121*M121%,Q121*M121%))</f>
        <v>215347080000</v>
      </c>
      <c r="S121" s="228">
        <v>219000000000</v>
      </c>
      <c r="T121" s="228">
        <f t="shared" si="262"/>
        <v>1</v>
      </c>
      <c r="U121" s="228">
        <f t="shared" si="263"/>
        <v>215347080000</v>
      </c>
      <c r="V121" s="229">
        <f>+IF(F121&lt;&gt;"",(_xlfn.XLOOKUP(C121,UVR[Fecha (dd/mm/aaaa)],UVR[Pesos colombianos por UVR],"",0,1)),"")</f>
        <v>395.8578</v>
      </c>
      <c r="W121" s="228">
        <f t="shared" si="264"/>
        <v>0</v>
      </c>
      <c r="X121" s="228">
        <f t="shared" si="265"/>
        <v>0</v>
      </c>
      <c r="Y121" s="230"/>
      <c r="Z121" s="230"/>
      <c r="AA121" s="230"/>
      <c r="AB121" s="231">
        <f>IF(C121="","",ROUND(V121*(1+'Inflación observada '!$B$390%)^(("31-12-2025"-C121)/365),3))</f>
        <v>398.96</v>
      </c>
      <c r="AC121" s="230"/>
      <c r="AD121" s="232">
        <f t="shared" si="266"/>
        <v>0</v>
      </c>
      <c r="AE121" s="233">
        <f t="shared" si="267"/>
        <v>0.71780899764056139</v>
      </c>
      <c r="AF121" s="228">
        <f t="shared" si="268"/>
        <v>18078019605.577538</v>
      </c>
      <c r="AG121" s="232">
        <f ca="1">(Tabla6[[#This Row],[Fecha Vto]]-TODAY())/365</f>
        <v>20.63013698630137</v>
      </c>
      <c r="AH121" s="234"/>
      <c r="AI121" s="235"/>
      <c r="AJ121" s="236">
        <f t="shared" si="269"/>
        <v>0</v>
      </c>
    </row>
    <row r="122" spans="1:36">
      <c r="A122" s="219">
        <f>IF(C122="","",YEAR(C122))</f>
        <v>2025</v>
      </c>
      <c r="B122" s="220">
        <v>643</v>
      </c>
      <c r="C122" s="221">
        <v>45971</v>
      </c>
      <c r="D122" s="222" t="s">
        <v>42</v>
      </c>
      <c r="E122" s="223" t="s">
        <v>194</v>
      </c>
      <c r="F122" s="224" t="s">
        <v>553</v>
      </c>
      <c r="G122" s="225" t="str">
        <f>+_xlfn.XLOOKUP(F122,Emisiones[Mnemotécnico SEN],Emisiones[Moneda],"",0,1)</f>
        <v>COP</v>
      </c>
      <c r="H122" s="225"/>
      <c r="I122" s="226"/>
      <c r="J122" s="226">
        <f>+_xlfn.XLOOKUP(F122,Emisiones[Mnemotécnico SEN],Emisiones[Fecha Vencim.],"",0,1)</f>
        <v>46084</v>
      </c>
      <c r="K122" s="224">
        <f>+_xlfn.XLOOKUP(F122,Emisiones[Mnemotécnico SEN],Emisiones[Tasa de Interés],"",0,1)</f>
        <v>0</v>
      </c>
      <c r="L122" s="227">
        <v>9.1460000000000008</v>
      </c>
      <c r="M122" s="227">
        <v>97.326999999999998</v>
      </c>
      <c r="N122" s="227">
        <f>IF(C122="","",PRICE(C122,J122,K122%,L122%,100,1,3))</f>
        <v>97.246465011068253</v>
      </c>
      <c r="O122" s="227">
        <f>IF(C122="","",M122-N122)</f>
        <v>8.0534988931745488E-2</v>
      </c>
      <c r="P122" s="227">
        <f>IF(C122="","",100*K122%-O122)</f>
        <v>-8.0534988931745488E-2</v>
      </c>
      <c r="Q122" s="228">
        <f>IF(C122="","",IF(G122="UVR",S122/V122,S122))</f>
        <v>-97500000000</v>
      </c>
      <c r="R122" s="228">
        <f>IF(C122="","",IF('Canjes desagregado'!$G122="UVR",'Canjes desagregado'!$V122*Q122*M122%,Q122*M122%))</f>
        <v>-94893825000</v>
      </c>
      <c r="S122" s="228">
        <v>-97500000000</v>
      </c>
      <c r="T122" s="228">
        <f>IFERROR(IF(RIGHT(F122,2)=RIGHT(YEAR(J122),2),1,0),"")</f>
        <v>0</v>
      </c>
      <c r="U122" s="228">
        <f>+IF(R122="","",R122)</f>
        <v>-94893825000</v>
      </c>
      <c r="V122" s="229">
        <f>+IF(F122&lt;&gt;"",(_xlfn.XLOOKUP(C122,UVR[Fecha (dd/mm/aaaa)],UVR[Pesos colombianos por UVR],"",0,1)),"")</f>
        <v>396.06189999999998</v>
      </c>
      <c r="W122" s="228">
        <f>IF(C122="","",IF(CONCATENATE(DAY(C122),"/",MONTH(C122),"/",2000)-CONCATENATE(DAY(J122),"/",MONTH(J122),"/",2000)&lt;0,K122%*ABS(S122),0))</f>
        <v>0</v>
      </c>
      <c r="X122" s="228">
        <f>IF(S122&lt;0,-W122,W122)</f>
        <v>0</v>
      </c>
      <c r="Y122" s="230"/>
      <c r="Z122" s="230"/>
      <c r="AA122" s="230"/>
      <c r="AB122" s="231">
        <f>IF(C122="","",ROUND(V122*(1+'Inflación observada '!$B$390%)^(("31-12-2025"-C122)/365),3))</f>
        <v>398.88799999999998</v>
      </c>
      <c r="AC122" s="230"/>
      <c r="AD122" s="232">
        <f>IF(C122="","",IF(G122="UVR",Q122*AB122-S122,0))</f>
        <v>0</v>
      </c>
      <c r="AE122" s="233" t="e">
        <f>IF(C122="","",P122/+(O122+P122))</f>
        <v>#DIV/0!</v>
      </c>
      <c r="AF122" s="228" t="e">
        <f>IF(C122="","",AE122*Q122*K122%)</f>
        <v>#DIV/0!</v>
      </c>
      <c r="AG122" s="232">
        <f ca="1">(Tabla6[[#This Row],[Fecha Vto]]-TODAY())/365</f>
        <v>0.22191780821917809</v>
      </c>
      <c r="AH122" s="234"/>
      <c r="AI122" s="235"/>
      <c r="AJ122" s="236">
        <f>IF(C122="","",IF(G122="UVR",Q122*AI122-S122,0))</f>
        <v>0</v>
      </c>
    </row>
    <row r="123" spans="1:36">
      <c r="A123" s="219">
        <f t="shared" ref="A123:A125" si="270">IF(C123="","",YEAR(C123))</f>
        <v>2025</v>
      </c>
      <c r="B123" s="220">
        <v>643</v>
      </c>
      <c r="C123" s="221">
        <v>45971</v>
      </c>
      <c r="D123" s="222" t="s">
        <v>42</v>
      </c>
      <c r="E123" s="223" t="s">
        <v>194</v>
      </c>
      <c r="F123" s="224" t="s">
        <v>211</v>
      </c>
      <c r="G123" s="225" t="str">
        <f>+_xlfn.XLOOKUP(F123,Emisiones[Mnemotécnico SEN],Emisiones[Moneda],"",0,1)</f>
        <v>COP</v>
      </c>
      <c r="H123" s="225"/>
      <c r="I123" s="226"/>
      <c r="J123" s="226">
        <f>+_xlfn.XLOOKUP(F123,Emisiones[Mnemotécnico SEN],Emisiones[Fecha Vencim.],"",0,1)</f>
        <v>46260</v>
      </c>
      <c r="K123" s="224">
        <f>+_xlfn.XLOOKUP(F123,Emisiones[Mnemotécnico SEN],Emisiones[Tasa de Interés],"",0,1)</f>
        <v>7.5</v>
      </c>
      <c r="L123" s="227">
        <v>9.2010000000000005</v>
      </c>
      <c r="M123" s="227">
        <v>100.26300000000001</v>
      </c>
      <c r="N123" s="227">
        <f t="shared" ref="N123:N125" si="271">IF(C123="","",PRICE(C123,J123,K123%,L123%,100,1,3))</f>
        <v>98.638593202584318</v>
      </c>
      <c r="O123" s="227">
        <f t="shared" ref="O123:O125" si="272">IF(C123="","",M123-N123)</f>
        <v>1.6244067974156877</v>
      </c>
      <c r="P123" s="227">
        <f t="shared" ref="P123:P125" si="273">IF(C123="","",100*K123%-O123)</f>
        <v>5.8755932025843123</v>
      </c>
      <c r="Q123" s="228">
        <f t="shared" ref="Q123:Q125" si="274">IF(C123="","",IF(G123="UVR",S123/V123,S123))</f>
        <v>-97500000000</v>
      </c>
      <c r="R123" s="228">
        <f>IF(C123="","",IF('Canjes desagregado'!$G123="UVR",'Canjes desagregado'!$V123*Q123*M123%,Q123*M123%))</f>
        <v>-97756425000.000015</v>
      </c>
      <c r="S123" s="228">
        <v>-97500000000</v>
      </c>
      <c r="T123" s="228">
        <f t="shared" ref="T123:T125" si="275">IFERROR(IF(RIGHT(F123,2)=RIGHT(YEAR(J123),2),1,0),"")</f>
        <v>1</v>
      </c>
      <c r="U123" s="228">
        <f t="shared" ref="U123:U125" si="276">+IF(R123="","",R123)</f>
        <v>-97756425000.000015</v>
      </c>
      <c r="V123" s="229">
        <f>+IF(F123&lt;&gt;"",(_xlfn.XLOOKUP(C123,UVR[Fecha (dd/mm/aaaa)],UVR[Pesos colombianos por UVR],"",0,1)),"")</f>
        <v>396.06189999999998</v>
      </c>
      <c r="W123" s="228">
        <f t="shared" ref="W123:W125" si="277">IF(C123="","",IF(CONCATENATE(DAY(C123),"/",MONTH(C123),"/",2000)-CONCATENATE(DAY(J123),"/",MONTH(J123),"/",2000)&lt;0,K123%*ABS(S123),0))</f>
        <v>0</v>
      </c>
      <c r="X123" s="228">
        <f t="shared" ref="X123:X125" si="278">IF(S123&lt;0,-W123,W123)</f>
        <v>0</v>
      </c>
      <c r="Y123" s="230"/>
      <c r="Z123" s="230"/>
      <c r="AA123" s="230"/>
      <c r="AB123" s="231">
        <f>IF(C123="","",ROUND(V123*(1+'Inflación observada '!$B$390%)^(("31-12-2025"-C123)/365),3))</f>
        <v>398.88799999999998</v>
      </c>
      <c r="AC123" s="230"/>
      <c r="AD123" s="232">
        <f t="shared" ref="AD123:AD125" si="279">IF(C123="","",IF(G123="UVR",Q123*AB123-S123,0))</f>
        <v>0</v>
      </c>
      <c r="AE123" s="233">
        <f t="shared" ref="AE123:AE125" si="280">IF(C123="","",P123/+(O123+P123))</f>
        <v>0.78341242701124159</v>
      </c>
      <c r="AF123" s="228">
        <f t="shared" ref="AF123:AF125" si="281">IF(C123="","",AE123*Q123*K123%)</f>
        <v>-5728703372.5197039</v>
      </c>
      <c r="AG123" s="232">
        <f ca="1">(Tabla6[[#This Row],[Fecha Vto]]-TODAY())/365</f>
        <v>0.70410958904109588</v>
      </c>
      <c r="AH123" s="234"/>
      <c r="AI123" s="235"/>
      <c r="AJ123" s="236">
        <f t="shared" ref="AJ123:AJ125" si="282">IF(C123="","",IF(G123="UVR",Q123*AI123-S123,0))</f>
        <v>0</v>
      </c>
    </row>
    <row r="124" spans="1:36">
      <c r="A124" s="219">
        <f t="shared" si="270"/>
        <v>2025</v>
      </c>
      <c r="B124" s="220">
        <v>643</v>
      </c>
      <c r="C124" s="221">
        <v>45971</v>
      </c>
      <c r="D124" s="222" t="s">
        <v>42</v>
      </c>
      <c r="E124" s="223" t="s">
        <v>195</v>
      </c>
      <c r="F124" s="224" t="s">
        <v>552</v>
      </c>
      <c r="G124" s="225" t="str">
        <f>+_xlfn.XLOOKUP(F124,Emisiones[Mnemotécnico SEN],Emisiones[Moneda],"",0,1)</f>
        <v>COP</v>
      </c>
      <c r="H124" s="225"/>
      <c r="I124" s="226"/>
      <c r="J124" s="226">
        <f>+_xlfn.XLOOKUP(F124,Emisiones[Mnemotécnico SEN],Emisiones[Fecha Vencim.],"",0,1)</f>
        <v>49313</v>
      </c>
      <c r="K124" s="224">
        <f>+_xlfn.XLOOKUP(F124,Emisiones[Mnemotécnico SEN],Emisiones[Tasa de Interés],"",0,1)</f>
        <v>11.75</v>
      </c>
      <c r="L124" s="227">
        <v>12.098000000000001</v>
      </c>
      <c r="M124" s="227">
        <v>107.354</v>
      </c>
      <c r="N124" s="227">
        <f t="shared" si="271"/>
        <v>98.048100786208479</v>
      </c>
      <c r="O124" s="227">
        <f t="shared" si="272"/>
        <v>9.3058992137915197</v>
      </c>
      <c r="P124" s="227">
        <f t="shared" si="273"/>
        <v>2.4441007862084803</v>
      </c>
      <c r="Q124" s="228">
        <f t="shared" si="274"/>
        <v>8000000000</v>
      </c>
      <c r="R124" s="228">
        <f>IF(C124="","",IF('Canjes desagregado'!$G124="UVR",'Canjes desagregado'!$V124*Q124*M124%,Q124*M124%))</f>
        <v>8588319999.999999</v>
      </c>
      <c r="S124" s="228">
        <v>8000000000</v>
      </c>
      <c r="T124" s="228">
        <f t="shared" si="275"/>
        <v>0</v>
      </c>
      <c r="U124" s="228">
        <f t="shared" si="276"/>
        <v>8588319999.999999</v>
      </c>
      <c r="V124" s="229">
        <f>+IF(F124&lt;&gt;"",(_xlfn.XLOOKUP(C124,UVR[Fecha (dd/mm/aaaa)],UVR[Pesos colombianos por UVR],"",0,1)),"")</f>
        <v>396.06189999999998</v>
      </c>
      <c r="W124" s="228">
        <f t="shared" si="277"/>
        <v>0</v>
      </c>
      <c r="X124" s="228">
        <f t="shared" si="278"/>
        <v>0</v>
      </c>
      <c r="Y124" s="230"/>
      <c r="Z124" s="230"/>
      <c r="AA124" s="230"/>
      <c r="AB124" s="231">
        <f>IF(C124="","",ROUND(V124*(1+'Inflación observada '!$B$390%)^(("31-12-2025"-C124)/365),3))</f>
        <v>398.88799999999998</v>
      </c>
      <c r="AC124" s="230"/>
      <c r="AD124" s="232">
        <f t="shared" si="279"/>
        <v>0</v>
      </c>
      <c r="AE124" s="233">
        <f t="shared" si="280"/>
        <v>0.2080085775496579</v>
      </c>
      <c r="AF124" s="228">
        <f t="shared" si="281"/>
        <v>195528062.89667842</v>
      </c>
      <c r="AG124" s="232">
        <f ca="1">(Tabla6[[#This Row],[Fecha Vto]]-TODAY())/365</f>
        <v>9.0684931506849313</v>
      </c>
      <c r="AH124" s="234"/>
      <c r="AI124" s="235"/>
      <c r="AJ124" s="236">
        <f t="shared" si="282"/>
        <v>0</v>
      </c>
    </row>
    <row r="125" spans="1:36">
      <c r="A125" s="219">
        <f t="shared" si="270"/>
        <v>2025</v>
      </c>
      <c r="B125" s="220">
        <v>643</v>
      </c>
      <c r="C125" s="221">
        <v>45971</v>
      </c>
      <c r="D125" s="222" t="s">
        <v>42</v>
      </c>
      <c r="E125" s="223" t="s">
        <v>195</v>
      </c>
      <c r="F125" s="224" t="s">
        <v>360</v>
      </c>
      <c r="G125" s="225" t="str">
        <f>+_xlfn.XLOOKUP(F125,Emisiones[Mnemotécnico SEN],Emisiones[Moneda],"",0,1)</f>
        <v>COP</v>
      </c>
      <c r="H125" s="225"/>
      <c r="I125" s="226"/>
      <c r="J125" s="226">
        <f>+_xlfn.XLOOKUP(F125,Emisiones[Mnemotécnico SEN],Emisiones[Fecha Vencim.],"",0,1)</f>
        <v>53533</v>
      </c>
      <c r="K125" s="224">
        <f>+_xlfn.XLOOKUP(F125,Emisiones[Mnemotécnico SEN],Emisiones[Tasa de Interés],"",0,1)</f>
        <v>11.5</v>
      </c>
      <c r="L125" s="227">
        <v>12.15</v>
      </c>
      <c r="M125" s="227">
        <v>98.415000000000006</v>
      </c>
      <c r="N125" s="227">
        <f t="shared" si="271"/>
        <v>95.012009418510516</v>
      </c>
      <c r="O125" s="227">
        <f t="shared" si="272"/>
        <v>3.4029905814894903</v>
      </c>
      <c r="P125" s="227">
        <f t="shared" si="273"/>
        <v>8.0970094185105097</v>
      </c>
      <c r="Q125" s="228">
        <f t="shared" si="274"/>
        <v>187000000000</v>
      </c>
      <c r="R125" s="228">
        <f>IF(C125="","",IF('Canjes desagregado'!$G125="UVR",'Canjes desagregado'!$V125*Q125*M125%,Q125*M125%))</f>
        <v>184036050000</v>
      </c>
      <c r="S125" s="228">
        <v>187000000000</v>
      </c>
      <c r="T125" s="228">
        <f t="shared" si="275"/>
        <v>1</v>
      </c>
      <c r="U125" s="228">
        <f t="shared" si="276"/>
        <v>184036050000</v>
      </c>
      <c r="V125" s="229">
        <f>+IF(F125&lt;&gt;"",(_xlfn.XLOOKUP(C125,UVR[Fecha (dd/mm/aaaa)],UVR[Pesos colombianos por UVR],"",0,1)),"")</f>
        <v>396.06189999999998</v>
      </c>
      <c r="W125" s="228">
        <f t="shared" si="277"/>
        <v>0</v>
      </c>
      <c r="X125" s="228">
        <f t="shared" si="278"/>
        <v>0</v>
      </c>
      <c r="Y125" s="230"/>
      <c r="Z125" s="230"/>
      <c r="AA125" s="230"/>
      <c r="AB125" s="231">
        <f>IF(C125="","",ROUND(V125*(1+'Inflación observada '!$B$390%)^(("31-12-2025"-C125)/365),3))</f>
        <v>398.88799999999998</v>
      </c>
      <c r="AC125" s="230"/>
      <c r="AD125" s="232">
        <f t="shared" si="279"/>
        <v>0</v>
      </c>
      <c r="AE125" s="233">
        <f t="shared" si="280"/>
        <v>0.704087775522653</v>
      </c>
      <c r="AF125" s="228">
        <f t="shared" si="281"/>
        <v>15141407612.614655</v>
      </c>
      <c r="AG125" s="232">
        <f ca="1">(Tabla6[[#This Row],[Fecha Vto]]-TODAY())/365</f>
        <v>20.63013698630137</v>
      </c>
      <c r="AH125" s="234"/>
      <c r="AI125" s="235"/>
      <c r="AJ125" s="236">
        <f t="shared" si="282"/>
        <v>0</v>
      </c>
    </row>
    <row r="126" spans="1:36">
      <c r="A126" s="219">
        <f>IF(C126="","",YEAR(C126))</f>
        <v>2025</v>
      </c>
      <c r="B126" s="220">
        <v>644</v>
      </c>
      <c r="C126" s="221">
        <v>45980</v>
      </c>
      <c r="D126" s="222" t="s">
        <v>42</v>
      </c>
      <c r="E126" s="223" t="s">
        <v>194</v>
      </c>
      <c r="F126" s="224" t="s">
        <v>553</v>
      </c>
      <c r="G126" s="225" t="str">
        <f>+_xlfn.XLOOKUP(F126,Emisiones[Mnemotécnico SEN],Emisiones[Moneda],"",0,1)</f>
        <v>COP</v>
      </c>
      <c r="H126" s="225"/>
      <c r="I126" s="226"/>
      <c r="J126" s="226">
        <f>+_xlfn.XLOOKUP(F126,Emisiones[Mnemotécnico SEN],Emisiones[Fecha Vencim.],"",0,1)</f>
        <v>46084</v>
      </c>
      <c r="K126" s="224">
        <f>+_xlfn.XLOOKUP(F126,Emisiones[Mnemotécnico SEN],Emisiones[Tasa de Interés],"",0,1)</f>
        <v>0</v>
      </c>
      <c r="L126" s="227">
        <v>9.15</v>
      </c>
      <c r="M126" s="227">
        <v>97.536000000000001</v>
      </c>
      <c r="N126" s="227">
        <f>IF(C126="","",PRICE(C126,J126,K126%,L126%,100,1,3))</f>
        <v>97.459120571617774</v>
      </c>
      <c r="O126" s="227">
        <f>IF(C126="","",M126-N126)</f>
        <v>7.6879428382227388E-2</v>
      </c>
      <c r="P126" s="227">
        <f>IF(C126="","",100*K126%-O126)</f>
        <v>-7.6879428382227388E-2</v>
      </c>
      <c r="Q126" s="228">
        <f>IF(C126="","",IF(G126="UVR",S126/V126,S126))</f>
        <v>-35568000000</v>
      </c>
      <c r="R126" s="228">
        <f>IF(C126="","",IF('Canjes desagregado'!$G126="UVR",'Canjes desagregado'!$V126*Q126*M126%,Q126*M126%))</f>
        <v>-34691604480</v>
      </c>
      <c r="S126" s="228">
        <v>-35568000000</v>
      </c>
      <c r="T126" s="228">
        <f>IFERROR(IF(RIGHT(F126,2)=RIGHT(YEAR(J126),2),1,0),"")</f>
        <v>0</v>
      </c>
      <c r="U126" s="228">
        <f>+IF(R126="","",R126)</f>
        <v>-34691604480</v>
      </c>
      <c r="V126" s="229">
        <f>+IF(F126&lt;&gt;"",(_xlfn.XLOOKUP(C126,UVR[Fecha (dd/mm/aaaa)],UVR[Pesos colombianos por UVR],"",0,1)),"")</f>
        <v>396.36099999999999</v>
      </c>
      <c r="W126" s="228">
        <f>IF(C126="","",IF(CONCATENATE(DAY(C126),"/",MONTH(C126),"/",2000)-CONCATENATE(DAY(J126),"/",MONTH(J126),"/",2000)&lt;0,K126%*ABS(S126),0))</f>
        <v>0</v>
      </c>
      <c r="X126" s="228">
        <f>IF(S126&lt;0,-W126,W126)</f>
        <v>0</v>
      </c>
      <c r="Y126" s="230"/>
      <c r="Z126" s="230"/>
      <c r="AA126" s="230"/>
      <c r="AB126" s="231">
        <f>IF(C126="","",ROUND(V126*(1+'Inflación observada '!$B$390%)^(("31-12-2025"-C126)/365),3))</f>
        <v>398.68900000000002</v>
      </c>
      <c r="AC126" s="230"/>
      <c r="AD126" s="232">
        <f>IF(C126="","",IF(G126="UVR",Q126*AB126-S126,0))</f>
        <v>0</v>
      </c>
      <c r="AE126" s="233" t="e">
        <f>IF(C126="","",P126/+(O126+P126))</f>
        <v>#DIV/0!</v>
      </c>
      <c r="AF126" s="228" t="e">
        <f>IF(C126="","",AE126*Q126*K126%)</f>
        <v>#DIV/0!</v>
      </c>
      <c r="AG126" s="232">
        <f ca="1">(Tabla6[[#This Row],[Fecha Vto]]-TODAY())/365</f>
        <v>0.22191780821917809</v>
      </c>
      <c r="AH126" s="234"/>
      <c r="AI126" s="235"/>
      <c r="AJ126" s="236">
        <f>IF(C126="","",IF(G126="UVR",Q126*AI126-S126,0))</f>
        <v>0</v>
      </c>
    </row>
    <row r="127" spans="1:36">
      <c r="A127" s="219">
        <f t="shared" ref="A127:A128" si="283">IF(C127="","",YEAR(C127))</f>
        <v>2025</v>
      </c>
      <c r="B127" s="220">
        <v>644</v>
      </c>
      <c r="C127" s="221">
        <v>45980</v>
      </c>
      <c r="D127" s="222" t="s">
        <v>42</v>
      </c>
      <c r="E127" s="223" t="s">
        <v>194</v>
      </c>
      <c r="F127" s="224" t="s">
        <v>211</v>
      </c>
      <c r="G127" s="225" t="str">
        <f>+_xlfn.XLOOKUP(F127,Emisiones[Mnemotécnico SEN],Emisiones[Moneda],"",0,1)</f>
        <v>COP</v>
      </c>
      <c r="H127" s="225"/>
      <c r="I127" s="226"/>
      <c r="J127" s="226">
        <f>+_xlfn.XLOOKUP(F127,Emisiones[Mnemotécnico SEN],Emisiones[Fecha Vencim.],"",0,1)</f>
        <v>46260</v>
      </c>
      <c r="K127" s="224">
        <f>+_xlfn.XLOOKUP(F127,Emisiones[Mnemotécnico SEN],Emisiones[Tasa de Interés],"",0,1)</f>
        <v>7.5</v>
      </c>
      <c r="L127" s="227">
        <v>9.2100000000000009</v>
      </c>
      <c r="M127" s="227">
        <v>100.47499999999999</v>
      </c>
      <c r="N127" s="227">
        <f t="shared" ref="N127:N128" si="284">IF(C127="","",PRICE(C127,J127,K127%,L127%,100,1,3))</f>
        <v>98.659527199065721</v>
      </c>
      <c r="O127" s="227">
        <f t="shared" ref="O127:O128" si="285">IF(C127="","",M127-N127)</f>
        <v>1.8154728009342733</v>
      </c>
      <c r="P127" s="227">
        <f t="shared" ref="P127:P128" si="286">IF(C127="","",100*K127%-O127)</f>
        <v>5.6845271990657267</v>
      </c>
      <c r="Q127" s="228">
        <f t="shared" ref="Q127:Q128" si="287">IF(C127="","",IF(G127="UVR",S127/V127,S127))</f>
        <v>-192432000000</v>
      </c>
      <c r="R127" s="228">
        <f>IF(C127="","",IF('Canjes desagregado'!$G127="UVR",'Canjes desagregado'!$V127*Q127*M127%,Q127*M127%))</f>
        <v>-193346052000</v>
      </c>
      <c r="S127" s="228">
        <v>-192432000000</v>
      </c>
      <c r="T127" s="228">
        <f t="shared" ref="T127:T128" si="288">IFERROR(IF(RIGHT(F127,2)=RIGHT(YEAR(J127),2),1,0),"")</f>
        <v>1</v>
      </c>
      <c r="U127" s="228">
        <f t="shared" ref="U127:U128" si="289">+IF(R127="","",R127)</f>
        <v>-193346052000</v>
      </c>
      <c r="V127" s="229">
        <f>+IF(F127&lt;&gt;"",(_xlfn.XLOOKUP(C127,UVR[Fecha (dd/mm/aaaa)],UVR[Pesos colombianos por UVR],"",0,1)),"")</f>
        <v>396.36099999999999</v>
      </c>
      <c r="W127" s="228">
        <f t="shared" ref="W127:W128" si="290">IF(C127="","",IF(CONCATENATE(DAY(C127),"/",MONTH(C127),"/",2000)-CONCATENATE(DAY(J127),"/",MONTH(J127),"/",2000)&lt;0,K127%*ABS(S127),0))</f>
        <v>0</v>
      </c>
      <c r="X127" s="228">
        <f t="shared" ref="X127:X128" si="291">IF(S127&lt;0,-W127,W127)</f>
        <v>0</v>
      </c>
      <c r="Y127" s="230"/>
      <c r="Z127" s="230"/>
      <c r="AA127" s="230"/>
      <c r="AB127" s="231">
        <f>IF(C127="","",ROUND(V127*(1+'Inflación observada '!$B$390%)^(("31-12-2025"-C127)/365),3))</f>
        <v>398.68900000000002</v>
      </c>
      <c r="AC127" s="230"/>
      <c r="AD127" s="232">
        <f t="shared" ref="AD127:AD128" si="292">IF(C127="","",IF(G127="UVR",Q127*AB127-S127,0))</f>
        <v>0</v>
      </c>
      <c r="AE127" s="233">
        <f t="shared" ref="AE127:AE128" si="293">IF(C127="","",P127/+(O127+P127))</f>
        <v>0.75793695987543019</v>
      </c>
      <c r="AF127" s="228">
        <f t="shared" ref="AF127:AF128" si="294">IF(C127="","",AE127*Q127*K127%)</f>
        <v>-10938849379.706158</v>
      </c>
      <c r="AG127" s="232">
        <f ca="1">(Tabla6[[#This Row],[Fecha Vto]]-TODAY())/365</f>
        <v>0.70410958904109588</v>
      </c>
      <c r="AH127" s="234"/>
      <c r="AI127" s="235"/>
      <c r="AJ127" s="236">
        <f t="shared" ref="AJ127:AJ128" si="295">IF(C127="","",IF(G127="UVR",Q127*AI127-S127,0))</f>
        <v>0</v>
      </c>
    </row>
    <row r="128" spans="1:36">
      <c r="A128" s="219">
        <f t="shared" si="283"/>
        <v>2025</v>
      </c>
      <c r="B128" s="220">
        <v>644</v>
      </c>
      <c r="C128" s="221">
        <v>45980</v>
      </c>
      <c r="D128" s="222" t="s">
        <v>42</v>
      </c>
      <c r="E128" s="223" t="s">
        <v>195</v>
      </c>
      <c r="F128" s="224" t="s">
        <v>484</v>
      </c>
      <c r="G128" s="225" t="str">
        <f>+_xlfn.XLOOKUP(F128,Emisiones[Mnemotécnico SEN],Emisiones[Moneda],"",0,1)</f>
        <v>COP</v>
      </c>
      <c r="H128" s="225"/>
      <c r="I128" s="226"/>
      <c r="J128" s="226">
        <f>+_xlfn.XLOOKUP(F128,Emisiones[Mnemotécnico SEN],Emisiones[Fecha Vencim.],"",0,1)</f>
        <v>47352</v>
      </c>
      <c r="K128" s="224">
        <f>+_xlfn.XLOOKUP(F128,Emisiones[Mnemotécnico SEN],Emisiones[Tasa de Interés],"",0,1)</f>
        <v>11</v>
      </c>
      <c r="L128" s="227">
        <v>11.882</v>
      </c>
      <c r="M128" s="227">
        <v>100.015</v>
      </c>
      <c r="N128" s="227">
        <f t="shared" si="284"/>
        <v>97.333127925842533</v>
      </c>
      <c r="O128" s="227">
        <f t="shared" si="285"/>
        <v>2.681872074157468</v>
      </c>
      <c r="P128" s="227">
        <f t="shared" si="286"/>
        <v>8.318127925842532</v>
      </c>
      <c r="Q128" s="228">
        <f t="shared" si="287"/>
        <v>228000000000</v>
      </c>
      <c r="R128" s="228">
        <f>IF(C128="","",IF('Canjes desagregado'!$G128="UVR",'Canjes desagregado'!$V128*Q128*M128%,Q128*M128%))</f>
        <v>228034200000.00003</v>
      </c>
      <c r="S128" s="228">
        <v>228000000000</v>
      </c>
      <c r="T128" s="228">
        <f t="shared" si="288"/>
        <v>1</v>
      </c>
      <c r="U128" s="228">
        <f t="shared" si="289"/>
        <v>228034200000.00003</v>
      </c>
      <c r="V128" s="229">
        <f>+IF(F128&lt;&gt;"",(_xlfn.XLOOKUP(C128,UVR[Fecha (dd/mm/aaaa)],UVR[Pesos colombianos por UVR],"",0,1)),"")</f>
        <v>396.36099999999999</v>
      </c>
      <c r="W128" s="228">
        <f t="shared" si="290"/>
        <v>0</v>
      </c>
      <c r="X128" s="228">
        <f t="shared" si="291"/>
        <v>0</v>
      </c>
      <c r="Y128" s="230"/>
      <c r="Z128" s="230"/>
      <c r="AA128" s="230"/>
      <c r="AB128" s="231">
        <f>IF(C128="","",ROUND(V128*(1+'Inflación observada '!$B$390%)^(("31-12-2025"-C128)/365),3))</f>
        <v>398.68900000000002</v>
      </c>
      <c r="AC128" s="230"/>
      <c r="AD128" s="232">
        <f t="shared" si="292"/>
        <v>0</v>
      </c>
      <c r="AE128" s="233">
        <f t="shared" si="293"/>
        <v>0.75619344780386655</v>
      </c>
      <c r="AF128" s="228">
        <f t="shared" si="294"/>
        <v>18965331670.920975</v>
      </c>
      <c r="AG128" s="232">
        <f ca="1">(Tabla6[[#This Row],[Fecha Vto]]-TODAY())/365</f>
        <v>3.6958904109589041</v>
      </c>
      <c r="AH128" s="234"/>
      <c r="AI128" s="235"/>
      <c r="AJ128" s="236">
        <f t="shared" si="295"/>
        <v>0</v>
      </c>
    </row>
    <row r="129" spans="1:36">
      <c r="A129" s="219">
        <f>IF(C129="","",YEAR(C129))</f>
        <v>2025</v>
      </c>
      <c r="B129" s="220">
        <v>645</v>
      </c>
      <c r="C129" s="221">
        <v>45981</v>
      </c>
      <c r="D129" s="222" t="s">
        <v>42</v>
      </c>
      <c r="E129" s="223" t="s">
        <v>194</v>
      </c>
      <c r="F129" s="224" t="s">
        <v>553</v>
      </c>
      <c r="G129" s="225" t="str">
        <f>+_xlfn.XLOOKUP(F129,Emisiones[Mnemotécnico SEN],Emisiones[Moneda],"",0,1)</f>
        <v>COP</v>
      </c>
      <c r="H129" s="225"/>
      <c r="I129" s="226"/>
      <c r="J129" s="226">
        <f>+_xlfn.XLOOKUP(F129,Emisiones[Mnemotécnico SEN],Emisiones[Fecha Vencim.],"",0,1)</f>
        <v>46084</v>
      </c>
      <c r="K129" s="224">
        <f>+_xlfn.XLOOKUP(F129,Emisiones[Mnemotécnico SEN],Emisiones[Tasa de Interés],"",0,1)</f>
        <v>0</v>
      </c>
      <c r="L129" s="227">
        <v>9.1590000000000007</v>
      </c>
      <c r="M129" s="227">
        <v>97.557000000000002</v>
      </c>
      <c r="N129" s="227">
        <f>IF(C129="","",PRICE(C129,J129,K129%,L129%,100,1,3))</f>
        <v>97.480523725197102</v>
      </c>
      <c r="O129" s="227">
        <f>IF(C129="","",M129-N129)</f>
        <v>7.6476274802899979E-2</v>
      </c>
      <c r="P129" s="227">
        <f>IF(C129="","",100*K129%-O129)</f>
        <v>-7.6476274802899979E-2</v>
      </c>
      <c r="Q129" s="228">
        <f>IF(C129="","",IF(G129="UVR",S129/V129,S129))</f>
        <v>-28215000000</v>
      </c>
      <c r="R129" s="228">
        <f>IF(C129="","",IF('Canjes desagregado'!$G129="UVR",'Canjes desagregado'!$V129*Q129*M129%,Q129*M129%))</f>
        <v>-27525707550</v>
      </c>
      <c r="S129" s="228">
        <v>-28215000000</v>
      </c>
      <c r="T129" s="228">
        <f>IFERROR(IF(RIGHT(F129,2)=RIGHT(YEAR(J129),2),1,0),"")</f>
        <v>0</v>
      </c>
      <c r="U129" s="228">
        <f>+IF(R129="","",R129)</f>
        <v>-27525707550</v>
      </c>
      <c r="V129" s="229">
        <f>+IF(F129&lt;&gt;"",(_xlfn.XLOOKUP(C129,UVR[Fecha (dd/mm/aaaa)],UVR[Pesos colombianos por UVR],"",0,1)),"")</f>
        <v>396.38479999999998</v>
      </c>
      <c r="W129" s="228">
        <f>IF(C129="","",IF(CONCATENATE(DAY(C129),"/",MONTH(C129),"/",2000)-CONCATENATE(DAY(J129),"/",MONTH(J129),"/",2000)&lt;0,K129%*ABS(S129),0))</f>
        <v>0</v>
      </c>
      <c r="X129" s="228">
        <f>IF(S129&lt;0,-W129,W129)</f>
        <v>0</v>
      </c>
      <c r="Y129" s="230"/>
      <c r="Z129" s="230"/>
      <c r="AA129" s="230"/>
      <c r="AB129" s="231">
        <f>IF(C129="","",ROUND(V129*(1+'Inflación observada '!$B$390%)^(("31-12-2025"-C129)/365),3))</f>
        <v>398.65699999999998</v>
      </c>
      <c r="AC129" s="230"/>
      <c r="AD129" s="232">
        <f>IF(C129="","",IF(G129="UVR",Q129*AB129-S129,0))</f>
        <v>0</v>
      </c>
      <c r="AE129" s="233" t="e">
        <f>IF(C129="","",P129/+(O129+P129))</f>
        <v>#DIV/0!</v>
      </c>
      <c r="AF129" s="228" t="e">
        <f>IF(C129="","",AE129*Q129*K129%)</f>
        <v>#DIV/0!</v>
      </c>
      <c r="AG129" s="232">
        <f ca="1">(Tabla6[[#This Row],[Fecha Vto]]-TODAY())/365</f>
        <v>0.22191780821917809</v>
      </c>
      <c r="AH129" s="234"/>
      <c r="AI129" s="235"/>
      <c r="AJ129" s="236">
        <f>IF(C129="","",IF(G129="UVR",Q129*AI129-S129,0))</f>
        <v>0</v>
      </c>
    </row>
    <row r="130" spans="1:36">
      <c r="A130" s="219">
        <f t="shared" ref="A130:A133" si="296">IF(C130="","",YEAR(C130))</f>
        <v>2025</v>
      </c>
      <c r="B130" s="220">
        <v>645</v>
      </c>
      <c r="C130" s="221">
        <v>45981</v>
      </c>
      <c r="D130" s="222" t="s">
        <v>42</v>
      </c>
      <c r="E130" s="223" t="s">
        <v>194</v>
      </c>
      <c r="F130" s="224" t="s">
        <v>211</v>
      </c>
      <c r="G130" s="225" t="str">
        <f>+_xlfn.XLOOKUP(F130,Emisiones[Mnemotécnico SEN],Emisiones[Moneda],"",0,1)</f>
        <v>COP</v>
      </c>
      <c r="H130" s="225"/>
      <c r="I130" s="226"/>
      <c r="J130" s="226">
        <f>+_xlfn.XLOOKUP(F130,Emisiones[Mnemotécnico SEN],Emisiones[Fecha Vencim.],"",0,1)</f>
        <v>46260</v>
      </c>
      <c r="K130" s="224">
        <f>+_xlfn.XLOOKUP(F130,Emisiones[Mnemotécnico SEN],Emisiones[Tasa de Interés],"",0,1)</f>
        <v>7.5</v>
      </c>
      <c r="L130" s="227">
        <v>9.24</v>
      </c>
      <c r="M130" s="227">
        <v>100.47799999999999</v>
      </c>
      <c r="N130" s="227">
        <f t="shared" ref="N130:N131" si="297">IF(C130="","",PRICE(C130,J130,K130%,L130%,100,1,3))</f>
        <v>98.641137532494383</v>
      </c>
      <c r="O130" s="227">
        <f t="shared" ref="O130:O131" si="298">IF(C130="","",M130-N130)</f>
        <v>1.8368624675056111</v>
      </c>
      <c r="P130" s="227">
        <f t="shared" ref="P130:P131" si="299">IF(C130="","",100*K130%-O130)</f>
        <v>5.6631375324943889</v>
      </c>
      <c r="Q130" s="228">
        <f t="shared" ref="Q130:Q131" si="300">IF(C130="","",IF(G130="UVR",S130/V130,S130))</f>
        <v>-142785000000</v>
      </c>
      <c r="R130" s="228">
        <f>IF(C130="","",IF('Canjes desagregado'!$G130="UVR",'Canjes desagregado'!$V130*Q130*M130%,Q130*M130%))</f>
        <v>-143467512300</v>
      </c>
      <c r="S130" s="228">
        <v>-142785000000</v>
      </c>
      <c r="T130" s="228">
        <f t="shared" ref="T130:T131" si="301">IFERROR(IF(RIGHT(F130,2)=RIGHT(YEAR(J130),2),1,0),"")</f>
        <v>1</v>
      </c>
      <c r="U130" s="228">
        <f t="shared" ref="U130:U131" si="302">+IF(R130="","",R130)</f>
        <v>-143467512300</v>
      </c>
      <c r="V130" s="229">
        <f>+IF(F130&lt;&gt;"",(_xlfn.XLOOKUP(C130,UVR[Fecha (dd/mm/aaaa)],UVR[Pesos colombianos por UVR],"",0,1)),"")</f>
        <v>396.38479999999998</v>
      </c>
      <c r="W130" s="228">
        <f t="shared" ref="W130:W131" si="303">IF(C130="","",IF(CONCATENATE(DAY(C130),"/",MONTH(C130),"/",2000)-CONCATENATE(DAY(J130),"/",MONTH(J130),"/",2000)&lt;0,K130%*ABS(S130),0))</f>
        <v>0</v>
      </c>
      <c r="X130" s="228">
        <f t="shared" ref="X130:X131" si="304">IF(S130&lt;0,-W130,W130)</f>
        <v>0</v>
      </c>
      <c r="Y130" s="230"/>
      <c r="Z130" s="230"/>
      <c r="AA130" s="230"/>
      <c r="AB130" s="231">
        <f>IF(C130="","",ROUND(V130*(1+'Inflación observada '!$B$390%)^(("31-12-2025"-C130)/365),3))</f>
        <v>398.65699999999998</v>
      </c>
      <c r="AC130" s="230"/>
      <c r="AD130" s="232">
        <f t="shared" ref="AD130:AD131" si="305">IF(C130="","",IF(G130="UVR",Q130*AB130-S130,0))</f>
        <v>0</v>
      </c>
      <c r="AE130" s="233">
        <f t="shared" ref="AE130:AE131" si="306">IF(C130="","",P130/+(O130+P130))</f>
        <v>0.75508500433258519</v>
      </c>
      <c r="AF130" s="228">
        <f t="shared" ref="AF130:AF131" si="307">IF(C130="","",AE130*Q130*K130%)</f>
        <v>-8086110925.7721128</v>
      </c>
      <c r="AG130" s="232">
        <f ca="1">(Tabla6[[#This Row],[Fecha Vto]]-TODAY())/365</f>
        <v>0.70410958904109588</v>
      </c>
      <c r="AH130" s="234"/>
      <c r="AI130" s="235"/>
      <c r="AJ130" s="236">
        <f t="shared" ref="AJ130:AJ131" si="308">IF(C130="","",IF(G130="UVR",Q130*AI130-S130,0))</f>
        <v>0</v>
      </c>
    </row>
    <row r="131" spans="1:36">
      <c r="A131" s="219">
        <f t="shared" si="296"/>
        <v>2025</v>
      </c>
      <c r="B131" s="220">
        <v>645</v>
      </c>
      <c r="C131" s="221">
        <v>45981</v>
      </c>
      <c r="D131" s="222" t="s">
        <v>42</v>
      </c>
      <c r="E131" s="223" t="s">
        <v>195</v>
      </c>
      <c r="F131" s="224" t="s">
        <v>484</v>
      </c>
      <c r="G131" s="225" t="str">
        <f>+_xlfn.XLOOKUP(F131,Emisiones[Mnemotécnico SEN],Emisiones[Moneda],"",0,1)</f>
        <v>COP</v>
      </c>
      <c r="H131" s="225"/>
      <c r="I131" s="226"/>
      <c r="J131" s="226">
        <f>+_xlfn.XLOOKUP(F131,Emisiones[Mnemotécnico SEN],Emisiones[Fecha Vencim.],"",0,1)</f>
        <v>47352</v>
      </c>
      <c r="K131" s="224">
        <f>+_xlfn.XLOOKUP(F131,Emisiones[Mnemotécnico SEN],Emisiones[Tasa de Interés],"",0,1)</f>
        <v>11</v>
      </c>
      <c r="L131" s="227">
        <v>11.9</v>
      </c>
      <c r="M131" s="227">
        <v>99.995000000000005</v>
      </c>
      <c r="N131" s="227">
        <f t="shared" si="297"/>
        <v>97.282449411236072</v>
      </c>
      <c r="O131" s="227">
        <f t="shared" si="298"/>
        <v>2.7125505887639321</v>
      </c>
      <c r="P131" s="227">
        <f t="shared" si="299"/>
        <v>8.2874494112360679</v>
      </c>
      <c r="Q131" s="228">
        <f t="shared" si="300"/>
        <v>171000000000</v>
      </c>
      <c r="R131" s="228">
        <f>IF(C131="","",IF('Canjes desagregado'!$G131="UVR",'Canjes desagregado'!$V131*Q131*M131%,Q131*M131%))</f>
        <v>170991450000</v>
      </c>
      <c r="S131" s="228">
        <v>171000000000</v>
      </c>
      <c r="T131" s="228">
        <f t="shared" si="301"/>
        <v>1</v>
      </c>
      <c r="U131" s="228">
        <f t="shared" si="302"/>
        <v>170991450000</v>
      </c>
      <c r="V131" s="229">
        <f>+IF(F131&lt;&gt;"",(_xlfn.XLOOKUP(C131,UVR[Fecha (dd/mm/aaaa)],UVR[Pesos colombianos por UVR],"",0,1)),"")</f>
        <v>396.38479999999998</v>
      </c>
      <c r="W131" s="228">
        <f t="shared" si="303"/>
        <v>0</v>
      </c>
      <c r="X131" s="228">
        <f t="shared" si="304"/>
        <v>0</v>
      </c>
      <c r="Y131" s="230"/>
      <c r="Z131" s="230"/>
      <c r="AA131" s="230"/>
      <c r="AB131" s="231">
        <f>IF(C131="","",ROUND(V131*(1+'Inflación observada '!$B$390%)^(("31-12-2025"-C131)/365),3))</f>
        <v>398.65699999999998</v>
      </c>
      <c r="AC131" s="230"/>
      <c r="AD131" s="232">
        <f t="shared" si="305"/>
        <v>0</v>
      </c>
      <c r="AE131" s="233">
        <f t="shared" si="306"/>
        <v>0.75340449193055159</v>
      </c>
      <c r="AF131" s="228">
        <f t="shared" si="307"/>
        <v>14171538493.213676</v>
      </c>
      <c r="AG131" s="232">
        <f ca="1">(Tabla6[[#This Row],[Fecha Vto]]-TODAY())/365</f>
        <v>3.6958904109589041</v>
      </c>
      <c r="AH131" s="234"/>
      <c r="AI131" s="235"/>
      <c r="AJ131" s="236">
        <f t="shared" si="308"/>
        <v>0</v>
      </c>
    </row>
    <row r="132" spans="1:36">
      <c r="A132" s="219">
        <f t="shared" ref="A132" si="309">IF(C132="","",YEAR(C132))</f>
        <v>2025</v>
      </c>
      <c r="B132" s="220">
        <v>646</v>
      </c>
      <c r="C132" s="221">
        <v>45986</v>
      </c>
      <c r="D132" s="222" t="s">
        <v>42</v>
      </c>
      <c r="E132" s="223" t="s">
        <v>194</v>
      </c>
      <c r="F132" s="224" t="s">
        <v>309</v>
      </c>
      <c r="G132" s="225" t="str">
        <f>+_xlfn.XLOOKUP(F132,Emisiones[Mnemotécnico SEN],Emisiones[Moneda],"",0,1)</f>
        <v>COP</v>
      </c>
      <c r="H132" s="225"/>
      <c r="I132" s="226"/>
      <c r="J132" s="226">
        <f>+_xlfn.XLOOKUP(F132,Emisiones[Mnemotécnico SEN],Emisiones[Fecha Vencim.],"",0,1)</f>
        <v>45987</v>
      </c>
      <c r="K132" s="224">
        <f>+_xlfn.XLOOKUP(F132,Emisiones[Mnemotécnico SEN],Emisiones[Tasa de Interés],"",0,1)</f>
        <v>6.25</v>
      </c>
      <c r="L132" s="227">
        <v>8.2240000000000002</v>
      </c>
      <c r="M132" s="227">
        <v>106.227</v>
      </c>
      <c r="N132" s="227">
        <f>IF(C132="","",PRICE(C132,J132,K132%,L132%,100,1,3))</f>
        <v>99.99318895440976</v>
      </c>
      <c r="O132" s="227">
        <f>IF(C132="","",M132-N132)</f>
        <v>6.2338110455902438</v>
      </c>
      <c r="P132" s="227">
        <f>IF(C132="","",100*K132%-O132)</f>
        <v>1.6188954409756207E-2</v>
      </c>
      <c r="Q132" s="228">
        <f>IF(C132="","",IF(G132="UVR",S132/V132,S132))</f>
        <v>-92435100000</v>
      </c>
      <c r="R132" s="228">
        <f>IF(C132="","",IF('Canjes desagregado'!$G132="UVR",'Canjes desagregado'!$V132*Q132*M132%,Q132*M132%))</f>
        <v>-98191033677</v>
      </c>
      <c r="S132" s="228">
        <v>-92435100000</v>
      </c>
      <c r="T132" s="228">
        <f>IFERROR(IF(RIGHT(F132,2)=RIGHT(YEAR(J132),2),1,0),"")</f>
        <v>1</v>
      </c>
      <c r="U132" s="228">
        <f>+IF(R132="","",R132)</f>
        <v>-98191033677</v>
      </c>
      <c r="V132" s="229">
        <f>+IF(F132&lt;&gt;"",(_xlfn.XLOOKUP(C132,UVR[Fecha (dd/mm/aaaa)],UVR[Pesos colombianos por UVR],"",0,1)),"")</f>
        <v>396.50360000000001</v>
      </c>
      <c r="W132" s="228">
        <f>IF(C132="","",IF(CONCATENATE(DAY(C132),"/",MONTH(C132),"/",2000)-CONCATENATE(DAY(J132),"/",MONTH(J132),"/",2000)&lt;0,K132%*ABS(S132),0))</f>
        <v>5777193750</v>
      </c>
      <c r="X132" s="228">
        <f>IF(S132&lt;0,-W132,W132)</f>
        <v>-5777193750</v>
      </c>
      <c r="Y132" s="230"/>
      <c r="Z132" s="230"/>
      <c r="AA132" s="230"/>
      <c r="AB132" s="231">
        <f>IF(C132="","",ROUND(V132*(1+'Inflación observada '!$B$390%)^(("31-12-2025"-C132)/365),3))</f>
        <v>398.49900000000002</v>
      </c>
      <c r="AC132" s="230"/>
      <c r="AD132" s="232">
        <f>IF(C132="","",IF(G132="UVR",Q132*AB132-S132,0))</f>
        <v>0</v>
      </c>
      <c r="AE132" s="233">
        <f>IF(C132="","",P132/+(O132+P132))</f>
        <v>2.5902327055609929E-3</v>
      </c>
      <c r="AF132" s="228">
        <f>IF(C132="","",AE132*Q132*K132%)</f>
        <v>-14964276.197612559</v>
      </c>
      <c r="AG132" s="232">
        <f ca="1">(Tabla6[[#This Row],[Fecha Vto]]-TODAY())/365</f>
        <v>-4.3835616438356165E-2</v>
      </c>
      <c r="AH132" s="234"/>
      <c r="AI132" s="235"/>
      <c r="AJ132" s="236">
        <f>IF(C132="","",IF(G132="UVR",Q132*AI132-S132,0))</f>
        <v>0</v>
      </c>
    </row>
    <row r="133" spans="1:36">
      <c r="A133" s="219">
        <f t="shared" si="296"/>
        <v>2025</v>
      </c>
      <c r="B133" s="220">
        <v>646</v>
      </c>
      <c r="C133" s="221">
        <v>45986</v>
      </c>
      <c r="D133" s="222" t="s">
        <v>42</v>
      </c>
      <c r="E133" s="223" t="s">
        <v>194</v>
      </c>
      <c r="F133" s="224" t="s">
        <v>572</v>
      </c>
      <c r="G133" s="225" t="str">
        <f>+_xlfn.XLOOKUP(F133,Emisiones[Mnemotécnico SEN],Emisiones[Moneda],"",0,1)</f>
        <v>COP</v>
      </c>
      <c r="H133" s="225"/>
      <c r="I133" s="226"/>
      <c r="J133" s="226">
        <f>+_xlfn.XLOOKUP(F133,Emisiones[Mnemotécnico SEN],Emisiones[Fecha Vencim.],"",0,1)</f>
        <v>46236</v>
      </c>
      <c r="K133" s="224">
        <f>+_xlfn.XLOOKUP(F133,Emisiones[Mnemotécnico SEN],Emisiones[Tasa de Interés],"",0,1)</f>
        <v>0</v>
      </c>
      <c r="L133" s="227">
        <v>9.4640000000000004</v>
      </c>
      <c r="M133" s="227">
        <v>99.826999999999998</v>
      </c>
      <c r="N133" s="227">
        <f>IF(C133="","",PRICE(C133,J133,K133%,L133%,100,1,3))</f>
        <v>93.912417022590432</v>
      </c>
      <c r="O133" s="227">
        <f>IF(C133="","",M133-N133)</f>
        <v>5.914582977409566</v>
      </c>
      <c r="P133" s="227">
        <f>IF(C133="","",100*K133%-O133)</f>
        <v>-5.914582977409566</v>
      </c>
      <c r="Q133" s="228">
        <f>IF(C133="","",IF(G133="UVR",S133/V133,S133))</f>
        <v>-37000000000</v>
      </c>
      <c r="R133" s="228">
        <f>IF(C133="","",IF('Canjes desagregado'!$G133="UVR",'Canjes desagregado'!$V133*Q133*M133%,Q133*M133%))</f>
        <v>-36935990000</v>
      </c>
      <c r="S133" s="228">
        <v>-37000000000</v>
      </c>
      <c r="T133" s="228">
        <f>IFERROR(IF(RIGHT(F133,2)=RIGHT(YEAR(J133),2),1,0),"")</f>
        <v>0</v>
      </c>
      <c r="U133" s="228">
        <f>+IF(R133="","",R133)</f>
        <v>-36935990000</v>
      </c>
      <c r="V133" s="229">
        <f>+IF(F133&lt;&gt;"",(_xlfn.XLOOKUP(C133,UVR[Fecha (dd/mm/aaaa)],UVR[Pesos colombianos por UVR],"",0,1)),"")</f>
        <v>396.50360000000001</v>
      </c>
      <c r="W133" s="228">
        <f>IF(C133="","",IF(CONCATENATE(DAY(C133),"/",MONTH(C133),"/",2000)-CONCATENATE(DAY(J133),"/",MONTH(J133),"/",2000)&lt;0,K133%*ABS(S133),0))</f>
        <v>0</v>
      </c>
      <c r="X133" s="228">
        <f>IF(S133&lt;0,-W133,W133)</f>
        <v>0</v>
      </c>
      <c r="Y133" s="230"/>
      <c r="Z133" s="230"/>
      <c r="AA133" s="230"/>
      <c r="AB133" s="231">
        <f>IF(C133="","",ROUND(V133*(1+'Inflación observada '!$B$390%)^(("31-12-2025"-C133)/365),3))</f>
        <v>398.49900000000002</v>
      </c>
      <c r="AC133" s="230"/>
      <c r="AD133" s="232">
        <f>IF(C133="","",IF(G133="UVR",Q133*AB133-S133,0))</f>
        <v>0</v>
      </c>
      <c r="AE133" s="233" t="e">
        <f>IF(C133="","",P133/+(O133+P133))</f>
        <v>#DIV/0!</v>
      </c>
      <c r="AF133" s="228" t="e">
        <f>IF(C133="","",AE133*Q133*K133%)</f>
        <v>#DIV/0!</v>
      </c>
      <c r="AG133" s="232">
        <f ca="1">(Tabla6[[#This Row],[Fecha Vto]]-TODAY())/365</f>
        <v>0.63835616438356169</v>
      </c>
      <c r="AH133" s="234"/>
      <c r="AI133" s="235"/>
      <c r="AJ133" s="236">
        <f>IF(C133="","",IF(G133="UVR",Q133*AI133-S133,0))</f>
        <v>0</v>
      </c>
    </row>
    <row r="134" spans="1:36">
      <c r="A134" s="219">
        <f>IF(C134="","",YEAR(C134))</f>
        <v>2025</v>
      </c>
      <c r="B134" s="220">
        <v>646</v>
      </c>
      <c r="C134" s="221">
        <v>45986</v>
      </c>
      <c r="D134" s="222" t="s">
        <v>42</v>
      </c>
      <c r="E134" s="223" t="s">
        <v>194</v>
      </c>
      <c r="F134" s="224" t="s">
        <v>553</v>
      </c>
      <c r="G134" s="225" t="str">
        <f>+_xlfn.XLOOKUP(F134,Emisiones[Mnemotécnico SEN],Emisiones[Moneda],"",0,1)</f>
        <v>COP</v>
      </c>
      <c r="H134" s="225"/>
      <c r="I134" s="226"/>
      <c r="J134" s="226">
        <f>+_xlfn.XLOOKUP(F134,Emisiones[Mnemotécnico SEN],Emisiones[Fecha Vencim.],"",0,1)</f>
        <v>46084</v>
      </c>
      <c r="K134" s="224">
        <f>+_xlfn.XLOOKUP(F134,Emisiones[Mnemotécnico SEN],Emisiones[Tasa de Interés],"",0,1)</f>
        <v>0</v>
      </c>
      <c r="L134" s="227">
        <v>9.39</v>
      </c>
      <c r="M134" s="227">
        <v>97.619</v>
      </c>
      <c r="N134" s="227">
        <f>IF(C134="","",PRICE(C134,J134,K134%,L134%,100,1,3))</f>
        <v>97.540848236595082</v>
      </c>
      <c r="O134" s="227">
        <f>IF(C134="","",M134-N134)</f>
        <v>7.8151763404918029E-2</v>
      </c>
      <c r="P134" s="227">
        <f>IF(C134="","",100*K134%-O134)</f>
        <v>-7.8151763404918029E-2</v>
      </c>
      <c r="Q134" s="228">
        <f>IF(C134="","",IF(G134="UVR",S134/V134,S134))</f>
        <v>-569850000000</v>
      </c>
      <c r="R134" s="228">
        <f>IF(C134="","",IF('Canjes desagregado'!$G134="UVR",'Canjes desagregado'!$V134*Q134*M134%,Q134*M134%))</f>
        <v>-556281871500</v>
      </c>
      <c r="S134" s="228">
        <v>-569850000000</v>
      </c>
      <c r="T134" s="228">
        <f>IFERROR(IF(RIGHT(F134,2)=RIGHT(YEAR(J134),2),1,0),"")</f>
        <v>0</v>
      </c>
      <c r="U134" s="228">
        <f>+IF(R134="","",R134)</f>
        <v>-556281871500</v>
      </c>
      <c r="V134" s="229">
        <f>+IF(F134&lt;&gt;"",(_xlfn.XLOOKUP(C134,UVR[Fecha (dd/mm/aaaa)],UVR[Pesos colombianos por UVR],"",0,1)),"")</f>
        <v>396.50360000000001</v>
      </c>
      <c r="W134" s="228">
        <f>IF(C134="","",IF(CONCATENATE(DAY(C134),"/",MONTH(C134),"/",2000)-CONCATENATE(DAY(J134),"/",MONTH(J134),"/",2000)&lt;0,K134%*ABS(S134),0))</f>
        <v>0</v>
      </c>
      <c r="X134" s="228">
        <f>IF(S134&lt;0,-W134,W134)</f>
        <v>0</v>
      </c>
      <c r="Y134" s="230"/>
      <c r="Z134" s="230"/>
      <c r="AA134" s="230"/>
      <c r="AB134" s="231">
        <f>IF(C134="","",ROUND(V134*(1+'Inflación observada '!$B$390%)^(("31-12-2025"-C134)/365),3))</f>
        <v>398.49900000000002</v>
      </c>
      <c r="AC134" s="230"/>
      <c r="AD134" s="232">
        <f>IF(C134="","",IF(G134="UVR",Q134*AB134-S134,0))</f>
        <v>0</v>
      </c>
      <c r="AE134" s="233" t="e">
        <f>IF(C134="","",P134/+(O134+P134))</f>
        <v>#DIV/0!</v>
      </c>
      <c r="AF134" s="228" t="e">
        <f>IF(C134="","",AE134*Q134*K134%)</f>
        <v>#DIV/0!</v>
      </c>
      <c r="AG134" s="232">
        <f ca="1">(Tabla6[[#This Row],[Fecha Vto]]-TODAY())/365</f>
        <v>0.22191780821917809</v>
      </c>
      <c r="AH134" s="234"/>
      <c r="AI134" s="235"/>
      <c r="AJ134" s="236">
        <f>IF(C134="","",IF(G134="UVR",Q134*AI134-S134,0))</f>
        <v>0</v>
      </c>
    </row>
    <row r="135" spans="1:36">
      <c r="A135" s="219">
        <f>IF(C135="","",YEAR(C135))</f>
        <v>2025</v>
      </c>
      <c r="B135" s="220">
        <v>646</v>
      </c>
      <c r="C135" s="221">
        <v>45986</v>
      </c>
      <c r="D135" s="222" t="s">
        <v>42</v>
      </c>
      <c r="E135" s="223" t="s">
        <v>194</v>
      </c>
      <c r="F135" s="224" t="s">
        <v>211</v>
      </c>
      <c r="G135" s="225" t="str">
        <f>+_xlfn.XLOOKUP(F135,Emisiones[Mnemotécnico SEN],Emisiones[Moneda],"",0,1)</f>
        <v>COP</v>
      </c>
      <c r="H135" s="225"/>
      <c r="I135" s="226"/>
      <c r="J135" s="226">
        <f>+_xlfn.XLOOKUP(F135,Emisiones[Mnemotécnico SEN],Emisiones[Fecha Vencim.],"",0,1)</f>
        <v>46260</v>
      </c>
      <c r="K135" s="224">
        <f>+_xlfn.XLOOKUP(F135,Emisiones[Mnemotécnico SEN],Emisiones[Tasa de Interés],"",0,1)</f>
        <v>7.5</v>
      </c>
      <c r="L135" s="227">
        <v>9.4540000000000006</v>
      </c>
      <c r="M135" s="227">
        <v>100.452</v>
      </c>
      <c r="N135" s="227">
        <f>IF(C135="","",PRICE(C135,J135,K135%,L135%,100,1,3))</f>
        <v>98.506454483826843</v>
      </c>
      <c r="O135" s="227">
        <f>IF(C135="","",M135-N135)</f>
        <v>1.945545516173155</v>
      </c>
      <c r="P135" s="227">
        <f>IF(C135="","",100*K135%-O135)</f>
        <v>5.554454483826845</v>
      </c>
      <c r="Q135" s="228">
        <f>IF(C135="","",IF(G135="UVR",S135/V135,S135))</f>
        <v>-170714900000</v>
      </c>
      <c r="R135" s="228">
        <f>IF(C135="","",IF('Canjes desagregado'!$G135="UVR",'Canjes desagregado'!$V135*Q135*M135%,Q135*M135%))</f>
        <v>-171486531348</v>
      </c>
      <c r="S135" s="228">
        <v>-170714900000</v>
      </c>
      <c r="T135" s="228">
        <f>IFERROR(IF(RIGHT(F135,2)=RIGHT(YEAR(J135),2),1,0),"")</f>
        <v>1</v>
      </c>
      <c r="U135" s="228">
        <f>+IF(R135="","",R135)</f>
        <v>-171486531348</v>
      </c>
      <c r="V135" s="229">
        <f>+IF(F135&lt;&gt;"",(_xlfn.XLOOKUP(C135,UVR[Fecha (dd/mm/aaaa)],UVR[Pesos colombianos por UVR],"",0,1)),"")</f>
        <v>396.50360000000001</v>
      </c>
      <c r="W135" s="228">
        <f>IF(C135="","",IF(CONCATENATE(DAY(C135),"/",MONTH(C135),"/",2000)-CONCATENATE(DAY(J135),"/",MONTH(J135),"/",2000)&lt;0,K135%*ABS(S135),0))</f>
        <v>0</v>
      </c>
      <c r="X135" s="228">
        <f>IF(S135&lt;0,-W135,W135)</f>
        <v>0</v>
      </c>
      <c r="Y135" s="230"/>
      <c r="Z135" s="230"/>
      <c r="AA135" s="230"/>
      <c r="AB135" s="231">
        <f>IF(C135="","",ROUND(V135*(1+'Inflación observada '!$B$390%)^(("31-12-2025"-C135)/365),3))</f>
        <v>398.49900000000002</v>
      </c>
      <c r="AC135" s="230"/>
      <c r="AD135" s="232">
        <f>IF(C135="","",IF(G135="UVR",Q135*AB135-S135,0))</f>
        <v>0</v>
      </c>
      <c r="AE135" s="233">
        <f>IF(C135="","",P135/+(O135+P135))</f>
        <v>0.74059393117691263</v>
      </c>
      <c r="AF135" s="228">
        <f>IF(C135="","",AE135*Q135*K135%)</f>
        <v>-9482281417.6105137</v>
      </c>
      <c r="AG135" s="232">
        <f ca="1">(Tabla6[[#This Row],[Fecha Vto]]-TODAY())/365</f>
        <v>0.70410958904109588</v>
      </c>
      <c r="AH135" s="234"/>
      <c r="AI135" s="235"/>
      <c r="AJ135" s="236">
        <f>IF(C135="","",IF(G135="UVR",Q135*AI135-S135,0))</f>
        <v>0</v>
      </c>
    </row>
    <row r="136" spans="1:36">
      <c r="A136" s="219">
        <f t="shared" ref="A136:A138" si="310">IF(C136="","",YEAR(C136))</f>
        <v>2025</v>
      </c>
      <c r="B136" s="220">
        <v>646</v>
      </c>
      <c r="C136" s="221">
        <v>45986</v>
      </c>
      <c r="D136" s="222" t="s">
        <v>42</v>
      </c>
      <c r="E136" s="223" t="s">
        <v>195</v>
      </c>
      <c r="F136" s="224" t="s">
        <v>484</v>
      </c>
      <c r="G136" s="225" t="str">
        <f>+_xlfn.XLOOKUP(F136,Emisiones[Mnemotécnico SEN],Emisiones[Moneda],"",0,1)</f>
        <v>COP</v>
      </c>
      <c r="H136" s="225"/>
      <c r="I136" s="226"/>
      <c r="J136" s="226">
        <f>+_xlfn.XLOOKUP(F136,Emisiones[Mnemotécnico SEN],Emisiones[Fecha Vencim.],"",0,1)</f>
        <v>47352</v>
      </c>
      <c r="K136" s="224">
        <f>+_xlfn.XLOOKUP(F136,Emisiones[Mnemotécnico SEN],Emisiones[Tasa de Interés],"",0,1)</f>
        <v>11</v>
      </c>
      <c r="L136" s="227">
        <v>11.984999999999999</v>
      </c>
      <c r="M136" s="227">
        <v>99.908000000000001</v>
      </c>
      <c r="N136" s="227">
        <f t="shared" ref="N136:N138" si="311">IF(C136="","",PRICE(C136,J136,K136%,L136%,100,1,3))</f>
        <v>97.044762686895723</v>
      </c>
      <c r="O136" s="227">
        <f t="shared" ref="O136:O138" si="312">IF(C136="","",M136-N136)</f>
        <v>2.8632373131042783</v>
      </c>
      <c r="P136" s="227">
        <f t="shared" ref="P136:P138" si="313">IF(C136="","",100*K136%-O136)</f>
        <v>8.1367626868957217</v>
      </c>
      <c r="Q136" s="228">
        <f t="shared" ref="Q136:Q138" si="314">IF(C136="","",IF(G136="UVR",S136/V136,S136))</f>
        <v>623000000000</v>
      </c>
      <c r="R136" s="228">
        <f>IF(C136="","",IF('Canjes desagregado'!$G136="UVR",'Canjes desagregado'!$V136*Q136*M136%,Q136*M136%))</f>
        <v>622426840000</v>
      </c>
      <c r="S136" s="228">
        <v>623000000000</v>
      </c>
      <c r="T136" s="228">
        <f t="shared" ref="T136:T138" si="315">IFERROR(IF(RIGHT(F136,2)=RIGHT(YEAR(J136),2),1,0),"")</f>
        <v>1</v>
      </c>
      <c r="U136" s="228">
        <f t="shared" ref="U136:U138" si="316">+IF(R136="","",R136)</f>
        <v>622426840000</v>
      </c>
      <c r="V136" s="229">
        <f>+IF(F136&lt;&gt;"",(_xlfn.XLOOKUP(C136,UVR[Fecha (dd/mm/aaaa)],UVR[Pesos colombianos por UVR],"",0,1)),"")</f>
        <v>396.50360000000001</v>
      </c>
      <c r="W136" s="228">
        <f t="shared" ref="W136:W138" si="317">IF(C136="","",IF(CONCATENATE(DAY(C136),"/",MONTH(C136),"/",2000)-CONCATENATE(DAY(J136),"/",MONTH(J136),"/",2000)&lt;0,K136%*ABS(S136),0))</f>
        <v>0</v>
      </c>
      <c r="X136" s="228">
        <f t="shared" ref="X136:X138" si="318">IF(S136&lt;0,-W136,W136)</f>
        <v>0</v>
      </c>
      <c r="Y136" s="230"/>
      <c r="Z136" s="230"/>
      <c r="AA136" s="230"/>
      <c r="AB136" s="231">
        <f>IF(C136="","",ROUND(V136*(1+'Inflación observada '!$B$390%)^(("31-12-2025"-C136)/365),3))</f>
        <v>398.49900000000002</v>
      </c>
      <c r="AC136" s="230"/>
      <c r="AD136" s="232">
        <f t="shared" ref="AD136:AD138" si="319">IF(C136="","",IF(G136="UVR",Q136*AB136-S136,0))</f>
        <v>0</v>
      </c>
      <c r="AE136" s="233">
        <f t="shared" ref="AE136:AE138" si="320">IF(C136="","",P136/+(O136+P136))</f>
        <v>0.73970569880870196</v>
      </c>
      <c r="AF136" s="228">
        <f t="shared" ref="AF136:AF138" si="321">IF(C136="","",AE136*Q136*K136%)</f>
        <v>50692031539.360352</v>
      </c>
      <c r="AG136" s="232">
        <f ca="1">(Tabla6[[#This Row],[Fecha Vto]]-TODAY())/365</f>
        <v>3.6958904109589041</v>
      </c>
      <c r="AH136" s="234"/>
      <c r="AI136" s="235"/>
      <c r="AJ136" s="236">
        <f t="shared" ref="AJ136:AJ138" si="322">IF(C136="","",IF(G136="UVR",Q136*AI136-S136,0))</f>
        <v>0</v>
      </c>
    </row>
    <row r="137" spans="1:36">
      <c r="A137" s="219">
        <f t="shared" si="310"/>
        <v>2025</v>
      </c>
      <c r="B137" s="220">
        <v>646</v>
      </c>
      <c r="C137" s="221">
        <v>45986</v>
      </c>
      <c r="D137" s="222" t="s">
        <v>42</v>
      </c>
      <c r="E137" s="223" t="s">
        <v>195</v>
      </c>
      <c r="F137" s="224" t="s">
        <v>552</v>
      </c>
      <c r="G137" s="225" t="str">
        <f>+_xlfn.XLOOKUP(F137,Emisiones[Mnemotécnico SEN],Emisiones[Moneda],"",0,1)</f>
        <v>COP</v>
      </c>
      <c r="H137" s="225"/>
      <c r="I137" s="226"/>
      <c r="J137" s="226">
        <f>+_xlfn.XLOOKUP(F137,Emisiones[Mnemotécnico SEN],Emisiones[Fecha Vencim.],"",0,1)</f>
        <v>49313</v>
      </c>
      <c r="K137" s="224">
        <f>+_xlfn.XLOOKUP(F137,Emisiones[Mnemotécnico SEN],Emisiones[Tasa de Interés],"",0,1)</f>
        <v>11.75</v>
      </c>
      <c r="L137" s="227">
        <v>12.64</v>
      </c>
      <c r="M137" s="227">
        <v>105.045</v>
      </c>
      <c r="N137" s="227">
        <f t="shared" si="311"/>
        <v>95.270493307905994</v>
      </c>
      <c r="O137" s="227">
        <f t="shared" si="312"/>
        <v>9.7745066920940076</v>
      </c>
      <c r="P137" s="227">
        <f t="shared" si="313"/>
        <v>1.9754933079059924</v>
      </c>
      <c r="Q137" s="228">
        <f t="shared" si="314"/>
        <v>62000000000</v>
      </c>
      <c r="R137" s="228">
        <f>IF(C137="","",IF('Canjes desagregado'!$G137="UVR",'Canjes desagregado'!$V137*Q137*M137%,Q137*M137%))</f>
        <v>65127900000.000008</v>
      </c>
      <c r="S137" s="228">
        <v>62000000000</v>
      </c>
      <c r="T137" s="228">
        <f t="shared" si="315"/>
        <v>0</v>
      </c>
      <c r="U137" s="228">
        <f t="shared" si="316"/>
        <v>65127900000.000008</v>
      </c>
      <c r="V137" s="229">
        <f>+IF(F137&lt;&gt;"",(_xlfn.XLOOKUP(C137,UVR[Fecha (dd/mm/aaaa)],UVR[Pesos colombianos por UVR],"",0,1)),"")</f>
        <v>396.50360000000001</v>
      </c>
      <c r="W137" s="228">
        <f t="shared" si="317"/>
        <v>0</v>
      </c>
      <c r="X137" s="228">
        <f t="shared" si="318"/>
        <v>0</v>
      </c>
      <c r="Y137" s="230"/>
      <c r="Z137" s="230"/>
      <c r="AA137" s="230"/>
      <c r="AB137" s="231">
        <f>IF(C137="","",ROUND(V137*(1+'Inflación observada '!$B$390%)^(("31-12-2025"-C137)/365),3))</f>
        <v>398.49900000000002</v>
      </c>
      <c r="AC137" s="230"/>
      <c r="AD137" s="232">
        <f t="shared" si="319"/>
        <v>0</v>
      </c>
      <c r="AE137" s="233">
        <f t="shared" si="320"/>
        <v>0.16812709003455253</v>
      </c>
      <c r="AF137" s="228">
        <f t="shared" si="321"/>
        <v>1224805850.9017153</v>
      </c>
      <c r="AG137" s="232">
        <f ca="1">(Tabla6[[#This Row],[Fecha Vto]]-TODAY())/365</f>
        <v>9.0684931506849313</v>
      </c>
      <c r="AH137" s="234"/>
      <c r="AI137" s="235"/>
      <c r="AJ137" s="236">
        <f t="shared" si="322"/>
        <v>0</v>
      </c>
    </row>
    <row r="138" spans="1:36">
      <c r="A138" s="219">
        <f t="shared" si="310"/>
        <v>2025</v>
      </c>
      <c r="B138" s="220">
        <v>646</v>
      </c>
      <c r="C138" s="221">
        <v>45986</v>
      </c>
      <c r="D138" s="222" t="s">
        <v>42</v>
      </c>
      <c r="E138" s="223" t="s">
        <v>195</v>
      </c>
      <c r="F138" s="224" t="s">
        <v>360</v>
      </c>
      <c r="G138" s="225" t="str">
        <f>+_xlfn.XLOOKUP(F138,Emisiones[Mnemotécnico SEN],Emisiones[Moneda],"",0,1)</f>
        <v>COP</v>
      </c>
      <c r="H138" s="225"/>
      <c r="I138" s="226"/>
      <c r="J138" s="226">
        <f>+_xlfn.XLOOKUP(F138,Emisiones[Mnemotécnico SEN],Emisiones[Fecha Vencim.],"",0,1)</f>
        <v>53533</v>
      </c>
      <c r="K138" s="224">
        <f>+_xlfn.XLOOKUP(F138,Emisiones[Mnemotécnico SEN],Emisiones[Tasa de Interés],"",0,1)</f>
        <v>11.5</v>
      </c>
      <c r="L138" s="227">
        <v>12.744999999999999</v>
      </c>
      <c r="M138" s="227">
        <v>94.772999999999996</v>
      </c>
      <c r="N138" s="227">
        <f t="shared" si="311"/>
        <v>90.897508275281353</v>
      </c>
      <c r="O138" s="227">
        <f t="shared" si="312"/>
        <v>3.8754917247186427</v>
      </c>
      <c r="P138" s="227">
        <f t="shared" si="313"/>
        <v>7.6245082752813573</v>
      </c>
      <c r="Q138" s="228">
        <f t="shared" si="314"/>
        <v>185000000000</v>
      </c>
      <c r="R138" s="228">
        <f>IF(C138="","",IF('Canjes desagregado'!$G138="UVR",'Canjes desagregado'!$V138*Q138*M138%,Q138*M138%))</f>
        <v>175330050000</v>
      </c>
      <c r="S138" s="228">
        <v>185000000000</v>
      </c>
      <c r="T138" s="228">
        <f t="shared" si="315"/>
        <v>1</v>
      </c>
      <c r="U138" s="228">
        <f t="shared" si="316"/>
        <v>175330050000</v>
      </c>
      <c r="V138" s="229">
        <f>+IF(F138&lt;&gt;"",(_xlfn.XLOOKUP(C138,UVR[Fecha (dd/mm/aaaa)],UVR[Pesos colombianos por UVR],"",0,1)),"")</f>
        <v>396.50360000000001</v>
      </c>
      <c r="W138" s="228">
        <f t="shared" si="317"/>
        <v>0</v>
      </c>
      <c r="X138" s="228">
        <f t="shared" si="318"/>
        <v>0</v>
      </c>
      <c r="Y138" s="230"/>
      <c r="Z138" s="230"/>
      <c r="AA138" s="230"/>
      <c r="AB138" s="231">
        <f>IF(C138="","",ROUND(V138*(1+'Inflación observada '!$B$390%)^(("31-12-2025"-C138)/365),3))</f>
        <v>398.49900000000002</v>
      </c>
      <c r="AC138" s="230"/>
      <c r="AD138" s="232">
        <f t="shared" si="319"/>
        <v>0</v>
      </c>
      <c r="AE138" s="233">
        <f t="shared" si="320"/>
        <v>0.66300071958968321</v>
      </c>
      <c r="AF138" s="228">
        <f t="shared" si="321"/>
        <v>14105340309.270512</v>
      </c>
      <c r="AG138" s="232">
        <f ca="1">(Tabla6[[#This Row],[Fecha Vto]]-TODAY())/365</f>
        <v>20.63013698630137</v>
      </c>
      <c r="AH138" s="234"/>
      <c r="AI138" s="235"/>
      <c r="AJ138" s="236">
        <f t="shared" si="322"/>
        <v>0</v>
      </c>
    </row>
    <row r="139" spans="1:36">
      <c r="A139" s="219">
        <f t="shared" ref="A139:A140" si="323">IF(C139="","",YEAR(C139))</f>
        <v>2025</v>
      </c>
      <c r="B139" s="220">
        <v>647</v>
      </c>
      <c r="C139" s="221">
        <v>45987</v>
      </c>
      <c r="D139" s="222" t="s">
        <v>42</v>
      </c>
      <c r="E139" s="223" t="s">
        <v>194</v>
      </c>
      <c r="F139" s="224" t="s">
        <v>553</v>
      </c>
      <c r="G139" s="225" t="str">
        <f>+_xlfn.XLOOKUP(F139,Emisiones[Mnemotécnico SEN],Emisiones[Moneda],"",0,1)</f>
        <v>COP</v>
      </c>
      <c r="H139" s="225"/>
      <c r="I139" s="226"/>
      <c r="J139" s="226">
        <f>+_xlfn.XLOOKUP(F139,Emisiones[Mnemotécnico SEN],Emisiones[Fecha Vencim.],"",0,1)</f>
        <v>46084</v>
      </c>
      <c r="K139" s="224">
        <f>+_xlfn.XLOOKUP(F139,Emisiones[Mnemotécnico SEN],Emisiones[Tasa de Interés],"",0,1)</f>
        <v>0</v>
      </c>
      <c r="L139" s="227">
        <v>9.3699999999999992</v>
      </c>
      <c r="M139" s="227">
        <v>97.647999999999996</v>
      </c>
      <c r="N139" s="227">
        <f t="shared" ref="N139:N140" si="324">IF(C139="","",PRICE(C139,J139,K139%,L139%,100,1,3))</f>
        <v>97.570390353736769</v>
      </c>
      <c r="O139" s="227">
        <f t="shared" ref="O139:O140" si="325">IF(C139="","",M139-N139)</f>
        <v>7.760964626322675E-2</v>
      </c>
      <c r="P139" s="227">
        <f t="shared" ref="P139:P140" si="326">IF(C139="","",100*K139%-O139)</f>
        <v>-7.760964626322675E-2</v>
      </c>
      <c r="Q139" s="228">
        <f t="shared" ref="Q139:Q140" si="327">IF(C139="","",IF(G139="UVR",S139/V139,S139))</f>
        <v>-118467100000</v>
      </c>
      <c r="R139" s="228">
        <f>IF(C139="","",IF('Canjes desagregado'!$G139="UVR",'Canjes desagregado'!$V139*Q139*M139%,Q139*M139%))</f>
        <v>-115680753808</v>
      </c>
      <c r="S139" s="228">
        <v>-118467100000</v>
      </c>
      <c r="T139" s="228">
        <f t="shared" ref="T139:T140" si="328">IFERROR(IF(RIGHT(F139,2)=RIGHT(YEAR(J139),2),1,0),"")</f>
        <v>0</v>
      </c>
      <c r="U139" s="228">
        <f t="shared" ref="U139:U140" si="329">+IF(R139="","",R139)</f>
        <v>-115680753808</v>
      </c>
      <c r="V139" s="229">
        <f>+IF(F139&lt;&gt;"",(_xlfn.XLOOKUP(C139,UVR[Fecha (dd/mm/aaaa)],UVR[Pesos colombianos por UVR],"",0,1)),"")</f>
        <v>396.5274</v>
      </c>
      <c r="W139" s="228">
        <f t="shared" ref="W139:W140" si="330">IF(C139="","",IF(CONCATENATE(DAY(C139),"/",MONTH(C139),"/",2000)-CONCATENATE(DAY(J139),"/",MONTH(J139),"/",2000)&lt;0,K139%*ABS(S139),0))</f>
        <v>0</v>
      </c>
      <c r="X139" s="228">
        <f t="shared" ref="X139:X140" si="331">IF(S139&lt;0,-W139,W139)</f>
        <v>0</v>
      </c>
      <c r="Y139" s="230"/>
      <c r="Z139" s="230"/>
      <c r="AA139" s="230"/>
      <c r="AB139" s="231">
        <f>IF(C139="","",ROUND(V139*(1+'Inflación observada '!$B$390%)^(("31-12-2025"-C139)/365),3))</f>
        <v>398.46699999999998</v>
      </c>
      <c r="AC139" s="230"/>
      <c r="AD139" s="232">
        <f t="shared" ref="AD139:AD140" si="332">IF(C139="","",IF(G139="UVR",Q139*AB139-S139,0))</f>
        <v>0</v>
      </c>
      <c r="AE139" s="233" t="e">
        <f t="shared" ref="AE139:AE140" si="333">IF(C139="","",P139/+(O139+P139))</f>
        <v>#DIV/0!</v>
      </c>
      <c r="AF139" s="228" t="e">
        <f t="shared" ref="AF139:AF140" si="334">IF(C139="","",AE139*Q139*K139%)</f>
        <v>#DIV/0!</v>
      </c>
      <c r="AG139" s="232">
        <f ca="1">(Tabla6[[#This Row],[Fecha Vto]]-TODAY())/365</f>
        <v>0.22191780821917809</v>
      </c>
      <c r="AH139" s="234"/>
      <c r="AI139" s="235"/>
      <c r="AJ139" s="236">
        <f t="shared" ref="AJ139:AJ140" si="335">IF(C139="","",IF(G139="UVR",Q139*AI139-S139,0))</f>
        <v>0</v>
      </c>
    </row>
    <row r="140" spans="1:36">
      <c r="A140" s="219">
        <f t="shared" si="323"/>
        <v>2025</v>
      </c>
      <c r="B140" s="220">
        <v>647</v>
      </c>
      <c r="C140" s="221">
        <v>45987</v>
      </c>
      <c r="D140" s="222" t="s">
        <v>42</v>
      </c>
      <c r="E140" s="223" t="s">
        <v>194</v>
      </c>
      <c r="F140" s="224" t="s">
        <v>211</v>
      </c>
      <c r="G140" s="225" t="str">
        <f>+_xlfn.XLOOKUP(F140,Emisiones[Mnemotécnico SEN],Emisiones[Moneda],"",0,1)</f>
        <v>COP</v>
      </c>
      <c r="H140" s="225"/>
      <c r="I140" s="226"/>
      <c r="J140" s="226">
        <f>+_xlfn.XLOOKUP(F140,Emisiones[Mnemotécnico SEN],Emisiones[Fecha Vencim.],"",0,1)</f>
        <v>46260</v>
      </c>
      <c r="K140" s="224">
        <f>+_xlfn.XLOOKUP(F140,Emisiones[Mnemotécnico SEN],Emisiones[Tasa de Interés],"",0,1)</f>
        <v>7.5</v>
      </c>
      <c r="L140" s="227">
        <v>9.5060000000000002</v>
      </c>
      <c r="M140" s="227">
        <v>100.441</v>
      </c>
      <c r="N140" s="227">
        <f t="shared" si="324"/>
        <v>98.473731508120821</v>
      </c>
      <c r="O140" s="227">
        <f t="shared" si="325"/>
        <v>1.9672684918791816</v>
      </c>
      <c r="P140" s="227">
        <f t="shared" si="326"/>
        <v>5.5327315081208184</v>
      </c>
      <c r="Q140" s="228">
        <f t="shared" si="327"/>
        <v>-948803800000</v>
      </c>
      <c r="R140" s="228">
        <f>IF(C140="","",IF('Canjes desagregado'!$G140="UVR",'Canjes desagregado'!$V140*Q140*M140%,Q140*M140%))</f>
        <v>-952988024758</v>
      </c>
      <c r="S140" s="228">
        <v>-948803800000</v>
      </c>
      <c r="T140" s="228">
        <f t="shared" si="328"/>
        <v>1</v>
      </c>
      <c r="U140" s="228">
        <f t="shared" si="329"/>
        <v>-952988024758</v>
      </c>
      <c r="V140" s="229">
        <f>+IF(F140&lt;&gt;"",(_xlfn.XLOOKUP(C140,UVR[Fecha (dd/mm/aaaa)],UVR[Pesos colombianos por UVR],"",0,1)),"")</f>
        <v>396.5274</v>
      </c>
      <c r="W140" s="228">
        <f t="shared" si="330"/>
        <v>0</v>
      </c>
      <c r="X140" s="228">
        <f t="shared" si="331"/>
        <v>0</v>
      </c>
      <c r="Y140" s="230"/>
      <c r="Z140" s="230"/>
      <c r="AA140" s="230"/>
      <c r="AB140" s="231">
        <f>IF(C140="","",ROUND(V140*(1+'Inflación observada '!$B$390%)^(("31-12-2025"-C140)/365),3))</f>
        <v>398.46699999999998</v>
      </c>
      <c r="AC140" s="230"/>
      <c r="AD140" s="232">
        <f t="shared" si="332"/>
        <v>0</v>
      </c>
      <c r="AE140" s="233">
        <f t="shared" si="333"/>
        <v>0.73769753441610908</v>
      </c>
      <c r="AF140" s="228">
        <f t="shared" si="334"/>
        <v>-52494766792.847633</v>
      </c>
      <c r="AG140" s="232">
        <f ca="1">(Tabla6[[#This Row],[Fecha Vto]]-TODAY())/365</f>
        <v>0.70410958904109588</v>
      </c>
      <c r="AH140" s="234"/>
      <c r="AI140" s="235"/>
      <c r="AJ140" s="236">
        <f t="shared" si="335"/>
        <v>0</v>
      </c>
    </row>
    <row r="141" spans="1:36">
      <c r="A141" s="219">
        <f t="shared" ref="A141:A144" si="336">IF(C141="","",YEAR(C141))</f>
        <v>2025</v>
      </c>
      <c r="B141" s="220">
        <v>647</v>
      </c>
      <c r="C141" s="221">
        <v>45987</v>
      </c>
      <c r="D141" s="222" t="s">
        <v>42</v>
      </c>
      <c r="E141" s="223" t="s">
        <v>195</v>
      </c>
      <c r="F141" s="224" t="s">
        <v>484</v>
      </c>
      <c r="G141" s="225" t="str">
        <f>+_xlfn.XLOOKUP(F141,Emisiones[Mnemotécnico SEN],Emisiones[Moneda],"",0,1)</f>
        <v>COP</v>
      </c>
      <c r="H141" s="225"/>
      <c r="I141" s="226"/>
      <c r="J141" s="226">
        <f>+_xlfn.XLOOKUP(F141,Emisiones[Mnemotécnico SEN],Emisiones[Fecha Vencim.],"",0,1)</f>
        <v>47352</v>
      </c>
      <c r="K141" s="224">
        <f>+_xlfn.XLOOKUP(F141,Emisiones[Mnemotécnico SEN],Emisiones[Tasa de Interés],"",0,1)</f>
        <v>11</v>
      </c>
      <c r="L141" s="227">
        <v>12.06</v>
      </c>
      <c r="M141" s="227">
        <v>99.727000000000004</v>
      </c>
      <c r="N141" s="227">
        <f t="shared" ref="N141:N144" si="337">IF(C141="","",PRICE(C141,J141,K141%,L141%,100,1,3))</f>
        <v>96.833649355160645</v>
      </c>
      <c r="O141" s="227">
        <f t="shared" ref="O141:O144" si="338">IF(C141="","",M141-N141)</f>
        <v>2.8933506448393587</v>
      </c>
      <c r="P141" s="227">
        <f t="shared" ref="P141:P144" si="339">IF(C141="","",100*K141%-O141)</f>
        <v>8.1066493551606413</v>
      </c>
      <c r="Q141" s="228">
        <f t="shared" ref="Q141:Q144" si="340">IF(C141="","",IF(G141="UVR",S141/V141,S141))</f>
        <v>954000000000</v>
      </c>
      <c r="R141" s="228">
        <f>IF(C141="","",IF('Canjes desagregado'!$G141="UVR",'Canjes desagregado'!$V141*Q141*M141%,Q141*M141%))</f>
        <v>951395580000</v>
      </c>
      <c r="S141" s="228">
        <v>954000000000</v>
      </c>
      <c r="T141" s="228">
        <f t="shared" ref="T141:T144" si="341">IFERROR(IF(RIGHT(F141,2)=RIGHT(YEAR(J141),2),1,0),"")</f>
        <v>1</v>
      </c>
      <c r="U141" s="228">
        <f t="shared" ref="U141:U144" si="342">+IF(R141="","",R141)</f>
        <v>951395580000</v>
      </c>
      <c r="V141" s="229">
        <f>+IF(F141&lt;&gt;"",(_xlfn.XLOOKUP(C141,UVR[Fecha (dd/mm/aaaa)],UVR[Pesos colombianos por UVR],"",0,1)),"")</f>
        <v>396.5274</v>
      </c>
      <c r="W141" s="228">
        <f t="shared" ref="W141:W144" si="343">IF(C141="","",IF(CONCATENATE(DAY(C141),"/",MONTH(C141),"/",2000)-CONCATENATE(DAY(J141),"/",MONTH(J141),"/",2000)&lt;0,K141%*ABS(S141),0))</f>
        <v>0</v>
      </c>
      <c r="X141" s="228">
        <f t="shared" ref="X141:X144" si="344">IF(S141&lt;0,-W141,W141)</f>
        <v>0</v>
      </c>
      <c r="Y141" s="230"/>
      <c r="Z141" s="230"/>
      <c r="AA141" s="230"/>
      <c r="AB141" s="231">
        <f>IF(C141="","",ROUND(V141*(1+'Inflación observada '!$B$390%)^(("31-12-2025"-C141)/365),3))</f>
        <v>398.46699999999998</v>
      </c>
      <c r="AC141" s="230"/>
      <c r="AD141" s="232">
        <f t="shared" ref="AD141:AD144" si="345">IF(C141="","",IF(G141="UVR",Q141*AB141-S141,0))</f>
        <v>0</v>
      </c>
      <c r="AE141" s="233">
        <f t="shared" ref="AE141:AE144" si="346">IF(C141="","",P141/+(O141+P141))</f>
        <v>0.73696812319642191</v>
      </c>
      <c r="AF141" s="228">
        <f t="shared" ref="AF141:AF144" si="347">IF(C141="","",AE141*Q141*K141%)</f>
        <v>77337434848.232513</v>
      </c>
      <c r="AG141" s="232">
        <f ca="1">(Tabla6[[#This Row],[Fecha Vto]]-TODAY())/365</f>
        <v>3.6958904109589041</v>
      </c>
      <c r="AH141" s="234"/>
      <c r="AI141" s="235"/>
      <c r="AJ141" s="236">
        <f t="shared" ref="AJ141:AJ144" si="348">IF(C141="","",IF(G141="UVR",Q141*AI141-S141,0))</f>
        <v>0</v>
      </c>
    </row>
    <row r="142" spans="1:36">
      <c r="A142" s="219">
        <f t="shared" si="336"/>
        <v>2025</v>
      </c>
      <c r="B142" s="220">
        <v>647</v>
      </c>
      <c r="C142" s="221">
        <v>45987</v>
      </c>
      <c r="D142" s="222" t="s">
        <v>42</v>
      </c>
      <c r="E142" s="223" t="s">
        <v>195</v>
      </c>
      <c r="F142" s="224" t="s">
        <v>552</v>
      </c>
      <c r="G142" s="225" t="str">
        <f>+_xlfn.XLOOKUP(F142,Emisiones[Mnemotécnico SEN],Emisiones[Moneda],"",0,1)</f>
        <v>COP</v>
      </c>
      <c r="H142" s="225"/>
      <c r="I142" s="226"/>
      <c r="J142" s="226">
        <f>+_xlfn.XLOOKUP(F142,Emisiones[Mnemotécnico SEN],Emisiones[Fecha Vencim.],"",0,1)</f>
        <v>49313</v>
      </c>
      <c r="K142" s="224">
        <f>+_xlfn.XLOOKUP(F142,Emisiones[Mnemotécnico SEN],Emisiones[Tasa de Interés],"",0,1)</f>
        <v>11.75</v>
      </c>
      <c r="L142" s="227">
        <v>12.712</v>
      </c>
      <c r="M142" s="227">
        <v>104.715</v>
      </c>
      <c r="N142" s="227">
        <f t="shared" si="337"/>
        <v>94.909146337235114</v>
      </c>
      <c r="O142" s="227">
        <f t="shared" si="338"/>
        <v>9.8058536627648891</v>
      </c>
      <c r="P142" s="227">
        <f t="shared" si="339"/>
        <v>1.9441463372351109</v>
      </c>
      <c r="Q142" s="228">
        <f t="shared" si="340"/>
        <v>5000000000</v>
      </c>
      <c r="R142" s="228">
        <f>IF(C142="","",IF('Canjes desagregado'!$G142="UVR",'Canjes desagregado'!$V142*Q142*M142%,Q142*M142%))</f>
        <v>5235750000</v>
      </c>
      <c r="S142" s="228">
        <v>5000000000</v>
      </c>
      <c r="T142" s="228">
        <f t="shared" si="341"/>
        <v>0</v>
      </c>
      <c r="U142" s="228">
        <f t="shared" si="342"/>
        <v>5235750000</v>
      </c>
      <c r="V142" s="229">
        <f>+IF(F142&lt;&gt;"",(_xlfn.XLOOKUP(C142,UVR[Fecha (dd/mm/aaaa)],UVR[Pesos colombianos por UVR],"",0,1)),"")</f>
        <v>396.5274</v>
      </c>
      <c r="W142" s="228">
        <f t="shared" si="343"/>
        <v>0</v>
      </c>
      <c r="X142" s="228">
        <f t="shared" si="344"/>
        <v>0</v>
      </c>
      <c r="Y142" s="230"/>
      <c r="Z142" s="230"/>
      <c r="AA142" s="230"/>
      <c r="AB142" s="231">
        <f>IF(C142="","",ROUND(V142*(1+'Inflación observada '!$B$390%)^(("31-12-2025"-C142)/365),3))</f>
        <v>398.46699999999998</v>
      </c>
      <c r="AC142" s="230"/>
      <c r="AD142" s="232">
        <f t="shared" si="345"/>
        <v>0</v>
      </c>
      <c r="AE142" s="233">
        <f t="shared" si="346"/>
        <v>0.16545926274341369</v>
      </c>
      <c r="AF142" s="228">
        <f t="shared" si="347"/>
        <v>97207316.861755535</v>
      </c>
      <c r="AG142" s="232">
        <f ca="1">(Tabla6[[#This Row],[Fecha Vto]]-TODAY())/365</f>
        <v>9.0684931506849313</v>
      </c>
      <c r="AH142" s="234"/>
      <c r="AI142" s="235"/>
      <c r="AJ142" s="236">
        <f t="shared" si="348"/>
        <v>0</v>
      </c>
    </row>
    <row r="143" spans="1:36">
      <c r="A143" s="219">
        <f t="shared" si="336"/>
        <v>2025</v>
      </c>
      <c r="B143" s="220">
        <v>647</v>
      </c>
      <c r="C143" s="221">
        <v>45987</v>
      </c>
      <c r="D143" s="222" t="s">
        <v>42</v>
      </c>
      <c r="E143" s="223" t="s">
        <v>195</v>
      </c>
      <c r="F143" s="224" t="s">
        <v>360</v>
      </c>
      <c r="G143" s="225" t="str">
        <f>+_xlfn.XLOOKUP(F143,Emisiones[Mnemotécnico SEN],Emisiones[Moneda],"",0,1)</f>
        <v>COP</v>
      </c>
      <c r="H143" s="225"/>
      <c r="I143" s="226"/>
      <c r="J143" s="226">
        <f>+_xlfn.XLOOKUP(F143,Emisiones[Mnemotécnico SEN],Emisiones[Fecha Vencim.],"",0,1)</f>
        <v>53533</v>
      </c>
      <c r="K143" s="224">
        <f>+_xlfn.XLOOKUP(F143,Emisiones[Mnemotécnico SEN],Emisiones[Tasa de Interés],"",0,1)</f>
        <v>11.5</v>
      </c>
      <c r="L143" s="227">
        <v>12.88</v>
      </c>
      <c r="M143" s="227">
        <v>93.914000000000001</v>
      </c>
      <c r="N143" s="227">
        <f t="shared" si="337"/>
        <v>90.007264566116703</v>
      </c>
      <c r="O143" s="227">
        <f t="shared" si="338"/>
        <v>3.9067354338832985</v>
      </c>
      <c r="P143" s="227">
        <f t="shared" si="339"/>
        <v>7.5932645661167015</v>
      </c>
      <c r="Q143" s="228">
        <f t="shared" si="340"/>
        <v>25000000000</v>
      </c>
      <c r="R143" s="228">
        <f>IF(C143="","",IF('Canjes desagregado'!$G143="UVR",'Canjes desagregado'!$V143*Q143*M143%,Q143*M143%))</f>
        <v>23478500000</v>
      </c>
      <c r="S143" s="228">
        <v>25000000000</v>
      </c>
      <c r="T143" s="228">
        <f t="shared" si="341"/>
        <v>1</v>
      </c>
      <c r="U143" s="228">
        <f t="shared" si="342"/>
        <v>23478500000</v>
      </c>
      <c r="V143" s="229">
        <f>+IF(F143&lt;&gt;"",(_xlfn.XLOOKUP(C143,UVR[Fecha (dd/mm/aaaa)],UVR[Pesos colombianos por UVR],"",0,1)),"")</f>
        <v>396.5274</v>
      </c>
      <c r="W143" s="228">
        <f t="shared" si="343"/>
        <v>0</v>
      </c>
      <c r="X143" s="228">
        <f t="shared" si="344"/>
        <v>0</v>
      </c>
      <c r="Y143" s="230"/>
      <c r="Z143" s="230"/>
      <c r="AA143" s="230"/>
      <c r="AB143" s="231">
        <f>IF(C143="","",ROUND(V143*(1+'Inflación observada '!$B$390%)^(("31-12-2025"-C143)/365),3))</f>
        <v>398.46699999999998</v>
      </c>
      <c r="AC143" s="230"/>
      <c r="AD143" s="232">
        <f t="shared" si="345"/>
        <v>0</v>
      </c>
      <c r="AE143" s="233">
        <f t="shared" si="346"/>
        <v>0.66028387531449584</v>
      </c>
      <c r="AF143" s="228">
        <f t="shared" si="347"/>
        <v>1898316141.5291758</v>
      </c>
      <c r="AG143" s="232">
        <f ca="1">(Tabla6[[#This Row],[Fecha Vto]]-TODAY())/365</f>
        <v>20.63013698630137</v>
      </c>
      <c r="AH143" s="234"/>
      <c r="AI143" s="235"/>
      <c r="AJ143" s="236">
        <f t="shared" si="348"/>
        <v>0</v>
      </c>
    </row>
    <row r="144" spans="1:36">
      <c r="A144" s="219">
        <f t="shared" si="336"/>
        <v>2025</v>
      </c>
      <c r="B144" s="220">
        <v>647</v>
      </c>
      <c r="C144" s="221">
        <v>45987</v>
      </c>
      <c r="D144" s="222" t="s">
        <v>42</v>
      </c>
      <c r="E144" s="223" t="s">
        <v>195</v>
      </c>
      <c r="F144" s="224" t="s">
        <v>497</v>
      </c>
      <c r="G144" s="225" t="str">
        <f>+_xlfn.XLOOKUP(F144,Emisiones[Mnemotécnico SEN],Emisiones[Moneda],"",0,1)</f>
        <v>UVR</v>
      </c>
      <c r="H144" s="225"/>
      <c r="I144" s="226"/>
      <c r="J144" s="226">
        <f>+_xlfn.XLOOKUP(F144,Emisiones[Mnemotécnico SEN],Emisiones[Fecha Vencim.],"",0,1)</f>
        <v>59203</v>
      </c>
      <c r="K144" s="224">
        <f>+_xlfn.XLOOKUP(F144,Emisiones[Mnemotécnico SEN],Emisiones[Tasa de Interés],"",0,1)</f>
        <v>6.5</v>
      </c>
      <c r="L144" s="227">
        <v>6.4240000000000004</v>
      </c>
      <c r="M144" s="227">
        <v>106.336</v>
      </c>
      <c r="N144" s="227">
        <f t="shared" si="337"/>
        <v>101.02819803703474</v>
      </c>
      <c r="O144" s="227">
        <f t="shared" si="338"/>
        <v>5.3078019629652573</v>
      </c>
      <c r="P144" s="227">
        <f t="shared" si="339"/>
        <v>1.1921980370347427</v>
      </c>
      <c r="Q144" s="228">
        <f t="shared" si="340"/>
        <v>210000000</v>
      </c>
      <c r="R144" s="228">
        <f>IF(C144="","",IF('Canjes desagregado'!$G144="UVR",'Canjes desagregado'!$V144*Q144*M144%,Q144*M144%))</f>
        <v>88546788973.440002</v>
      </c>
      <c r="S144" s="228">
        <v>83270754000</v>
      </c>
      <c r="T144" s="228">
        <f t="shared" si="341"/>
        <v>1</v>
      </c>
      <c r="U144" s="228">
        <f t="shared" si="342"/>
        <v>88546788973.440002</v>
      </c>
      <c r="V144" s="229">
        <f>+IF(F144&lt;&gt;"",(_xlfn.XLOOKUP(C144,UVR[Fecha (dd/mm/aaaa)],UVR[Pesos colombianos por UVR],"",0,1)),"")</f>
        <v>396.5274</v>
      </c>
      <c r="W144" s="228">
        <f t="shared" si="343"/>
        <v>0</v>
      </c>
      <c r="X144" s="228">
        <f t="shared" si="344"/>
        <v>0</v>
      </c>
      <c r="Y144" s="230"/>
      <c r="Z144" s="230"/>
      <c r="AA144" s="230"/>
      <c r="AB144" s="231">
        <f>IF(C144="","",ROUND(V144*(1+'Inflación observada '!$B$390%)^(("31-12-2025"-C144)/365),3))</f>
        <v>398.46699999999998</v>
      </c>
      <c r="AC144" s="230"/>
      <c r="AD144" s="232">
        <f t="shared" si="345"/>
        <v>407316000</v>
      </c>
      <c r="AE144" s="233">
        <f t="shared" si="346"/>
        <v>0.18341508262072964</v>
      </c>
      <c r="AF144" s="228">
        <f t="shared" si="347"/>
        <v>2503615.8777729599</v>
      </c>
      <c r="AG144" s="232">
        <f ca="1">(Tabla6[[#This Row],[Fecha Vto]]-TODAY())/365</f>
        <v>36.164383561643838</v>
      </c>
      <c r="AH144" s="234"/>
      <c r="AI144" s="235"/>
      <c r="AJ144" s="236">
        <f t="shared" si="348"/>
        <v>-83270754000</v>
      </c>
    </row>
    <row r="145" spans="1:36">
      <c r="A145" s="219">
        <f>IF(C145="","",YEAR(C145))</f>
        <v>2025</v>
      </c>
      <c r="B145" s="220">
        <v>648</v>
      </c>
      <c r="C145" s="221">
        <v>45989</v>
      </c>
      <c r="D145" s="222" t="s">
        <v>42</v>
      </c>
      <c r="E145" s="223" t="s">
        <v>194</v>
      </c>
      <c r="F145" s="224" t="s">
        <v>553</v>
      </c>
      <c r="G145" s="225" t="str">
        <f>+_xlfn.XLOOKUP(F145,Emisiones[Mnemotécnico SEN],Emisiones[Moneda],"",0,1)</f>
        <v>COP</v>
      </c>
      <c r="H145" s="225"/>
      <c r="I145" s="226"/>
      <c r="J145" s="226">
        <f>+_xlfn.XLOOKUP(F145,Emisiones[Mnemotécnico SEN],Emisiones[Fecha Vencim.],"",0,1)</f>
        <v>46084</v>
      </c>
      <c r="K145" s="224">
        <f>+_xlfn.XLOOKUP(F145,Emisiones[Mnemotécnico SEN],Emisiones[Tasa de Interés],"",0,1)</f>
        <v>0</v>
      </c>
      <c r="L145" s="227">
        <v>9.3520000000000003</v>
      </c>
      <c r="M145" s="227">
        <v>97.7</v>
      </c>
      <c r="N145" s="227">
        <f>IF(C145="","",PRICE(C145,J145,K145%,L145%,100,1,3))</f>
        <v>97.623757503656208</v>
      </c>
      <c r="O145" s="227">
        <f>IF(C145="","",M145-N145)</f>
        <v>7.6242496343795096E-2</v>
      </c>
      <c r="P145" s="227">
        <f>IF(C145="","",100*K145%-O145)</f>
        <v>-7.6242496343795096E-2</v>
      </c>
      <c r="Q145" s="228">
        <f>IF(C145="","",IF(G145="UVR",S145/V145,S145))</f>
        <v>-225709000000</v>
      </c>
      <c r="R145" s="228">
        <f>IF(C145="","",IF('Canjes desagregado'!$G145="UVR",'Canjes desagregado'!$V145*Q145*M145%,Q145*M145%))</f>
        <v>-220517693000</v>
      </c>
      <c r="S145" s="228">
        <v>-225709000000</v>
      </c>
      <c r="T145" s="228">
        <f>IFERROR(IF(RIGHT(F145,2)=RIGHT(YEAR(J145),2),1,0),"")</f>
        <v>0</v>
      </c>
      <c r="U145" s="228">
        <f>+IF(R145="","",R145)</f>
        <v>-220517693000</v>
      </c>
      <c r="V145" s="229">
        <f>+IF(F145&lt;&gt;"",(_xlfn.XLOOKUP(C145,UVR[Fecha (dd/mm/aaaa)],UVR[Pesos colombianos por UVR],"",0,1)),"")</f>
        <v>396.57490000000001</v>
      </c>
      <c r="W145" s="228">
        <f>IF(C145="","",IF(CONCATENATE(DAY(C145),"/",MONTH(C145),"/",2000)-CONCATENATE(DAY(J145),"/",MONTH(J145),"/",2000)&lt;0,K145%*ABS(S145),0))</f>
        <v>0</v>
      </c>
      <c r="X145" s="228">
        <f>IF(S145&lt;0,-W145,W145)</f>
        <v>0</v>
      </c>
      <c r="Y145" s="230"/>
      <c r="Z145" s="230"/>
      <c r="AA145" s="230"/>
      <c r="AB145" s="231">
        <f>IF(C145="","",ROUND(V145*(1+'Inflación observada '!$B$390%)^(("31-12-2025"-C145)/365),3))</f>
        <v>398.404</v>
      </c>
      <c r="AC145" s="230"/>
      <c r="AD145" s="232">
        <f>IF(C145="","",IF(G145="UVR",Q145*AB145-S145,0))</f>
        <v>0</v>
      </c>
      <c r="AE145" s="233" t="e">
        <f>IF(C145="","",P145/+(O145+P145))</f>
        <v>#DIV/0!</v>
      </c>
      <c r="AF145" s="228" t="e">
        <f>IF(C145="","",AE145*Q145*K145%)</f>
        <v>#DIV/0!</v>
      </c>
      <c r="AG145" s="232">
        <f ca="1">(Tabla6[[#This Row],[Fecha Vto]]-TODAY())/365</f>
        <v>0.22191780821917809</v>
      </c>
      <c r="AH145" s="234"/>
      <c r="AI145" s="235"/>
      <c r="AJ145" s="236">
        <f>IF(C145="","",IF(G145="UVR",Q145*AI145-S145,0))</f>
        <v>0</v>
      </c>
    </row>
    <row r="146" spans="1:36">
      <c r="A146" s="219">
        <f t="shared" ref="A146:A148" si="349">IF(C146="","",YEAR(C146))</f>
        <v>2025</v>
      </c>
      <c r="B146" s="220">
        <v>648</v>
      </c>
      <c r="C146" s="221">
        <v>45989</v>
      </c>
      <c r="D146" s="222" t="s">
        <v>42</v>
      </c>
      <c r="E146" s="223" t="s">
        <v>194</v>
      </c>
      <c r="F146" s="224" t="s">
        <v>211</v>
      </c>
      <c r="G146" s="225" t="str">
        <f>+_xlfn.XLOOKUP(F146,Emisiones[Mnemotécnico SEN],Emisiones[Moneda],"",0,1)</f>
        <v>COP</v>
      </c>
      <c r="H146" s="225"/>
      <c r="I146" s="226"/>
      <c r="J146" s="226">
        <f>+_xlfn.XLOOKUP(F146,Emisiones[Mnemotécnico SEN],Emisiones[Fecha Vencim.],"",0,1)</f>
        <v>46260</v>
      </c>
      <c r="K146" s="224">
        <f>+_xlfn.XLOOKUP(F146,Emisiones[Mnemotécnico SEN],Emisiones[Tasa de Interés],"",0,1)</f>
        <v>7.5</v>
      </c>
      <c r="L146" s="227">
        <v>9.32</v>
      </c>
      <c r="M146" s="227">
        <v>100.61799999999999</v>
      </c>
      <c r="N146" s="227">
        <f t="shared" ref="N146:N148" si="350">IF(C146="","",PRICE(C146,J146,K146%,L146%,100,1,3))</f>
        <v>98.611160909281068</v>
      </c>
      <c r="O146" s="227">
        <f t="shared" ref="O146:O148" si="351">IF(C146="","",M146-N146)</f>
        <v>2.0068390907189269</v>
      </c>
      <c r="P146" s="227">
        <f t="shared" ref="P146:P148" si="352">IF(C146="","",100*K146%-O146)</f>
        <v>5.4931609092810731</v>
      </c>
      <c r="Q146" s="228">
        <f t="shared" ref="Q146:Q148" si="353">IF(C146="","",IF(G146="UVR",S146/V146,S146))</f>
        <v>-555291000000</v>
      </c>
      <c r="R146" s="228">
        <f>IF(C146="","",IF('Canjes desagregado'!$G146="UVR",'Canjes desagregado'!$V146*Q146*M146%,Q146*M146%))</f>
        <v>-558722698379.99988</v>
      </c>
      <c r="S146" s="228">
        <v>-555291000000</v>
      </c>
      <c r="T146" s="228">
        <f t="shared" ref="T146:T148" si="354">IFERROR(IF(RIGHT(F146,2)=RIGHT(YEAR(J146),2),1,0),"")</f>
        <v>1</v>
      </c>
      <c r="U146" s="228">
        <f t="shared" ref="U146:U148" si="355">+IF(R146="","",R146)</f>
        <v>-558722698379.99988</v>
      </c>
      <c r="V146" s="229">
        <f>+IF(F146&lt;&gt;"",(_xlfn.XLOOKUP(C146,UVR[Fecha (dd/mm/aaaa)],UVR[Pesos colombianos por UVR],"",0,1)),"")</f>
        <v>396.57490000000001</v>
      </c>
      <c r="W146" s="228">
        <f t="shared" ref="W146:W148" si="356">IF(C146="","",IF(CONCATENATE(DAY(C146),"/",MONTH(C146),"/",2000)-CONCATENATE(DAY(J146),"/",MONTH(J146),"/",2000)&lt;0,K146%*ABS(S146),0))</f>
        <v>0</v>
      </c>
      <c r="X146" s="228">
        <f t="shared" ref="X146:X148" si="357">IF(S146&lt;0,-W146,W146)</f>
        <v>0</v>
      </c>
      <c r="Y146" s="230"/>
      <c r="Z146" s="230"/>
      <c r="AA146" s="230"/>
      <c r="AB146" s="231">
        <f>IF(C146="","",ROUND(V146*(1+'Inflación observada '!$B$390%)^(("31-12-2025"-C146)/365),3))</f>
        <v>398.404</v>
      </c>
      <c r="AC146" s="230"/>
      <c r="AD146" s="232">
        <f t="shared" ref="AD146:AD148" si="358">IF(C146="","",IF(G146="UVR",Q146*AB146-S146,0))</f>
        <v>0</v>
      </c>
      <c r="AE146" s="233">
        <f t="shared" ref="AE146:AE148" si="359">IF(C146="","",P146/+(O146+P146))</f>
        <v>0.73242145457080976</v>
      </c>
      <c r="AF146" s="228">
        <f t="shared" ref="AF146:AF148" si="360">IF(C146="","",AE146*Q146*K146%)</f>
        <v>-30503028144.755962</v>
      </c>
      <c r="AG146" s="232">
        <f ca="1">(Tabla6[[#This Row],[Fecha Vto]]-TODAY())/365</f>
        <v>0.70410958904109588</v>
      </c>
      <c r="AH146" s="234"/>
      <c r="AI146" s="235"/>
      <c r="AJ146" s="236">
        <f t="shared" ref="AJ146:AJ148" si="361">IF(C146="","",IF(G146="UVR",Q146*AI146-S146,0))</f>
        <v>0</v>
      </c>
    </row>
    <row r="147" spans="1:36">
      <c r="A147" s="219">
        <f t="shared" si="349"/>
        <v>2025</v>
      </c>
      <c r="B147" s="220">
        <v>648</v>
      </c>
      <c r="C147" s="221">
        <v>45989</v>
      </c>
      <c r="D147" s="222" t="s">
        <v>42</v>
      </c>
      <c r="E147" s="223" t="s">
        <v>195</v>
      </c>
      <c r="F147" s="224" t="s">
        <v>484</v>
      </c>
      <c r="G147" s="225" t="str">
        <f>+_xlfn.XLOOKUP(F147,Emisiones[Mnemotécnico SEN],Emisiones[Moneda],"",0,1)</f>
        <v>COP</v>
      </c>
      <c r="H147" s="225"/>
      <c r="I147" s="226"/>
      <c r="J147" s="226">
        <f>+_xlfn.XLOOKUP(F147,Emisiones[Mnemotécnico SEN],Emisiones[Fecha Vencim.],"",0,1)</f>
        <v>47352</v>
      </c>
      <c r="K147" s="224">
        <f>+_xlfn.XLOOKUP(F147,Emisiones[Mnemotécnico SEN],Emisiones[Tasa de Interés],"",0,1)</f>
        <v>11</v>
      </c>
      <c r="L147" s="227">
        <v>12.019</v>
      </c>
      <c r="M147" s="227">
        <v>99.905000000000001</v>
      </c>
      <c r="N147" s="227">
        <f t="shared" si="350"/>
        <v>96.951282664217302</v>
      </c>
      <c r="O147" s="227">
        <f t="shared" si="351"/>
        <v>2.9537173357826987</v>
      </c>
      <c r="P147" s="227">
        <f t="shared" si="352"/>
        <v>8.0462826642173013</v>
      </c>
      <c r="Q147" s="228">
        <f t="shared" si="353"/>
        <v>438000000000</v>
      </c>
      <c r="R147" s="228">
        <f>IF(C147="","",IF('Canjes desagregado'!$G147="UVR",'Canjes desagregado'!$V147*Q147*M147%,Q147*M147%))</f>
        <v>437583900000</v>
      </c>
      <c r="S147" s="228">
        <v>438000000000</v>
      </c>
      <c r="T147" s="228">
        <f t="shared" si="354"/>
        <v>1</v>
      </c>
      <c r="U147" s="228">
        <f t="shared" si="355"/>
        <v>437583900000</v>
      </c>
      <c r="V147" s="229">
        <f>+IF(F147&lt;&gt;"",(_xlfn.XLOOKUP(C147,UVR[Fecha (dd/mm/aaaa)],UVR[Pesos colombianos por UVR],"",0,1)),"")</f>
        <v>396.57490000000001</v>
      </c>
      <c r="W147" s="228">
        <f t="shared" si="356"/>
        <v>0</v>
      </c>
      <c r="X147" s="228">
        <f t="shared" si="357"/>
        <v>0</v>
      </c>
      <c r="Y147" s="230"/>
      <c r="Z147" s="230"/>
      <c r="AA147" s="230"/>
      <c r="AB147" s="231">
        <f>IF(C147="","",ROUND(V147*(1+'Inflación observada '!$B$390%)^(("31-12-2025"-C147)/365),3))</f>
        <v>398.404</v>
      </c>
      <c r="AC147" s="230"/>
      <c r="AD147" s="232">
        <f t="shared" si="358"/>
        <v>0</v>
      </c>
      <c r="AE147" s="233">
        <f t="shared" si="359"/>
        <v>0.73148024220157282</v>
      </c>
      <c r="AF147" s="228">
        <f t="shared" si="360"/>
        <v>35242718069.271774</v>
      </c>
      <c r="AG147" s="232">
        <f ca="1">(Tabla6[[#This Row],[Fecha Vto]]-TODAY())/365</f>
        <v>3.6958904109589041</v>
      </c>
      <c r="AH147" s="234"/>
      <c r="AI147" s="235"/>
      <c r="AJ147" s="236">
        <f t="shared" si="361"/>
        <v>0</v>
      </c>
    </row>
    <row r="148" spans="1:36">
      <c r="A148" s="219">
        <f t="shared" si="349"/>
        <v>2025</v>
      </c>
      <c r="B148" s="220">
        <v>648</v>
      </c>
      <c r="C148" s="221">
        <v>45989</v>
      </c>
      <c r="D148" s="222" t="s">
        <v>42</v>
      </c>
      <c r="E148" s="223" t="s">
        <v>195</v>
      </c>
      <c r="F148" s="224" t="s">
        <v>486</v>
      </c>
      <c r="G148" s="225" t="str">
        <f>+_xlfn.XLOOKUP(F148,Emisiones[Mnemotécnico SEN],Emisiones[Moneda],"",0,1)</f>
        <v>COP</v>
      </c>
      <c r="H148" s="225"/>
      <c r="I148" s="226"/>
      <c r="J148" s="226">
        <f>+_xlfn.XLOOKUP(F148,Emisiones[Mnemotécnico SEN],Emisiones[Fecha Vencim.],"",0,1)</f>
        <v>51468</v>
      </c>
      <c r="K148" s="224">
        <f>+_xlfn.XLOOKUP(F148,Emisiones[Mnemotécnico SEN],Emisiones[Tasa de Interés],"",0,1)</f>
        <v>12.75</v>
      </c>
      <c r="L148" s="227">
        <v>12.835000000000001</v>
      </c>
      <c r="M148" s="227">
        <v>99.445999999999998</v>
      </c>
      <c r="N148" s="227">
        <f t="shared" si="350"/>
        <v>99.44598280422187</v>
      </c>
      <c r="O148" s="227">
        <f t="shared" si="351"/>
        <v>1.719577812764328E-5</v>
      </c>
      <c r="P148" s="227">
        <f t="shared" si="352"/>
        <v>12.749982804221872</v>
      </c>
      <c r="Q148" s="228">
        <f t="shared" si="353"/>
        <v>343000000000</v>
      </c>
      <c r="R148" s="228">
        <f>IF(C148="","",IF('Canjes desagregado'!$G148="UVR",'Canjes desagregado'!$V148*Q148*M148%,Q148*M148%))</f>
        <v>341099780000</v>
      </c>
      <c r="S148" s="228">
        <v>343000000000</v>
      </c>
      <c r="T148" s="228">
        <f t="shared" si="354"/>
        <v>1</v>
      </c>
      <c r="U148" s="228">
        <f t="shared" si="355"/>
        <v>341099780000</v>
      </c>
      <c r="V148" s="229">
        <f>+IF(F148&lt;&gt;"",(_xlfn.XLOOKUP(C148,UVR[Fecha (dd/mm/aaaa)],UVR[Pesos colombianos por UVR],"",0,1)),"")</f>
        <v>396.57490000000001</v>
      </c>
      <c r="W148" s="228">
        <f t="shared" si="356"/>
        <v>0</v>
      </c>
      <c r="X148" s="228">
        <f t="shared" si="357"/>
        <v>0</v>
      </c>
      <c r="Y148" s="230"/>
      <c r="Z148" s="230"/>
      <c r="AA148" s="230"/>
      <c r="AB148" s="231">
        <f>IF(C148="","",ROUND(V148*(1+'Inflación observada '!$B$390%)^(("31-12-2025"-C148)/365),3))</f>
        <v>398.404</v>
      </c>
      <c r="AC148" s="230"/>
      <c r="AD148" s="232">
        <f t="shared" si="358"/>
        <v>0</v>
      </c>
      <c r="AE148" s="233">
        <f t="shared" si="359"/>
        <v>0.99999865131151944</v>
      </c>
      <c r="AF148" s="228">
        <f t="shared" si="360"/>
        <v>43732441018.481026</v>
      </c>
      <c r="AG148" s="232">
        <f ca="1">(Tabla6[[#This Row],[Fecha Vto]]-TODAY())/365</f>
        <v>14.972602739726028</v>
      </c>
      <c r="AH148" s="234"/>
      <c r="AI148" s="235"/>
      <c r="AJ148" s="236">
        <f t="shared" si="361"/>
        <v>0</v>
      </c>
    </row>
    <row r="149" spans="1:36">
      <c r="A149" s="219">
        <f>IF(C149="","",YEAR(C149))</f>
        <v>2025</v>
      </c>
      <c r="B149" s="220">
        <v>649</v>
      </c>
      <c r="C149" s="221">
        <v>45992</v>
      </c>
      <c r="D149" s="222" t="s">
        <v>42</v>
      </c>
      <c r="E149" s="223" t="s">
        <v>194</v>
      </c>
      <c r="F149" s="224" t="s">
        <v>553</v>
      </c>
      <c r="G149" s="225" t="str">
        <f>+_xlfn.XLOOKUP(F149,Emisiones[Mnemotécnico SEN],Emisiones[Moneda],"",0,1)</f>
        <v>COP</v>
      </c>
      <c r="H149" s="225"/>
      <c r="I149" s="226"/>
      <c r="J149" s="226">
        <f>+_xlfn.XLOOKUP(F149,Emisiones[Mnemotécnico SEN],Emisiones[Fecha Vencim.],"",0,1)</f>
        <v>46084</v>
      </c>
      <c r="K149" s="224">
        <f>+_xlfn.XLOOKUP(F149,Emisiones[Mnemotécnico SEN],Emisiones[Tasa de Interés],"",0,1)</f>
        <v>0</v>
      </c>
      <c r="L149" s="227">
        <v>9.3260000000000005</v>
      </c>
      <c r="M149" s="227">
        <v>97.778000000000006</v>
      </c>
      <c r="N149" s="227">
        <f>IF(C149="","",PRICE(C149,J149,K149%,L149%,100,1,3))</f>
        <v>97.703324097290874</v>
      </c>
      <c r="O149" s="227">
        <f>IF(C149="","",M149-N149)</f>
        <v>7.4675902709131492E-2</v>
      </c>
      <c r="P149" s="227">
        <f>IF(C149="","",100*K149%-O149)</f>
        <v>-7.4675902709131492E-2</v>
      </c>
      <c r="Q149" s="228">
        <f>IF(C149="","",IF(G149="UVR",S149/V149,S149))</f>
        <v>-500693900000</v>
      </c>
      <c r="R149" s="228">
        <f>IF(C149="","",IF('Canjes desagregado'!$G149="UVR",'Canjes desagregado'!$V149*Q149*M149%,Q149*M149%))</f>
        <v>-489568481542.00006</v>
      </c>
      <c r="S149" s="228">
        <v>-500693900000</v>
      </c>
      <c r="T149" s="228">
        <f>IFERROR(IF(RIGHT(F149,2)=RIGHT(YEAR(J149),2),1,0),"")</f>
        <v>0</v>
      </c>
      <c r="U149" s="228">
        <f>+IF(R149="","",R149)</f>
        <v>-489568481542.00006</v>
      </c>
      <c r="V149" s="229">
        <f>+IF(F149&lt;&gt;"",(_xlfn.XLOOKUP(C149,UVR[Fecha (dd/mm/aaaa)],UVR[Pesos colombianos por UVR],"",0,1)),"")</f>
        <v>396.6463</v>
      </c>
      <c r="W149" s="228">
        <f>IF(C149="","",IF(CONCATENATE(DAY(C149),"/",MONTH(C149),"/",2000)-CONCATENATE(DAY(J149),"/",MONTH(J149),"/",2000)&lt;0,K149%*ABS(S149),0))</f>
        <v>0</v>
      </c>
      <c r="X149" s="228">
        <f>IF(S149&lt;0,-W149,W149)</f>
        <v>0</v>
      </c>
      <c r="Y149" s="230"/>
      <c r="Z149" s="230"/>
      <c r="AA149" s="230"/>
      <c r="AB149" s="231">
        <f>IF(C149="","",ROUND(V149*(1+'Inflación observada '!$B$390%)^(("31-12-2025"-C149)/365),3))</f>
        <v>398.30900000000003</v>
      </c>
      <c r="AC149" s="230"/>
      <c r="AD149" s="232">
        <f>IF(C149="","",IF(G149="UVR",Q149*AB149-S149,0))</f>
        <v>0</v>
      </c>
      <c r="AE149" s="233" t="e">
        <f>IF(C149="","",P149/+(O149+P149))</f>
        <v>#DIV/0!</v>
      </c>
      <c r="AF149" s="228" t="e">
        <f>IF(C149="","",AE149*Q149*K149%)</f>
        <v>#DIV/0!</v>
      </c>
      <c r="AG149" s="232">
        <f ca="1">(Tabla6[[#This Row],[Fecha Vto]]-TODAY())/365</f>
        <v>0.22191780821917809</v>
      </c>
      <c r="AH149" s="234"/>
      <c r="AI149" s="235"/>
      <c r="AJ149" s="236">
        <f>IF(C149="","",IF(G149="UVR",Q149*AI149-S149,0))</f>
        <v>0</v>
      </c>
    </row>
    <row r="150" spans="1:36">
      <c r="A150" s="219">
        <f t="shared" ref="A150:A152" si="362">IF(C150="","",YEAR(C150))</f>
        <v>2025</v>
      </c>
      <c r="B150" s="220">
        <v>649</v>
      </c>
      <c r="C150" s="221">
        <v>45992</v>
      </c>
      <c r="D150" s="222" t="s">
        <v>42</v>
      </c>
      <c r="E150" s="223" t="s">
        <v>194</v>
      </c>
      <c r="F150" s="224" t="s">
        <v>211</v>
      </c>
      <c r="G150" s="225" t="str">
        <f>+_xlfn.XLOOKUP(F150,Emisiones[Mnemotécnico SEN],Emisiones[Moneda],"",0,1)</f>
        <v>COP</v>
      </c>
      <c r="H150" s="225"/>
      <c r="I150" s="226"/>
      <c r="J150" s="226">
        <f>+_xlfn.XLOOKUP(F150,Emisiones[Mnemotécnico SEN],Emisiones[Fecha Vencim.],"",0,1)</f>
        <v>46260</v>
      </c>
      <c r="K150" s="224">
        <f>+_xlfn.XLOOKUP(F150,Emisiones[Mnemotécnico SEN],Emisiones[Tasa de Interés],"",0,1)</f>
        <v>7.5</v>
      </c>
      <c r="L150" s="227">
        <v>9.4870000000000001</v>
      </c>
      <c r="M150" s="227">
        <v>100.57899999999999</v>
      </c>
      <c r="N150" s="227">
        <f>IF(C150="","",PRICE(C150,J150,K150%,L150%,100,1,3))</f>
        <v>98.506263850750571</v>
      </c>
      <c r="O150" s="227">
        <f>IF(C150="","",M150-N150)</f>
        <v>2.0727361492494225</v>
      </c>
      <c r="P150" s="227">
        <f>IF(C150="","",100*K150%-O150)</f>
        <v>5.4272638507505775</v>
      </c>
      <c r="Q150" s="228">
        <f>IF(C150="","",IF(G150="UVR",S150/V150,S150))</f>
        <v>-184500000000</v>
      </c>
      <c r="R150" s="228">
        <f>IF(C150="","",IF('Canjes desagregado'!$G150="UVR",'Canjes desagregado'!$V150*Q150*M150%,Q150*M150%))</f>
        <v>-185568255000</v>
      </c>
      <c r="S150" s="228">
        <v>-184500000000</v>
      </c>
      <c r="T150" s="228">
        <f>IFERROR(IF(RIGHT(F150,2)=RIGHT(YEAR(J150),2),1,0),"")</f>
        <v>1</v>
      </c>
      <c r="U150" s="228">
        <f>+IF(R150="","",R150)</f>
        <v>-185568255000</v>
      </c>
      <c r="V150" s="229">
        <f>+IF(F150&lt;&gt;"",(_xlfn.XLOOKUP(C150,UVR[Fecha (dd/mm/aaaa)],UVR[Pesos colombianos por UVR],"",0,1)),"")</f>
        <v>396.6463</v>
      </c>
      <c r="W150" s="228">
        <f>IF(C150="","",IF(CONCATENATE(DAY(C150),"/",MONTH(C150),"/",2000)-CONCATENATE(DAY(J150),"/",MONTH(J150),"/",2000)&lt;0,K150%*ABS(S150),0))</f>
        <v>0</v>
      </c>
      <c r="X150" s="228">
        <f>IF(S150&lt;0,-W150,W150)</f>
        <v>0</v>
      </c>
      <c r="Y150" s="230"/>
      <c r="Z150" s="230"/>
      <c r="AA150" s="230"/>
      <c r="AB150" s="231">
        <f>IF(C150="","",ROUND(V150*(1+'Inflación observada '!$B$390%)^(("31-12-2025"-C150)/365),3))</f>
        <v>398.30900000000003</v>
      </c>
      <c r="AC150" s="230"/>
      <c r="AD150" s="232">
        <f>IF(C150="","",IF(G150="UVR",Q150*AB150-S150,0))</f>
        <v>0</v>
      </c>
      <c r="AE150" s="233">
        <f>IF(C150="","",P150/+(O150+P150))</f>
        <v>0.72363518010007699</v>
      </c>
      <c r="AF150" s="228">
        <f>IF(C150="","",AE150*Q150*K150%)</f>
        <v>-10013301804.634815</v>
      </c>
      <c r="AG150" s="232">
        <f ca="1">(Tabla6[[#This Row],[Fecha Vto]]-TODAY())/365</f>
        <v>0.70410958904109588</v>
      </c>
      <c r="AH150" s="234"/>
      <c r="AI150" s="235"/>
      <c r="AJ150" s="236">
        <f>IF(C150="","",IF(G150="UVR",Q150*AI150-S150,0))</f>
        <v>0</v>
      </c>
    </row>
    <row r="151" spans="1:36">
      <c r="A151" s="219">
        <f t="shared" si="362"/>
        <v>2025</v>
      </c>
      <c r="B151" s="220">
        <v>649</v>
      </c>
      <c r="C151" s="221">
        <v>45992</v>
      </c>
      <c r="D151" s="222" t="s">
        <v>42</v>
      </c>
      <c r="E151" s="223" t="s">
        <v>195</v>
      </c>
      <c r="F151" s="224" t="s">
        <v>484</v>
      </c>
      <c r="G151" s="225" t="str">
        <f>+_xlfn.XLOOKUP(F151,Emisiones[Mnemotécnico SEN],Emisiones[Moneda],"",0,1)</f>
        <v>COP</v>
      </c>
      <c r="H151" s="225"/>
      <c r="I151" s="226"/>
      <c r="J151" s="226">
        <f>+_xlfn.XLOOKUP(F151,Emisiones[Mnemotécnico SEN],Emisiones[Fecha Vencim.],"",0,1)</f>
        <v>47352</v>
      </c>
      <c r="K151" s="224">
        <f>+_xlfn.XLOOKUP(F151,Emisiones[Mnemotécnico SEN],Emisiones[Tasa de Interés],"",0,1)</f>
        <v>11</v>
      </c>
      <c r="L151" s="227">
        <v>12.079000000000001</v>
      </c>
      <c r="M151" s="227">
        <v>99.828999999999994</v>
      </c>
      <c r="N151" s="227">
        <f t="shared" ref="N151:N152" si="363">IF(C151="","",PRICE(C151,J151,K151%,L151%,100,1,3))</f>
        <v>96.785189762350399</v>
      </c>
      <c r="O151" s="227">
        <f t="shared" ref="O151:O152" si="364">IF(C151="","",M151-N151)</f>
        <v>3.0438102376495948</v>
      </c>
      <c r="P151" s="227">
        <f t="shared" ref="P151:P152" si="365">IF(C151="","",100*K151%-O151)</f>
        <v>7.9561897623504052</v>
      </c>
      <c r="Q151" s="228">
        <f t="shared" ref="Q151:Q152" si="366">IF(C151="","",IF(G151="UVR",S151/V151,S151))</f>
        <v>493000000000</v>
      </c>
      <c r="R151" s="228">
        <f>IF(C151="","",IF('Canjes desagregado'!$G151="UVR",'Canjes desagregado'!$V151*Q151*M151%,Q151*M151%))</f>
        <v>492156969999.99994</v>
      </c>
      <c r="S151" s="228">
        <v>493000000000</v>
      </c>
      <c r="T151" s="228">
        <f t="shared" ref="T151:T152" si="367">IFERROR(IF(RIGHT(F151,2)=RIGHT(YEAR(J151),2),1,0),"")</f>
        <v>1</v>
      </c>
      <c r="U151" s="228">
        <f t="shared" ref="U151:U152" si="368">+IF(R151="","",R151)</f>
        <v>492156969999.99994</v>
      </c>
      <c r="V151" s="229">
        <f>+IF(F151&lt;&gt;"",(_xlfn.XLOOKUP(C151,UVR[Fecha (dd/mm/aaaa)],UVR[Pesos colombianos por UVR],"",0,1)),"")</f>
        <v>396.6463</v>
      </c>
      <c r="W151" s="228">
        <f t="shared" ref="W151:W152" si="369">IF(C151="","",IF(CONCATENATE(DAY(C151),"/",MONTH(C151),"/",2000)-CONCATENATE(DAY(J151),"/",MONTH(J151),"/",2000)&lt;0,K151%*ABS(S151),0))</f>
        <v>0</v>
      </c>
      <c r="X151" s="228">
        <f t="shared" ref="X151:X152" si="370">IF(S151&lt;0,-W151,W151)</f>
        <v>0</v>
      </c>
      <c r="Y151" s="230"/>
      <c r="Z151" s="230"/>
      <c r="AA151" s="230"/>
      <c r="AB151" s="231">
        <f>IF(C151="","",ROUND(V151*(1+'Inflación observada '!$B$390%)^(("31-12-2025"-C151)/365),3))</f>
        <v>398.30900000000003</v>
      </c>
      <c r="AC151" s="230"/>
      <c r="AD151" s="232">
        <f t="shared" ref="AD151:AD152" si="371">IF(C151="","",IF(G151="UVR",Q151*AB151-S151,0))</f>
        <v>0</v>
      </c>
      <c r="AE151" s="233">
        <f t="shared" ref="AE151:AE152" si="372">IF(C151="","",P151/+(O151+P151))</f>
        <v>0.72328997839549136</v>
      </c>
      <c r="AF151" s="228">
        <f t="shared" ref="AF151:AF152" si="373">IF(C151="","",AE151*Q151*K151%)</f>
        <v>39224015528.387497</v>
      </c>
      <c r="AG151" s="232">
        <f ca="1">(Tabla6[[#This Row],[Fecha Vto]]-TODAY())/365</f>
        <v>3.6958904109589041</v>
      </c>
      <c r="AH151" s="234"/>
      <c r="AI151" s="235"/>
      <c r="AJ151" s="236">
        <f t="shared" ref="AJ151:AJ152" si="374">IF(C151="","",IF(G151="UVR",Q151*AI151-S151,0))</f>
        <v>0</v>
      </c>
    </row>
    <row r="152" spans="1:36">
      <c r="A152" s="219">
        <f t="shared" si="362"/>
        <v>2025</v>
      </c>
      <c r="B152" s="220">
        <v>649</v>
      </c>
      <c r="C152" s="221">
        <v>45992</v>
      </c>
      <c r="D152" s="222" t="s">
        <v>42</v>
      </c>
      <c r="E152" s="223" t="s">
        <v>195</v>
      </c>
      <c r="F152" s="224" t="s">
        <v>486</v>
      </c>
      <c r="G152" s="225" t="str">
        <f>+_xlfn.XLOOKUP(F152,Emisiones[Mnemotécnico SEN],Emisiones[Moneda],"",0,1)</f>
        <v>COP</v>
      </c>
      <c r="H152" s="225"/>
      <c r="I152" s="226"/>
      <c r="J152" s="226">
        <f>+_xlfn.XLOOKUP(F152,Emisiones[Mnemotécnico SEN],Emisiones[Fecha Vencim.],"",0,1)</f>
        <v>51468</v>
      </c>
      <c r="K152" s="224">
        <f>+_xlfn.XLOOKUP(F152,Emisiones[Mnemotécnico SEN],Emisiones[Tasa de Interés],"",0,1)</f>
        <v>12.75</v>
      </c>
      <c r="L152" s="227">
        <v>12.891999999999999</v>
      </c>
      <c r="M152" s="227">
        <v>99.176000000000002</v>
      </c>
      <c r="N152" s="227">
        <f t="shared" si="363"/>
        <v>99.071200839636873</v>
      </c>
      <c r="O152" s="227">
        <f t="shared" si="364"/>
        <v>0.10479916036312886</v>
      </c>
      <c r="P152" s="227">
        <f t="shared" si="365"/>
        <v>12.645200839636871</v>
      </c>
      <c r="Q152" s="228">
        <f t="shared" si="366"/>
        <v>184500000000</v>
      </c>
      <c r="R152" s="228">
        <f>IF(C152="","",IF('Canjes desagregado'!$G152="UVR",'Canjes desagregado'!$V152*Q152*M152%,Q152*M152%))</f>
        <v>182979720000</v>
      </c>
      <c r="S152" s="228">
        <v>184500000000</v>
      </c>
      <c r="T152" s="228">
        <f t="shared" si="367"/>
        <v>1</v>
      </c>
      <c r="U152" s="228">
        <f t="shared" si="368"/>
        <v>182979720000</v>
      </c>
      <c r="V152" s="229">
        <f>+IF(F152&lt;&gt;"",(_xlfn.XLOOKUP(C152,UVR[Fecha (dd/mm/aaaa)],UVR[Pesos colombianos por UVR],"",0,1)),"")</f>
        <v>396.6463</v>
      </c>
      <c r="W152" s="228">
        <f t="shared" si="369"/>
        <v>0</v>
      </c>
      <c r="X152" s="228">
        <f t="shared" si="370"/>
        <v>0</v>
      </c>
      <c r="Y152" s="230"/>
      <c r="Z152" s="230"/>
      <c r="AA152" s="230"/>
      <c r="AB152" s="231">
        <f>IF(C152="","",ROUND(V152*(1+'Inflación observada '!$B$390%)^(("31-12-2025"-C152)/365),3))</f>
        <v>398.30900000000003</v>
      </c>
      <c r="AC152" s="230"/>
      <c r="AD152" s="232">
        <f t="shared" si="371"/>
        <v>0</v>
      </c>
      <c r="AE152" s="233">
        <f t="shared" si="372"/>
        <v>0.991780458010735</v>
      </c>
      <c r="AF152" s="228">
        <f t="shared" si="373"/>
        <v>23330395549.130028</v>
      </c>
      <c r="AG152" s="232">
        <f ca="1">(Tabla6[[#This Row],[Fecha Vto]]-TODAY())/365</f>
        <v>14.972602739726028</v>
      </c>
      <c r="AH152" s="234"/>
      <c r="AI152" s="235"/>
      <c r="AJ152" s="236">
        <f t="shared" si="374"/>
        <v>0</v>
      </c>
    </row>
    <row r="153" spans="1:36">
      <c r="A153" s="219">
        <f>IF(C153="","",YEAR(C153))</f>
        <v>2025</v>
      </c>
      <c r="B153" s="220">
        <v>650</v>
      </c>
      <c r="C153" s="221">
        <v>45993</v>
      </c>
      <c r="D153" s="222" t="s">
        <v>42</v>
      </c>
      <c r="E153" s="223" t="s">
        <v>194</v>
      </c>
      <c r="F153" s="224" t="s">
        <v>553</v>
      </c>
      <c r="G153" s="225" t="str">
        <f>+_xlfn.XLOOKUP(F153,Emisiones[Mnemotécnico SEN],Emisiones[Moneda],"",0,1)</f>
        <v>COP</v>
      </c>
      <c r="H153" s="225"/>
      <c r="I153" s="226"/>
      <c r="J153" s="226">
        <f>+_xlfn.XLOOKUP(F153,Emisiones[Mnemotécnico SEN],Emisiones[Fecha Vencim.],"",0,1)</f>
        <v>46084</v>
      </c>
      <c r="K153" s="224">
        <f>+_xlfn.XLOOKUP(F153,Emisiones[Mnemotécnico SEN],Emisiones[Tasa de Interés],"",0,1)</f>
        <v>0</v>
      </c>
      <c r="L153" s="227">
        <v>9.4039999999999999</v>
      </c>
      <c r="M153" s="227">
        <v>97.784000000000006</v>
      </c>
      <c r="N153" s="227">
        <f>IF(C153="","",PRICE(C153,J153,K153%,L153%,100,1,3))</f>
        <v>97.70915139093394</v>
      </c>
      <c r="O153" s="227">
        <f>IF(C153="","",M153-N153)</f>
        <v>7.4848609066066274E-2</v>
      </c>
      <c r="P153" s="227">
        <f>IF(C153="","",100*K153%-O153)</f>
        <v>-7.4848609066066274E-2</v>
      </c>
      <c r="Q153" s="228">
        <f>IF(C153="","",IF(G153="UVR",S153/V153,S153))</f>
        <v>-299599900000</v>
      </c>
      <c r="R153" s="228">
        <f>IF(C153="","",IF('Canjes desagregado'!$G153="UVR",'Canjes desagregado'!$V153*Q153*M153%,Q153*M153%))</f>
        <v>-292960766216</v>
      </c>
      <c r="S153" s="228">
        <v>-299599900000</v>
      </c>
      <c r="T153" s="228">
        <f>IFERROR(IF(RIGHT(F153,2)=RIGHT(YEAR(J153),2),1,0),"")</f>
        <v>0</v>
      </c>
      <c r="U153" s="228">
        <f>+IF(R153="","",R153)</f>
        <v>-292960766216</v>
      </c>
      <c r="V153" s="229">
        <f>+IF(F153&lt;&gt;"",(_xlfn.XLOOKUP(C153,UVR[Fecha (dd/mm/aaaa)],UVR[Pesos colombianos por UVR],"",0,1)),"")</f>
        <v>396.67</v>
      </c>
      <c r="W153" s="228">
        <f>IF(C153="","",IF(CONCATENATE(DAY(C153),"/",MONTH(C153),"/",2000)-CONCATENATE(DAY(J153),"/",MONTH(J153),"/",2000)&lt;0,K153%*ABS(S153),0))</f>
        <v>0</v>
      </c>
      <c r="X153" s="228">
        <f>IF(S153&lt;0,-W153,W153)</f>
        <v>0</v>
      </c>
      <c r="Y153" s="230"/>
      <c r="Z153" s="230"/>
      <c r="AA153" s="230"/>
      <c r="AB153" s="231">
        <f>IF(C153="","",ROUND(V153*(1+'Inflación observada '!$B$390%)^(("31-12-2025"-C153)/365),3))</f>
        <v>398.27699999999999</v>
      </c>
      <c r="AC153" s="230"/>
      <c r="AD153" s="232">
        <f>IF(C153="","",IF(G153="UVR",Q153*AB153-S153,0))</f>
        <v>0</v>
      </c>
      <c r="AE153" s="233" t="e">
        <f>IF(C153="","",P153/+(O153+P153))</f>
        <v>#DIV/0!</v>
      </c>
      <c r="AF153" s="228" t="e">
        <f>IF(C153="","",AE153*Q153*K153%)</f>
        <v>#DIV/0!</v>
      </c>
      <c r="AG153" s="232">
        <f ca="1">(Tabla6[[#This Row],[Fecha Vto]]-TODAY())/365</f>
        <v>0.22191780821917809</v>
      </c>
      <c r="AH153" s="234"/>
      <c r="AI153" s="235"/>
      <c r="AJ153" s="236">
        <f>IF(C153="","",IF(G153="UVR",Q153*AI153-S153,0))</f>
        <v>0</v>
      </c>
    </row>
    <row r="154" spans="1:36">
      <c r="A154" s="219">
        <f t="shared" ref="A154:A155" si="375">IF(C154="","",YEAR(C154))</f>
        <v>2025</v>
      </c>
      <c r="B154" s="220">
        <v>650</v>
      </c>
      <c r="C154" s="221">
        <v>45993</v>
      </c>
      <c r="D154" s="222" t="s">
        <v>42</v>
      </c>
      <c r="E154" s="223" t="s">
        <v>194</v>
      </c>
      <c r="F154" s="224" t="s">
        <v>203</v>
      </c>
      <c r="G154" s="225" t="str">
        <f>+_xlfn.XLOOKUP(F154,Emisiones[Mnemotécnico SEN],Emisiones[Moneda],"",0,1)</f>
        <v>COP</v>
      </c>
      <c r="H154" s="225"/>
      <c r="I154" s="226"/>
      <c r="J154" s="226">
        <f>+_xlfn.XLOOKUP(F154,Emisiones[Mnemotécnico SEN],Emisiones[Fecha Vencim.],"",0,1)</f>
        <v>46694</v>
      </c>
      <c r="K154" s="224">
        <f>+_xlfn.XLOOKUP(F154,Emisiones[Mnemotécnico SEN],Emisiones[Tasa de Interés],"",0,1)</f>
        <v>5.75</v>
      </c>
      <c r="L154" s="227">
        <v>9.5220000000000002</v>
      </c>
      <c r="M154" s="227">
        <v>95.566000000000003</v>
      </c>
      <c r="N154" s="227">
        <f t="shared" ref="N154:N155" si="376">IF(C154="","",PRICE(C154,J154,K154%,L154%,100,1,3))</f>
        <v>93.631957700226536</v>
      </c>
      <c r="O154" s="227">
        <f t="shared" ref="O154:O155" si="377">IF(C154="","",M154-N154)</f>
        <v>1.9340422997734663</v>
      </c>
      <c r="P154" s="227">
        <f t="shared" ref="P154:P155" si="378">IF(C154="","",100*K154%-O154)</f>
        <v>3.8159577002265337</v>
      </c>
      <c r="Q154" s="228">
        <f t="shared" ref="Q154:Q155" si="379">IF(C154="","",IF(G154="UVR",S154/V154,S154))</f>
        <v>-334713900000</v>
      </c>
      <c r="R154" s="228">
        <f>IF(C154="","",IF('Canjes desagregado'!$G154="UVR",'Canjes desagregado'!$V154*Q154*M154%,Q154*M154%))</f>
        <v>-319872685674</v>
      </c>
      <c r="S154" s="228">
        <v>-334713900000</v>
      </c>
      <c r="T154" s="228">
        <f t="shared" ref="T154:T155" si="380">IFERROR(IF(RIGHT(F154,2)=RIGHT(YEAR(J154),2),1,0),"")</f>
        <v>1</v>
      </c>
      <c r="U154" s="228">
        <f t="shared" ref="U154:U155" si="381">+IF(R154="","",R154)</f>
        <v>-319872685674</v>
      </c>
      <c r="V154" s="229">
        <f>+IF(F154&lt;&gt;"",(_xlfn.XLOOKUP(C154,UVR[Fecha (dd/mm/aaaa)],UVR[Pesos colombianos por UVR],"",0,1)),"")</f>
        <v>396.67</v>
      </c>
      <c r="W154" s="228">
        <f t="shared" ref="W154:W155" si="382">IF(C154="","",IF(CONCATENATE(DAY(C154),"/",MONTH(C154),"/",2000)-CONCATENATE(DAY(J154),"/",MONTH(J154),"/",2000)&lt;0,K154%*ABS(S154),0))</f>
        <v>0</v>
      </c>
      <c r="X154" s="228">
        <f t="shared" ref="X154:X155" si="383">IF(S154&lt;0,-W154,W154)</f>
        <v>0</v>
      </c>
      <c r="Y154" s="230"/>
      <c r="Z154" s="230"/>
      <c r="AA154" s="230"/>
      <c r="AB154" s="231">
        <f>IF(C154="","",ROUND(V154*(1+'Inflación observada '!$B$390%)^(("31-12-2025"-C154)/365),3))</f>
        <v>398.27699999999999</v>
      </c>
      <c r="AC154" s="230"/>
      <c r="AD154" s="232">
        <f t="shared" ref="AD154:AD155" si="384">IF(C154="","",IF(G154="UVR",Q154*AB154-S154,0))</f>
        <v>0</v>
      </c>
      <c r="AE154" s="233">
        <f t="shared" ref="AE154:AE155" si="385">IF(C154="","",P154/+(O154+P154))</f>
        <v>0.66364481743070147</v>
      </c>
      <c r="AF154" s="228">
        <f t="shared" ref="AF154:AF155" si="386">IF(C154="","",AE154*Q154*K154%)</f>
        <v>-12772540840.77854</v>
      </c>
      <c r="AG154" s="232">
        <f ca="1">(Tabla6[[#This Row],[Fecha Vto]]-TODAY())/365</f>
        <v>1.893150684931507</v>
      </c>
      <c r="AH154" s="234"/>
      <c r="AI154" s="235"/>
      <c r="AJ154" s="236">
        <f t="shared" ref="AJ154:AJ155" si="387">IF(C154="","",IF(G154="UVR",Q154*AI154-S154,0))</f>
        <v>0</v>
      </c>
    </row>
    <row r="155" spans="1:36">
      <c r="A155" s="219">
        <f t="shared" si="375"/>
        <v>2025</v>
      </c>
      <c r="B155" s="220">
        <v>650</v>
      </c>
      <c r="C155" s="221">
        <v>45993</v>
      </c>
      <c r="D155" s="222" t="s">
        <v>42</v>
      </c>
      <c r="E155" s="223" t="s">
        <v>195</v>
      </c>
      <c r="F155" s="224" t="s">
        <v>484</v>
      </c>
      <c r="G155" s="225" t="str">
        <f>+_xlfn.XLOOKUP(F155,Emisiones[Mnemotécnico SEN],Emisiones[Moneda],"",0,1)</f>
        <v>COP</v>
      </c>
      <c r="H155" s="225"/>
      <c r="I155" s="226"/>
      <c r="J155" s="226">
        <f>+_xlfn.XLOOKUP(F155,Emisiones[Mnemotécnico SEN],Emisiones[Fecha Vencim.],"",0,1)</f>
        <v>47352</v>
      </c>
      <c r="K155" s="224">
        <f>+_xlfn.XLOOKUP(F155,Emisiones[Mnemotécnico SEN],Emisiones[Tasa de Interés],"",0,1)</f>
        <v>11</v>
      </c>
      <c r="L155" s="227">
        <v>12.097</v>
      </c>
      <c r="M155" s="227">
        <v>99.81</v>
      </c>
      <c r="N155" s="227">
        <f t="shared" si="376"/>
        <v>96.735676674592611</v>
      </c>
      <c r="O155" s="227">
        <f t="shared" si="377"/>
        <v>3.0743233254073914</v>
      </c>
      <c r="P155" s="227">
        <f t="shared" si="378"/>
        <v>7.9256766745926086</v>
      </c>
      <c r="Q155" s="228">
        <f t="shared" si="379"/>
        <v>614000000000</v>
      </c>
      <c r="R155" s="228">
        <f>IF(C155="","",IF('Canjes desagregado'!$G155="UVR",'Canjes desagregado'!$V155*Q155*M155%,Q155*M155%))</f>
        <v>612833400000</v>
      </c>
      <c r="S155" s="228">
        <v>614000000000</v>
      </c>
      <c r="T155" s="228">
        <f t="shared" si="380"/>
        <v>1</v>
      </c>
      <c r="U155" s="228">
        <f t="shared" si="381"/>
        <v>612833400000</v>
      </c>
      <c r="V155" s="229">
        <f>+IF(F155&lt;&gt;"",(_xlfn.XLOOKUP(C155,UVR[Fecha (dd/mm/aaaa)],UVR[Pesos colombianos por UVR],"",0,1)),"")</f>
        <v>396.67</v>
      </c>
      <c r="W155" s="228">
        <f t="shared" si="382"/>
        <v>0</v>
      </c>
      <c r="X155" s="228">
        <f t="shared" si="383"/>
        <v>0</v>
      </c>
      <c r="Y155" s="230"/>
      <c r="Z155" s="230"/>
      <c r="AA155" s="230"/>
      <c r="AB155" s="231">
        <f>IF(C155="","",ROUND(V155*(1+'Inflación observada '!$B$390%)^(("31-12-2025"-C155)/365),3))</f>
        <v>398.27699999999999</v>
      </c>
      <c r="AC155" s="230"/>
      <c r="AD155" s="232">
        <f t="shared" si="384"/>
        <v>0</v>
      </c>
      <c r="AE155" s="233">
        <f t="shared" si="385"/>
        <v>0.72051606132660073</v>
      </c>
      <c r="AF155" s="228">
        <f t="shared" si="386"/>
        <v>48663654781.998611</v>
      </c>
      <c r="AG155" s="232">
        <f ca="1">(Tabla6[[#This Row],[Fecha Vto]]-TODAY())/365</f>
        <v>3.6958904109589041</v>
      </c>
      <c r="AH155" s="234"/>
      <c r="AI155" s="235"/>
      <c r="AJ155" s="236">
        <f t="shared" si="387"/>
        <v>0</v>
      </c>
    </row>
    <row r="156" spans="1:36">
      <c r="A156" s="219">
        <f>IF(C156="","",YEAR(C156))</f>
        <v>2025</v>
      </c>
      <c r="B156" s="220">
        <v>651</v>
      </c>
      <c r="C156" s="221">
        <v>45994</v>
      </c>
      <c r="D156" s="222" t="s">
        <v>42</v>
      </c>
      <c r="E156" s="223" t="s">
        <v>194</v>
      </c>
      <c r="F156" s="224" t="s">
        <v>554</v>
      </c>
      <c r="G156" s="225" t="str">
        <f>+_xlfn.XLOOKUP(F156,Emisiones[Mnemotécnico SEN],Emisiones[Moneda],"",0,1)</f>
        <v>COP</v>
      </c>
      <c r="H156" s="225"/>
      <c r="I156" s="226"/>
      <c r="J156" s="226">
        <f>+_xlfn.XLOOKUP(F156,Emisiones[Mnemotécnico SEN],Emisiones[Fecha Vencim.],"",0,1)</f>
        <v>46175</v>
      </c>
      <c r="K156" s="224">
        <f>+_xlfn.XLOOKUP(F156,Emisiones[Mnemotécnico SEN],Emisiones[Tasa de Interés],"",0,1)</f>
        <v>0</v>
      </c>
      <c r="L156" s="227">
        <v>9.4420000000000002</v>
      </c>
      <c r="M156" s="227">
        <v>95.625</v>
      </c>
      <c r="N156" s="227">
        <f>IF(C156="","",PRICE(C156,J156,K156%,L156%,100,1,3))</f>
        <v>95.527226803777822</v>
      </c>
      <c r="O156" s="227">
        <f>IF(C156="","",M156-N156)</f>
        <v>9.7773196222178171E-2</v>
      </c>
      <c r="P156" s="227">
        <f>IF(C156="","",100*K156%-O156)</f>
        <v>-9.7773196222178171E-2</v>
      </c>
      <c r="Q156" s="228">
        <f>IF(C156="","",IF(G156="UVR",S156/V156,S156))</f>
        <v>-265326100000</v>
      </c>
      <c r="R156" s="228">
        <f>IF(C156="","",IF('Canjes desagregado'!$G156="UVR",'Canjes desagregado'!$V156*Q156*M156%,Q156*M156%))</f>
        <v>-253718083125</v>
      </c>
      <c r="S156" s="228">
        <v>-265326100000</v>
      </c>
      <c r="T156" s="228">
        <f>IFERROR(IF(RIGHT(F156,2)=RIGHT(YEAR(J156),2),1,0),"")</f>
        <v>0</v>
      </c>
      <c r="U156" s="228">
        <f>+IF(R156="","",R156)</f>
        <v>-253718083125</v>
      </c>
      <c r="V156" s="229">
        <f>+IF(F156&lt;&gt;"",(_xlfn.XLOOKUP(C156,UVR[Fecha (dd/mm/aaaa)],UVR[Pesos colombianos por UVR],"",0,1)),"")</f>
        <v>396.69380000000001</v>
      </c>
      <c r="W156" s="228">
        <f>IF(C156="","",IF(CONCATENATE(DAY(C156),"/",MONTH(C156),"/",2000)-CONCATENATE(DAY(J156),"/",MONTH(J156),"/",2000)&lt;0,K156%*ABS(S156),0))</f>
        <v>0</v>
      </c>
      <c r="X156" s="228">
        <f>IF(S156&lt;0,-W156,W156)</f>
        <v>0</v>
      </c>
      <c r="Y156" s="230"/>
      <c r="Z156" s="230"/>
      <c r="AA156" s="230"/>
      <c r="AB156" s="231">
        <f>IF(C156="","",ROUND(V156*(1+'Inflación observada '!$B$390%)^(("31-12-2025"-C156)/365),3))</f>
        <v>398.245</v>
      </c>
      <c r="AC156" s="230"/>
      <c r="AD156" s="232">
        <f>IF(C156="","",IF(G156="UVR",Q156*AB156-S156,0))</f>
        <v>0</v>
      </c>
      <c r="AE156" s="233" t="e">
        <f>IF(C156="","",P156/+(O156+P156))</f>
        <v>#DIV/0!</v>
      </c>
      <c r="AF156" s="228" t="e">
        <f>IF(C156="","",AE156*Q156*K156%)</f>
        <v>#DIV/0!</v>
      </c>
      <c r="AG156" s="232">
        <f ca="1">(Tabla6[[#This Row],[Fecha Vto]]-TODAY())/365</f>
        <v>0.47123287671232877</v>
      </c>
      <c r="AH156" s="234"/>
      <c r="AI156" s="235"/>
      <c r="AJ156" s="236">
        <f>IF(C156="","",IF(G156="UVR",Q156*AI156-S156,0))</f>
        <v>0</v>
      </c>
    </row>
    <row r="157" spans="1:36">
      <c r="A157" s="219">
        <f>IF(C157="","",YEAR(C157))</f>
        <v>2025</v>
      </c>
      <c r="B157" s="220">
        <v>651</v>
      </c>
      <c r="C157" s="221">
        <v>45994</v>
      </c>
      <c r="D157" s="222" t="s">
        <v>42</v>
      </c>
      <c r="E157" s="223" t="s">
        <v>195</v>
      </c>
      <c r="F157" s="224" t="s">
        <v>484</v>
      </c>
      <c r="G157" s="225" t="str">
        <f>+_xlfn.XLOOKUP(F157,Emisiones[Mnemotécnico SEN],Emisiones[Moneda],"",0,1)</f>
        <v>COP</v>
      </c>
      <c r="H157" s="225"/>
      <c r="I157" s="226"/>
      <c r="J157" s="226">
        <f>+_xlfn.XLOOKUP(F157,Emisiones[Mnemotécnico SEN],Emisiones[Fecha Vencim.],"",0,1)</f>
        <v>47352</v>
      </c>
      <c r="K157" s="224">
        <f>+_xlfn.XLOOKUP(F157,Emisiones[Mnemotécnico SEN],Emisiones[Tasa de Interés],"",0,1)</f>
        <v>11</v>
      </c>
      <c r="L157" s="227">
        <v>12.08</v>
      </c>
      <c r="M157" s="227">
        <v>99.888999999999996</v>
      </c>
      <c r="N157" s="227">
        <f>IF(C157="","",PRICE(C157,J157,K157%,L157%,100,1,3))</f>
        <v>96.784503901224866</v>
      </c>
      <c r="O157" s="227">
        <f>IF(C157="","",M157-N157)</f>
        <v>3.1044960987751296</v>
      </c>
      <c r="P157" s="227">
        <f>IF(C157="","",100*K157%-O157)</f>
        <v>7.8955039012248704</v>
      </c>
      <c r="Q157" s="228">
        <f>IF(C157="","",IF(G157="UVR",S157/V157,S157))</f>
        <v>254000000000</v>
      </c>
      <c r="R157" s="228">
        <f>IF(C157="","",IF('Canjes desagregado'!$G157="UVR",'Canjes desagregado'!$V157*Q157*M157%,Q157*M157%))</f>
        <v>253718060000</v>
      </c>
      <c r="S157" s="228">
        <v>254000000000</v>
      </c>
      <c r="T157" s="228">
        <f>IFERROR(IF(RIGHT(F157,2)=RIGHT(YEAR(J157),2),1,0),"")</f>
        <v>1</v>
      </c>
      <c r="U157" s="228">
        <f>+IF(R157="","",R157)</f>
        <v>253718060000</v>
      </c>
      <c r="V157" s="229">
        <f>+IF(F157&lt;&gt;"",(_xlfn.XLOOKUP(C157,UVR[Fecha (dd/mm/aaaa)],UVR[Pesos colombianos por UVR],"",0,1)),"")</f>
        <v>396.69380000000001</v>
      </c>
      <c r="W157" s="228">
        <f>IF(C157="","",IF(CONCATENATE(DAY(C157),"/",MONTH(C157),"/",2000)-CONCATENATE(DAY(J157),"/",MONTH(J157),"/",2000)&lt;0,K157%*ABS(S157),0))</f>
        <v>0</v>
      </c>
      <c r="X157" s="228">
        <f>IF(S157&lt;0,-W157,W157)</f>
        <v>0</v>
      </c>
      <c r="Y157" s="230"/>
      <c r="Z157" s="230"/>
      <c r="AA157" s="230"/>
      <c r="AB157" s="231">
        <f>IF(C157="","",ROUND(V157*(1+'Inflación observada '!$B$390%)^(("31-12-2025"-C157)/365),3))</f>
        <v>398.245</v>
      </c>
      <c r="AC157" s="230"/>
      <c r="AD157" s="232">
        <f>IF(C157="","",IF(G157="UVR",Q157*AB157-S157,0))</f>
        <v>0</v>
      </c>
      <c r="AE157" s="233">
        <f>IF(C157="","",P157/+(O157+P157))</f>
        <v>0.71777308192953371</v>
      </c>
      <c r="AF157" s="228">
        <f>IF(C157="","",AE157*Q157*K157%)</f>
        <v>20054579909.111172</v>
      </c>
      <c r="AG157" s="232">
        <f ca="1">(Tabla6[[#This Row],[Fecha Vto]]-TODAY())/365</f>
        <v>3.6958904109589041</v>
      </c>
      <c r="AH157" s="234"/>
      <c r="AI157" s="235"/>
      <c r="AJ157" s="236">
        <f>IF(C157="","",IF(G157="UVR",Q157*AI157-S157,0))</f>
        <v>0</v>
      </c>
    </row>
    <row r="158" spans="1:36">
      <c r="A158" s="219">
        <f>IF(C158="","",YEAR(C158))</f>
        <v>2025</v>
      </c>
      <c r="B158" s="220">
        <v>652</v>
      </c>
      <c r="C158" s="221">
        <v>45995</v>
      </c>
      <c r="D158" s="222" t="s">
        <v>42</v>
      </c>
      <c r="E158" s="223" t="s">
        <v>194</v>
      </c>
      <c r="F158" s="224" t="s">
        <v>554</v>
      </c>
      <c r="G158" s="225" t="str">
        <f>+_xlfn.XLOOKUP(F158,Emisiones[Mnemotécnico SEN],Emisiones[Moneda],"",0,1)</f>
        <v>COP</v>
      </c>
      <c r="H158" s="225"/>
      <c r="I158" s="226"/>
      <c r="J158" s="226">
        <f>+_xlfn.XLOOKUP(F158,Emisiones[Mnemotécnico SEN],Emisiones[Fecha Vencim.],"",0,1)</f>
        <v>46175</v>
      </c>
      <c r="K158" s="224">
        <f>+_xlfn.XLOOKUP(F158,Emisiones[Mnemotécnico SEN],Emisiones[Tasa de Interés],"",0,1)</f>
        <v>0</v>
      </c>
      <c r="L158" s="227">
        <v>9.4079999999999995</v>
      </c>
      <c r="M158" s="227">
        <v>95.662999999999997</v>
      </c>
      <c r="N158" s="227">
        <f>IF(C158="","",PRICE(C158,J158,K158%,L158%,100,1,3))</f>
        <v>95.566149579613679</v>
      </c>
      <c r="O158" s="227">
        <f>IF(C158="","",M158-N158)</f>
        <v>9.6850420386317637E-2</v>
      </c>
      <c r="P158" s="227">
        <f>IF(C158="","",100*K158%-O158)</f>
        <v>-9.6850420386317637E-2</v>
      </c>
      <c r="Q158" s="228">
        <f>IF(C158="","",IF(G158="UVR",S158/V158,S158))</f>
        <v>-120455300000</v>
      </c>
      <c r="R158" s="228">
        <f>IF(C158="","",IF('Canjes desagregado'!$G158="UVR",'Canjes desagregado'!$V158*Q158*M158%,Q158*M158%))</f>
        <v>-115231153639</v>
      </c>
      <c r="S158" s="228">
        <v>-120455300000</v>
      </c>
      <c r="T158" s="228">
        <f>IFERROR(IF(RIGHT(F158,2)=RIGHT(YEAR(J158),2),1,0),"")</f>
        <v>0</v>
      </c>
      <c r="U158" s="228">
        <f>+IF(R158="","",R158)</f>
        <v>-115231153639</v>
      </c>
      <c r="V158" s="229">
        <f>+IF(F158&lt;&gt;"",(_xlfn.XLOOKUP(C158,UVR[Fecha (dd/mm/aaaa)],UVR[Pesos colombianos por UVR],"",0,1)),"")</f>
        <v>396.7176</v>
      </c>
      <c r="W158" s="228">
        <f>IF(C158="","",IF(CONCATENATE(DAY(C158),"/",MONTH(C158),"/",2000)-CONCATENATE(DAY(J158),"/",MONTH(J158),"/",2000)&lt;0,K158%*ABS(S158),0))</f>
        <v>0</v>
      </c>
      <c r="X158" s="228">
        <f>IF(S158&lt;0,-W158,W158)</f>
        <v>0</v>
      </c>
      <c r="Y158" s="230"/>
      <c r="Z158" s="230"/>
      <c r="AA158" s="230"/>
      <c r="AB158" s="231">
        <f>IF(C158="","",ROUND(V158*(1+'Inflación observada '!$B$390%)^(("31-12-2025"-C158)/365),3))</f>
        <v>398.214</v>
      </c>
      <c r="AC158" s="230"/>
      <c r="AD158" s="232">
        <f>IF(C158="","",IF(G158="UVR",Q158*AB158-S158,0))</f>
        <v>0</v>
      </c>
      <c r="AE158" s="233" t="e">
        <f>IF(C158="","",P158/+(O158+P158))</f>
        <v>#DIV/0!</v>
      </c>
      <c r="AF158" s="228" t="e">
        <f>IF(C158="","",AE158*Q158*K158%)</f>
        <v>#DIV/0!</v>
      </c>
      <c r="AG158" s="232">
        <f ca="1">(Tabla6[[#This Row],[Fecha Vto]]-TODAY())/365</f>
        <v>0.47123287671232877</v>
      </c>
      <c r="AH158" s="234"/>
      <c r="AI158" s="235"/>
      <c r="AJ158" s="236">
        <f>IF(C158="","",IF(G158="UVR",Q158*AI158-S158,0))</f>
        <v>0</v>
      </c>
    </row>
    <row r="159" spans="1:36">
      <c r="A159" s="219">
        <f>IF(C159="","",YEAR(C159))</f>
        <v>2025</v>
      </c>
      <c r="B159" s="220">
        <v>652</v>
      </c>
      <c r="C159" s="221">
        <v>45995</v>
      </c>
      <c r="D159" s="222" t="s">
        <v>42</v>
      </c>
      <c r="E159" s="223" t="s">
        <v>195</v>
      </c>
      <c r="F159" s="224" t="s">
        <v>484</v>
      </c>
      <c r="G159" s="225" t="str">
        <f>+_xlfn.XLOOKUP(F159,Emisiones[Mnemotécnico SEN],Emisiones[Moneda],"",0,1)</f>
        <v>COP</v>
      </c>
      <c r="H159" s="225"/>
      <c r="I159" s="226"/>
      <c r="J159" s="226">
        <f>+_xlfn.XLOOKUP(F159,Emisiones[Mnemotécnico SEN],Emisiones[Fecha Vencim.],"",0,1)</f>
        <v>47352</v>
      </c>
      <c r="K159" s="224">
        <f>+_xlfn.XLOOKUP(F159,Emisiones[Mnemotécnico SEN],Emisiones[Tasa de Interés],"",0,1)</f>
        <v>11</v>
      </c>
      <c r="L159" s="227">
        <v>11.98</v>
      </c>
      <c r="M159" s="227">
        <v>100.20099999999999</v>
      </c>
      <c r="N159" s="227">
        <f>IF(C159="","",PRICE(C159,J159,K159%,L159%,100,1,3))</f>
        <v>97.066863053500853</v>
      </c>
      <c r="O159" s="227">
        <f>IF(C159="","",M159-N159)</f>
        <v>3.1341369464991402</v>
      </c>
      <c r="P159" s="227">
        <f>IF(C159="","",100*K159%-O159)</f>
        <v>7.8658630535008598</v>
      </c>
      <c r="Q159" s="228">
        <f>IF(C159="","",IF(G159="UVR",S159/V159,S159))</f>
        <v>115000000000</v>
      </c>
      <c r="R159" s="228">
        <f>IF(C159="","",IF('Canjes desagregado'!$G159="UVR",'Canjes desagregado'!$V159*Q159*M159%,Q159*M159%))</f>
        <v>115231149999.99998</v>
      </c>
      <c r="S159" s="228">
        <v>115000000000</v>
      </c>
      <c r="T159" s="228">
        <f>IFERROR(IF(RIGHT(F159,2)=RIGHT(YEAR(J159),2),1,0),"")</f>
        <v>1</v>
      </c>
      <c r="U159" s="228">
        <f>+IF(R159="","",R159)</f>
        <v>115231149999.99998</v>
      </c>
      <c r="V159" s="229">
        <f>+IF(F159&lt;&gt;"",(_xlfn.XLOOKUP(C159,UVR[Fecha (dd/mm/aaaa)],UVR[Pesos colombianos por UVR],"",0,1)),"")</f>
        <v>396.7176</v>
      </c>
      <c r="W159" s="228">
        <f>IF(C159="","",IF(CONCATENATE(DAY(C159),"/",MONTH(C159),"/",2000)-CONCATENATE(DAY(J159),"/",MONTH(J159),"/",2000)&lt;0,K159%*ABS(S159),0))</f>
        <v>0</v>
      </c>
      <c r="X159" s="228">
        <f>IF(S159&lt;0,-W159,W159)</f>
        <v>0</v>
      </c>
      <c r="Y159" s="230"/>
      <c r="Z159" s="230"/>
      <c r="AA159" s="230"/>
      <c r="AB159" s="231">
        <f>IF(C159="","",ROUND(V159*(1+'Inflación observada '!$B$390%)^(("31-12-2025"-C159)/365),3))</f>
        <v>398.214</v>
      </c>
      <c r="AC159" s="230"/>
      <c r="AD159" s="232">
        <f>IF(C159="","",IF(G159="UVR",Q159*AB159-S159,0))</f>
        <v>0</v>
      </c>
      <c r="AE159" s="233">
        <f>IF(C159="","",P159/+(O159+P159))</f>
        <v>0.71507845940916903</v>
      </c>
      <c r="AF159" s="228">
        <f>IF(C159="","",AE159*Q159*K159%)</f>
        <v>9045742511.5259895</v>
      </c>
      <c r="AG159" s="232">
        <f ca="1">(Tabla6[[#This Row],[Fecha Vto]]-TODAY())/365</f>
        <v>3.6958904109589041</v>
      </c>
      <c r="AH159" s="234"/>
      <c r="AI159" s="235"/>
      <c r="AJ159" s="236">
        <f>IF(C159="","",IF(G159="UVR",Q159*AI159-S159,0))</f>
        <v>0</v>
      </c>
    </row>
    <row r="160" spans="1:36">
      <c r="A160" s="219">
        <f>IF(C160="","",YEAR(C160))</f>
        <v>2025</v>
      </c>
      <c r="B160" s="220">
        <v>653</v>
      </c>
      <c r="C160" s="221">
        <v>45996</v>
      </c>
      <c r="D160" s="222" t="s">
        <v>42</v>
      </c>
      <c r="E160" s="223" t="s">
        <v>194</v>
      </c>
      <c r="F160" s="224" t="s">
        <v>554</v>
      </c>
      <c r="G160" s="225" t="str">
        <f>+_xlfn.XLOOKUP(F160,Emisiones[Mnemotécnico SEN],Emisiones[Moneda],"",0,1)</f>
        <v>COP</v>
      </c>
      <c r="H160" s="225"/>
      <c r="I160" s="226"/>
      <c r="J160" s="226">
        <f>+_xlfn.XLOOKUP(F160,Emisiones[Mnemotécnico SEN],Emisiones[Fecha Vencim.],"",0,1)</f>
        <v>46175</v>
      </c>
      <c r="K160" s="224">
        <f>+_xlfn.XLOOKUP(F160,Emisiones[Mnemotécnico SEN],Emisiones[Tasa de Interés],"",0,1)</f>
        <v>0</v>
      </c>
      <c r="L160" s="227">
        <v>9.4499999999999993</v>
      </c>
      <c r="M160" s="227">
        <v>95.668000000000006</v>
      </c>
      <c r="N160" s="227">
        <f>IF(C160="","",PRICE(C160,J160,K160%,L160%,100,1,3))</f>
        <v>95.570878898604533</v>
      </c>
      <c r="O160" s="227">
        <f>IF(C160="","",M160-N160)</f>
        <v>9.712110139547292E-2</v>
      </c>
      <c r="P160" s="227">
        <f>IF(C160="","",100*K160%-O160)</f>
        <v>-9.712110139547292E-2</v>
      </c>
      <c r="Q160" s="228">
        <f t="shared" ref="Q160:Q164" si="388">IF(C160="","",IF(G160="UVR",S160/V160,S160))</f>
        <v>-314048600000</v>
      </c>
      <c r="R160" s="228">
        <f>IF(C160="","",IF('Canjes desagregado'!$G160="UVR",'Canjes desagregado'!$V160*Q160*M160%,Q160*M160%))</f>
        <v>-300444014648</v>
      </c>
      <c r="S160" s="228">
        <v>-314048600000</v>
      </c>
      <c r="T160" s="228">
        <f>IFERROR(IF(RIGHT(F160,2)=RIGHT(YEAR(J160),2),1,0),"")</f>
        <v>0</v>
      </c>
      <c r="U160" s="228">
        <f>+IF(R160="","",R160)</f>
        <v>-300444014648</v>
      </c>
      <c r="V160" s="536">
        <f>+IF(F160&lt;&gt;"",(_xlfn.XLOOKUP(C160,UVR[Fecha (dd/mm/aaaa)],UVR[Pesos colombianos por UVR],"",0,1)),"")</f>
        <v>396.7414</v>
      </c>
      <c r="W160" s="228">
        <f>IF(C160="","",IF(CONCATENATE(DAY(C160),"/",MONTH(C160),"/",2000)-CONCATENATE(DAY(J160),"/",MONTH(J160),"/",2000)&lt;0,K160%*ABS(S160),0))</f>
        <v>0</v>
      </c>
      <c r="X160" s="228">
        <f>IF(S160&lt;0,-W160,W160)</f>
        <v>0</v>
      </c>
      <c r="Y160" s="537"/>
      <c r="Z160" s="537"/>
      <c r="AA160" s="537"/>
      <c r="AB160" s="231">
        <f>IF(C160="","",ROUND(V160*(1+'Inflación observada '!$B$390%)^(("31-12-2025"-C160)/365),3))</f>
        <v>398.18200000000002</v>
      </c>
      <c r="AC160" s="537"/>
      <c r="AD160" s="232">
        <f>IF(C160="","",IF(G160="UVR",Q160*AB160-S160,0))</f>
        <v>0</v>
      </c>
      <c r="AE160" s="538" t="e">
        <f>IF(C160="","",P160/+(O160+P160))</f>
        <v>#DIV/0!</v>
      </c>
      <c r="AF160" s="228" t="e">
        <f>IF(C160="","",AE160*Q160*K160%)</f>
        <v>#DIV/0!</v>
      </c>
      <c r="AG160" s="232">
        <f ca="1">(Tabla6[[#This Row],[Fecha Vto]]-TODAY())/365</f>
        <v>0.47123287671232877</v>
      </c>
      <c r="AH160" s="234"/>
      <c r="AI160" s="235"/>
      <c r="AJ160" s="236">
        <f>IF(C160="","",IF(G160="UVR",Q160*AI160-S160,0))</f>
        <v>0</v>
      </c>
    </row>
    <row r="161" spans="1:36">
      <c r="A161" s="219">
        <f>IF(C161="","",YEAR(C161))</f>
        <v>2025</v>
      </c>
      <c r="B161" s="220">
        <v>653</v>
      </c>
      <c r="C161" s="221">
        <v>45996</v>
      </c>
      <c r="D161" s="222" t="s">
        <v>42</v>
      </c>
      <c r="E161" s="223" t="s">
        <v>195</v>
      </c>
      <c r="F161" s="224" t="s">
        <v>484</v>
      </c>
      <c r="G161" s="225" t="str">
        <f>+_xlfn.XLOOKUP(F161,Emisiones[Mnemotécnico SEN],Emisiones[Moneda],"",0,1)</f>
        <v>COP</v>
      </c>
      <c r="H161" s="225"/>
      <c r="I161" s="226"/>
      <c r="J161" s="226">
        <f>+_xlfn.XLOOKUP(F161,Emisiones[Mnemotécnico SEN],Emisiones[Fecha Vencim.],"",0,1)</f>
        <v>47352</v>
      </c>
      <c r="K161" s="224">
        <f>+_xlfn.XLOOKUP(F161,Emisiones[Mnemotécnico SEN],Emisiones[Tasa de Interés],"",0,1)</f>
        <v>11</v>
      </c>
      <c r="L161" s="227">
        <v>12.01</v>
      </c>
      <c r="M161" s="227">
        <v>100.148</v>
      </c>
      <c r="N161" s="227">
        <f>IF(C161="","",PRICE(C161,J161,K161%,L161%,100,1,3))</f>
        <v>96.98333801570169</v>
      </c>
      <c r="O161" s="227">
        <f>IF(C161="","",M161-N161)</f>
        <v>3.1646619842983057</v>
      </c>
      <c r="P161" s="227">
        <f>IF(C161="","",100*K161%-O161)</f>
        <v>7.8353380157016943</v>
      </c>
      <c r="Q161" s="228">
        <f t="shared" si="388"/>
        <v>300000000000</v>
      </c>
      <c r="R161" s="228">
        <f>IF(C161="","",IF('Canjes desagregado'!$G161="UVR",'Canjes desagregado'!$V161*Q161*M161%,Q161*M161%))</f>
        <v>300444000000</v>
      </c>
      <c r="S161" s="228">
        <v>300000000000</v>
      </c>
      <c r="T161" s="228">
        <f>IFERROR(IF(RIGHT(F161,2)=RIGHT(YEAR(J161),2),1,0),"")</f>
        <v>1</v>
      </c>
      <c r="U161" s="228">
        <f>+IF(R161="","",R161)</f>
        <v>300444000000</v>
      </c>
      <c r="V161" s="536">
        <f>+IF(F161&lt;&gt;"",(_xlfn.XLOOKUP(C161,UVR[Fecha (dd/mm/aaaa)],UVR[Pesos colombianos por UVR],"",0,1)),"")</f>
        <v>396.7414</v>
      </c>
      <c r="W161" s="228">
        <f>IF(C161="","",IF(CONCATENATE(DAY(C161),"/",MONTH(C161),"/",2000)-CONCATENATE(DAY(J161),"/",MONTH(J161),"/",2000)&lt;0,K161%*ABS(S161),0))</f>
        <v>0</v>
      </c>
      <c r="X161" s="228">
        <f>IF(S161&lt;0,-W161,W161)</f>
        <v>0</v>
      </c>
      <c r="Y161" s="537"/>
      <c r="Z161" s="537"/>
      <c r="AA161" s="537"/>
      <c r="AB161" s="231">
        <f>IF(C161="","",ROUND(V161*(1+'Inflación observada '!$B$390%)^(("31-12-2025"-C161)/365),3))</f>
        <v>398.18200000000002</v>
      </c>
      <c r="AC161" s="537"/>
      <c r="AD161" s="232">
        <f>IF(C161="","",IF(G161="UVR",Q161*AB161-S161,0))</f>
        <v>0</v>
      </c>
      <c r="AE161" s="538">
        <f>IF(C161="","",P161/+(O161+P161))</f>
        <v>0.71230345597288125</v>
      </c>
      <c r="AF161" s="228">
        <f>IF(C161="","",AE161*Q161*K161%)</f>
        <v>23506014047.105083</v>
      </c>
      <c r="AG161" s="232">
        <f ca="1">(Tabla6[[#This Row],[Fecha Vto]]-TODAY())/365</f>
        <v>3.6958904109589041</v>
      </c>
      <c r="AH161" s="234"/>
      <c r="AI161" s="235"/>
      <c r="AJ161" s="236">
        <f>IF(C161="","",IF(G161="UVR",Q161*AI161-S161,0))</f>
        <v>0</v>
      </c>
    </row>
    <row r="162" spans="1:36">
      <c r="A162" s="219">
        <f t="shared" ref="A162:A164" si="389">IF(C162="","",YEAR(C162))</f>
        <v>2025</v>
      </c>
      <c r="B162" s="220">
        <v>654</v>
      </c>
      <c r="C162" s="221">
        <v>46000</v>
      </c>
      <c r="D162" s="222" t="s">
        <v>42</v>
      </c>
      <c r="E162" s="223" t="s">
        <v>194</v>
      </c>
      <c r="F162" s="224" t="s">
        <v>554</v>
      </c>
      <c r="G162" s="225" t="str">
        <f>+_xlfn.XLOOKUP(F162,Emisiones[Mnemotécnico SEN],Emisiones[Moneda],"",0,1)</f>
        <v>COP</v>
      </c>
      <c r="H162" s="225"/>
      <c r="I162" s="226"/>
      <c r="J162" s="226">
        <f>+_xlfn.XLOOKUP(F162,Emisiones[Mnemotécnico SEN],Emisiones[Fecha Vencim.],"",0,1)</f>
        <v>46175</v>
      </c>
      <c r="K162" s="224">
        <f>+_xlfn.XLOOKUP(F162,Emisiones[Mnemotécnico SEN],Emisiones[Tasa de Interés],"",0,1)</f>
        <v>0</v>
      </c>
      <c r="L162" s="227">
        <v>9.5790000000000006</v>
      </c>
      <c r="M162" s="227">
        <v>95.709000000000003</v>
      </c>
      <c r="N162" s="227">
        <f t="shared" ref="N162:N164" si="390">IF(C162="","",PRICE(C162,J162,K162%,L162%,100,1,3))</f>
        <v>95.608993270043669</v>
      </c>
      <c r="O162" s="227">
        <f t="shared" ref="O162:O164" si="391">IF(C162="","",M162-N162)</f>
        <v>0.10000672995633408</v>
      </c>
      <c r="P162" s="227">
        <f t="shared" ref="P162:P164" si="392">IF(C162="","",100*K162%-O162)</f>
        <v>-0.10000672995633408</v>
      </c>
      <c r="Q162" s="228">
        <f t="shared" si="388"/>
        <v>-77934000000</v>
      </c>
      <c r="R162" s="228">
        <f>IF(C162="","",IF('Canjes desagregado'!$G162="UVR",'Canjes desagregado'!$V162*Q162*M162%,Q162*M162%))</f>
        <v>-74589852060</v>
      </c>
      <c r="S162" s="228">
        <v>-77934000000</v>
      </c>
      <c r="T162" s="228">
        <f t="shared" ref="T162:T164" si="393">IFERROR(IF(RIGHT(F162,2)=RIGHT(YEAR(J162),2),1,0),"")</f>
        <v>0</v>
      </c>
      <c r="U162" s="228">
        <f t="shared" ref="U162:U164" si="394">+IF(R162="","",R162)</f>
        <v>-74589852060</v>
      </c>
      <c r="V162" s="536">
        <f>+IF(F162&lt;&gt;"",(_xlfn.XLOOKUP(C162,UVR[Fecha (dd/mm/aaaa)],UVR[Pesos colombianos por UVR],"",0,1)),"")</f>
        <v>396.8365</v>
      </c>
      <c r="W162" s="228">
        <f t="shared" ref="W162:W164" si="395">IF(C162="","",IF(CONCATENATE(DAY(C162),"/",MONTH(C162),"/",2000)-CONCATENATE(DAY(J162),"/",MONTH(J162),"/",2000)&lt;0,K162%*ABS(S162),0))</f>
        <v>0</v>
      </c>
      <c r="X162" s="228">
        <f t="shared" ref="X162:X164" si="396">IF(S162&lt;0,-W162,W162)</f>
        <v>0</v>
      </c>
      <c r="Y162" s="537"/>
      <c r="Z162" s="537"/>
      <c r="AA162" s="537"/>
      <c r="AB162" s="231">
        <f>IF(C162="","",ROUND(V162*(1+'Inflación observada '!$B$390%)^(("31-12-2025"-C162)/365),3))</f>
        <v>398.05500000000001</v>
      </c>
      <c r="AC162" s="537"/>
      <c r="AD162" s="232">
        <f t="shared" ref="AD162:AD164" si="397">IF(C162="","",IF(G162="UVR",Q162*AB162-S162,0))</f>
        <v>0</v>
      </c>
      <c r="AE162" s="538" t="e">
        <f t="shared" ref="AE162:AE164" si="398">IF(C162="","",P162/+(O162+P162))</f>
        <v>#DIV/0!</v>
      </c>
      <c r="AF162" s="228" t="e">
        <f t="shared" ref="AF162:AF164" si="399">IF(C162="","",AE162*Q162*K162%)</f>
        <v>#DIV/0!</v>
      </c>
      <c r="AG162" s="232">
        <f ca="1">(Tabla6[[#This Row],[Fecha Vto]]-TODAY())/365</f>
        <v>0.47123287671232877</v>
      </c>
      <c r="AH162" s="234"/>
      <c r="AI162" s="235"/>
      <c r="AJ162" s="236">
        <f t="shared" ref="AJ162:AJ164" si="400">IF(C162="","",IF(G162="UVR",Q162*AI162-S162,0))</f>
        <v>0</v>
      </c>
    </row>
    <row r="163" spans="1:36">
      <c r="A163" s="219">
        <f t="shared" si="389"/>
        <v>2025</v>
      </c>
      <c r="B163" s="220">
        <v>654</v>
      </c>
      <c r="C163" s="221">
        <v>46000</v>
      </c>
      <c r="D163" s="222" t="s">
        <v>42</v>
      </c>
      <c r="E163" s="223" t="s">
        <v>194</v>
      </c>
      <c r="F163" s="224" t="s">
        <v>211</v>
      </c>
      <c r="G163" s="225" t="str">
        <f>+_xlfn.XLOOKUP(F163,Emisiones[Mnemotécnico SEN],Emisiones[Moneda],"",0,1)</f>
        <v>COP</v>
      </c>
      <c r="H163" s="225"/>
      <c r="I163" s="226"/>
      <c r="J163" s="226">
        <f>+_xlfn.XLOOKUP(F163,Emisiones[Mnemotécnico SEN],Emisiones[Fecha Vencim.],"",0,1)</f>
        <v>46260</v>
      </c>
      <c r="K163" s="224">
        <f>+_xlfn.XLOOKUP(F163,Emisiones[Mnemotécnico SEN],Emisiones[Tasa de Interés],"",0,1)</f>
        <v>7.5</v>
      </c>
      <c r="L163" s="227">
        <v>8.8710000000000004</v>
      </c>
      <c r="M163" s="227">
        <v>101.185</v>
      </c>
      <c r="N163" s="227">
        <f t="shared" si="390"/>
        <v>98.95320865550849</v>
      </c>
      <c r="O163" s="227">
        <f t="shared" si="391"/>
        <v>2.2317913444915121</v>
      </c>
      <c r="P163" s="227">
        <f t="shared" si="392"/>
        <v>5.2682086555084879</v>
      </c>
      <c r="Q163" s="228">
        <f t="shared" si="388"/>
        <v>-341066000000</v>
      </c>
      <c r="R163" s="228">
        <f>IF(C163="","",IF('Canjes desagregado'!$G163="UVR",'Canjes desagregado'!$V163*Q163*M163%,Q163*M163%))</f>
        <v>-345107632100</v>
      </c>
      <c r="S163" s="228">
        <v>-341066000000</v>
      </c>
      <c r="T163" s="228">
        <f t="shared" si="393"/>
        <v>1</v>
      </c>
      <c r="U163" s="228">
        <f t="shared" si="394"/>
        <v>-345107632100</v>
      </c>
      <c r="V163" s="536">
        <f>+IF(F163&lt;&gt;"",(_xlfn.XLOOKUP(C163,UVR[Fecha (dd/mm/aaaa)],UVR[Pesos colombianos por UVR],"",0,1)),"")</f>
        <v>396.8365</v>
      </c>
      <c r="W163" s="228">
        <f t="shared" si="395"/>
        <v>0</v>
      </c>
      <c r="X163" s="228">
        <f t="shared" si="396"/>
        <v>0</v>
      </c>
      <c r="Y163" s="537"/>
      <c r="Z163" s="537"/>
      <c r="AA163" s="537"/>
      <c r="AB163" s="231">
        <f>IF(C163="","",ROUND(V163*(1+'Inflación observada '!$B$390%)^(("31-12-2025"-C163)/365),3))</f>
        <v>398.05500000000001</v>
      </c>
      <c r="AC163" s="537"/>
      <c r="AD163" s="232">
        <f t="shared" si="397"/>
        <v>0</v>
      </c>
      <c r="AE163" s="538">
        <f t="shared" si="398"/>
        <v>0.70242782073446508</v>
      </c>
      <c r="AF163" s="228">
        <f t="shared" si="399"/>
        <v>-17968068532.996578</v>
      </c>
      <c r="AG163" s="232">
        <f ca="1">(Tabla6[[#This Row],[Fecha Vto]]-TODAY())/365</f>
        <v>0.70410958904109588</v>
      </c>
      <c r="AH163" s="234"/>
      <c r="AI163" s="235"/>
      <c r="AJ163" s="236">
        <f t="shared" si="400"/>
        <v>0</v>
      </c>
    </row>
    <row r="164" spans="1:36">
      <c r="A164" s="219">
        <f t="shared" si="389"/>
        <v>2025</v>
      </c>
      <c r="B164" s="220">
        <v>654</v>
      </c>
      <c r="C164" s="221">
        <v>46000</v>
      </c>
      <c r="D164" s="222" t="s">
        <v>42</v>
      </c>
      <c r="E164" s="223" t="s">
        <v>195</v>
      </c>
      <c r="F164" s="224" t="s">
        <v>484</v>
      </c>
      <c r="G164" s="225" t="str">
        <f>+_xlfn.XLOOKUP(F164,Emisiones[Mnemotécnico SEN],Emisiones[Moneda],"",0,1)</f>
        <v>COP</v>
      </c>
      <c r="H164" s="225"/>
      <c r="I164" s="226"/>
      <c r="J164" s="226">
        <f>+_xlfn.XLOOKUP(F164,Emisiones[Mnemotécnico SEN],Emisiones[Fecha Vencim.],"",0,1)</f>
        <v>47352</v>
      </c>
      <c r="K164" s="224">
        <f>+_xlfn.XLOOKUP(F164,Emisiones[Mnemotécnico SEN],Emisiones[Tasa de Interés],"",0,1)</f>
        <v>11</v>
      </c>
      <c r="L164" s="227">
        <v>12.048999999999999</v>
      </c>
      <c r="M164" s="227">
        <v>100.163</v>
      </c>
      <c r="N164" s="227">
        <f t="shared" si="390"/>
        <v>96.877949920614697</v>
      </c>
      <c r="O164" s="227">
        <f t="shared" si="391"/>
        <v>3.2850500793853001</v>
      </c>
      <c r="P164" s="227">
        <f t="shared" si="392"/>
        <v>7.7149499206146999</v>
      </c>
      <c r="Q164" s="228">
        <f t="shared" si="388"/>
        <v>419000000000</v>
      </c>
      <c r="R164" s="228">
        <f>IF(C164="","",IF('Canjes desagregado'!$G164="UVR",'Canjes desagregado'!$V164*Q164*M164%,Q164*M164%))</f>
        <v>419682970000</v>
      </c>
      <c r="S164" s="228">
        <v>419000000000</v>
      </c>
      <c r="T164" s="228">
        <f t="shared" si="393"/>
        <v>1</v>
      </c>
      <c r="U164" s="228">
        <f t="shared" si="394"/>
        <v>419682970000</v>
      </c>
      <c r="V164" s="536">
        <f>+IF(F164&lt;&gt;"",(_xlfn.XLOOKUP(C164,UVR[Fecha (dd/mm/aaaa)],UVR[Pesos colombianos por UVR],"",0,1)),"")</f>
        <v>396.8365</v>
      </c>
      <c r="W164" s="228">
        <f t="shared" si="395"/>
        <v>0</v>
      </c>
      <c r="X164" s="228">
        <f t="shared" si="396"/>
        <v>0</v>
      </c>
      <c r="Y164" s="537"/>
      <c r="Z164" s="537"/>
      <c r="AA164" s="537"/>
      <c r="AB164" s="231">
        <f>IF(C164="","",ROUND(V164*(1+'Inflación observada '!$B$390%)^(("31-12-2025"-C164)/365),3))</f>
        <v>398.05500000000001</v>
      </c>
      <c r="AC164" s="537"/>
      <c r="AD164" s="232">
        <f t="shared" si="397"/>
        <v>0</v>
      </c>
      <c r="AE164" s="538">
        <f t="shared" si="398"/>
        <v>0.70135908369224542</v>
      </c>
      <c r="AF164" s="228">
        <f t="shared" si="399"/>
        <v>32325640167.375591</v>
      </c>
      <c r="AG164" s="232">
        <f ca="1">(Tabla6[[#This Row],[Fecha Vto]]-TODAY())/365</f>
        <v>3.6958904109589041</v>
      </c>
      <c r="AH164" s="234"/>
      <c r="AI164" s="235"/>
      <c r="AJ164" s="236">
        <f t="shared" si="400"/>
        <v>0</v>
      </c>
    </row>
    <row r="165" spans="1:36">
      <c r="A165" s="219">
        <f>IF(C165="","",YEAR(C165))</f>
        <v>2025</v>
      </c>
      <c r="B165" s="220">
        <v>655</v>
      </c>
      <c r="C165" s="221">
        <v>46001</v>
      </c>
      <c r="D165" s="222" t="s">
        <v>42</v>
      </c>
      <c r="E165" s="223" t="s">
        <v>194</v>
      </c>
      <c r="F165" s="224" t="s">
        <v>554</v>
      </c>
      <c r="G165" s="225" t="str">
        <f>+_xlfn.XLOOKUP(F165,Emisiones[Mnemotécnico SEN],Emisiones[Moneda],"",0,1)</f>
        <v>COP</v>
      </c>
      <c r="H165" s="225"/>
      <c r="I165" s="226"/>
      <c r="J165" s="226">
        <f>+_xlfn.XLOOKUP(F165,Emisiones[Mnemotécnico SEN],Emisiones[Fecha Vencim.],"",0,1)</f>
        <v>46175</v>
      </c>
      <c r="K165" s="224">
        <f>+_xlfn.XLOOKUP(F165,Emisiones[Mnemotécnico SEN],Emisiones[Tasa de Interés],"",0,1)</f>
        <v>0</v>
      </c>
      <c r="L165" s="227">
        <v>9.3689999999999998</v>
      </c>
      <c r="M165" s="227">
        <v>95.820999999999998</v>
      </c>
      <c r="N165" s="227">
        <f>IF(C165="","",PRICE(C165,J165,K165%,L165%,100,1,3))</f>
        <v>95.724633640846321</v>
      </c>
      <c r="O165" s="227">
        <f>IF(C165="","",M165-N165)</f>
        <v>9.6366359153677195E-2</v>
      </c>
      <c r="P165" s="227">
        <f>IF(C165="","",100*K165%-O165)</f>
        <v>-9.6366359153677195E-2</v>
      </c>
      <c r="Q165" s="228">
        <f>IF(C165="","",IF(G165="UVR",S165/V165,S165))</f>
        <v>-71622000000</v>
      </c>
      <c r="R165" s="228">
        <f>IF(C165="","",IF('Canjes desagregado'!$G165="UVR",'Canjes desagregado'!$V165*Q165*M165%,Q165*M165%))</f>
        <v>-68628916620</v>
      </c>
      <c r="S165" s="228">
        <v>-71622000000</v>
      </c>
      <c r="T165" s="228">
        <f>IFERROR(IF(RIGHT(F165,2)=RIGHT(YEAR(J165),2),1,0),"")</f>
        <v>0</v>
      </c>
      <c r="U165" s="228">
        <f>+IF(R165="","",R165)</f>
        <v>-68628916620</v>
      </c>
      <c r="V165" s="536">
        <f>+IF(F165&lt;&gt;"",(_xlfn.XLOOKUP(C165,UVR[Fecha (dd/mm/aaaa)],UVR[Pesos colombianos por UVR],"",0,1)),"")</f>
        <v>396.8603</v>
      </c>
      <c r="W165" s="228">
        <f>IF(C165="","",IF(CONCATENATE(DAY(C165),"/",MONTH(C165),"/",2000)-CONCATENATE(DAY(J165),"/",MONTH(J165),"/",2000)&lt;0,K165%*ABS(S165),0))</f>
        <v>0</v>
      </c>
      <c r="X165" s="228">
        <f>IF(S165&lt;0,-W165,W165)</f>
        <v>0</v>
      </c>
      <c r="Y165" s="537"/>
      <c r="Z165" s="537"/>
      <c r="AA165" s="537"/>
      <c r="AB165" s="231">
        <f>IF(C165="","",ROUND(V165*(1+'Inflación observada '!$B$390%)^(("31-12-2025"-C165)/365),3))</f>
        <v>398.024</v>
      </c>
      <c r="AC165" s="537"/>
      <c r="AD165" s="232">
        <f>IF(C165="","",IF(G165="UVR",Q165*AB165-S165,0))</f>
        <v>0</v>
      </c>
      <c r="AE165" s="538" t="e">
        <f>IF(C165="","",P165/+(O165+P165))</f>
        <v>#DIV/0!</v>
      </c>
      <c r="AF165" s="228" t="e">
        <f>IF(C165="","",AE165*Q165*K165%)</f>
        <v>#DIV/0!</v>
      </c>
      <c r="AG165" s="232">
        <f ca="1">(Tabla6[[#This Row],[Fecha Vto]]-TODAY())/365</f>
        <v>0.47123287671232877</v>
      </c>
      <c r="AH165" s="234"/>
      <c r="AI165" s="235"/>
      <c r="AJ165" s="236">
        <f>IF(C165="","",IF(G165="UVR",Q165*AI165-S165,0))</f>
        <v>0</v>
      </c>
    </row>
    <row r="166" spans="1:36">
      <c r="A166" s="219">
        <f t="shared" ref="A166:A167" si="401">IF(C166="","",YEAR(C166))</f>
        <v>2025</v>
      </c>
      <c r="B166" s="220">
        <v>655</v>
      </c>
      <c r="C166" s="221">
        <v>46001</v>
      </c>
      <c r="D166" s="222" t="s">
        <v>42</v>
      </c>
      <c r="E166" s="223" t="s">
        <v>194</v>
      </c>
      <c r="F166" s="224" t="s">
        <v>211</v>
      </c>
      <c r="G166" s="225" t="str">
        <f>+_xlfn.XLOOKUP(F166,Emisiones[Mnemotécnico SEN],Emisiones[Moneda],"",0,1)</f>
        <v>COP</v>
      </c>
      <c r="H166" s="225"/>
      <c r="I166" s="226"/>
      <c r="J166" s="226">
        <f>+_xlfn.XLOOKUP(F166,Emisiones[Mnemotécnico SEN],Emisiones[Fecha Vencim.],"",0,1)</f>
        <v>46260</v>
      </c>
      <c r="K166" s="224">
        <f>+_xlfn.XLOOKUP(F166,Emisiones[Mnemotécnico SEN],Emisiones[Tasa de Interés],"",0,1)</f>
        <v>7.5</v>
      </c>
      <c r="L166" s="227">
        <v>9.0410000000000004</v>
      </c>
      <c r="M166" s="227">
        <v>101.096</v>
      </c>
      <c r="N166" s="227">
        <f t="shared" ref="N166:N167" si="402">IF(C166="","",PRICE(C166,J166,K166%,L166%,100,1,3))</f>
        <v>98.841136394344559</v>
      </c>
      <c r="O166" s="227">
        <f t="shared" ref="O166:O167" si="403">IF(C166="","",M166-N166)</f>
        <v>2.2548636056554443</v>
      </c>
      <c r="P166" s="227">
        <f t="shared" ref="P166:P167" si="404">IF(C166="","",100*K166%-O166)</f>
        <v>5.2451363943445557</v>
      </c>
      <c r="Q166" s="228">
        <f t="shared" ref="Q166:Q167" si="405">IF(C166="","",IF(G166="UVR",S166/V166,S166))</f>
        <v>-135378000000</v>
      </c>
      <c r="R166" s="228">
        <f>IF(C166="","",IF('Canjes desagregado'!$G166="UVR",'Canjes desagregado'!$V166*Q166*M166%,Q166*M166%))</f>
        <v>-136861742880.00002</v>
      </c>
      <c r="S166" s="228">
        <v>-135378000000</v>
      </c>
      <c r="T166" s="228">
        <f t="shared" ref="T166:T167" si="406">IFERROR(IF(RIGHT(F166,2)=RIGHT(YEAR(J166),2),1,0),"")</f>
        <v>1</v>
      </c>
      <c r="U166" s="228">
        <f t="shared" ref="U166:U167" si="407">+IF(R166="","",R166)</f>
        <v>-136861742880.00002</v>
      </c>
      <c r="V166" s="536">
        <f>+IF(F166&lt;&gt;"",(_xlfn.XLOOKUP(C166,UVR[Fecha (dd/mm/aaaa)],UVR[Pesos colombianos por UVR],"",0,1)),"")</f>
        <v>396.8603</v>
      </c>
      <c r="W166" s="228">
        <f t="shared" ref="W166:W167" si="408">IF(C166="","",IF(CONCATENATE(DAY(C166),"/",MONTH(C166),"/",2000)-CONCATENATE(DAY(J166),"/",MONTH(J166),"/",2000)&lt;0,K166%*ABS(S166),0))</f>
        <v>0</v>
      </c>
      <c r="X166" s="228">
        <f t="shared" ref="X166:X167" si="409">IF(S166&lt;0,-W166,W166)</f>
        <v>0</v>
      </c>
      <c r="Y166" s="537"/>
      <c r="Z166" s="537"/>
      <c r="AA166" s="537"/>
      <c r="AB166" s="231">
        <f>IF(C166="","",ROUND(V166*(1+'Inflación observada '!$B$390%)^(("31-12-2025"-C166)/365),3))</f>
        <v>398.024</v>
      </c>
      <c r="AC166" s="537"/>
      <c r="AD166" s="232">
        <f t="shared" ref="AD166:AD167" si="410">IF(C166="","",IF(G166="UVR",Q166*AB166-S166,0))</f>
        <v>0</v>
      </c>
      <c r="AE166" s="538">
        <f t="shared" ref="AE166:AE167" si="411">IF(C166="","",P166/+(O166+P166))</f>
        <v>0.69935151924594074</v>
      </c>
      <c r="AF166" s="228">
        <f t="shared" ref="AF166:AF167" si="412">IF(C166="","",AE166*Q166*K166%)</f>
        <v>-7100760747.9357719</v>
      </c>
      <c r="AG166" s="232">
        <f ca="1">(Tabla6[[#This Row],[Fecha Vto]]-TODAY())/365</f>
        <v>0.70410958904109588</v>
      </c>
      <c r="AH166" s="234"/>
      <c r="AI166" s="235"/>
      <c r="AJ166" s="236">
        <f t="shared" ref="AJ166:AJ167" si="413">IF(C166="","",IF(G166="UVR",Q166*AI166-S166,0))</f>
        <v>0</v>
      </c>
    </row>
    <row r="167" spans="1:36">
      <c r="A167" s="219">
        <f t="shared" si="401"/>
        <v>2025</v>
      </c>
      <c r="B167" s="220">
        <v>655</v>
      </c>
      <c r="C167" s="221">
        <v>46001</v>
      </c>
      <c r="D167" s="222" t="s">
        <v>42</v>
      </c>
      <c r="E167" s="223" t="s">
        <v>195</v>
      </c>
      <c r="F167" s="224" t="s">
        <v>484</v>
      </c>
      <c r="G167" s="225" t="str">
        <f>+_xlfn.XLOOKUP(F167,Emisiones[Mnemotécnico SEN],Emisiones[Moneda],"",0,1)</f>
        <v>COP</v>
      </c>
      <c r="H167" s="225"/>
      <c r="I167" s="226"/>
      <c r="J167" s="226">
        <f>+_xlfn.XLOOKUP(F167,Emisiones[Mnemotécnico SEN],Emisiones[Fecha Vencim.],"",0,1)</f>
        <v>47352</v>
      </c>
      <c r="K167" s="224">
        <f>+_xlfn.XLOOKUP(F167,Emisiones[Mnemotécnico SEN],Emisiones[Tasa de Interés],"",0,1)</f>
        <v>11</v>
      </c>
      <c r="L167" s="227">
        <v>12.381</v>
      </c>
      <c r="M167" s="227">
        <v>99.27</v>
      </c>
      <c r="N167" s="227">
        <f t="shared" si="402"/>
        <v>95.9551415411741</v>
      </c>
      <c r="O167" s="227">
        <f t="shared" si="403"/>
        <v>3.3148584588258956</v>
      </c>
      <c r="P167" s="227">
        <f t="shared" si="404"/>
        <v>7.6851415411741044</v>
      </c>
      <c r="Q167" s="228">
        <f t="shared" si="405"/>
        <v>207000000000</v>
      </c>
      <c r="R167" s="228">
        <f>IF(C167="","",IF('Canjes desagregado'!$G167="UVR",'Canjes desagregado'!$V167*Q167*M167%,Q167*M167%))</f>
        <v>205488899999.99997</v>
      </c>
      <c r="S167" s="228">
        <v>207000000000</v>
      </c>
      <c r="T167" s="228">
        <f t="shared" si="406"/>
        <v>1</v>
      </c>
      <c r="U167" s="228">
        <f t="shared" si="407"/>
        <v>205488899999.99997</v>
      </c>
      <c r="V167" s="536">
        <f>+IF(F167&lt;&gt;"",(_xlfn.XLOOKUP(C167,UVR[Fecha (dd/mm/aaaa)],UVR[Pesos colombianos por UVR],"",0,1)),"")</f>
        <v>396.8603</v>
      </c>
      <c r="W167" s="228">
        <f t="shared" si="408"/>
        <v>0</v>
      </c>
      <c r="X167" s="228">
        <f t="shared" si="409"/>
        <v>0</v>
      </c>
      <c r="Y167" s="537"/>
      <c r="Z167" s="537"/>
      <c r="AA167" s="537"/>
      <c r="AB167" s="231">
        <f>IF(C167="","",ROUND(V167*(1+'Inflación observada '!$B$390%)^(("31-12-2025"-C167)/365),3))</f>
        <v>398.024</v>
      </c>
      <c r="AC167" s="537"/>
      <c r="AD167" s="232">
        <f t="shared" si="410"/>
        <v>0</v>
      </c>
      <c r="AE167" s="538">
        <f t="shared" si="411"/>
        <v>0.69864923101582765</v>
      </c>
      <c r="AF167" s="228">
        <f t="shared" si="412"/>
        <v>15908242990.230396</v>
      </c>
      <c r="AG167" s="232">
        <f ca="1">(Tabla6[[#This Row],[Fecha Vto]]-TODAY())/365</f>
        <v>3.6958904109589041</v>
      </c>
      <c r="AH167" s="234"/>
      <c r="AI167" s="235"/>
      <c r="AJ167" s="236">
        <f t="shared" si="413"/>
        <v>0</v>
      </c>
    </row>
    <row r="168" spans="1:36">
      <c r="A168" s="219">
        <f>IF(C168="","",YEAR(C168))</f>
        <v>2025</v>
      </c>
      <c r="B168" s="220">
        <v>656</v>
      </c>
      <c r="C168" s="221">
        <v>46002</v>
      </c>
      <c r="D168" s="222" t="s">
        <v>42</v>
      </c>
      <c r="E168" s="223" t="s">
        <v>194</v>
      </c>
      <c r="F168" s="224" t="s">
        <v>554</v>
      </c>
      <c r="G168" s="225" t="str">
        <f>+_xlfn.XLOOKUP(F168,Emisiones[Mnemotécnico SEN],Emisiones[Moneda],"",0,1)</f>
        <v>COP</v>
      </c>
      <c r="H168" s="225"/>
      <c r="I168" s="226"/>
      <c r="J168" s="226">
        <f>+_xlfn.XLOOKUP(F168,Emisiones[Mnemotécnico SEN],Emisiones[Fecha Vencim.],"",0,1)</f>
        <v>46175</v>
      </c>
      <c r="K168" s="224">
        <f>+_xlfn.XLOOKUP(F168,Emisiones[Mnemotécnico SEN],Emisiones[Tasa de Interés],"",0,1)</f>
        <v>0</v>
      </c>
      <c r="L168" s="227">
        <v>9.5530000000000008</v>
      </c>
      <c r="M168" s="227">
        <v>95.768000000000001</v>
      </c>
      <c r="N168" s="227">
        <f>IF(C168="","",PRICE(C168,J168,K168%,L168%,100,1,3))</f>
        <v>95.668274216936169</v>
      </c>
      <c r="O168" s="227">
        <f>IF(C168="","",M168-N168)</f>
        <v>9.9725783063831841E-2</v>
      </c>
      <c r="P168" s="227">
        <f>IF(C168="","",100*K168%-O168)</f>
        <v>-9.9725783063831841E-2</v>
      </c>
      <c r="Q168" s="228">
        <f>IF(C168="","",IF(G168="UVR",S168/V168,S168))</f>
        <v>-396801200000</v>
      </c>
      <c r="R168" s="228">
        <f>IF(C168="","",IF('Canjes desagregado'!$G168="UVR",'Canjes desagregado'!$V168*Q168*M168%,Q168*M168%))</f>
        <v>-380008573216</v>
      </c>
      <c r="S168" s="228">
        <v>-396801200000</v>
      </c>
      <c r="T168" s="228">
        <f>IFERROR(IF(RIGHT(F168,2)=RIGHT(YEAR(J168),2),1,0),"")</f>
        <v>0</v>
      </c>
      <c r="U168" s="228">
        <f>+IF(R168="","",R168)</f>
        <v>-380008573216</v>
      </c>
      <c r="V168" s="536">
        <f>+IF(F168&lt;&gt;"",(_xlfn.XLOOKUP(C168,UVR[Fecha (dd/mm/aaaa)],UVR[Pesos colombianos por UVR],"",0,1)),"")</f>
        <v>396.88409999999999</v>
      </c>
      <c r="W168" s="228">
        <f>IF(C168="","",IF(CONCATENATE(DAY(C168),"/",MONTH(C168),"/",2000)-CONCATENATE(DAY(J168),"/",MONTH(J168),"/",2000)&lt;0,K168%*ABS(S168),0))</f>
        <v>0</v>
      </c>
      <c r="X168" s="228">
        <f>IF(S168&lt;0,-W168,W168)</f>
        <v>0</v>
      </c>
      <c r="Y168" s="537"/>
      <c r="Z168" s="537"/>
      <c r="AA168" s="537"/>
      <c r="AB168" s="231">
        <f>IF(C168="","",ROUND(V168*(1+'Inflación observada '!$B$390%)^(("31-12-2025"-C168)/365),3))</f>
        <v>397.99200000000002</v>
      </c>
      <c r="AC168" s="537"/>
      <c r="AD168" s="232">
        <f>IF(C168="","",IF(G168="UVR",Q168*AB168-S168,0))</f>
        <v>0</v>
      </c>
      <c r="AE168" s="538" t="e">
        <f>IF(C168="","",P168/+(O168+P168))</f>
        <v>#DIV/0!</v>
      </c>
      <c r="AF168" s="228" t="e">
        <f>IF(C168="","",AE168*Q168*K168%)</f>
        <v>#DIV/0!</v>
      </c>
      <c r="AG168" s="232">
        <f ca="1">(Tabla6[[#This Row],[Fecha Vto]]-TODAY())/365</f>
        <v>0.47123287671232877</v>
      </c>
      <c r="AH168" s="234"/>
      <c r="AI168" s="235"/>
      <c r="AJ168" s="236">
        <f>IF(C168="","",IF(G168="UVR",Q168*AI168-S168,0))</f>
        <v>0</v>
      </c>
    </row>
    <row r="169" spans="1:36">
      <c r="A169" s="219">
        <f t="shared" ref="A169:A170" si="414">IF(C169="","",YEAR(C169))</f>
        <v>2025</v>
      </c>
      <c r="B169" s="220">
        <v>656</v>
      </c>
      <c r="C169" s="221">
        <v>46002</v>
      </c>
      <c r="D169" s="222" t="s">
        <v>42</v>
      </c>
      <c r="E169" s="223" t="s">
        <v>194</v>
      </c>
      <c r="F169" s="224" t="s">
        <v>211</v>
      </c>
      <c r="G169" s="225" t="str">
        <f>+_xlfn.XLOOKUP(F169,Emisiones[Mnemotécnico SEN],Emisiones[Moneda],"",0,1)</f>
        <v>COP</v>
      </c>
      <c r="H169" s="225"/>
      <c r="I169" s="226"/>
      <c r="J169" s="226">
        <f>+_xlfn.XLOOKUP(F169,Emisiones[Mnemotécnico SEN],Emisiones[Fecha Vencim.],"",0,1)</f>
        <v>46260</v>
      </c>
      <c r="K169" s="224">
        <f>+_xlfn.XLOOKUP(F169,Emisiones[Mnemotécnico SEN],Emisiones[Tasa de Interés],"",0,1)</f>
        <v>7.5</v>
      </c>
      <c r="L169" s="227">
        <v>8.9499999999999993</v>
      </c>
      <c r="M169" s="227">
        <v>101.18</v>
      </c>
      <c r="N169" s="227">
        <f t="shared" ref="N169:N170" si="415">IF(C169="","",PRICE(C169,J169,K169%,L169%,100,1,3))</f>
        <v>98.905234678224573</v>
      </c>
      <c r="O169" s="227">
        <f t="shared" ref="O169:O170" si="416">IF(C169="","",M169-N169)</f>
        <v>2.2747653217754333</v>
      </c>
      <c r="P169" s="227">
        <f t="shared" ref="P169:P170" si="417">IF(C169="","",100*K169%-O169)</f>
        <v>5.2252346782245667</v>
      </c>
      <c r="Q169" s="228">
        <f t="shared" ref="Q169:Q170" si="418">IF(C169="","",IF(G169="UVR",S169/V169,S169))</f>
        <v>-287756000000</v>
      </c>
      <c r="R169" s="228">
        <f>IF(C169="","",IF('Canjes desagregado'!$G169="UVR",'Canjes desagregado'!$V169*Q169*M169%,Q169*M169%))</f>
        <v>-291151520800</v>
      </c>
      <c r="S169" s="228">
        <v>-287756000000</v>
      </c>
      <c r="T169" s="228">
        <f t="shared" ref="T169:T170" si="419">IFERROR(IF(RIGHT(F169,2)=RIGHT(YEAR(J169),2),1,0),"")</f>
        <v>1</v>
      </c>
      <c r="U169" s="228">
        <f t="shared" ref="U169:U170" si="420">+IF(R169="","",R169)</f>
        <v>-291151520800</v>
      </c>
      <c r="V169" s="536">
        <f>+IF(F169&lt;&gt;"",(_xlfn.XLOOKUP(C169,UVR[Fecha (dd/mm/aaaa)],UVR[Pesos colombianos por UVR],"",0,1)),"")</f>
        <v>396.88409999999999</v>
      </c>
      <c r="W169" s="228">
        <f t="shared" ref="W169:W170" si="421">IF(C169="","",IF(CONCATENATE(DAY(C169),"/",MONTH(C169),"/",2000)-CONCATENATE(DAY(J169),"/",MONTH(J169),"/",2000)&lt;0,K169%*ABS(S169),0))</f>
        <v>0</v>
      </c>
      <c r="X169" s="228">
        <f t="shared" ref="X169:X170" si="422">IF(S169&lt;0,-W169,W169)</f>
        <v>0</v>
      </c>
      <c r="Y169" s="537"/>
      <c r="Z169" s="537"/>
      <c r="AA169" s="537"/>
      <c r="AB169" s="231">
        <f>IF(C169="","",ROUND(V169*(1+'Inflación observada '!$B$390%)^(("31-12-2025"-C169)/365),3))</f>
        <v>397.99200000000002</v>
      </c>
      <c r="AC169" s="537"/>
      <c r="AD169" s="232">
        <f t="shared" ref="AD169:AD170" si="423">IF(C169="","",IF(G169="UVR",Q169*AB169-S169,0))</f>
        <v>0</v>
      </c>
      <c r="AE169" s="538">
        <f t="shared" ref="AE169:AE170" si="424">IF(C169="","",P169/+(O169+P169))</f>
        <v>0.69669795709660887</v>
      </c>
      <c r="AF169" s="228">
        <f t="shared" ref="AF169:AF170" si="425">IF(C169="","",AE169*Q169*K169%)</f>
        <v>-15035926300.671883</v>
      </c>
      <c r="AG169" s="232">
        <f ca="1">(Tabla6[[#This Row],[Fecha Vto]]-TODAY())/365</f>
        <v>0.70410958904109588</v>
      </c>
      <c r="AH169" s="234"/>
      <c r="AI169" s="235"/>
      <c r="AJ169" s="236">
        <f t="shared" ref="AJ169:AJ170" si="426">IF(C169="","",IF(G169="UVR",Q169*AI169-S169,0))</f>
        <v>0</v>
      </c>
    </row>
    <row r="170" spans="1:36">
      <c r="A170" s="219">
        <f t="shared" si="414"/>
        <v>2025</v>
      </c>
      <c r="B170" s="220">
        <v>656</v>
      </c>
      <c r="C170" s="221">
        <v>46002</v>
      </c>
      <c r="D170" s="222" t="s">
        <v>42</v>
      </c>
      <c r="E170" s="223" t="s">
        <v>195</v>
      </c>
      <c r="F170" s="224" t="s">
        <v>484</v>
      </c>
      <c r="G170" s="225" t="str">
        <f>+_xlfn.XLOOKUP(F170,Emisiones[Mnemotécnico SEN],Emisiones[Moneda],"",0,1)</f>
        <v>COP</v>
      </c>
      <c r="H170" s="225"/>
      <c r="I170" s="226"/>
      <c r="J170" s="226">
        <f>+_xlfn.XLOOKUP(F170,Emisiones[Mnemotécnico SEN],Emisiones[Fecha Vencim.],"",0,1)</f>
        <v>47352</v>
      </c>
      <c r="K170" s="224">
        <f>+_xlfn.XLOOKUP(F170,Emisiones[Mnemotécnico SEN],Emisiones[Tasa de Interés],"",0,1)</f>
        <v>11</v>
      </c>
      <c r="L170" s="227">
        <v>12.6</v>
      </c>
      <c r="M170" s="227">
        <v>98.7</v>
      </c>
      <c r="N170" s="227">
        <f t="shared" si="415"/>
        <v>95.354286650705916</v>
      </c>
      <c r="O170" s="227">
        <f t="shared" si="416"/>
        <v>3.3457133492940869</v>
      </c>
      <c r="P170" s="227">
        <f t="shared" si="417"/>
        <v>7.6542866507059131</v>
      </c>
      <c r="Q170" s="228">
        <f t="shared" si="418"/>
        <v>680000000000</v>
      </c>
      <c r="R170" s="228">
        <f>IF(C170="","",IF('Canjes desagregado'!$G170="UVR",'Canjes desagregado'!$V170*Q170*M170%,Q170*M170%))</f>
        <v>671160000000</v>
      </c>
      <c r="S170" s="228">
        <v>680000000000</v>
      </c>
      <c r="T170" s="228">
        <f t="shared" si="419"/>
        <v>1</v>
      </c>
      <c r="U170" s="228">
        <f t="shared" si="420"/>
        <v>671160000000</v>
      </c>
      <c r="V170" s="536">
        <f>+IF(F170&lt;&gt;"",(_xlfn.XLOOKUP(C170,UVR[Fecha (dd/mm/aaaa)],UVR[Pesos colombianos por UVR],"",0,1)),"")</f>
        <v>396.88409999999999</v>
      </c>
      <c r="W170" s="228">
        <f t="shared" si="421"/>
        <v>0</v>
      </c>
      <c r="X170" s="228">
        <f t="shared" si="422"/>
        <v>0</v>
      </c>
      <c r="Y170" s="537"/>
      <c r="Z170" s="537"/>
      <c r="AA170" s="537"/>
      <c r="AB170" s="231">
        <f>IF(C170="","",ROUND(V170*(1+'Inflación observada '!$B$390%)^(("31-12-2025"-C170)/365),3))</f>
        <v>397.99200000000002</v>
      </c>
      <c r="AC170" s="537"/>
      <c r="AD170" s="232">
        <f t="shared" si="423"/>
        <v>0</v>
      </c>
      <c r="AE170" s="538">
        <f t="shared" si="424"/>
        <v>0.6958442409732648</v>
      </c>
      <c r="AF170" s="228">
        <f t="shared" si="425"/>
        <v>52049149224.800209</v>
      </c>
      <c r="AG170" s="232">
        <f ca="1">(Tabla6[[#This Row],[Fecha Vto]]-TODAY())/365</f>
        <v>3.6958904109589041</v>
      </c>
      <c r="AH170" s="234"/>
      <c r="AI170" s="235"/>
      <c r="AJ170" s="236">
        <f t="shared" si="426"/>
        <v>0</v>
      </c>
    </row>
    <row r="171" spans="1:36">
      <c r="A171" s="219">
        <f>IF(C171="","",YEAR(C171))</f>
        <v>2025</v>
      </c>
      <c r="B171" s="220">
        <v>657</v>
      </c>
      <c r="C171" s="221">
        <v>46003</v>
      </c>
      <c r="D171" s="222" t="s">
        <v>42</v>
      </c>
      <c r="E171" s="223" t="s">
        <v>194</v>
      </c>
      <c r="F171" s="224" t="s">
        <v>554</v>
      </c>
      <c r="G171" s="225" t="str">
        <f>+_xlfn.XLOOKUP(F171,Emisiones[Mnemotécnico SEN],Emisiones[Moneda],"",0,1)</f>
        <v>COP</v>
      </c>
      <c r="H171" s="225"/>
      <c r="I171" s="226"/>
      <c r="J171" s="226">
        <f>+_xlfn.XLOOKUP(F171,Emisiones[Mnemotécnico SEN],Emisiones[Fecha Vencim.],"",0,1)</f>
        <v>46175</v>
      </c>
      <c r="K171" s="224">
        <f>+_xlfn.XLOOKUP(F171,Emisiones[Mnemotécnico SEN],Emisiones[Tasa de Interés],"",0,1)</f>
        <v>0</v>
      </c>
      <c r="L171" s="227">
        <v>9.5809999999999995</v>
      </c>
      <c r="M171" s="227">
        <v>95.78</v>
      </c>
      <c r="N171" s="227">
        <f>IF(C171="","",PRICE(C171,J171,K171%,L171%,100,1,3))</f>
        <v>95.680153776094599</v>
      </c>
      <c r="O171" s="227">
        <f>IF(C171="","",M171-N171)</f>
        <v>9.9846223905402098E-2</v>
      </c>
      <c r="P171" s="227">
        <f>IF(C171="","",100*K171%-O171)</f>
        <v>-9.9846223905402098E-2</v>
      </c>
      <c r="Q171" s="228">
        <f>IF(C171="","",IF(G171="UVR",S171/V171,S171))</f>
        <v>-213678300000</v>
      </c>
      <c r="R171" s="228">
        <f>IF(C171="","",IF('Canjes desagregado'!$G171="UVR",'Canjes desagregado'!$V171*Q171*M171%,Q171*M171%))</f>
        <v>-204661075740</v>
      </c>
      <c r="S171" s="228">
        <v>-213678300000</v>
      </c>
      <c r="T171" s="228">
        <f>IFERROR(IF(RIGHT(F171,2)=RIGHT(YEAR(J171),2),1,0),"")</f>
        <v>0</v>
      </c>
      <c r="U171" s="228">
        <f>+IF(R171="","",R171)</f>
        <v>-204661075740</v>
      </c>
      <c r="V171" s="536">
        <f>+IF(F171&lt;&gt;"",(_xlfn.XLOOKUP(C171,UVR[Fecha (dd/mm/aaaa)],UVR[Pesos colombianos por UVR],"",0,1)),"")</f>
        <v>396.90789999999998</v>
      </c>
      <c r="W171" s="228">
        <f>IF(C171="","",IF(CONCATENATE(DAY(C171),"/",MONTH(C171),"/",2000)-CONCATENATE(DAY(J171),"/",MONTH(J171),"/",2000)&lt;0,K171%*ABS(S171),0))</f>
        <v>0</v>
      </c>
      <c r="X171" s="228">
        <f>IF(S171&lt;0,-W171,W171)</f>
        <v>0</v>
      </c>
      <c r="Y171" s="537"/>
      <c r="Z171" s="537"/>
      <c r="AA171" s="537"/>
      <c r="AB171" s="231">
        <f>IF(C171="","",ROUND(V171*(1+'Inflación observada '!$B$390%)^(("31-12-2025"-C171)/365),3))</f>
        <v>397.96100000000001</v>
      </c>
      <c r="AC171" s="537"/>
      <c r="AD171" s="232">
        <f>IF(C171="","",IF(G171="UVR",Q171*AB171-S171,0))</f>
        <v>0</v>
      </c>
      <c r="AE171" s="538" t="e">
        <f>IF(C171="","",P171/+(O171+P171))</f>
        <v>#DIV/0!</v>
      </c>
      <c r="AF171" s="228" t="e">
        <f>IF(C171="","",AE171*Q171*K171%)</f>
        <v>#DIV/0!</v>
      </c>
      <c r="AG171" s="232">
        <f ca="1">(Tabla6[[#This Row],[Fecha Vto]]-TODAY())/365</f>
        <v>0.47123287671232877</v>
      </c>
      <c r="AH171" s="234"/>
      <c r="AI171" s="235"/>
      <c r="AJ171" s="236">
        <f>IF(C171="","",IF(G171="UVR",Q171*AI171-S171,0))</f>
        <v>0</v>
      </c>
    </row>
    <row r="172" spans="1:36">
      <c r="A172" s="219">
        <f>IF(C172="","",YEAR(C172))</f>
        <v>2025</v>
      </c>
      <c r="B172" s="220">
        <v>657</v>
      </c>
      <c r="C172" s="221">
        <v>46003</v>
      </c>
      <c r="D172" s="222" t="s">
        <v>42</v>
      </c>
      <c r="E172" s="223" t="s">
        <v>195</v>
      </c>
      <c r="F172" s="224" t="s">
        <v>484</v>
      </c>
      <c r="G172" s="225" t="str">
        <f>+_xlfn.XLOOKUP(F172,Emisiones[Mnemotécnico SEN],Emisiones[Moneda],"",0,1)</f>
        <v>COP</v>
      </c>
      <c r="H172" s="225"/>
      <c r="I172" s="226"/>
      <c r="J172" s="226">
        <f>+_xlfn.XLOOKUP(F172,Emisiones[Mnemotécnico SEN],Emisiones[Fecha Vencim.],"",0,1)</f>
        <v>47352</v>
      </c>
      <c r="K172" s="224">
        <f>+_xlfn.XLOOKUP(F172,Emisiones[Mnemotécnico SEN],Emisiones[Tasa de Interés],"",0,1)</f>
        <v>11</v>
      </c>
      <c r="L172" s="227">
        <v>12.375</v>
      </c>
      <c r="M172" s="227">
        <v>99.35</v>
      </c>
      <c r="N172" s="227">
        <f>IF(C172="","",PRICE(C172,J172,K172%,L172%,100,1,3))</f>
        <v>95.974950367249491</v>
      </c>
      <c r="O172" s="227">
        <f>IF(C172="","",M172-N172)</f>
        <v>3.3750496327505033</v>
      </c>
      <c r="P172" s="227">
        <f>IF(C172="","",100*K172%-O172)</f>
        <v>7.6249503672494967</v>
      </c>
      <c r="Q172" s="228">
        <f>IF(C172="","",IF(G172="UVR",S172/V172,S172))</f>
        <v>206000000000</v>
      </c>
      <c r="R172" s="228">
        <f>IF(C172="","",IF('Canjes desagregado'!$G172="UVR",'Canjes desagregado'!$V172*Q172*M172%,Q172*M172%))</f>
        <v>204661000000</v>
      </c>
      <c r="S172" s="228">
        <v>206000000000</v>
      </c>
      <c r="T172" s="228">
        <f>IFERROR(IF(RIGHT(F172,2)=RIGHT(YEAR(J172),2),1,0),"")</f>
        <v>1</v>
      </c>
      <c r="U172" s="228">
        <f>+IF(R172="","",R172)</f>
        <v>204661000000</v>
      </c>
      <c r="V172" s="536">
        <f>+IF(F172&lt;&gt;"",(_xlfn.XLOOKUP(C172,UVR[Fecha (dd/mm/aaaa)],UVR[Pesos colombianos por UVR],"",0,1)),"")</f>
        <v>396.90789999999998</v>
      </c>
      <c r="W172" s="228">
        <f>IF(C172="","",IF(CONCATENATE(DAY(C172),"/",MONTH(C172),"/",2000)-CONCATENATE(DAY(J172),"/",MONTH(J172),"/",2000)&lt;0,K172%*ABS(S172),0))</f>
        <v>0</v>
      </c>
      <c r="X172" s="228">
        <f>IF(S172&lt;0,-W172,W172)</f>
        <v>0</v>
      </c>
      <c r="Y172" s="537"/>
      <c r="Z172" s="537"/>
      <c r="AA172" s="537"/>
      <c r="AB172" s="231">
        <f>IF(C172="","",ROUND(V172*(1+'Inflación observada '!$B$390%)^(("31-12-2025"-C172)/365),3))</f>
        <v>397.96100000000001</v>
      </c>
      <c r="AC172" s="537"/>
      <c r="AD172" s="232">
        <f>IF(C172="","",IF(G172="UVR",Q172*AB172-S172,0))</f>
        <v>0</v>
      </c>
      <c r="AE172" s="538">
        <f>IF(C172="","",P172/+(O172+P172))</f>
        <v>0.69317730611359063</v>
      </c>
      <c r="AF172" s="228">
        <f>IF(C172="","",AE172*Q172*K172%)</f>
        <v>15707397756.533962</v>
      </c>
      <c r="AG172" s="232">
        <f ca="1">(Tabla6[[#This Row],[Fecha Vto]]-TODAY())/365</f>
        <v>3.6958904109589041</v>
      </c>
      <c r="AH172" s="234"/>
      <c r="AI172" s="235"/>
      <c r="AJ172" s="236">
        <f>IF(C172="","",IF(G172="UVR",Q172*AI172-S172,0))</f>
        <v>0</v>
      </c>
    </row>
  </sheetData>
  <phoneticPr fontId="18" type="noConversion"/>
  <conditionalFormatting sqref="E2 E80:E81">
    <cfRule type="cellIs" dxfId="72" priority="58" operator="equal">
      <formula>$E$2</formula>
    </cfRule>
  </conditionalFormatting>
  <conditionalFormatting sqref="E4">
    <cfRule type="cellIs" dxfId="71" priority="57" operator="equal">
      <formula>$E$2</formula>
    </cfRule>
  </conditionalFormatting>
  <conditionalFormatting sqref="E7">
    <cfRule type="cellIs" dxfId="70" priority="56" operator="equal">
      <formula>$E$2</formula>
    </cfRule>
  </conditionalFormatting>
  <conditionalFormatting sqref="E10">
    <cfRule type="cellIs" dxfId="69" priority="55" operator="equal">
      <formula>$E$2</formula>
    </cfRule>
  </conditionalFormatting>
  <conditionalFormatting sqref="E12">
    <cfRule type="cellIs" dxfId="68" priority="54" operator="equal">
      <formula>$E$2</formula>
    </cfRule>
  </conditionalFormatting>
  <conditionalFormatting sqref="E14">
    <cfRule type="cellIs" dxfId="67" priority="53" operator="equal">
      <formula>$E$2</formula>
    </cfRule>
  </conditionalFormatting>
  <conditionalFormatting sqref="E16">
    <cfRule type="cellIs" dxfId="66" priority="52" operator="equal">
      <formula>$E$2</formula>
    </cfRule>
  </conditionalFormatting>
  <conditionalFormatting sqref="E18">
    <cfRule type="cellIs" dxfId="65" priority="51" operator="equal">
      <formula>$E$2</formula>
    </cfRule>
  </conditionalFormatting>
  <conditionalFormatting sqref="E20">
    <cfRule type="cellIs" dxfId="64" priority="50" operator="equal">
      <formula>$E$2</formula>
    </cfRule>
  </conditionalFormatting>
  <conditionalFormatting sqref="E22">
    <cfRule type="cellIs" dxfId="63" priority="49" operator="equal">
      <formula>$E$2</formula>
    </cfRule>
  </conditionalFormatting>
  <conditionalFormatting sqref="E24">
    <cfRule type="cellIs" dxfId="62" priority="48" operator="equal">
      <formula>$E$2</formula>
    </cfRule>
  </conditionalFormatting>
  <conditionalFormatting sqref="E27">
    <cfRule type="cellIs" dxfId="61" priority="47" operator="equal">
      <formula>$E$2</formula>
    </cfRule>
  </conditionalFormatting>
  <conditionalFormatting sqref="E29:E30">
    <cfRule type="cellIs" dxfId="60" priority="46" operator="equal">
      <formula>$E$2</formula>
    </cfRule>
  </conditionalFormatting>
  <conditionalFormatting sqref="E32:E33">
    <cfRule type="cellIs" dxfId="59" priority="45" operator="equal">
      <formula>$E$2</formula>
    </cfRule>
  </conditionalFormatting>
  <conditionalFormatting sqref="E35:E36">
    <cfRule type="cellIs" dxfId="58" priority="44" operator="equal">
      <formula>$E$2</formula>
    </cfRule>
  </conditionalFormatting>
  <conditionalFormatting sqref="E38">
    <cfRule type="cellIs" dxfId="57" priority="43" operator="equal">
      <formula>$E$2</formula>
    </cfRule>
  </conditionalFormatting>
  <conditionalFormatting sqref="E40">
    <cfRule type="cellIs" dxfId="56" priority="42" operator="equal">
      <formula>$E$2</formula>
    </cfRule>
  </conditionalFormatting>
  <conditionalFormatting sqref="E42">
    <cfRule type="cellIs" dxfId="55" priority="41" operator="equal">
      <formula>$E$2</formula>
    </cfRule>
  </conditionalFormatting>
  <conditionalFormatting sqref="E44:E45">
    <cfRule type="cellIs" dxfId="54" priority="40" operator="equal">
      <formula>$E$2</formula>
    </cfRule>
  </conditionalFormatting>
  <conditionalFormatting sqref="E47:E48">
    <cfRule type="cellIs" dxfId="53" priority="39" operator="equal">
      <formula>$E$2</formula>
    </cfRule>
  </conditionalFormatting>
  <conditionalFormatting sqref="E50">
    <cfRule type="cellIs" dxfId="52" priority="38" operator="equal">
      <formula>$E$2</formula>
    </cfRule>
  </conditionalFormatting>
  <conditionalFormatting sqref="E53">
    <cfRule type="cellIs" dxfId="51" priority="36" operator="equal">
      <formula>$E$2</formula>
    </cfRule>
  </conditionalFormatting>
  <conditionalFormatting sqref="E56">
    <cfRule type="cellIs" dxfId="50" priority="35" operator="equal">
      <formula>$E$2</formula>
    </cfRule>
  </conditionalFormatting>
  <conditionalFormatting sqref="E58:E59">
    <cfRule type="cellIs" dxfId="49" priority="32" operator="equal">
      <formula>$E$2</formula>
    </cfRule>
  </conditionalFormatting>
  <conditionalFormatting sqref="E61">
    <cfRule type="cellIs" dxfId="48" priority="33" operator="equal">
      <formula>$E$2</formula>
    </cfRule>
  </conditionalFormatting>
  <conditionalFormatting sqref="E67:E68">
    <cfRule type="cellIs" dxfId="47" priority="34" operator="equal">
      <formula>$E$2</formula>
    </cfRule>
  </conditionalFormatting>
  <conditionalFormatting sqref="E70:E77">
    <cfRule type="cellIs" dxfId="46" priority="31" operator="equal">
      <formula>$E$2</formula>
    </cfRule>
  </conditionalFormatting>
  <conditionalFormatting sqref="E84:E85">
    <cfRule type="cellIs" dxfId="45" priority="30" operator="equal">
      <formula>$E$2</formula>
    </cfRule>
  </conditionalFormatting>
  <conditionalFormatting sqref="E87:E89">
    <cfRule type="cellIs" dxfId="44" priority="28" operator="equal">
      <formula>$E$2</formula>
    </cfRule>
  </conditionalFormatting>
  <conditionalFormatting sqref="E92">
    <cfRule type="cellIs" dxfId="43" priority="27" operator="equal">
      <formula>$E$2</formula>
    </cfRule>
  </conditionalFormatting>
  <conditionalFormatting sqref="E94">
    <cfRule type="cellIs" dxfId="42" priority="26" operator="equal">
      <formula>$E$2</formula>
    </cfRule>
  </conditionalFormatting>
  <conditionalFormatting sqref="E96">
    <cfRule type="cellIs" dxfId="41" priority="25" operator="equal">
      <formula>$E$2</formula>
    </cfRule>
  </conditionalFormatting>
  <conditionalFormatting sqref="E102">
    <cfRule type="cellIs" dxfId="40" priority="24" operator="equal">
      <formula>$E$2</formula>
    </cfRule>
  </conditionalFormatting>
  <conditionalFormatting sqref="E105">
    <cfRule type="cellIs" dxfId="39" priority="23" operator="equal">
      <formula>$E$2</formula>
    </cfRule>
  </conditionalFormatting>
  <conditionalFormatting sqref="E109:E110">
    <cfRule type="cellIs" dxfId="38" priority="22" operator="equal">
      <formula>$E$2</formula>
    </cfRule>
  </conditionalFormatting>
  <conditionalFormatting sqref="E113:E114">
    <cfRule type="cellIs" dxfId="37" priority="20" operator="equal">
      <formula>$E$2</formula>
    </cfRule>
  </conditionalFormatting>
  <conditionalFormatting sqref="E116">
    <cfRule type="cellIs" dxfId="36" priority="19" operator="equal">
      <formula>$E$2</formula>
    </cfRule>
  </conditionalFormatting>
  <conditionalFormatting sqref="E119:E120">
    <cfRule type="cellIs" dxfId="35" priority="18" operator="equal">
      <formula>$E$2</formula>
    </cfRule>
  </conditionalFormatting>
  <conditionalFormatting sqref="E122:E123">
    <cfRule type="cellIs" dxfId="34" priority="17" operator="equal">
      <formula>$E$2</formula>
    </cfRule>
  </conditionalFormatting>
  <conditionalFormatting sqref="E126:E127">
    <cfRule type="cellIs" dxfId="33" priority="16" operator="equal">
      <formula>$E$2</formula>
    </cfRule>
  </conditionalFormatting>
  <conditionalFormatting sqref="E129:E130">
    <cfRule type="cellIs" dxfId="32" priority="15" operator="equal">
      <formula>$E$2</formula>
    </cfRule>
  </conditionalFormatting>
  <conditionalFormatting sqref="E132:E135">
    <cfRule type="cellIs" dxfId="31" priority="14" operator="equal">
      <formula>$E$2</formula>
    </cfRule>
  </conditionalFormatting>
  <conditionalFormatting sqref="E139:E140">
    <cfRule type="cellIs" dxfId="30" priority="13" operator="equal">
      <formula>$E$2</formula>
    </cfRule>
  </conditionalFormatting>
  <conditionalFormatting sqref="E145:E146">
    <cfRule type="cellIs" dxfId="29" priority="12" operator="equal">
      <formula>$E$2</formula>
    </cfRule>
  </conditionalFormatting>
  <conditionalFormatting sqref="E149:E150">
    <cfRule type="cellIs" dxfId="28" priority="10" operator="equal">
      <formula>$E$2</formula>
    </cfRule>
  </conditionalFormatting>
  <conditionalFormatting sqref="E153:E154">
    <cfRule type="cellIs" dxfId="27" priority="8" operator="equal">
      <formula>$E$2</formula>
    </cfRule>
  </conditionalFormatting>
  <conditionalFormatting sqref="E156">
    <cfRule type="cellIs" dxfId="26" priority="7" operator="equal">
      <formula>$E$2</formula>
    </cfRule>
  </conditionalFormatting>
  <conditionalFormatting sqref="E158">
    <cfRule type="cellIs" dxfId="25" priority="6" operator="equal">
      <formula>$E$2</formula>
    </cfRule>
  </conditionalFormatting>
  <conditionalFormatting sqref="E160">
    <cfRule type="cellIs" dxfId="24" priority="5" operator="equal">
      <formula>$E$2</formula>
    </cfRule>
  </conditionalFormatting>
  <conditionalFormatting sqref="E162:E163">
    <cfRule type="cellIs" dxfId="23" priority="4" operator="equal">
      <formula>$E$2</formula>
    </cfRule>
  </conditionalFormatting>
  <conditionalFormatting sqref="E165:E166">
    <cfRule type="cellIs" dxfId="22" priority="3" operator="equal">
      <formula>$E$2</formula>
    </cfRule>
  </conditionalFormatting>
  <conditionalFormatting sqref="E168:E169">
    <cfRule type="cellIs" dxfId="21" priority="2" operator="equal">
      <formula>$E$2</formula>
    </cfRule>
  </conditionalFormatting>
  <conditionalFormatting sqref="E171">
    <cfRule type="cellIs" dxfId="20" priority="1" operator="equal">
      <formula>$E$2</formula>
    </cfRule>
  </conditionalFormatting>
  <dataValidations count="1">
    <dataValidation type="list" allowBlank="1" showInputMessage="1" showErrorMessage="1" sqref="B1:B1048576" xr:uid="{32AAD490-FB08-4953-92F7-F8DD7AAF8CF3}">
      <formula1>$B:$B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2FC3C0B-FA9F-4CF0-8014-5FEB5EEEA3C2}">
          <x14:formula1>
            <xm:f>Emisiones!$G$3:$G$30</xm:f>
          </x14:formula1>
          <xm:sqref>F2:F82 F84:F101 F103:F105 F107:F108</xm:sqref>
        </x14:dataValidation>
        <x14:dataValidation type="list" allowBlank="1" showInputMessage="1" showErrorMessage="1" xr:uid="{00801623-47FE-486E-A5C0-491863BB8B06}">
          <x14:formula1>
            <xm:f>Emisiones!$G$2:$G$100</xm:f>
          </x14:formula1>
          <xm:sqref>F83</xm:sqref>
        </x14:dataValidation>
        <x14:dataValidation type="list" allowBlank="1" showInputMessage="1" showErrorMessage="1" xr:uid="{D3376553-33B4-41C0-9472-DB03E37E90FB}">
          <x14:formula1>
            <xm:f>Emisiones!$G$2:$G$1048576</xm:f>
          </x14:formula1>
          <xm:sqref>F106 F109:F172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4AFC-FD22-47FC-B1C3-B888F866BC8A}">
  <sheetPr codeName="Hoja1">
    <tabColor theme="4" tint="0.59999389629810485"/>
  </sheetPr>
  <dimension ref="A2:AV407"/>
  <sheetViews>
    <sheetView zoomScale="85" zoomScaleNormal="85" workbookViewId="0">
      <pane xSplit="1" ySplit="5" topLeftCell="B340" activePane="bottomRight" state="frozen"/>
      <selection pane="topRight" activeCell="B1" sqref="B1"/>
      <selection pane="bottomLeft" activeCell="A6" sqref="A6"/>
      <selection pane="bottomRight" activeCell="D358" sqref="D358:D362"/>
    </sheetView>
  </sheetViews>
  <sheetFormatPr baseColWidth="10" defaultColWidth="11.42578125" defaultRowHeight="15"/>
  <cols>
    <col min="1" max="1" width="11.5703125" style="193" bestFit="1" customWidth="1"/>
    <col min="2" max="2" width="13.42578125" style="193" customWidth="1"/>
    <col min="3" max="3" width="17.7109375" style="193" customWidth="1"/>
    <col min="4" max="4" width="15.7109375" style="193" bestFit="1" customWidth="1"/>
    <col min="5" max="5" width="11" style="193" bestFit="1" customWidth="1"/>
    <col min="6" max="6" width="26.85546875" style="193" bestFit="1" customWidth="1"/>
    <col min="7" max="7" width="12.42578125" style="193" bestFit="1" customWidth="1"/>
    <col min="8" max="8" width="27.7109375" style="278" bestFit="1" customWidth="1"/>
    <col min="9" max="9" width="27.5703125" style="278" bestFit="1" customWidth="1"/>
    <col min="10" max="10" width="29.85546875" style="278" bestFit="1" customWidth="1"/>
    <col min="11" max="11" width="23.42578125" style="278" bestFit="1" customWidth="1"/>
    <col min="12" max="12" width="28.140625" style="278" bestFit="1" customWidth="1"/>
    <col min="13" max="13" width="23.5703125" style="278" customWidth="1"/>
    <col min="14" max="14" width="32.140625" style="278" bestFit="1" customWidth="1"/>
    <col min="15" max="15" width="32.7109375" style="278" customWidth="1"/>
    <col min="16" max="16" width="15.7109375" style="278" bestFit="1" customWidth="1"/>
    <col min="17" max="17" width="23.5703125" style="278" customWidth="1"/>
    <col min="18" max="18" width="16.140625" style="193" bestFit="1" customWidth="1"/>
    <col min="19" max="19" width="16" style="193" customWidth="1"/>
    <col min="20" max="20" width="27.5703125" style="193" bestFit="1" customWidth="1"/>
    <col min="21" max="21" width="23.85546875" style="193" bestFit="1" customWidth="1"/>
    <col min="22" max="22" width="51.42578125" style="193" customWidth="1"/>
    <col min="23" max="23" width="26.140625" style="193" bestFit="1" customWidth="1"/>
    <col min="24" max="24" width="49" style="193" customWidth="1"/>
    <col min="25" max="25" width="11.42578125" style="193" hidden="1" customWidth="1"/>
    <col min="26" max="26" width="13.28515625" style="278" hidden="1" customWidth="1"/>
    <col min="27" max="27" width="11.42578125" style="278" hidden="1" customWidth="1"/>
    <col min="28" max="28" width="13.28515625" style="193" customWidth="1"/>
    <col min="29" max="29" width="21.5703125" style="193" bestFit="1" customWidth="1"/>
    <col min="30" max="31" width="21.42578125" style="193" customWidth="1"/>
    <col min="32" max="32" width="22.42578125" style="193" bestFit="1" customWidth="1"/>
    <col min="33" max="33" width="27.5703125" style="193" bestFit="1" customWidth="1"/>
    <col min="34" max="34" width="18.140625" style="193" bestFit="1" customWidth="1"/>
    <col min="35" max="35" width="19" style="193" customWidth="1"/>
    <col min="36" max="36" width="12.140625" style="193" bestFit="1" customWidth="1"/>
    <col min="37" max="37" width="18.140625" style="193" bestFit="1" customWidth="1"/>
    <col min="38" max="38" width="32.140625" style="193" bestFit="1" customWidth="1"/>
    <col min="39" max="39" width="19.140625" style="193" bestFit="1" customWidth="1"/>
    <col min="40" max="40" width="9.28515625" style="193" bestFit="1" customWidth="1"/>
    <col min="41" max="41" width="13.7109375" style="193" customWidth="1"/>
    <col min="42" max="43" width="21.85546875" style="193" bestFit="1" customWidth="1"/>
    <col min="44" max="44" width="22.42578125" style="193" customWidth="1"/>
    <col min="45" max="45" width="32.28515625" style="193" customWidth="1"/>
    <col min="46" max="47" width="11.42578125" style="193"/>
    <col min="48" max="48" width="13.140625" style="193" customWidth="1"/>
    <col min="49" max="16384" width="11.42578125" style="193"/>
  </cols>
  <sheetData>
    <row r="2" spans="1:48" ht="18.75">
      <c r="C2" s="275" t="s">
        <v>8</v>
      </c>
      <c r="D2" s="276"/>
      <c r="E2" s="277"/>
      <c r="U2" s="511" t="s">
        <v>9</v>
      </c>
      <c r="V2" s="511"/>
      <c r="W2" s="511"/>
      <c r="X2" s="511"/>
    </row>
    <row r="3" spans="1:48" ht="18.75">
      <c r="C3" s="275" t="s">
        <v>10</v>
      </c>
      <c r="D3" s="280"/>
      <c r="E3" s="281"/>
    </row>
    <row r="4" spans="1:48">
      <c r="Q4" s="282"/>
      <c r="V4" s="283" t="s">
        <v>11</v>
      </c>
      <c r="W4" s="283" t="s">
        <v>12</v>
      </c>
    </row>
    <row r="5" spans="1:48" s="294" customFormat="1" ht="42" customHeight="1">
      <c r="A5" s="284" t="s">
        <v>13</v>
      </c>
      <c r="B5" s="284" t="s">
        <v>14</v>
      </c>
      <c r="C5" s="284" t="s">
        <v>15</v>
      </c>
      <c r="D5" s="284" t="s">
        <v>16</v>
      </c>
      <c r="E5" s="284" t="s">
        <v>0</v>
      </c>
      <c r="F5" s="284" t="s">
        <v>504</v>
      </c>
      <c r="G5" s="285" t="s">
        <v>18</v>
      </c>
      <c r="H5" s="286" t="s">
        <v>19</v>
      </c>
      <c r="I5" s="287" t="s">
        <v>20</v>
      </c>
      <c r="J5" s="287" t="s">
        <v>21</v>
      </c>
      <c r="K5" s="288" t="s">
        <v>22</v>
      </c>
      <c r="L5" s="287" t="s">
        <v>23</v>
      </c>
      <c r="M5" s="288" t="s">
        <v>24</v>
      </c>
      <c r="N5" s="287" t="s">
        <v>25</v>
      </c>
      <c r="O5" s="288" t="s">
        <v>26</v>
      </c>
      <c r="P5" s="289" t="s">
        <v>27</v>
      </c>
      <c r="Q5" s="290" t="s">
        <v>28</v>
      </c>
      <c r="R5" s="290" t="s">
        <v>29</v>
      </c>
      <c r="S5" s="290" t="s">
        <v>30</v>
      </c>
      <c r="T5" s="290" t="s">
        <v>31</v>
      </c>
      <c r="U5" s="290" t="s">
        <v>32</v>
      </c>
      <c r="V5" s="290" t="s">
        <v>33</v>
      </c>
      <c r="W5" s="290" t="s">
        <v>34</v>
      </c>
      <c r="X5" s="291" t="s">
        <v>35</v>
      </c>
      <c r="Y5" s="292"/>
      <c r="Z5" s="293" t="s">
        <v>36</v>
      </c>
      <c r="AA5" s="293" t="s">
        <v>37</v>
      </c>
      <c r="AB5" s="292" t="s">
        <v>38</v>
      </c>
      <c r="AC5" s="292" t="s">
        <v>39</v>
      </c>
      <c r="AD5" s="286" t="s">
        <v>365</v>
      </c>
      <c r="AE5" s="286" t="s">
        <v>366</v>
      </c>
      <c r="AF5" s="286" t="s">
        <v>19</v>
      </c>
      <c r="AG5" s="287" t="s">
        <v>20</v>
      </c>
      <c r="AH5" s="287" t="s">
        <v>21</v>
      </c>
      <c r="AI5" s="288" t="s">
        <v>22</v>
      </c>
      <c r="AJ5" s="287" t="s">
        <v>23</v>
      </c>
      <c r="AK5" s="288" t="s">
        <v>24</v>
      </c>
      <c r="AL5" s="287" t="s">
        <v>25</v>
      </c>
      <c r="AM5" s="288" t="s">
        <v>26</v>
      </c>
      <c r="AN5" s="289" t="s">
        <v>27</v>
      </c>
      <c r="AO5" s="290" t="s">
        <v>28</v>
      </c>
      <c r="AP5" s="290" t="s">
        <v>32</v>
      </c>
      <c r="AQ5" s="290" t="s">
        <v>33</v>
      </c>
      <c r="AR5" s="290" t="s">
        <v>34</v>
      </c>
      <c r="AS5" s="291" t="s">
        <v>35</v>
      </c>
      <c r="AV5" s="291" t="s">
        <v>358</v>
      </c>
    </row>
    <row r="6" spans="1:48">
      <c r="A6" s="295">
        <v>2011</v>
      </c>
      <c r="B6" s="295">
        <v>1</v>
      </c>
      <c r="C6" s="295" t="s">
        <v>12</v>
      </c>
      <c r="D6" s="296" t="s">
        <v>40</v>
      </c>
      <c r="E6" s="297">
        <v>2011</v>
      </c>
      <c r="F6" s="298">
        <v>0</v>
      </c>
      <c r="G6" s="299">
        <v>40806</v>
      </c>
      <c r="H6" s="300">
        <v>5961843400000</v>
      </c>
      <c r="I6" s="301">
        <v>20428039516</v>
      </c>
      <c r="J6" s="301">
        <v>250733664000</v>
      </c>
      <c r="K6" s="300">
        <v>271161703516</v>
      </c>
      <c r="L6" s="300">
        <v>0</v>
      </c>
      <c r="M6" s="300">
        <v>271161703516</v>
      </c>
      <c r="N6" s="300">
        <v>-291580800000</v>
      </c>
      <c r="O6" s="300">
        <v>-20419096484</v>
      </c>
      <c r="P6" s="302">
        <v>4.548286248444567E-2</v>
      </c>
      <c r="Q6" s="302">
        <v>4.548286248444567E-2</v>
      </c>
      <c r="R6" s="302"/>
      <c r="S6" s="302"/>
      <c r="T6" s="302"/>
      <c r="U6" s="303">
        <v>-20419096484</v>
      </c>
      <c r="V6" s="303" t="s">
        <v>367</v>
      </c>
      <c r="W6" s="303">
        <v>-20419096484</v>
      </c>
      <c r="X6" s="302">
        <v>-3.4249635748567295E-3</v>
      </c>
      <c r="Y6" s="304">
        <v>5.9618434000000002</v>
      </c>
      <c r="Z6" s="305">
        <v>0</v>
      </c>
      <c r="AA6" s="305">
        <v>0</v>
      </c>
      <c r="AB6" s="193" t="e">
        <v>#VALUE!</v>
      </c>
      <c r="AC6" s="306">
        <v>3.4264636196247623E-3</v>
      </c>
      <c r="AD6" s="304">
        <v>0</v>
      </c>
      <c r="AE6" s="304">
        <v>0</v>
      </c>
      <c r="AV6" s="193" t="s">
        <v>368</v>
      </c>
    </row>
    <row r="7" spans="1:48">
      <c r="A7" s="307">
        <v>2014</v>
      </c>
      <c r="B7" s="308">
        <v>2</v>
      </c>
      <c r="C7" s="307" t="s">
        <v>12</v>
      </c>
      <c r="D7" s="309" t="s">
        <v>41</v>
      </c>
      <c r="E7" s="310">
        <v>2014</v>
      </c>
      <c r="F7" s="311" t="s">
        <v>6</v>
      </c>
      <c r="G7" s="312">
        <v>41914</v>
      </c>
      <c r="H7" s="313">
        <v>5930892250212.7998</v>
      </c>
      <c r="I7" s="314">
        <v>214636396794.00101</v>
      </c>
      <c r="J7" s="314">
        <v>-430158238250</v>
      </c>
      <c r="K7" s="313">
        <v>-215521841455.99899</v>
      </c>
      <c r="L7" s="313">
        <v>-51699977.699859619</v>
      </c>
      <c r="M7" s="313">
        <v>-215573541433.69885</v>
      </c>
      <c r="N7" s="313">
        <v>-63724196950.599976</v>
      </c>
      <c r="O7" s="313">
        <v>-279297738384.29883</v>
      </c>
      <c r="P7" s="315">
        <v>-3.6338856341264013E-2</v>
      </c>
      <c r="Q7" s="315">
        <v>-3.6347573407013778E-2</v>
      </c>
      <c r="R7" s="315"/>
      <c r="S7" s="315"/>
      <c r="T7" s="315"/>
      <c r="U7" s="316">
        <v>-279297738384.29883</v>
      </c>
      <c r="V7" s="316" t="s">
        <v>367</v>
      </c>
      <c r="W7" s="316">
        <v>-279297738384.29883</v>
      </c>
      <c r="X7" s="315">
        <v>-4.7092027067980817E-2</v>
      </c>
      <c r="Y7" s="317">
        <v>5.9308922502127999</v>
      </c>
      <c r="Z7" s="318">
        <v>0</v>
      </c>
      <c r="AA7" s="318">
        <v>0</v>
      </c>
      <c r="AB7" s="319" t="e">
        <v>#VALUE!</v>
      </c>
      <c r="AC7" s="320">
        <v>3.6189562672682155E-2</v>
      </c>
      <c r="AD7" s="304">
        <v>4031128400000</v>
      </c>
      <c r="AE7" s="304">
        <v>1899763850212.8</v>
      </c>
      <c r="AV7" s="193" t="s">
        <v>368</v>
      </c>
    </row>
    <row r="8" spans="1:48">
      <c r="A8" s="307">
        <v>2016</v>
      </c>
      <c r="B8" s="308">
        <v>3</v>
      </c>
      <c r="C8" s="307" t="s">
        <v>42</v>
      </c>
      <c r="D8" s="321" t="s">
        <v>43</v>
      </c>
      <c r="E8" s="310">
        <v>2016</v>
      </c>
      <c r="F8" s="311" t="s">
        <v>6</v>
      </c>
      <c r="G8" s="312">
        <v>42507</v>
      </c>
      <c r="H8" s="313">
        <v>3242507895062.3999</v>
      </c>
      <c r="I8" s="314">
        <v>3620197491.7990699</v>
      </c>
      <c r="J8" s="314">
        <v>291400000000</v>
      </c>
      <c r="K8" s="313">
        <v>295020197491.79907</v>
      </c>
      <c r="L8" s="313">
        <v>-52260770962.799805</v>
      </c>
      <c r="M8" s="313">
        <v>242759426528.99927</v>
      </c>
      <c r="N8" s="313">
        <v>-502507895062.3999</v>
      </c>
      <c r="O8" s="313">
        <v>-259748468533.40063</v>
      </c>
      <c r="P8" s="315">
        <v>9.0985190179813463E-2</v>
      </c>
      <c r="Q8" s="315">
        <v>7.4867798132015814E-2</v>
      </c>
      <c r="R8" s="315"/>
      <c r="S8" s="315"/>
      <c r="T8" s="315"/>
      <c r="U8" s="316">
        <v>-259748468533.40063</v>
      </c>
      <c r="V8" s="316">
        <v>-259748468533.40063</v>
      </c>
      <c r="W8" s="316" t="s">
        <v>367</v>
      </c>
      <c r="X8" s="315">
        <v>-8.0107274042088936E-2</v>
      </c>
      <c r="Y8" s="317">
        <v>3.2425078950624</v>
      </c>
      <c r="Z8" s="318">
        <v>0</v>
      </c>
      <c r="AA8" s="318">
        <v>0</v>
      </c>
      <c r="AB8" s="319" t="e">
        <v>#VALUE!</v>
      </c>
      <c r="AC8" s="320">
        <v>1.1164807022711663E-3</v>
      </c>
      <c r="AD8" s="304">
        <v>0</v>
      </c>
      <c r="AE8" s="304">
        <v>3242507895062.3999</v>
      </c>
      <c r="AV8" s="193" t="s">
        <v>368</v>
      </c>
    </row>
    <row r="9" spans="1:48">
      <c r="A9" s="295">
        <v>2018</v>
      </c>
      <c r="B9" s="322">
        <v>4</v>
      </c>
      <c r="C9" s="295" t="s">
        <v>42</v>
      </c>
      <c r="D9" s="323" t="s">
        <v>44</v>
      </c>
      <c r="E9" s="297">
        <v>2018</v>
      </c>
      <c r="F9" s="298" t="s">
        <v>4</v>
      </c>
      <c r="G9" s="299">
        <v>43377</v>
      </c>
      <c r="H9" s="300">
        <v>12306349733525</v>
      </c>
      <c r="I9" s="300">
        <v>787726256.75</v>
      </c>
      <c r="J9" s="300">
        <v>-245489601250</v>
      </c>
      <c r="K9" s="300">
        <v>-244701874993.25</v>
      </c>
      <c r="L9" s="300">
        <v>20348093847.799133</v>
      </c>
      <c r="M9" s="324">
        <v>-224353781145.45087</v>
      </c>
      <c r="N9" s="300">
        <v>-41842233524.999512</v>
      </c>
      <c r="O9" s="324">
        <v>-266196014670.45038</v>
      </c>
      <c r="P9" s="302">
        <v>-1.9884196393885372E-2</v>
      </c>
      <c r="Q9" s="302">
        <v>-1.8230733402144872E-2</v>
      </c>
      <c r="R9" s="302"/>
      <c r="S9" s="302"/>
      <c r="T9" s="302"/>
      <c r="U9" s="303">
        <v>-266196014670.45038</v>
      </c>
      <c r="V9" s="303">
        <v>-266196014670.45038</v>
      </c>
      <c r="W9" s="303" t="s">
        <v>367</v>
      </c>
      <c r="X9" s="302">
        <v>-2.1630785767877074E-2</v>
      </c>
      <c r="Y9" s="325">
        <v>12.306349733525</v>
      </c>
      <c r="Z9" s="305">
        <v>0</v>
      </c>
      <c r="AA9" s="305">
        <v>0</v>
      </c>
      <c r="AB9" s="193" t="e">
        <v>#VALUE!</v>
      </c>
      <c r="AC9" s="306">
        <v>6.40097408091754E-5</v>
      </c>
      <c r="AD9" s="304">
        <v>11808100500000</v>
      </c>
      <c r="AE9" s="304">
        <v>498249233525.00006</v>
      </c>
      <c r="AV9" s="193" t="s">
        <v>368</v>
      </c>
    </row>
    <row r="10" spans="1:48">
      <c r="A10" s="326">
        <v>2019</v>
      </c>
      <c r="B10" s="327">
        <v>5</v>
      </c>
      <c r="C10" s="326" t="s">
        <v>45</v>
      </c>
      <c r="D10" s="328" t="s">
        <v>46</v>
      </c>
      <c r="E10" s="329">
        <v>2019</v>
      </c>
      <c r="F10" s="330" t="s">
        <v>6</v>
      </c>
      <c r="G10" s="331">
        <v>43543</v>
      </c>
      <c r="H10" s="332">
        <v>10973903898963.199</v>
      </c>
      <c r="I10" s="332">
        <v>282295679199.58002</v>
      </c>
      <c r="J10" s="332">
        <v>-324172144213.71198</v>
      </c>
      <c r="K10" s="332">
        <v>-41876465014.131958</v>
      </c>
      <c r="L10" s="332">
        <v>-3575392932.0693359</v>
      </c>
      <c r="M10" s="333">
        <v>-45451857946.201294</v>
      </c>
      <c r="N10" s="332">
        <v>-128096383571.2002</v>
      </c>
      <c r="O10" s="333">
        <v>-173548241517.40149</v>
      </c>
      <c r="P10" s="334">
        <v>-3.8160043499276858E-3</v>
      </c>
      <c r="Q10" s="334">
        <v>-4.1418130106365822E-3</v>
      </c>
      <c r="R10" s="334">
        <v>0.59517541665329088</v>
      </c>
      <c r="S10" s="334"/>
      <c r="T10" s="334"/>
      <c r="U10" s="335">
        <v>-173548241517.40149</v>
      </c>
      <c r="V10" s="335" t="s">
        <v>367</v>
      </c>
      <c r="W10" s="335">
        <v>-173548241517.40149</v>
      </c>
      <c r="X10" s="334">
        <v>-1.5814631066142115E-2</v>
      </c>
      <c r="Y10" s="336">
        <v>10.973903898963199</v>
      </c>
      <c r="Z10" s="337">
        <v>0</v>
      </c>
      <c r="AA10" s="337">
        <v>0</v>
      </c>
      <c r="AB10" s="338" t="e">
        <v>#VALUE!</v>
      </c>
      <c r="AC10" s="339">
        <v>2.5724271125269375E-2</v>
      </c>
      <c r="AD10" s="304">
        <v>7958925400000</v>
      </c>
      <c r="AE10" s="304">
        <v>3014978498963.2002</v>
      </c>
      <c r="AV10" s="193" t="s">
        <v>368</v>
      </c>
    </row>
    <row r="11" spans="1:48">
      <c r="A11" s="340">
        <v>2019</v>
      </c>
      <c r="B11" s="341">
        <v>6</v>
      </c>
      <c r="C11" s="340" t="s">
        <v>12</v>
      </c>
      <c r="D11" s="342" t="s">
        <v>47</v>
      </c>
      <c r="E11" s="343">
        <v>2019</v>
      </c>
      <c r="F11" s="344" t="s">
        <v>6</v>
      </c>
      <c r="G11" s="345">
        <v>43760</v>
      </c>
      <c r="H11" s="346">
        <v>4962518214168.8994</v>
      </c>
      <c r="I11" s="346">
        <v>11771598.699999999</v>
      </c>
      <c r="J11" s="346">
        <v>0</v>
      </c>
      <c r="K11" s="346">
        <v>11771598.699999999</v>
      </c>
      <c r="L11" s="346">
        <v>-858710327.04589844</v>
      </c>
      <c r="M11" s="347">
        <v>-846938728.34589839</v>
      </c>
      <c r="N11" s="346">
        <v>-220156901488.69995</v>
      </c>
      <c r="O11" s="347">
        <v>-221003840217.04584</v>
      </c>
      <c r="P11" s="348">
        <v>2.3721018627981912E-6</v>
      </c>
      <c r="Q11" s="348">
        <v>-1.7066712741279881E-4</v>
      </c>
      <c r="R11" s="348">
        <v>0.26914477044459711</v>
      </c>
      <c r="S11" s="348"/>
      <c r="T11" s="348"/>
      <c r="U11" s="349">
        <v>-221003840217.04584</v>
      </c>
      <c r="V11" s="349" t="s">
        <v>367</v>
      </c>
      <c r="W11" s="349">
        <v>-221003840217.04584</v>
      </c>
      <c r="X11" s="348">
        <v>-4.4534615426909535E-2</v>
      </c>
      <c r="Y11" s="350">
        <v>4.9625182141688997</v>
      </c>
      <c r="Z11" s="351">
        <v>0</v>
      </c>
      <c r="AA11" s="351">
        <v>0</v>
      </c>
      <c r="AB11" s="352" t="e">
        <v>#VALUE!</v>
      </c>
      <c r="AC11" s="353">
        <v>2.3721018627981912E-6</v>
      </c>
      <c r="AD11" s="304">
        <v>0</v>
      </c>
      <c r="AE11" s="304">
        <v>4962518214168.8994</v>
      </c>
      <c r="AV11" s="193" t="s">
        <v>368</v>
      </c>
    </row>
    <row r="12" spans="1:48">
      <c r="A12" s="326">
        <v>2020</v>
      </c>
      <c r="B12" s="327">
        <v>7</v>
      </c>
      <c r="C12" s="326" t="s">
        <v>42</v>
      </c>
      <c r="D12" s="354" t="s">
        <v>48</v>
      </c>
      <c r="E12" s="329">
        <v>2020</v>
      </c>
      <c r="F12" s="330" t="s">
        <v>4</v>
      </c>
      <c r="G12" s="331">
        <v>43944</v>
      </c>
      <c r="H12" s="332">
        <v>1493099300000</v>
      </c>
      <c r="I12" s="332">
        <v>120346497365.74023</v>
      </c>
      <c r="J12" s="332">
        <v>-102370623000</v>
      </c>
      <c r="K12" s="332">
        <v>17975874365.740234</v>
      </c>
      <c r="L12" s="332">
        <v>247671112.79998779</v>
      </c>
      <c r="M12" s="333">
        <v>18223545478.540222</v>
      </c>
      <c r="N12" s="332">
        <v>-82535.200103759766</v>
      </c>
      <c r="O12" s="333">
        <v>18223462943.340118</v>
      </c>
      <c r="P12" s="334">
        <v>1.2039302654378201E-2</v>
      </c>
      <c r="Q12" s="334">
        <v>1.2205179842050842E-2</v>
      </c>
      <c r="R12" s="334">
        <v>8.0979021336809412E-2</v>
      </c>
      <c r="S12" s="334"/>
      <c r="T12" s="334"/>
      <c r="U12" s="335">
        <v>18223462943.340118</v>
      </c>
      <c r="V12" s="335">
        <v>18223462943.340118</v>
      </c>
      <c r="W12" s="335" t="s">
        <v>367</v>
      </c>
      <c r="X12" s="334">
        <v>1.2205124564280566E-2</v>
      </c>
      <c r="Y12" s="336">
        <v>1.4930992999999999</v>
      </c>
      <c r="Z12" s="337">
        <v>0</v>
      </c>
      <c r="AA12" s="337">
        <v>0</v>
      </c>
      <c r="AB12" s="338" t="e">
        <v>#VALUE!</v>
      </c>
      <c r="AC12" s="355">
        <v>8.0601804157124868E-2</v>
      </c>
      <c r="AD12" s="304">
        <v>1493099300000</v>
      </c>
      <c r="AE12" s="304">
        <v>0</v>
      </c>
      <c r="AV12" s="193" t="s">
        <v>368</v>
      </c>
    </row>
    <row r="13" spans="1:48">
      <c r="A13" s="295">
        <v>2020</v>
      </c>
      <c r="B13" s="356">
        <v>8</v>
      </c>
      <c r="C13" s="295" t="s">
        <v>42</v>
      </c>
      <c r="D13" s="357" t="s">
        <v>49</v>
      </c>
      <c r="E13" s="297">
        <v>2020</v>
      </c>
      <c r="F13" s="298" t="s">
        <v>6</v>
      </c>
      <c r="G13" s="299">
        <v>43963</v>
      </c>
      <c r="H13" s="300">
        <v>1499999863235.4001</v>
      </c>
      <c r="I13" s="300">
        <v>209655.740234375</v>
      </c>
      <c r="J13" s="300">
        <v>98848839750</v>
      </c>
      <c r="K13" s="300">
        <v>98849049405.740234</v>
      </c>
      <c r="L13" s="300">
        <v>4681726919.6003418</v>
      </c>
      <c r="M13" s="324">
        <v>103530776325.34058</v>
      </c>
      <c r="N13" s="300">
        <v>-135835363235.40015</v>
      </c>
      <c r="O13" s="324">
        <v>-32304586910.05957</v>
      </c>
      <c r="P13" s="302">
        <v>6.5899372278961005E-2</v>
      </c>
      <c r="Q13" s="302">
        <v>6.902052384326994E-2</v>
      </c>
      <c r="R13" s="302">
        <v>8.1353276992461698E-2</v>
      </c>
      <c r="S13" s="302"/>
      <c r="T13" s="302"/>
      <c r="U13" s="303">
        <v>-32304586910.05957</v>
      </c>
      <c r="V13" s="303">
        <v>-32304586910.05957</v>
      </c>
      <c r="W13" s="303" t="s">
        <v>367</v>
      </c>
      <c r="X13" s="302">
        <v>-2.153639323698385E-2</v>
      </c>
      <c r="Y13" s="358">
        <v>1.4999998632354001</v>
      </c>
      <c r="Z13" s="359">
        <v>0</v>
      </c>
      <c r="AA13" s="359">
        <v>0</v>
      </c>
      <c r="AB13" s="193" t="e">
        <v>#VALUE!</v>
      </c>
      <c r="AC13" s="360">
        <v>1.397705062333549E-7</v>
      </c>
      <c r="AD13" s="304">
        <v>0</v>
      </c>
      <c r="AE13" s="304">
        <v>1499999863235.4001</v>
      </c>
      <c r="AV13" s="193" t="s">
        <v>368</v>
      </c>
    </row>
    <row r="14" spans="1:48">
      <c r="A14" s="295">
        <v>2020</v>
      </c>
      <c r="B14" s="356">
        <v>9</v>
      </c>
      <c r="C14" s="295" t="s">
        <v>200</v>
      </c>
      <c r="D14" s="357" t="s">
        <v>50</v>
      </c>
      <c r="E14" s="297">
        <v>2020</v>
      </c>
      <c r="F14" s="298" t="s">
        <v>4</v>
      </c>
      <c r="G14" s="299">
        <v>43965</v>
      </c>
      <c r="H14" s="300">
        <v>1765648571742.01</v>
      </c>
      <c r="I14" s="300">
        <v>354431.0703125</v>
      </c>
      <c r="J14" s="300">
        <v>-48521896082.126099</v>
      </c>
      <c r="K14" s="300">
        <v>-48521541651.055786</v>
      </c>
      <c r="L14" s="300">
        <v>168710687.10002899</v>
      </c>
      <c r="M14" s="324">
        <v>-48352830963.955757</v>
      </c>
      <c r="N14" s="300">
        <v>-112480081932.41003</v>
      </c>
      <c r="O14" s="324">
        <v>-160832912896.36578</v>
      </c>
      <c r="P14" s="302">
        <v>-2.7480860250227401E-2</v>
      </c>
      <c r="Q14" s="302">
        <v>-2.7385308570351728E-2</v>
      </c>
      <c r="R14" s="302">
        <v>9.5760873616646452E-2</v>
      </c>
      <c r="S14" s="302"/>
      <c r="T14" s="302"/>
      <c r="U14" s="303">
        <v>-160832912896.36578</v>
      </c>
      <c r="V14" s="303" t="s">
        <v>367</v>
      </c>
      <c r="W14" s="303">
        <v>-160832912896.36578</v>
      </c>
      <c r="X14" s="302">
        <v>-9.1089991219309344E-2</v>
      </c>
      <c r="Y14" s="358">
        <v>1.7656485717420101</v>
      </c>
      <c r="Z14" s="359">
        <v>0</v>
      </c>
      <c r="AA14" s="359">
        <v>0</v>
      </c>
      <c r="AB14" s="193">
        <v>0</v>
      </c>
      <c r="AC14" s="360">
        <v>2.0073704132573451E-7</v>
      </c>
      <c r="AD14" s="304">
        <v>1319693109837.51</v>
      </c>
      <c r="AE14" s="304">
        <v>445955461904.5</v>
      </c>
      <c r="AV14" s="193" t="s">
        <v>368</v>
      </c>
    </row>
    <row r="15" spans="1:48">
      <c r="A15" s="295">
        <v>2020</v>
      </c>
      <c r="B15" s="356">
        <v>10</v>
      </c>
      <c r="C15" s="295" t="s">
        <v>42</v>
      </c>
      <c r="D15" s="357" t="s">
        <v>51</v>
      </c>
      <c r="E15" s="297">
        <v>2020</v>
      </c>
      <c r="F15" s="298" t="s">
        <v>6</v>
      </c>
      <c r="G15" s="299">
        <v>43971</v>
      </c>
      <c r="H15" s="300">
        <v>498760527497.99994</v>
      </c>
      <c r="I15" s="300">
        <v>266451.46270751953</v>
      </c>
      <c r="J15" s="300">
        <v>32820842000</v>
      </c>
      <c r="K15" s="300">
        <v>32821108451.462708</v>
      </c>
      <c r="L15" s="300">
        <v>1967215012</v>
      </c>
      <c r="M15" s="324">
        <v>34788323463.462708</v>
      </c>
      <c r="N15" s="300">
        <v>-45771027497.999939</v>
      </c>
      <c r="O15" s="324">
        <v>-10982704034.537231</v>
      </c>
      <c r="P15" s="302">
        <v>6.5805344733489007E-2</v>
      </c>
      <c r="Q15" s="302">
        <v>6.9749552230959591E-2</v>
      </c>
      <c r="R15" s="302">
        <v>2.7050538030671405E-2</v>
      </c>
      <c r="S15" s="302"/>
      <c r="T15" s="302"/>
      <c r="U15" s="303">
        <v>-10982704034.537231</v>
      </c>
      <c r="V15" s="303">
        <v>-10982704034.537231</v>
      </c>
      <c r="W15" s="303" t="s">
        <v>367</v>
      </c>
      <c r="X15" s="302">
        <v>-2.2019994424240543E-2</v>
      </c>
      <c r="Y15" s="358">
        <v>0.49876052749799993</v>
      </c>
      <c r="Z15" s="359">
        <v>0</v>
      </c>
      <c r="AA15" s="359">
        <v>0</v>
      </c>
      <c r="AB15" s="193" t="e">
        <v>#VALUE!</v>
      </c>
      <c r="AC15" s="360">
        <v>5.3422724537596452E-7</v>
      </c>
      <c r="AD15" s="304">
        <v>0</v>
      </c>
      <c r="AE15" s="304">
        <v>498760527497.99994</v>
      </c>
      <c r="AV15" s="193" t="s">
        <v>368</v>
      </c>
    </row>
    <row r="16" spans="1:48">
      <c r="A16" s="295">
        <v>2020</v>
      </c>
      <c r="B16" s="356">
        <v>11</v>
      </c>
      <c r="C16" s="295" t="s">
        <v>42</v>
      </c>
      <c r="D16" s="357" t="s">
        <v>52</v>
      </c>
      <c r="E16" s="297">
        <v>2020</v>
      </c>
      <c r="F16" s="298" t="s">
        <v>6</v>
      </c>
      <c r="G16" s="299">
        <v>44033</v>
      </c>
      <c r="H16" s="300">
        <v>3902905447999.9995</v>
      </c>
      <c r="I16" s="300">
        <v>45294.4794921875</v>
      </c>
      <c r="J16" s="300">
        <v>156458818500</v>
      </c>
      <c r="K16" s="300">
        <v>156458863794.47949</v>
      </c>
      <c r="L16" s="300">
        <v>5268406000</v>
      </c>
      <c r="M16" s="324">
        <v>161727269794.47949</v>
      </c>
      <c r="N16" s="300">
        <v>-261447247999.99951</v>
      </c>
      <c r="O16" s="324">
        <v>-99719978205.52002</v>
      </c>
      <c r="P16" s="302">
        <v>4.0087792512282124E-2</v>
      </c>
      <c r="Q16" s="302">
        <v>4.143766021217727E-2</v>
      </c>
      <c r="R16" s="302">
        <v>0.21167611795755423</v>
      </c>
      <c r="S16" s="302"/>
      <c r="T16" s="302"/>
      <c r="U16" s="303">
        <v>-99719978205.52002</v>
      </c>
      <c r="V16" s="303">
        <v>-99719978205.52002</v>
      </c>
      <c r="W16" s="303" t="s">
        <v>367</v>
      </c>
      <c r="X16" s="302">
        <v>-2.5550190629552764E-2</v>
      </c>
      <c r="Y16" s="358">
        <v>3.9029054479999994</v>
      </c>
      <c r="Z16" s="359">
        <v>0</v>
      </c>
      <c r="AA16" s="359">
        <v>0</v>
      </c>
      <c r="AB16" s="193" t="e">
        <v>#VALUE!</v>
      </c>
      <c r="AC16" s="360">
        <v>1.1605323289447904E-8</v>
      </c>
      <c r="AD16" s="304">
        <v>0</v>
      </c>
      <c r="AE16" s="304">
        <v>3902905447999.9995</v>
      </c>
      <c r="AV16" s="193" t="s">
        <v>368</v>
      </c>
    </row>
    <row r="17" spans="1:48">
      <c r="A17" s="295">
        <v>2020</v>
      </c>
      <c r="B17" s="356">
        <v>12</v>
      </c>
      <c r="C17" s="295" t="s">
        <v>202</v>
      </c>
      <c r="D17" s="357" t="s">
        <v>53</v>
      </c>
      <c r="E17" s="297">
        <v>2020</v>
      </c>
      <c r="F17" s="298" t="s">
        <v>6</v>
      </c>
      <c r="G17" s="299">
        <v>44078</v>
      </c>
      <c r="H17" s="300">
        <v>680384319209.99988</v>
      </c>
      <c r="I17" s="300">
        <v>360903.53039550781</v>
      </c>
      <c r="J17" s="300">
        <v>15734903750</v>
      </c>
      <c r="K17" s="300">
        <v>15735264653.530396</v>
      </c>
      <c r="L17" s="300">
        <v>-653179042.20007324</v>
      </c>
      <c r="M17" s="324">
        <v>15082085611.330322</v>
      </c>
      <c r="N17" s="300">
        <v>-17152115229.999878</v>
      </c>
      <c r="O17" s="324">
        <v>-2070029618.6695557</v>
      </c>
      <c r="P17" s="302">
        <v>2.312702425564532E-2</v>
      </c>
      <c r="Q17" s="302">
        <v>2.2167009417327934E-2</v>
      </c>
      <c r="R17" s="302">
        <v>3.6900999352512676E-2</v>
      </c>
      <c r="S17" s="302"/>
      <c r="T17" s="302"/>
      <c r="U17" s="303">
        <v>-2070029618.6695557</v>
      </c>
      <c r="V17" s="303" t="s">
        <v>367</v>
      </c>
      <c r="W17" s="303">
        <v>-2070029618.6695557</v>
      </c>
      <c r="X17" s="302">
        <v>-3.0424416910035273E-3</v>
      </c>
      <c r="Y17" s="358">
        <v>0.68038431920999987</v>
      </c>
      <c r="Z17" s="359">
        <v>0</v>
      </c>
      <c r="AA17" s="359">
        <v>0</v>
      </c>
      <c r="AB17" s="193">
        <v>0</v>
      </c>
      <c r="AC17" s="360">
        <v>5.3044069389276346E-7</v>
      </c>
      <c r="AD17" s="304">
        <v>0</v>
      </c>
      <c r="AE17" s="304">
        <v>680384319209.99988</v>
      </c>
      <c r="AV17" s="193" t="s">
        <v>368</v>
      </c>
    </row>
    <row r="18" spans="1:48">
      <c r="A18" s="295">
        <v>2020</v>
      </c>
      <c r="B18" s="356">
        <v>13</v>
      </c>
      <c r="C18" s="295" t="s">
        <v>42</v>
      </c>
      <c r="D18" s="361">
        <v>44085</v>
      </c>
      <c r="E18" s="297">
        <v>2020</v>
      </c>
      <c r="F18" s="298" t="s">
        <v>6</v>
      </c>
      <c r="G18" s="299">
        <v>44085</v>
      </c>
      <c r="H18" s="300">
        <v>159904191420</v>
      </c>
      <c r="I18" s="300">
        <v>60885.282989501953</v>
      </c>
      <c r="J18" s="300">
        <v>5661954500</v>
      </c>
      <c r="K18" s="300">
        <v>5662015385.2829895</v>
      </c>
      <c r="L18" s="300">
        <v>-275212938.79998779</v>
      </c>
      <c r="M18" s="324">
        <v>5386802446.4830017</v>
      </c>
      <c r="N18" s="300">
        <v>-15486291420</v>
      </c>
      <c r="O18" s="324">
        <v>-10099488973.516998</v>
      </c>
      <c r="P18" s="302">
        <v>3.540879907526185E-2</v>
      </c>
      <c r="Q18" s="302">
        <v>3.368768759997149E-2</v>
      </c>
      <c r="R18" s="302">
        <v>8.6724874419574355E-3</v>
      </c>
      <c r="S18" s="302"/>
      <c r="T18" s="302"/>
      <c r="U18" s="303">
        <v>-10099488973.516998</v>
      </c>
      <c r="V18" s="303">
        <v>-10099488973.516998</v>
      </c>
      <c r="W18" s="303" t="s">
        <v>367</v>
      </c>
      <c r="X18" s="302">
        <v>-6.3159626297661919E-2</v>
      </c>
      <c r="Y18" s="358">
        <v>0.15990419142000001</v>
      </c>
      <c r="Z18" s="359">
        <v>0</v>
      </c>
      <c r="AA18" s="359">
        <v>0</v>
      </c>
      <c r="AB18" s="193" t="e">
        <v>#VALUE!</v>
      </c>
      <c r="AC18" s="360">
        <v>3.8076101976328015E-7</v>
      </c>
      <c r="AD18" s="304">
        <v>0</v>
      </c>
      <c r="AE18" s="304">
        <v>159904191420</v>
      </c>
      <c r="AV18" s="193" t="s">
        <v>368</v>
      </c>
    </row>
    <row r="19" spans="1:48">
      <c r="A19" s="295">
        <v>2020</v>
      </c>
      <c r="B19" s="356">
        <v>14</v>
      </c>
      <c r="C19" s="295" t="s">
        <v>42</v>
      </c>
      <c r="D19" s="361">
        <v>44085</v>
      </c>
      <c r="E19" s="297">
        <v>2020</v>
      </c>
      <c r="F19" s="298" t="s">
        <v>4</v>
      </c>
      <c r="G19" s="299">
        <v>44085</v>
      </c>
      <c r="H19" s="300">
        <v>4232899500000</v>
      </c>
      <c r="I19" s="300">
        <v>2123</v>
      </c>
      <c r="J19" s="300">
        <v>158879092500</v>
      </c>
      <c r="K19" s="300">
        <v>158879094623</v>
      </c>
      <c r="L19" s="300">
        <v>0</v>
      </c>
      <c r="M19" s="324">
        <v>158879094623</v>
      </c>
      <c r="N19" s="300">
        <v>-180414500000</v>
      </c>
      <c r="O19" s="324">
        <v>-21535405377</v>
      </c>
      <c r="P19" s="302">
        <v>3.7534341323955361E-2</v>
      </c>
      <c r="Q19" s="302">
        <v>3.7534341323955361E-2</v>
      </c>
      <c r="R19" s="302">
        <v>0.22957351793485531</v>
      </c>
      <c r="S19" s="302"/>
      <c r="T19" s="302"/>
      <c r="U19" s="303">
        <v>-21535405377</v>
      </c>
      <c r="V19" s="303">
        <v>-21535405377</v>
      </c>
      <c r="W19" s="303" t="s">
        <v>367</v>
      </c>
      <c r="X19" s="302">
        <v>-5.0876250137760178E-3</v>
      </c>
      <c r="Y19" s="358">
        <v>4.2328995000000003</v>
      </c>
      <c r="Z19" s="359">
        <v>0</v>
      </c>
      <c r="AA19" s="359">
        <v>0</v>
      </c>
      <c r="AB19" s="193" t="e">
        <v>#VALUE!</v>
      </c>
      <c r="AC19" s="360">
        <v>5.0154746173397224E-10</v>
      </c>
      <c r="AD19" s="304">
        <v>4232899500000</v>
      </c>
      <c r="AE19" s="304">
        <v>0</v>
      </c>
      <c r="AV19" s="193" t="s">
        <v>368</v>
      </c>
    </row>
    <row r="20" spans="1:48">
      <c r="A20" s="295">
        <v>2020</v>
      </c>
      <c r="B20" s="356">
        <v>15</v>
      </c>
      <c r="C20" s="295" t="s">
        <v>12</v>
      </c>
      <c r="D20" s="362" t="s">
        <v>54</v>
      </c>
      <c r="E20" s="297">
        <v>2020</v>
      </c>
      <c r="F20" s="298" t="s">
        <v>6</v>
      </c>
      <c r="G20" s="299">
        <v>44126</v>
      </c>
      <c r="H20" s="300">
        <v>1998812104850</v>
      </c>
      <c r="I20" s="300">
        <v>10496119787.024902</v>
      </c>
      <c r="J20" s="300">
        <v>50229125000</v>
      </c>
      <c r="K20" s="300">
        <v>60725244787.024902</v>
      </c>
      <c r="L20" s="300">
        <v>-24971048.399940491</v>
      </c>
      <c r="M20" s="324">
        <v>60700273738.624962</v>
      </c>
      <c r="N20" s="300">
        <v>-36374612934.800049</v>
      </c>
      <c r="O20" s="324">
        <v>24325660803.824913</v>
      </c>
      <c r="P20" s="302">
        <v>3.0380666916954659E-2</v>
      </c>
      <c r="Q20" s="302">
        <v>3.0368173972600686E-2</v>
      </c>
      <c r="R20" s="302">
        <v>0.10840661976529029</v>
      </c>
      <c r="S20" s="302"/>
      <c r="T20" s="302"/>
      <c r="U20" s="303">
        <v>24325660803.824913</v>
      </c>
      <c r="V20" s="303" t="s">
        <v>367</v>
      </c>
      <c r="W20" s="303">
        <v>24325660803.824913</v>
      </c>
      <c r="X20" s="302">
        <v>1.217005877881174E-2</v>
      </c>
      <c r="Y20" s="358">
        <v>1.99881210485</v>
      </c>
      <c r="Z20" s="359">
        <v>0</v>
      </c>
      <c r="AA20" s="359">
        <v>0</v>
      </c>
      <c r="AB20" s="193" t="e">
        <v>#VALUE!</v>
      </c>
      <c r="AC20" s="360">
        <v>5.2511788184375534E-3</v>
      </c>
      <c r="AD20" s="304">
        <v>1322210000000</v>
      </c>
      <c r="AE20" s="304">
        <v>676602104850</v>
      </c>
      <c r="AV20" s="193" t="s">
        <v>368</v>
      </c>
    </row>
    <row r="21" spans="1:48">
      <c r="A21" s="340">
        <v>2020</v>
      </c>
      <c r="B21" s="341">
        <v>16</v>
      </c>
      <c r="C21" s="340" t="s">
        <v>42</v>
      </c>
      <c r="D21" s="363" t="s">
        <v>55</v>
      </c>
      <c r="E21" s="343">
        <v>2020</v>
      </c>
      <c r="F21" s="344" t="s">
        <v>6</v>
      </c>
      <c r="G21" s="345">
        <v>44181</v>
      </c>
      <c r="H21" s="346">
        <v>309670312500</v>
      </c>
      <c r="I21" s="346">
        <v>95087.5</v>
      </c>
      <c r="J21" s="364">
        <v>0</v>
      </c>
      <c r="K21" s="346">
        <v>95087.5</v>
      </c>
      <c r="L21" s="346">
        <v>224887500</v>
      </c>
      <c r="M21" s="347">
        <v>224982587.5</v>
      </c>
      <c r="N21" s="346">
        <v>-24396012500</v>
      </c>
      <c r="O21" s="347">
        <v>-24171029912.5</v>
      </c>
      <c r="P21" s="348">
        <v>3.0706043221369501E-7</v>
      </c>
      <c r="Q21" s="348">
        <v>7.2652294526941456E-4</v>
      </c>
      <c r="R21" s="348">
        <v>1.6795131337422727E-2</v>
      </c>
      <c r="S21" s="348"/>
      <c r="T21" s="348"/>
      <c r="U21" s="349">
        <v>-24171029912.5</v>
      </c>
      <c r="V21" s="349">
        <v>-24171029912.5</v>
      </c>
      <c r="W21" s="349" t="s">
        <v>367</v>
      </c>
      <c r="X21" s="348">
        <v>-7.8054075372497964E-2</v>
      </c>
      <c r="Y21" s="350">
        <v>0.30967031249999999</v>
      </c>
      <c r="Z21" s="351">
        <v>0</v>
      </c>
      <c r="AA21" s="351">
        <v>0</v>
      </c>
      <c r="AB21" s="352" t="e">
        <v>#VALUE!</v>
      </c>
      <c r="AC21" s="365">
        <v>3.0706043221369501E-7</v>
      </c>
      <c r="AD21" s="304">
        <v>0</v>
      </c>
      <c r="AE21" s="304">
        <v>309670312500</v>
      </c>
      <c r="AV21" s="193" t="s">
        <v>368</v>
      </c>
    </row>
    <row r="22" spans="1:48">
      <c r="A22" s="326">
        <v>2021</v>
      </c>
      <c r="B22" s="327">
        <v>17</v>
      </c>
      <c r="C22" s="326" t="s">
        <v>42</v>
      </c>
      <c r="D22" s="366" t="s">
        <v>56</v>
      </c>
      <c r="E22" s="329">
        <v>2021</v>
      </c>
      <c r="F22" s="330" t="s">
        <v>4</v>
      </c>
      <c r="G22" s="331">
        <v>44267</v>
      </c>
      <c r="H22" s="332">
        <v>4272241000000</v>
      </c>
      <c r="I22" s="332">
        <v>103402231561.63965</v>
      </c>
      <c r="J22" s="367">
        <v>-68355912068.080002</v>
      </c>
      <c r="K22" s="332">
        <v>35046319493.559647</v>
      </c>
      <c r="L22" s="332">
        <v>72214109973.600098</v>
      </c>
      <c r="M22" s="333">
        <v>107260429467.15974</v>
      </c>
      <c r="N22" s="332">
        <v>-1082723.1999511719</v>
      </c>
      <c r="O22" s="333">
        <v>107259346743.95979</v>
      </c>
      <c r="P22" s="334">
        <v>8.2032636954609186E-3</v>
      </c>
      <c r="Q22" s="334">
        <v>2.5106362086586349E-2</v>
      </c>
      <c r="R22" s="334">
        <v>0.2317072247605983</v>
      </c>
      <c r="S22" s="334"/>
      <c r="T22" s="334"/>
      <c r="U22" s="335">
        <v>107259346743.95979</v>
      </c>
      <c r="V22" s="335">
        <v>107259346743.95979</v>
      </c>
      <c r="W22" s="335" t="s">
        <v>367</v>
      </c>
      <c r="X22" s="334">
        <v>2.5106108654441496E-2</v>
      </c>
      <c r="Y22" s="336">
        <v>4.2722410000000002</v>
      </c>
      <c r="Z22" s="337">
        <v>0</v>
      </c>
      <c r="AA22" s="337">
        <v>0</v>
      </c>
      <c r="AB22" s="338" t="e">
        <v>#VALUE!</v>
      </c>
      <c r="AC22" s="339">
        <v>2.4203276819271115E-2</v>
      </c>
      <c r="AD22" s="304">
        <v>4272241000000</v>
      </c>
      <c r="AE22" s="304">
        <v>0</v>
      </c>
      <c r="AV22" s="193" t="s">
        <v>368</v>
      </c>
    </row>
    <row r="23" spans="1:48">
      <c r="A23" s="295">
        <v>2021</v>
      </c>
      <c r="B23" s="356">
        <v>18</v>
      </c>
      <c r="C23" s="295" t="s">
        <v>202</v>
      </c>
      <c r="D23" s="368" t="s">
        <v>57</v>
      </c>
      <c r="E23" s="297">
        <v>2021</v>
      </c>
      <c r="F23" s="298" t="s">
        <v>6</v>
      </c>
      <c r="G23" s="299">
        <v>44421</v>
      </c>
      <c r="H23" s="300">
        <v>259562652476.40002</v>
      </c>
      <c r="I23" s="300">
        <v>53664.700927734375</v>
      </c>
      <c r="J23" s="301">
        <v>0</v>
      </c>
      <c r="K23" s="300">
        <v>53664.700927734375</v>
      </c>
      <c r="L23" s="300">
        <v>-132114178.5</v>
      </c>
      <c r="M23" s="324">
        <v>-132060513.79907227</v>
      </c>
      <c r="N23" s="300">
        <v>-9291010817.3999939</v>
      </c>
      <c r="O23" s="324">
        <v>-9423071331.1990662</v>
      </c>
      <c r="P23" s="302">
        <v>2.0675047205650545E-7</v>
      </c>
      <c r="Q23" s="302">
        <v>-5.0878087636694756E-4</v>
      </c>
      <c r="R23" s="302">
        <v>1.4077516192744343E-2</v>
      </c>
      <c r="S23" s="302"/>
      <c r="T23" s="302"/>
      <c r="U23" s="303">
        <v>-9423071331.1990662</v>
      </c>
      <c r="V23" s="303" t="s">
        <v>367</v>
      </c>
      <c r="W23" s="303">
        <v>-9423071331.1990662</v>
      </c>
      <c r="X23" s="302">
        <v>-3.6303648623161731E-2</v>
      </c>
      <c r="Y23" s="358">
        <v>0.25956265247640004</v>
      </c>
      <c r="Z23" s="359">
        <v>0</v>
      </c>
      <c r="AA23" s="359">
        <v>0</v>
      </c>
      <c r="AB23" s="193">
        <v>0</v>
      </c>
      <c r="AC23" s="369">
        <v>2.0675047205650545E-7</v>
      </c>
      <c r="AD23" s="304">
        <v>0</v>
      </c>
      <c r="AE23" s="304">
        <v>259562652476.40002</v>
      </c>
      <c r="AV23" s="193" t="s">
        <v>368</v>
      </c>
    </row>
    <row r="24" spans="1:48">
      <c r="A24" s="295">
        <v>2021</v>
      </c>
      <c r="B24" s="356">
        <v>19</v>
      </c>
      <c r="C24" s="295" t="s">
        <v>42</v>
      </c>
      <c r="D24" s="368" t="s">
        <v>58</v>
      </c>
      <c r="E24" s="297">
        <v>2021</v>
      </c>
      <c r="F24" s="298" t="s">
        <v>4</v>
      </c>
      <c r="G24" s="299">
        <v>44434</v>
      </c>
      <c r="H24" s="300">
        <v>6000000000000</v>
      </c>
      <c r="I24" s="300">
        <v>334496984424.30859</v>
      </c>
      <c r="J24" s="301">
        <v>0</v>
      </c>
      <c r="K24" s="300">
        <v>334496984424.30859</v>
      </c>
      <c r="L24" s="300">
        <v>10482498340.200104</v>
      </c>
      <c r="M24" s="324">
        <v>344979482764.50867</v>
      </c>
      <c r="N24" s="300">
        <v>-236104.40002441406</v>
      </c>
      <c r="O24" s="324">
        <v>344979246660.10864</v>
      </c>
      <c r="P24" s="302">
        <v>5.5749497404051433E-2</v>
      </c>
      <c r="Q24" s="302">
        <v>5.7496580460751442E-2</v>
      </c>
      <c r="R24" s="302">
        <v>0.32541313763984514</v>
      </c>
      <c r="S24" s="302"/>
      <c r="T24" s="302"/>
      <c r="U24" s="303">
        <v>344979246660.10864</v>
      </c>
      <c r="V24" s="303">
        <v>344979246660.10864</v>
      </c>
      <c r="W24" s="303" t="s">
        <v>367</v>
      </c>
      <c r="X24" s="302">
        <v>5.7496541110018104E-2</v>
      </c>
      <c r="Y24" s="358">
        <v>6</v>
      </c>
      <c r="Z24" s="359">
        <v>0</v>
      </c>
      <c r="AA24" s="359">
        <v>0</v>
      </c>
      <c r="AB24" s="193" t="e">
        <v>#VALUE!</v>
      </c>
      <c r="AC24" s="369">
        <v>5.5749497404051433E-2</v>
      </c>
      <c r="AD24" s="304">
        <v>6000000000000</v>
      </c>
      <c r="AE24" s="304">
        <v>0</v>
      </c>
      <c r="AV24" s="193" t="s">
        <v>368</v>
      </c>
    </row>
    <row r="25" spans="1:48">
      <c r="A25" s="295">
        <v>2021</v>
      </c>
      <c r="B25" s="356">
        <v>20</v>
      </c>
      <c r="C25" s="295" t="s">
        <v>42</v>
      </c>
      <c r="D25" s="368" t="s">
        <v>59</v>
      </c>
      <c r="E25" s="297">
        <v>2021</v>
      </c>
      <c r="F25" s="298" t="s">
        <v>4</v>
      </c>
      <c r="G25" s="299">
        <v>44460</v>
      </c>
      <c r="H25" s="300">
        <v>1500000000000</v>
      </c>
      <c r="I25" s="300">
        <v>59848872143.040039</v>
      </c>
      <c r="J25" s="301">
        <v>0</v>
      </c>
      <c r="K25" s="300">
        <v>59848872143.040039</v>
      </c>
      <c r="L25" s="300">
        <v>4548973057.2000046</v>
      </c>
      <c r="M25" s="324">
        <v>64397845200.240044</v>
      </c>
      <c r="N25" s="300">
        <v>-31037139</v>
      </c>
      <c r="O25" s="324">
        <v>64366808061.240044</v>
      </c>
      <c r="P25" s="302">
        <v>3.9899248095360024E-2</v>
      </c>
      <c r="Q25" s="302">
        <v>4.2931896800160026E-2</v>
      </c>
      <c r="R25" s="302">
        <v>8.1353284409961285E-2</v>
      </c>
      <c r="S25" s="302"/>
      <c r="T25" s="302"/>
      <c r="U25" s="303">
        <v>64366808061.240044</v>
      </c>
      <c r="V25" s="303">
        <v>64366808061.240044</v>
      </c>
      <c r="W25" s="303" t="s">
        <v>367</v>
      </c>
      <c r="X25" s="302">
        <v>4.291120537416003E-2</v>
      </c>
      <c r="Y25" s="358">
        <v>1.5</v>
      </c>
      <c r="Z25" s="359">
        <v>0</v>
      </c>
      <c r="AA25" s="359">
        <v>0</v>
      </c>
      <c r="AB25" s="193" t="e">
        <v>#VALUE!</v>
      </c>
      <c r="AC25" s="369">
        <v>3.9899248095360024E-2</v>
      </c>
      <c r="AD25" s="304">
        <v>1500000000000</v>
      </c>
      <c r="AE25" s="304">
        <v>0</v>
      </c>
      <c r="AV25" s="193" t="s">
        <v>368</v>
      </c>
    </row>
    <row r="26" spans="1:48">
      <c r="A26" s="295">
        <v>2021</v>
      </c>
      <c r="B26" s="356">
        <v>21</v>
      </c>
      <c r="C26" s="295" t="s">
        <v>42</v>
      </c>
      <c r="D26" s="368" t="s">
        <v>60</v>
      </c>
      <c r="E26" s="297">
        <v>2021</v>
      </c>
      <c r="F26" s="298" t="s">
        <v>4</v>
      </c>
      <c r="G26" s="299">
        <v>44470</v>
      </c>
      <c r="H26" s="300">
        <v>1500000000000</v>
      </c>
      <c r="I26" s="300">
        <v>60717971423.459961</v>
      </c>
      <c r="J26" s="301">
        <v>0</v>
      </c>
      <c r="K26" s="300">
        <v>60717971423.459961</v>
      </c>
      <c r="L26" s="300">
        <v>4299357186.3000488</v>
      </c>
      <c r="M26" s="324">
        <v>65017328609.76001</v>
      </c>
      <c r="N26" s="300">
        <v>-21468094.400039673</v>
      </c>
      <c r="O26" s="324">
        <v>64995860515.35997</v>
      </c>
      <c r="P26" s="302">
        <v>4.0478647615639976E-2</v>
      </c>
      <c r="Q26" s="302">
        <v>4.3344885739840008E-2</v>
      </c>
      <c r="R26" s="302">
        <v>8.1353284409961285E-2</v>
      </c>
      <c r="S26" s="302"/>
      <c r="T26" s="302"/>
      <c r="U26" s="303">
        <v>64995860515.35997</v>
      </c>
      <c r="V26" s="303">
        <v>64995860515.35997</v>
      </c>
      <c r="W26" s="303" t="s">
        <v>367</v>
      </c>
      <c r="X26" s="302">
        <v>4.3330573676906646E-2</v>
      </c>
      <c r="Y26" s="358">
        <v>1.5</v>
      </c>
      <c r="Z26" s="359">
        <v>0</v>
      </c>
      <c r="AA26" s="359">
        <v>0</v>
      </c>
      <c r="AB26" s="193" t="e">
        <v>#VALUE!</v>
      </c>
      <c r="AC26" s="369">
        <v>4.0478647615639976E-2</v>
      </c>
      <c r="AD26" s="304">
        <v>1500000000000</v>
      </c>
      <c r="AE26" s="304">
        <v>0</v>
      </c>
      <c r="AV26" s="193" t="s">
        <v>368</v>
      </c>
    </row>
    <row r="27" spans="1:48">
      <c r="A27" s="295">
        <v>2021</v>
      </c>
      <c r="B27" s="356">
        <v>22</v>
      </c>
      <c r="C27" s="295" t="s">
        <v>202</v>
      </c>
      <c r="D27" s="297" t="s">
        <v>61</v>
      </c>
      <c r="E27" s="297">
        <v>2021</v>
      </c>
      <c r="F27" s="298" t="s">
        <v>6</v>
      </c>
      <c r="G27" s="299">
        <v>44491</v>
      </c>
      <c r="H27" s="300">
        <v>583186621662.30005</v>
      </c>
      <c r="I27" s="300">
        <v>1896555059.5799561</v>
      </c>
      <c r="J27" s="301">
        <v>0</v>
      </c>
      <c r="K27" s="300">
        <v>1896555059.5799561</v>
      </c>
      <c r="L27" s="300">
        <v>684541171.59994507</v>
      </c>
      <c r="M27" s="300">
        <v>2581096231.1799011</v>
      </c>
      <c r="N27" s="300">
        <v>-198156.90002441406</v>
      </c>
      <c r="O27" s="324">
        <v>2580898074.2798767</v>
      </c>
      <c r="P27" s="302">
        <v>3.252055155473328E-3</v>
      </c>
      <c r="Q27" s="302">
        <v>4.4258495227870818E-3</v>
      </c>
      <c r="R27" s="302">
        <v>3.1629431397451724E-2</v>
      </c>
      <c r="S27" s="302"/>
      <c r="T27" s="302"/>
      <c r="U27" s="303">
        <v>2580898074.2798767</v>
      </c>
      <c r="V27" s="303" t="s">
        <v>367</v>
      </c>
      <c r="W27" s="303">
        <v>2580898074.2798767</v>
      </c>
      <c r="X27" s="302">
        <v>4.4255097397868145E-3</v>
      </c>
      <c r="Y27" s="358">
        <v>0.58318662166230006</v>
      </c>
      <c r="Z27" s="359">
        <v>0</v>
      </c>
      <c r="AA27" s="359">
        <v>0</v>
      </c>
      <c r="AB27" s="193">
        <v>0</v>
      </c>
      <c r="AC27" s="369">
        <v>3.252055155473328E-3</v>
      </c>
      <c r="AD27" s="304">
        <v>121666200000</v>
      </c>
      <c r="AE27" s="304">
        <v>461520421662.29999</v>
      </c>
      <c r="AV27" s="193" t="s">
        <v>368</v>
      </c>
    </row>
    <row r="28" spans="1:48">
      <c r="A28" s="340">
        <v>2021</v>
      </c>
      <c r="B28" s="370">
        <v>23</v>
      </c>
      <c r="C28" s="340" t="s">
        <v>42</v>
      </c>
      <c r="D28" s="343" t="s">
        <v>62</v>
      </c>
      <c r="E28" s="343">
        <v>2021</v>
      </c>
      <c r="F28" s="344" t="s">
        <v>4</v>
      </c>
      <c r="G28" s="371">
        <v>44543</v>
      </c>
      <c r="H28" s="372">
        <v>1094007500000</v>
      </c>
      <c r="I28" s="364">
        <v>3316480.2697753906</v>
      </c>
      <c r="J28" s="364">
        <v>0</v>
      </c>
      <c r="K28" s="372">
        <v>3316480.2697753906</v>
      </c>
      <c r="L28" s="346">
        <v>2771741644</v>
      </c>
      <c r="M28" s="346">
        <v>2775058124.2697754</v>
      </c>
      <c r="N28" s="346">
        <v>-21396019808</v>
      </c>
      <c r="O28" s="346">
        <v>-18620961683.730225</v>
      </c>
      <c r="P28" s="348">
        <v>3.0314968313977651E-6</v>
      </c>
      <c r="Q28" s="348">
        <v>2.5365988114978877E-3</v>
      </c>
      <c r="R28" s="373">
        <v>5.9334068862753817E-2</v>
      </c>
      <c r="S28" s="373"/>
      <c r="T28" s="373"/>
      <c r="U28" s="349">
        <v>-18620961683.730225</v>
      </c>
      <c r="V28" s="349">
        <v>-18620961683.730225</v>
      </c>
      <c r="W28" s="349" t="s">
        <v>367</v>
      </c>
      <c r="X28" s="348">
        <v>-1.702087205410404E-2</v>
      </c>
      <c r="Y28" s="374">
        <v>1.0940075</v>
      </c>
      <c r="Z28" s="351">
        <v>0</v>
      </c>
      <c r="AA28" s="351">
        <v>0</v>
      </c>
      <c r="AB28" s="352" t="e">
        <v>#VALUE!</v>
      </c>
      <c r="AC28" s="353">
        <v>3.0314968313977651E-6</v>
      </c>
      <c r="AD28" s="304">
        <v>1094007500000</v>
      </c>
      <c r="AE28" s="304">
        <v>0</v>
      </c>
      <c r="AV28" s="193" t="s">
        <v>368</v>
      </c>
    </row>
    <row r="29" spans="1:48">
      <c r="A29" s="326">
        <v>2022</v>
      </c>
      <c r="B29" s="375">
        <v>24</v>
      </c>
      <c r="C29" s="326" t="s">
        <v>42</v>
      </c>
      <c r="D29" s="376" t="s">
        <v>63</v>
      </c>
      <c r="E29" s="329">
        <v>2022</v>
      </c>
      <c r="F29" s="330" t="s">
        <v>4</v>
      </c>
      <c r="G29" s="377">
        <v>44634</v>
      </c>
      <c r="H29" s="378">
        <v>30922500000</v>
      </c>
      <c r="I29" s="367">
        <v>1467370995.8599968</v>
      </c>
      <c r="J29" s="367">
        <v>288582047.5</v>
      </c>
      <c r="K29" s="378">
        <v>1755953043.3599968</v>
      </c>
      <c r="L29" s="332">
        <v>400810000</v>
      </c>
      <c r="M29" s="332">
        <v>2156763043.3599968</v>
      </c>
      <c r="N29" s="332">
        <v>-98000</v>
      </c>
      <c r="O29" s="332">
        <v>2156665043.3599968</v>
      </c>
      <c r="P29" s="334">
        <v>5.6785610586466063E-2</v>
      </c>
      <c r="Q29" s="334">
        <v>6.9747369823267749E-2</v>
      </c>
      <c r="R29" s="379">
        <v>1.677097958111352E-3</v>
      </c>
      <c r="S29" s="379"/>
      <c r="T29" s="379"/>
      <c r="U29" s="335">
        <v>2156665043.3599968</v>
      </c>
      <c r="V29" s="335">
        <v>2156665043.3599968</v>
      </c>
      <c r="W29" s="335" t="s">
        <v>367</v>
      </c>
      <c r="X29" s="334">
        <v>6.9744200609911766E-2</v>
      </c>
      <c r="Y29" s="380"/>
      <c r="Z29" s="337">
        <v>0</v>
      </c>
      <c r="AA29" s="337">
        <v>0</v>
      </c>
      <c r="AB29" s="338" t="e">
        <v>#VALUE!</v>
      </c>
      <c r="AC29" s="339">
        <v>4.7453181206564693E-2</v>
      </c>
      <c r="AD29" s="304">
        <v>30922500000</v>
      </c>
      <c r="AE29" s="304">
        <v>0</v>
      </c>
      <c r="AV29" s="193" t="s">
        <v>368</v>
      </c>
    </row>
    <row r="30" spans="1:48">
      <c r="A30" s="295">
        <v>2022</v>
      </c>
      <c r="B30" s="381">
        <v>25</v>
      </c>
      <c r="C30" s="295" t="s">
        <v>42</v>
      </c>
      <c r="D30" s="382" t="s">
        <v>64</v>
      </c>
      <c r="E30" s="297">
        <v>2022</v>
      </c>
      <c r="F30" s="298" t="s">
        <v>4</v>
      </c>
      <c r="G30" s="383">
        <v>44635</v>
      </c>
      <c r="H30" s="384">
        <v>245370300000</v>
      </c>
      <c r="I30" s="301">
        <v>10071304838.920013</v>
      </c>
      <c r="J30" s="301">
        <v>2057871677.4999981</v>
      </c>
      <c r="K30" s="384">
        <v>12129176516.420012</v>
      </c>
      <c r="L30" s="300">
        <v>3396838000.0000076</v>
      </c>
      <c r="M30" s="300">
        <v>15526014516.420019</v>
      </c>
      <c r="N30" s="300">
        <v>-82000</v>
      </c>
      <c r="O30" s="300">
        <v>15525932516.420019</v>
      </c>
      <c r="P30" s="302">
        <v>4.9432129790850855E-2</v>
      </c>
      <c r="Q30" s="302">
        <v>6.3275850893201091E-2</v>
      </c>
      <c r="R30" s="385">
        <v>1.330778653443835E-2</v>
      </c>
      <c r="S30" s="385"/>
      <c r="T30" s="385"/>
      <c r="U30" s="303">
        <v>15525932516.420019</v>
      </c>
      <c r="V30" s="303">
        <v>15525932516.420019</v>
      </c>
      <c r="W30" s="303" t="s">
        <v>367</v>
      </c>
      <c r="X30" s="302">
        <v>6.3275516704426008E-2</v>
      </c>
      <c r="Y30" s="386"/>
      <c r="Z30" s="359">
        <v>0</v>
      </c>
      <c r="AA30" s="359">
        <v>0</v>
      </c>
      <c r="AB30" s="193" t="e">
        <v>#VALUE!</v>
      </c>
      <c r="AC30" s="369">
        <v>4.1045329605579869E-2</v>
      </c>
      <c r="AD30" s="304">
        <v>245370300000</v>
      </c>
      <c r="AE30" s="304">
        <v>0</v>
      </c>
      <c r="AV30" s="193" t="s">
        <v>368</v>
      </c>
    </row>
    <row r="31" spans="1:48">
      <c r="A31" s="295">
        <v>2022</v>
      </c>
      <c r="B31" s="381">
        <v>26</v>
      </c>
      <c r="C31" s="295" t="s">
        <v>42</v>
      </c>
      <c r="D31" s="382" t="s">
        <v>65</v>
      </c>
      <c r="E31" s="297">
        <v>2022</v>
      </c>
      <c r="F31" s="298" t="s">
        <v>4</v>
      </c>
      <c r="G31" s="383">
        <v>44636</v>
      </c>
      <c r="H31" s="384">
        <v>271825600000</v>
      </c>
      <c r="I31" s="301">
        <v>11563784356</v>
      </c>
      <c r="J31" s="301">
        <v>2243688625</v>
      </c>
      <c r="K31" s="384">
        <v>13807472981</v>
      </c>
      <c r="L31" s="300">
        <v>3784971000</v>
      </c>
      <c r="M31" s="300">
        <v>17592443981</v>
      </c>
      <c r="N31" s="300">
        <v>-100000</v>
      </c>
      <c r="O31" s="300">
        <v>17592343981</v>
      </c>
      <c r="P31" s="302">
        <v>5.0795337087456073E-2</v>
      </c>
      <c r="Q31" s="302">
        <v>6.4719599555744564E-2</v>
      </c>
      <c r="R31" s="385">
        <v>1.474260356447225E-2</v>
      </c>
      <c r="S31" s="385"/>
      <c r="T31" s="385"/>
      <c r="U31" s="303">
        <v>17592343981</v>
      </c>
      <c r="V31" s="303">
        <v>17592343981</v>
      </c>
      <c r="W31" s="303" t="s">
        <v>367</v>
      </c>
      <c r="X31" s="302">
        <v>6.4719231672807853E-2</v>
      </c>
      <c r="Y31" s="386"/>
      <c r="Z31" s="359">
        <v>0</v>
      </c>
      <c r="AA31" s="359">
        <v>0</v>
      </c>
      <c r="AB31" s="193" t="e">
        <v>#VALUE!</v>
      </c>
      <c r="AC31" s="369">
        <v>4.2541189483256914E-2</v>
      </c>
      <c r="AD31" s="304">
        <v>271825600000</v>
      </c>
      <c r="AE31" s="304">
        <v>0</v>
      </c>
      <c r="AV31" s="193" t="s">
        <v>368</v>
      </c>
    </row>
    <row r="32" spans="1:48">
      <c r="A32" s="295">
        <v>2022</v>
      </c>
      <c r="B32" s="381">
        <v>27</v>
      </c>
      <c r="C32" s="295" t="s">
        <v>42</v>
      </c>
      <c r="D32" s="382" t="s">
        <v>66</v>
      </c>
      <c r="E32" s="297">
        <v>2022</v>
      </c>
      <c r="F32" s="298" t="s">
        <v>4</v>
      </c>
      <c r="G32" s="383">
        <v>44637</v>
      </c>
      <c r="H32" s="384">
        <v>355185200000</v>
      </c>
      <c r="I32" s="301">
        <v>15060503636.320068</v>
      </c>
      <c r="J32" s="301">
        <v>3097682219.9999962</v>
      </c>
      <c r="K32" s="384">
        <v>18158185856.320065</v>
      </c>
      <c r="L32" s="300">
        <v>4766472000</v>
      </c>
      <c r="M32" s="300">
        <v>22924657856.320065</v>
      </c>
      <c r="N32" s="300">
        <v>-96000</v>
      </c>
      <c r="O32" s="300">
        <v>22924561856.320065</v>
      </c>
      <c r="P32" s="302">
        <v>5.1123148870842773E-2</v>
      </c>
      <c r="Q32" s="302">
        <v>6.4542829645830024E-2</v>
      </c>
      <c r="R32" s="385">
        <v>1.9263655062539322E-2</v>
      </c>
      <c r="S32" s="385"/>
      <c r="T32" s="385"/>
      <c r="U32" s="303">
        <v>22924561856.320065</v>
      </c>
      <c r="V32" s="303">
        <v>22924561856.320065</v>
      </c>
      <c r="W32" s="303" t="s">
        <v>367</v>
      </c>
      <c r="X32" s="302">
        <v>6.4542559364298022E-2</v>
      </c>
      <c r="Y32" s="386"/>
      <c r="Z32" s="359"/>
      <c r="AA32" s="359"/>
      <c r="AB32" s="193" t="e">
        <v>#VALUE!</v>
      </c>
      <c r="AC32" s="369">
        <v>4.2401833286747501E-2</v>
      </c>
      <c r="AD32" s="304">
        <v>355185200000</v>
      </c>
      <c r="AE32" s="304">
        <v>0</v>
      </c>
      <c r="AV32" s="193" t="s">
        <v>368</v>
      </c>
    </row>
    <row r="33" spans="1:48">
      <c r="A33" s="295">
        <v>2022</v>
      </c>
      <c r="B33" s="381">
        <v>28</v>
      </c>
      <c r="C33" s="295" t="s">
        <v>42</v>
      </c>
      <c r="D33" s="387" t="s">
        <v>67</v>
      </c>
      <c r="E33" s="297">
        <v>2022</v>
      </c>
      <c r="F33" s="298" t="s">
        <v>4</v>
      </c>
      <c r="G33" s="383">
        <v>44638</v>
      </c>
      <c r="H33" s="384">
        <v>148676000000</v>
      </c>
      <c r="I33" s="301">
        <v>6771752064.1999969</v>
      </c>
      <c r="J33" s="301">
        <v>1304983574.9999981</v>
      </c>
      <c r="K33" s="384">
        <v>8076735639.199995</v>
      </c>
      <c r="L33" s="300">
        <v>1979969999.9999962</v>
      </c>
      <c r="M33" s="300">
        <v>10056705639.199991</v>
      </c>
      <c r="N33" s="300">
        <v>-60000</v>
      </c>
      <c r="O33" s="300">
        <v>10056645639.199991</v>
      </c>
      <c r="P33" s="302">
        <v>5.4324407699964994E-2</v>
      </c>
      <c r="Q33" s="302">
        <v>6.7641755489789818E-2</v>
      </c>
      <c r="R33" s="385">
        <v>8.063520608623604E-3</v>
      </c>
      <c r="S33" s="385"/>
      <c r="T33" s="385"/>
      <c r="U33" s="303">
        <v>10056645639.199991</v>
      </c>
      <c r="V33" s="303">
        <v>10056645639.199991</v>
      </c>
      <c r="W33" s="303" t="s">
        <v>367</v>
      </c>
      <c r="X33" s="302">
        <v>6.7641351927681614E-2</v>
      </c>
      <c r="Y33" s="386"/>
      <c r="Z33" s="359"/>
      <c r="AA33" s="359"/>
      <c r="AB33" s="193" t="e">
        <v>#VALUE!</v>
      </c>
      <c r="AC33" s="369">
        <v>4.5547042321558269E-2</v>
      </c>
      <c r="AD33" s="304">
        <v>148676000000</v>
      </c>
      <c r="AE33" s="304">
        <v>0</v>
      </c>
      <c r="AV33" s="193" t="s">
        <v>368</v>
      </c>
    </row>
    <row r="34" spans="1:48">
      <c r="A34" s="295">
        <v>2022</v>
      </c>
      <c r="B34" s="381">
        <v>29</v>
      </c>
      <c r="C34" s="295" t="s">
        <v>42</v>
      </c>
      <c r="D34" s="387" t="s">
        <v>68</v>
      </c>
      <c r="E34" s="297">
        <v>2022</v>
      </c>
      <c r="F34" s="298" t="s">
        <v>6</v>
      </c>
      <c r="G34" s="383">
        <v>44649</v>
      </c>
      <c r="H34" s="384">
        <v>352572563037.20001</v>
      </c>
      <c r="I34" s="301">
        <v>6915914962.6299744</v>
      </c>
      <c r="J34" s="301">
        <v>21226439875</v>
      </c>
      <c r="K34" s="384">
        <v>28142354837.629974</v>
      </c>
      <c r="L34" s="300">
        <v>-11023698618.900017</v>
      </c>
      <c r="M34" s="300">
        <v>17118656218.729958</v>
      </c>
      <c r="N34" s="300">
        <v>-149037.20001220703</v>
      </c>
      <c r="O34" s="300">
        <v>17118507181.529945</v>
      </c>
      <c r="P34" s="302">
        <v>7.9820036463417801E-2</v>
      </c>
      <c r="Q34" s="302">
        <v>4.855356886328039E-2</v>
      </c>
      <c r="R34" s="385">
        <v>1.9121957330609559E-2</v>
      </c>
      <c r="S34" s="385"/>
      <c r="T34" s="385"/>
      <c r="U34" s="303">
        <v>17118507181.529945</v>
      </c>
      <c r="V34" s="303">
        <v>17118507181.529945</v>
      </c>
      <c r="W34" s="303" t="s">
        <v>367</v>
      </c>
      <c r="X34" s="302">
        <v>4.8553146149729658E-2</v>
      </c>
      <c r="Y34" s="386"/>
      <c r="Z34" s="359"/>
      <c r="AA34" s="359"/>
      <c r="AB34" s="193" t="e">
        <v>#VALUE!</v>
      </c>
      <c r="AC34" s="369">
        <v>1.9615578997564467E-2</v>
      </c>
      <c r="AD34" s="304">
        <v>0</v>
      </c>
      <c r="AE34" s="304">
        <v>352572563037.20001</v>
      </c>
      <c r="AV34" s="193" t="s">
        <v>368</v>
      </c>
    </row>
    <row r="35" spans="1:48">
      <c r="A35" s="295">
        <v>2022</v>
      </c>
      <c r="B35" s="381">
        <v>30</v>
      </c>
      <c r="C35" s="295" t="s">
        <v>42</v>
      </c>
      <c r="D35" s="387" t="s">
        <v>69</v>
      </c>
      <c r="E35" s="297">
        <v>2022</v>
      </c>
      <c r="F35" s="298" t="s">
        <v>6</v>
      </c>
      <c r="G35" s="383">
        <v>44650</v>
      </c>
      <c r="H35" s="384">
        <v>442473884381.59998</v>
      </c>
      <c r="I35" s="301">
        <v>8601361640.6499634</v>
      </c>
      <c r="J35" s="301">
        <v>26803980942.5</v>
      </c>
      <c r="K35" s="384">
        <v>35405342583.149963</v>
      </c>
      <c r="L35" s="300">
        <v>-14047627016.400009</v>
      </c>
      <c r="M35" s="300">
        <v>21357715566.749954</v>
      </c>
      <c r="N35" s="300">
        <v>-47381.599975585938</v>
      </c>
      <c r="O35" s="300">
        <v>21357668185.149979</v>
      </c>
      <c r="P35" s="302">
        <v>8.0016796093248202E-2</v>
      </c>
      <c r="Q35" s="302">
        <v>4.8268872628718928E-2</v>
      </c>
      <c r="R35" s="385">
        <v>2.3997802506717757E-2</v>
      </c>
      <c r="S35" s="385"/>
      <c r="T35" s="385"/>
      <c r="U35" s="303">
        <v>21357668185.149979</v>
      </c>
      <c r="V35" s="303">
        <v>21357668185.149979</v>
      </c>
      <c r="W35" s="303" t="s">
        <v>367</v>
      </c>
      <c r="X35" s="302">
        <v>4.8268765545336954E-2</v>
      </c>
      <c r="Y35" s="386"/>
      <c r="Z35" s="359"/>
      <c r="AA35" s="359"/>
      <c r="AB35" s="193" t="e">
        <v>#VALUE!</v>
      </c>
      <c r="AC35" s="369">
        <v>1.9439252675152112E-2</v>
      </c>
      <c r="AD35" s="304">
        <v>0</v>
      </c>
      <c r="AE35" s="304">
        <v>442473884381.59998</v>
      </c>
      <c r="AV35" s="193" t="s">
        <v>368</v>
      </c>
    </row>
    <row r="36" spans="1:48">
      <c r="A36" s="295">
        <v>2022</v>
      </c>
      <c r="B36" s="381">
        <v>31</v>
      </c>
      <c r="C36" s="295" t="s">
        <v>42</v>
      </c>
      <c r="D36" s="387" t="s">
        <v>70</v>
      </c>
      <c r="E36" s="297">
        <v>2022</v>
      </c>
      <c r="F36" s="298" t="s">
        <v>4</v>
      </c>
      <c r="G36" s="383">
        <v>44651</v>
      </c>
      <c r="H36" s="384">
        <v>535084800000</v>
      </c>
      <c r="I36" s="301">
        <v>25908465782.479858</v>
      </c>
      <c r="J36" s="301">
        <v>-5082150003.2040024</v>
      </c>
      <c r="K36" s="384">
        <v>20826315779.275856</v>
      </c>
      <c r="L36" s="300">
        <v>17019446451.000046</v>
      </c>
      <c r="M36" s="300">
        <v>37845762230.275902</v>
      </c>
      <c r="N36" s="300">
        <v>-86606.400024414063</v>
      </c>
      <c r="O36" s="300">
        <v>37845675623.875877</v>
      </c>
      <c r="P36" s="302">
        <v>3.892152380197654E-2</v>
      </c>
      <c r="Q36" s="302">
        <v>7.0728531683717982E-2</v>
      </c>
      <c r="R36" s="385">
        <v>2.9020603945231503E-2</v>
      </c>
      <c r="S36" s="385"/>
      <c r="T36" s="385"/>
      <c r="U36" s="303">
        <v>37845675623.875877</v>
      </c>
      <c r="V36" s="303">
        <v>37845675623.875877</v>
      </c>
      <c r="W36" s="303" t="s">
        <v>367</v>
      </c>
      <c r="X36" s="302">
        <v>7.0728369828251286E-2</v>
      </c>
      <c r="Y36" s="386"/>
      <c r="Z36" s="359"/>
      <c r="AA36" s="359"/>
      <c r="AB36" s="193" t="e">
        <v>#VALUE!</v>
      </c>
      <c r="AC36" s="369">
        <v>4.8419364150280211E-2</v>
      </c>
      <c r="AD36" s="304">
        <v>535084800000</v>
      </c>
      <c r="AE36" s="304">
        <v>0</v>
      </c>
      <c r="AV36" s="193" t="s">
        <v>368</v>
      </c>
    </row>
    <row r="37" spans="1:48">
      <c r="A37" s="295">
        <v>2022</v>
      </c>
      <c r="B37" s="381">
        <v>32</v>
      </c>
      <c r="C37" s="295" t="s">
        <v>42</v>
      </c>
      <c r="D37" s="387" t="s">
        <v>71</v>
      </c>
      <c r="E37" s="297">
        <v>2022</v>
      </c>
      <c r="F37" s="298" t="s">
        <v>6</v>
      </c>
      <c r="G37" s="383">
        <v>44652</v>
      </c>
      <c r="H37" s="384">
        <v>696763904583</v>
      </c>
      <c r="I37" s="301">
        <v>19530611856.719971</v>
      </c>
      <c r="J37" s="301">
        <v>42101571532.5</v>
      </c>
      <c r="K37" s="384">
        <v>61632183389.219971</v>
      </c>
      <c r="L37" s="300">
        <v>-22181434597.674652</v>
      </c>
      <c r="M37" s="300">
        <v>39450748791.545319</v>
      </c>
      <c r="N37" s="300">
        <v>-232583</v>
      </c>
      <c r="O37" s="300">
        <v>39450516208.545319</v>
      </c>
      <c r="P37" s="302">
        <v>8.8454902706399038E-2</v>
      </c>
      <c r="Q37" s="302">
        <v>5.6619966292823169E-2</v>
      </c>
      <c r="R37" s="385">
        <v>3.7789354730757285E-2</v>
      </c>
      <c r="S37" s="385"/>
      <c r="T37" s="385"/>
      <c r="U37" s="303">
        <v>39450516208.545319</v>
      </c>
      <c r="V37" s="303">
        <v>39450516208.545319</v>
      </c>
      <c r="W37" s="303" t="s">
        <v>367</v>
      </c>
      <c r="X37" s="302">
        <v>5.6619632488218094E-2</v>
      </c>
      <c r="Y37" s="386"/>
      <c r="Z37" s="359"/>
      <c r="AA37" s="359"/>
      <c r="AB37" s="193" t="e">
        <v>#VALUE!</v>
      </c>
      <c r="AC37" s="369">
        <v>2.8030458708116737E-2</v>
      </c>
      <c r="AD37" s="304">
        <v>0</v>
      </c>
      <c r="AE37" s="304">
        <v>696763904583</v>
      </c>
      <c r="AV37" s="193" t="s">
        <v>368</v>
      </c>
    </row>
    <row r="38" spans="1:48">
      <c r="A38" s="295">
        <v>2022</v>
      </c>
      <c r="B38" s="381">
        <v>33</v>
      </c>
      <c r="C38" s="295" t="s">
        <v>42</v>
      </c>
      <c r="D38" s="387" t="s">
        <v>72</v>
      </c>
      <c r="E38" s="297">
        <v>2022</v>
      </c>
      <c r="F38" s="298" t="s">
        <v>6</v>
      </c>
      <c r="G38" s="383">
        <v>44655</v>
      </c>
      <c r="H38" s="384">
        <v>420584782120.40002</v>
      </c>
      <c r="I38" s="301">
        <v>16723502896.809998</v>
      </c>
      <c r="J38" s="301">
        <v>19656250000</v>
      </c>
      <c r="K38" s="384">
        <v>36379752896.809998</v>
      </c>
      <c r="L38" s="300">
        <v>-13315369303.599991</v>
      </c>
      <c r="M38" s="300">
        <v>23064383593.210007</v>
      </c>
      <c r="N38" s="300">
        <v>-183620.40002441406</v>
      </c>
      <c r="O38" s="300">
        <v>23064199972.809982</v>
      </c>
      <c r="P38" s="302">
        <v>8.6498024758289119E-2</v>
      </c>
      <c r="Q38" s="302">
        <v>5.4838844803013841E-2</v>
      </c>
      <c r="R38" s="385">
        <v>2.2810635598895006E-2</v>
      </c>
      <c r="S38" s="385"/>
      <c r="T38" s="385"/>
      <c r="U38" s="303">
        <v>23064199972.809982</v>
      </c>
      <c r="V38" s="303">
        <v>23064199972.809982</v>
      </c>
      <c r="W38" s="303" t="s">
        <v>367</v>
      </c>
      <c r="X38" s="302">
        <v>5.4838408219457249E-2</v>
      </c>
      <c r="Y38" s="386"/>
      <c r="Z38" s="359"/>
      <c r="AA38" s="359"/>
      <c r="AB38" s="193" t="e">
        <v>#VALUE!</v>
      </c>
      <c r="AC38" s="369">
        <v>3.9762501183465526E-2</v>
      </c>
      <c r="AD38" s="304">
        <v>0</v>
      </c>
      <c r="AE38" s="304">
        <v>420584782120.40002</v>
      </c>
      <c r="AV38" s="193" t="s">
        <v>368</v>
      </c>
    </row>
    <row r="39" spans="1:48">
      <c r="A39" s="295">
        <v>2022</v>
      </c>
      <c r="B39" s="381">
        <v>34</v>
      </c>
      <c r="C39" s="295" t="s">
        <v>42</v>
      </c>
      <c r="D39" s="387" t="s">
        <v>73</v>
      </c>
      <c r="E39" s="297">
        <v>2022</v>
      </c>
      <c r="F39" s="298" t="s">
        <v>6</v>
      </c>
      <c r="G39" s="383">
        <v>44656</v>
      </c>
      <c r="H39" s="384">
        <v>398457738775</v>
      </c>
      <c r="I39" s="301">
        <v>16212772480.22995</v>
      </c>
      <c r="J39" s="301">
        <v>18500000000</v>
      </c>
      <c r="K39" s="384">
        <v>34712772480.22995</v>
      </c>
      <c r="L39" s="300">
        <v>-13497412695.000046</v>
      </c>
      <c r="M39" s="300">
        <v>21215359785.229904</v>
      </c>
      <c r="N39" s="300">
        <v>-232525</v>
      </c>
      <c r="O39" s="300">
        <v>21215127260.229904</v>
      </c>
      <c r="P39" s="302">
        <v>8.7117827318272917E-2</v>
      </c>
      <c r="Q39" s="302">
        <v>5.3243688654293485E-2</v>
      </c>
      <c r="R39" s="385">
        <v>2.1610563831941758E-2</v>
      </c>
      <c r="S39" s="385"/>
      <c r="T39" s="385"/>
      <c r="U39" s="303">
        <v>21215127260.229904</v>
      </c>
      <c r="V39" s="303">
        <v>21215127260.229904</v>
      </c>
      <c r="W39" s="303" t="s">
        <v>367</v>
      </c>
      <c r="X39" s="302">
        <v>5.3243105091778889E-2</v>
      </c>
      <c r="Y39" s="386"/>
      <c r="Z39" s="359"/>
      <c r="AA39" s="359"/>
      <c r="AB39" s="193" t="e">
        <v>#VALUE!</v>
      </c>
      <c r="AC39" s="369">
        <v>4.0688813147596897E-2</v>
      </c>
      <c r="AD39" s="304">
        <v>0</v>
      </c>
      <c r="AE39" s="304">
        <v>398457738775</v>
      </c>
      <c r="AV39" s="193" t="s">
        <v>368</v>
      </c>
    </row>
    <row r="40" spans="1:48">
      <c r="A40" s="295">
        <v>2022</v>
      </c>
      <c r="B40" s="381">
        <v>35</v>
      </c>
      <c r="C40" s="295" t="s">
        <v>42</v>
      </c>
      <c r="D40" s="387" t="s">
        <v>74</v>
      </c>
      <c r="E40" s="297">
        <v>2022</v>
      </c>
      <c r="F40" s="298" t="s">
        <v>6</v>
      </c>
      <c r="G40" s="383">
        <v>44657</v>
      </c>
      <c r="H40" s="384">
        <v>288863325951</v>
      </c>
      <c r="I40" s="301">
        <v>13119614551.730011</v>
      </c>
      <c r="J40" s="301">
        <v>13412500000</v>
      </c>
      <c r="K40" s="384">
        <v>26532114551.730011</v>
      </c>
      <c r="L40" s="300">
        <v>-9748158823.5865631</v>
      </c>
      <c r="M40" s="300">
        <v>16783955728.143448</v>
      </c>
      <c r="N40" s="300">
        <v>-221951</v>
      </c>
      <c r="O40" s="300">
        <v>16783733777.143448</v>
      </c>
      <c r="P40" s="302">
        <v>9.1850062531754775E-2</v>
      </c>
      <c r="Q40" s="302">
        <v>5.8103449695066228E-2</v>
      </c>
      <c r="R40" s="385">
        <v>1.5666653541132704E-2</v>
      </c>
      <c r="S40" s="385"/>
      <c r="T40" s="385"/>
      <c r="U40" s="303">
        <v>16783733777.143448</v>
      </c>
      <c r="V40" s="303">
        <v>16783733777.143448</v>
      </c>
      <c r="W40" s="303" t="s">
        <v>367</v>
      </c>
      <c r="X40" s="302">
        <v>5.8102681335153221E-2</v>
      </c>
      <c r="Y40" s="386"/>
      <c r="Z40" s="359"/>
      <c r="AA40" s="359"/>
      <c r="AB40" s="193" t="e">
        <v>#VALUE!</v>
      </c>
      <c r="AC40" s="369">
        <v>4.5418069284279779E-2</v>
      </c>
      <c r="AD40" s="304">
        <v>0</v>
      </c>
      <c r="AE40" s="304">
        <v>288863325951</v>
      </c>
      <c r="AV40" s="193" t="s">
        <v>368</v>
      </c>
    </row>
    <row r="41" spans="1:48">
      <c r="A41" s="295">
        <v>2022</v>
      </c>
      <c r="B41" s="381">
        <v>36</v>
      </c>
      <c r="C41" s="295" t="s">
        <v>42</v>
      </c>
      <c r="D41" s="387" t="s">
        <v>75</v>
      </c>
      <c r="E41" s="297">
        <v>2022</v>
      </c>
      <c r="F41" s="298" t="s">
        <v>6</v>
      </c>
      <c r="G41" s="383">
        <v>44658</v>
      </c>
      <c r="H41" s="384">
        <v>187960167773.60001</v>
      </c>
      <c r="I41" s="301">
        <v>7530269083.0512085</v>
      </c>
      <c r="J41" s="301">
        <v>8787500000</v>
      </c>
      <c r="K41" s="384">
        <v>16317769083.051208</v>
      </c>
      <c r="L41" s="300">
        <v>-6362196247.4999924</v>
      </c>
      <c r="M41" s="300">
        <v>9955572835.5512161</v>
      </c>
      <c r="N41" s="300">
        <v>-95773.600006103516</v>
      </c>
      <c r="O41" s="300">
        <v>9955477061.95121</v>
      </c>
      <c r="P41" s="302">
        <v>8.6815037868587838E-2</v>
      </c>
      <c r="Q41" s="302">
        <v>5.2966396835433811E-2</v>
      </c>
      <c r="R41" s="385">
        <v>1.0194117991086481E-2</v>
      </c>
      <c r="S41" s="385"/>
      <c r="T41" s="385"/>
      <c r="U41" s="303">
        <v>9955477061.95121</v>
      </c>
      <c r="V41" s="303">
        <v>9955477061.95121</v>
      </c>
      <c r="W41" s="303" t="s">
        <v>367</v>
      </c>
      <c r="X41" s="302">
        <v>5.296588729343276E-2</v>
      </c>
      <c r="Y41" s="386"/>
      <c r="Z41" s="359"/>
      <c r="AA41" s="359"/>
      <c r="AB41" s="193" t="e">
        <v>#VALUE!</v>
      </c>
      <c r="AC41" s="369">
        <v>4.0063111095546035E-2</v>
      </c>
      <c r="AD41" s="304">
        <v>0</v>
      </c>
      <c r="AE41" s="304">
        <v>187960167773.60001</v>
      </c>
      <c r="AV41" s="193" t="s">
        <v>368</v>
      </c>
    </row>
    <row r="42" spans="1:48">
      <c r="A42" s="295">
        <v>2022</v>
      </c>
      <c r="B42" s="381">
        <v>37</v>
      </c>
      <c r="C42" s="295" t="s">
        <v>42</v>
      </c>
      <c r="D42" s="387" t="s">
        <v>76</v>
      </c>
      <c r="E42" s="297">
        <v>2022</v>
      </c>
      <c r="F42" s="298" t="s">
        <v>6</v>
      </c>
      <c r="G42" s="383">
        <v>44659</v>
      </c>
      <c r="H42" s="384">
        <v>156007451365</v>
      </c>
      <c r="I42" s="301">
        <v>7373111425.5392761</v>
      </c>
      <c r="J42" s="301">
        <v>7215000000</v>
      </c>
      <c r="K42" s="384">
        <v>14588111425.539276</v>
      </c>
      <c r="L42" s="300">
        <v>-5203595641.1866455</v>
      </c>
      <c r="M42" s="300">
        <v>9384515784.3526306</v>
      </c>
      <c r="N42" s="300">
        <v>-275365</v>
      </c>
      <c r="O42" s="300">
        <v>9384240419.3526306</v>
      </c>
      <c r="P42" s="302">
        <v>9.3509068303464976E-2</v>
      </c>
      <c r="Q42" s="302">
        <v>6.015427918501353E-2</v>
      </c>
      <c r="R42" s="385">
        <v>8.4611457073133656E-3</v>
      </c>
      <c r="S42" s="385"/>
      <c r="T42" s="385"/>
      <c r="U42" s="303">
        <v>9384240419.3526306</v>
      </c>
      <c r="V42" s="303">
        <v>9384240419.3526306</v>
      </c>
      <c r="W42" s="303" t="s">
        <v>367</v>
      </c>
      <c r="X42" s="302">
        <v>6.015251410906626E-2</v>
      </c>
      <c r="Y42" s="386"/>
      <c r="Z42" s="359"/>
      <c r="AA42" s="359"/>
      <c r="AB42" s="193" t="e">
        <v>#VALUE!</v>
      </c>
      <c r="AC42" s="369">
        <v>4.726127733661202E-2</v>
      </c>
      <c r="AD42" s="304">
        <v>0</v>
      </c>
      <c r="AE42" s="304">
        <v>156007451365</v>
      </c>
      <c r="AV42" s="193" t="s">
        <v>368</v>
      </c>
    </row>
    <row r="43" spans="1:48">
      <c r="A43" s="295">
        <v>2022</v>
      </c>
      <c r="B43" s="381">
        <v>38</v>
      </c>
      <c r="C43" s="295" t="s">
        <v>42</v>
      </c>
      <c r="D43" s="387" t="s">
        <v>77</v>
      </c>
      <c r="E43" s="297">
        <v>2022</v>
      </c>
      <c r="F43" s="298" t="s">
        <v>6</v>
      </c>
      <c r="G43" s="383">
        <v>44670</v>
      </c>
      <c r="H43" s="384">
        <v>470189631950.40002</v>
      </c>
      <c r="I43" s="301">
        <v>22400928182.399994</v>
      </c>
      <c r="J43" s="301">
        <v>21737500000</v>
      </c>
      <c r="K43" s="384">
        <v>44138428182.399994</v>
      </c>
      <c r="L43" s="300">
        <v>-15011347478.400009</v>
      </c>
      <c r="M43" s="300">
        <v>29127080703.999985</v>
      </c>
      <c r="N43" s="300">
        <v>-287950.40002441406</v>
      </c>
      <c r="O43" s="300">
        <v>29126792753.59996</v>
      </c>
      <c r="P43" s="302">
        <v>9.3873673903247884E-2</v>
      </c>
      <c r="Q43" s="302">
        <v>6.1947518032623439E-2</v>
      </c>
      <c r="R43" s="385">
        <v>2.5500980569783945E-2</v>
      </c>
      <c r="S43" s="385"/>
      <c r="T43" s="385"/>
      <c r="U43" s="303">
        <v>29126792753.59996</v>
      </c>
      <c r="V43" s="303">
        <v>29126792753.59996</v>
      </c>
      <c r="W43" s="303" t="s">
        <v>367</v>
      </c>
      <c r="X43" s="302">
        <v>6.1946905619289637E-2</v>
      </c>
      <c r="Y43" s="386"/>
      <c r="Z43" s="359"/>
      <c r="AA43" s="359"/>
      <c r="AB43" s="193" t="e">
        <v>#VALUE!</v>
      </c>
      <c r="AC43" s="369">
        <v>4.7642326968117946E-2</v>
      </c>
      <c r="AD43" s="304">
        <v>0</v>
      </c>
      <c r="AE43" s="304">
        <v>470189631950.40002</v>
      </c>
      <c r="AV43" s="193" t="s">
        <v>368</v>
      </c>
    </row>
    <row r="44" spans="1:48">
      <c r="A44" s="295">
        <v>2022</v>
      </c>
      <c r="B44" s="381">
        <v>39</v>
      </c>
      <c r="C44" s="295" t="s">
        <v>12</v>
      </c>
      <c r="D44" s="387" t="s">
        <v>78</v>
      </c>
      <c r="E44" s="297">
        <v>2022</v>
      </c>
      <c r="F44" s="298" t="s">
        <v>6</v>
      </c>
      <c r="G44" s="383">
        <v>44697</v>
      </c>
      <c r="H44" s="384">
        <v>2573927922150.6001</v>
      </c>
      <c r="I44" s="301">
        <v>131728909841.81006</v>
      </c>
      <c r="J44" s="301">
        <v>22824634000</v>
      </c>
      <c r="K44" s="384">
        <v>154553543841.81006</v>
      </c>
      <c r="L44" s="300">
        <v>-13813600800.000366</v>
      </c>
      <c r="M44" s="300">
        <v>140739943041.80969</v>
      </c>
      <c r="N44" s="300">
        <v>-600200.00012207031</v>
      </c>
      <c r="O44" s="300">
        <v>140739342841.80957</v>
      </c>
      <c r="P44" s="302">
        <v>6.0045793245319619E-2</v>
      </c>
      <c r="Q44" s="302">
        <v>5.4679053687026677E-2</v>
      </c>
      <c r="R44" s="385">
        <v>0.13959832686763898</v>
      </c>
      <c r="S44" s="385"/>
      <c r="T44" s="385"/>
      <c r="U44" s="303">
        <v>140739342841.80957</v>
      </c>
      <c r="V44" s="303" t="s">
        <v>367</v>
      </c>
      <c r="W44" s="303">
        <v>140739342841.80957</v>
      </c>
      <c r="X44" s="302">
        <v>5.4678820502563757E-2</v>
      </c>
      <c r="Y44" s="386"/>
      <c r="Z44" s="359"/>
      <c r="AA44" s="359"/>
      <c r="AB44" s="193">
        <v>0</v>
      </c>
      <c r="AC44" s="369">
        <v>5.1178165755219086E-2</v>
      </c>
      <c r="AD44" s="304">
        <v>0</v>
      </c>
      <c r="AE44" s="304">
        <v>2573927922150.6001</v>
      </c>
      <c r="AV44" s="193" t="s">
        <v>368</v>
      </c>
    </row>
    <row r="45" spans="1:48">
      <c r="A45" s="295">
        <v>2022</v>
      </c>
      <c r="B45" s="381">
        <v>40</v>
      </c>
      <c r="C45" s="295" t="s">
        <v>42</v>
      </c>
      <c r="D45" s="387" t="s">
        <v>79</v>
      </c>
      <c r="E45" s="297">
        <v>2022</v>
      </c>
      <c r="F45" s="298" t="s">
        <v>6</v>
      </c>
      <c r="G45" s="383">
        <v>44698</v>
      </c>
      <c r="H45" s="384">
        <v>84398209747.899994</v>
      </c>
      <c r="I45" s="301">
        <v>5696782741.5900059</v>
      </c>
      <c r="J45" s="301">
        <v>1650000000</v>
      </c>
      <c r="K45" s="384">
        <v>7346782741.5900059</v>
      </c>
      <c r="L45" s="300">
        <v>-1226075904.8999939</v>
      </c>
      <c r="M45" s="300">
        <v>6120706836.690012</v>
      </c>
      <c r="N45" s="300">
        <v>-289247.89999294281</v>
      </c>
      <c r="O45" s="300">
        <v>6120417588.790019</v>
      </c>
      <c r="P45" s="302">
        <v>8.7049035323558024E-2</v>
      </c>
      <c r="Q45" s="302">
        <v>7.2521761480163482E-2</v>
      </c>
      <c r="R45" s="385">
        <v>4.5773810408749841E-3</v>
      </c>
      <c r="S45" s="385"/>
      <c r="T45" s="385"/>
      <c r="U45" s="303">
        <v>6120417588.790019</v>
      </c>
      <c r="V45" s="303">
        <v>6120417588.790019</v>
      </c>
      <c r="W45" s="303" t="s">
        <v>367</v>
      </c>
      <c r="X45" s="302">
        <v>7.2518334299647963E-2</v>
      </c>
      <c r="Y45" s="386"/>
      <c r="Z45" s="359"/>
      <c r="AA45" s="359"/>
      <c r="AB45" s="193" t="e">
        <v>#VALUE!</v>
      </c>
      <c r="AC45" s="369">
        <v>6.7498857601440462E-2</v>
      </c>
      <c r="AD45" s="304">
        <v>0</v>
      </c>
      <c r="AE45" s="304">
        <v>84398209747.899994</v>
      </c>
      <c r="AV45" s="193" t="s">
        <v>368</v>
      </c>
    </row>
    <row r="46" spans="1:48">
      <c r="A46" s="295">
        <v>2022</v>
      </c>
      <c r="B46" s="381">
        <v>41</v>
      </c>
      <c r="C46" s="295" t="s">
        <v>42</v>
      </c>
      <c r="D46" s="387" t="s">
        <v>80</v>
      </c>
      <c r="E46" s="297">
        <v>2022</v>
      </c>
      <c r="F46" s="298" t="s">
        <v>6</v>
      </c>
      <c r="G46" s="383">
        <v>44699</v>
      </c>
      <c r="H46" s="384">
        <v>226818742256.39999</v>
      </c>
      <c r="I46" s="301">
        <v>16108434957.43</v>
      </c>
      <c r="J46" s="301">
        <v>5250000000</v>
      </c>
      <c r="K46" s="384">
        <v>21358434957.43</v>
      </c>
      <c r="L46" s="300">
        <v>-3883545354</v>
      </c>
      <c r="M46" s="300">
        <v>17474889603.43</v>
      </c>
      <c r="N46" s="300">
        <v>-160756.39999389648</v>
      </c>
      <c r="O46" s="300">
        <v>17474728847.030006</v>
      </c>
      <c r="P46" s="302">
        <v>9.4165212032108175E-2</v>
      </c>
      <c r="Q46" s="302">
        <v>7.7043411093762573E-2</v>
      </c>
      <c r="R46" s="385">
        <v>1.2301633098863077E-2</v>
      </c>
      <c r="S46" s="385"/>
      <c r="T46" s="385"/>
      <c r="U46" s="303">
        <v>17474728847.030006</v>
      </c>
      <c r="V46" s="303">
        <v>17474728847.030006</v>
      </c>
      <c r="W46" s="303" t="s">
        <v>367</v>
      </c>
      <c r="X46" s="302">
        <v>7.7042702349862505E-2</v>
      </c>
      <c r="Y46" s="386"/>
      <c r="Z46" s="359"/>
      <c r="AA46" s="359"/>
      <c r="AB46" s="193" t="e">
        <v>#VALUE!</v>
      </c>
      <c r="AC46" s="369">
        <v>7.1018976638274167E-2</v>
      </c>
      <c r="AD46" s="304">
        <v>0</v>
      </c>
      <c r="AE46" s="304">
        <v>226818742256.39999</v>
      </c>
      <c r="AV46" s="193" t="s">
        <v>368</v>
      </c>
    </row>
    <row r="47" spans="1:48">
      <c r="A47" s="295">
        <v>2022</v>
      </c>
      <c r="B47" s="381">
        <v>42</v>
      </c>
      <c r="C47" s="295" t="s">
        <v>42</v>
      </c>
      <c r="D47" s="387" t="s">
        <v>81</v>
      </c>
      <c r="E47" s="297">
        <v>2022</v>
      </c>
      <c r="F47" s="298" t="s">
        <v>6</v>
      </c>
      <c r="G47" s="383">
        <v>44700</v>
      </c>
      <c r="H47" s="384">
        <v>74832457851</v>
      </c>
      <c r="I47" s="301">
        <v>5019426092.5</v>
      </c>
      <c r="J47" s="301">
        <v>1500000000</v>
      </c>
      <c r="K47" s="384">
        <v>6519426092.5</v>
      </c>
      <c r="L47" s="300">
        <v>-1104566588.9999924</v>
      </c>
      <c r="M47" s="300">
        <v>5414859503.5000076</v>
      </c>
      <c r="N47" s="300">
        <v>-101851.0000038147</v>
      </c>
      <c r="O47" s="300">
        <v>5414757652.5000038</v>
      </c>
      <c r="P47" s="302">
        <v>8.7120298861236456E-2</v>
      </c>
      <c r="Q47" s="302">
        <v>7.2359770866829112E-2</v>
      </c>
      <c r="R47" s="385">
        <v>4.0585774844325625E-3</v>
      </c>
      <c r="S47" s="385"/>
      <c r="T47" s="385"/>
      <c r="U47" s="303">
        <v>5414757652.5000038</v>
      </c>
      <c r="V47" s="303">
        <v>5414757652.5000038</v>
      </c>
      <c r="W47" s="303" t="s">
        <v>367</v>
      </c>
      <c r="X47" s="302">
        <v>7.2358409813044047E-2</v>
      </c>
      <c r="Y47" s="386"/>
      <c r="Z47" s="359"/>
      <c r="AA47" s="359"/>
      <c r="AB47" s="193" t="e">
        <v>#VALUE!</v>
      </c>
      <c r="AC47" s="369">
        <v>6.7075520925615625E-2</v>
      </c>
      <c r="AD47" s="304">
        <v>0</v>
      </c>
      <c r="AE47" s="304">
        <v>74832457851</v>
      </c>
      <c r="AV47" s="193" t="s">
        <v>368</v>
      </c>
    </row>
    <row r="48" spans="1:48">
      <c r="A48" s="295">
        <v>2022</v>
      </c>
      <c r="B48" s="381">
        <v>43</v>
      </c>
      <c r="C48" s="295" t="s">
        <v>42</v>
      </c>
      <c r="D48" s="387" t="s">
        <v>82</v>
      </c>
      <c r="E48" s="297">
        <v>2022</v>
      </c>
      <c r="F48" s="298" t="s">
        <v>6</v>
      </c>
      <c r="G48" s="383">
        <v>44704</v>
      </c>
      <c r="H48" s="384">
        <v>416047678859.40002</v>
      </c>
      <c r="I48" s="301">
        <v>30299736494.220032</v>
      </c>
      <c r="J48" s="301">
        <v>6375000000</v>
      </c>
      <c r="K48" s="384">
        <v>36674736494.220032</v>
      </c>
      <c r="L48" s="300">
        <v>-4609093935.6000061</v>
      </c>
      <c r="M48" s="300">
        <v>32065642558.620026</v>
      </c>
      <c r="N48" s="300">
        <v>-182359.40002441406</v>
      </c>
      <c r="O48" s="300">
        <v>32065460199.220001</v>
      </c>
      <c r="P48" s="302">
        <v>8.8150321123685357E-2</v>
      </c>
      <c r="Q48" s="302">
        <v>7.7072038105171964E-2</v>
      </c>
      <c r="R48" s="385">
        <v>2.2564563430902008E-2</v>
      </c>
      <c r="S48" s="385"/>
      <c r="T48" s="385"/>
      <c r="U48" s="303">
        <v>32065460199.220001</v>
      </c>
      <c r="V48" s="303">
        <v>32065460199.220001</v>
      </c>
      <c r="W48" s="303" t="s">
        <v>367</v>
      </c>
      <c r="X48" s="302">
        <v>7.7071599791465883E-2</v>
      </c>
      <c r="Y48" s="386"/>
      <c r="Z48" s="359"/>
      <c r="AA48" s="359"/>
      <c r="AB48" s="193" t="e">
        <v>#VALUE!</v>
      </c>
      <c r="AC48" s="369">
        <v>7.2827558075283932E-2</v>
      </c>
      <c r="AD48" s="304">
        <v>0</v>
      </c>
      <c r="AE48" s="304">
        <v>416047678859.40002</v>
      </c>
      <c r="AV48" s="193" t="s">
        <v>368</v>
      </c>
    </row>
    <row r="49" spans="1:48">
      <c r="A49" s="295">
        <v>2022</v>
      </c>
      <c r="B49" s="381">
        <v>44</v>
      </c>
      <c r="C49" s="295" t="s">
        <v>42</v>
      </c>
      <c r="D49" s="387" t="s">
        <v>83</v>
      </c>
      <c r="E49" s="297">
        <v>2022</v>
      </c>
      <c r="F49" s="298" t="s">
        <v>6</v>
      </c>
      <c r="G49" s="383">
        <v>44705</v>
      </c>
      <c r="H49" s="384">
        <v>295871499769.59998</v>
      </c>
      <c r="I49" s="301">
        <v>20696929685.76001</v>
      </c>
      <c r="J49" s="301">
        <v>3075000000</v>
      </c>
      <c r="K49" s="384">
        <v>23771929685.76001</v>
      </c>
      <c r="L49" s="300">
        <v>-2212931128.1000061</v>
      </c>
      <c r="M49" s="300">
        <v>21558998557.660004</v>
      </c>
      <c r="N49" s="300">
        <v>-107769.59997558594</v>
      </c>
      <c r="O49" s="300">
        <v>21558890788.060028</v>
      </c>
      <c r="P49" s="302">
        <v>8.034545302359844E-2</v>
      </c>
      <c r="Q49" s="302">
        <v>7.286608738742445E-2</v>
      </c>
      <c r="R49" s="385">
        <v>1.604674551303871E-2</v>
      </c>
      <c r="S49" s="385"/>
      <c r="T49" s="385"/>
      <c r="U49" s="303">
        <v>21558890788.060028</v>
      </c>
      <c r="V49" s="303">
        <v>21558890788.060028</v>
      </c>
      <c r="W49" s="303" t="s">
        <v>367</v>
      </c>
      <c r="X49" s="302">
        <v>7.2865723142811298E-2</v>
      </c>
      <c r="Y49" s="386"/>
      <c r="Z49" s="359"/>
      <c r="AA49" s="359"/>
      <c r="AB49" s="193" t="e">
        <v>#VALUE!</v>
      </c>
      <c r="AC49" s="369">
        <v>6.9952427664972977E-2</v>
      </c>
      <c r="AD49" s="304">
        <v>0</v>
      </c>
      <c r="AE49" s="304">
        <v>295871499769.59998</v>
      </c>
      <c r="AV49" s="193" t="s">
        <v>368</v>
      </c>
    </row>
    <row r="50" spans="1:48">
      <c r="A50" s="295">
        <v>2022</v>
      </c>
      <c r="B50" s="381">
        <v>45</v>
      </c>
      <c r="C50" s="295" t="s">
        <v>42</v>
      </c>
      <c r="D50" s="387" t="s">
        <v>84</v>
      </c>
      <c r="E50" s="297">
        <v>2022</v>
      </c>
      <c r="F50" s="298" t="s">
        <v>6</v>
      </c>
      <c r="G50" s="383">
        <v>44706</v>
      </c>
      <c r="H50" s="384">
        <v>194669986612.5</v>
      </c>
      <c r="I50" s="301">
        <v>14043939834.01001</v>
      </c>
      <c r="J50" s="301">
        <v>5325000000</v>
      </c>
      <c r="K50" s="384">
        <v>19368939834.01001</v>
      </c>
      <c r="L50" s="300">
        <v>-3814338820.5</v>
      </c>
      <c r="M50" s="300">
        <v>15554601013.51001</v>
      </c>
      <c r="N50" s="300">
        <v>-199112.5</v>
      </c>
      <c r="O50" s="300">
        <v>15554401901.01001</v>
      </c>
      <c r="P50" s="302">
        <v>9.949628173841106E-2</v>
      </c>
      <c r="Q50" s="302">
        <v>7.9902409632729848E-2</v>
      </c>
      <c r="R50" s="385">
        <v>1.0558028524646714E-2</v>
      </c>
      <c r="S50" s="385"/>
      <c r="T50" s="385"/>
      <c r="U50" s="303">
        <v>15554401901.01001</v>
      </c>
      <c r="V50" s="303">
        <v>15554401901.01001</v>
      </c>
      <c r="W50" s="303" t="s">
        <v>367</v>
      </c>
      <c r="X50" s="302">
        <v>7.990138681198862E-2</v>
      </c>
      <c r="Y50" s="386"/>
      <c r="Z50" s="359"/>
      <c r="AA50" s="359"/>
      <c r="AB50" s="193" t="e">
        <v>#VALUE!</v>
      </c>
      <c r="AC50" s="369">
        <v>7.2142296192608008E-2</v>
      </c>
      <c r="AD50" s="304">
        <v>0</v>
      </c>
      <c r="AE50" s="304">
        <v>194669986612.5</v>
      </c>
      <c r="AV50" s="193" t="s">
        <v>368</v>
      </c>
    </row>
    <row r="51" spans="1:48">
      <c r="A51" s="295">
        <v>2022</v>
      </c>
      <c r="B51" s="381">
        <v>46</v>
      </c>
      <c r="C51" s="295" t="s">
        <v>42</v>
      </c>
      <c r="D51" s="387" t="s">
        <v>85</v>
      </c>
      <c r="E51" s="297">
        <v>2022</v>
      </c>
      <c r="F51" s="298" t="s">
        <v>6</v>
      </c>
      <c r="G51" s="383">
        <v>44707</v>
      </c>
      <c r="H51" s="384">
        <v>1042395477847.9</v>
      </c>
      <c r="I51" s="301">
        <v>69571517121.210022</v>
      </c>
      <c r="J51" s="301">
        <v>8587500000</v>
      </c>
      <c r="K51" s="384">
        <v>78159017121.210022</v>
      </c>
      <c r="L51" s="300">
        <v>-6122626070.8000488</v>
      </c>
      <c r="M51" s="300">
        <v>72036391050.409973</v>
      </c>
      <c r="N51" s="300">
        <v>-281597.90002441406</v>
      </c>
      <c r="O51" s="300">
        <v>72036109452.509949</v>
      </c>
      <c r="P51" s="302">
        <v>7.498019588743314E-2</v>
      </c>
      <c r="Q51" s="302">
        <v>6.910658438305417E-2</v>
      </c>
      <c r="R51" s="385">
        <v>5.6534863851345145E-2</v>
      </c>
      <c r="S51" s="385"/>
      <c r="T51" s="385"/>
      <c r="U51" s="303">
        <v>72036109452.509949</v>
      </c>
      <c r="V51" s="303">
        <v>72036109452.509949</v>
      </c>
      <c r="W51" s="303" t="s">
        <v>367</v>
      </c>
      <c r="X51" s="302">
        <v>6.9106314238079433E-2</v>
      </c>
      <c r="Y51" s="386"/>
      <c r="Z51" s="359"/>
      <c r="AA51" s="359"/>
      <c r="AB51" s="193" t="e">
        <v>#VALUE!</v>
      </c>
      <c r="AC51" s="369">
        <v>6.6741959841235488E-2</v>
      </c>
      <c r="AD51" s="304">
        <v>0</v>
      </c>
      <c r="AE51" s="304">
        <v>1042395477847.9</v>
      </c>
      <c r="AV51" s="193" t="s">
        <v>368</v>
      </c>
    </row>
    <row r="52" spans="1:48">
      <c r="A52" s="295">
        <v>2022</v>
      </c>
      <c r="B52" s="381">
        <v>47</v>
      </c>
      <c r="C52" s="295" t="s">
        <v>42</v>
      </c>
      <c r="D52" s="387" t="s">
        <v>86</v>
      </c>
      <c r="E52" s="297">
        <v>2022</v>
      </c>
      <c r="F52" s="298" t="s">
        <v>6</v>
      </c>
      <c r="G52" s="383">
        <v>44708</v>
      </c>
      <c r="H52" s="384">
        <v>514087856287.59998</v>
      </c>
      <c r="I52" s="301">
        <v>34888320469.389984</v>
      </c>
      <c r="J52" s="301">
        <v>2400000000</v>
      </c>
      <c r="K52" s="384">
        <v>37288320469.389984</v>
      </c>
      <c r="L52" s="300">
        <v>-1703109266.3999634</v>
      </c>
      <c r="M52" s="300">
        <v>35585211202.990021</v>
      </c>
      <c r="N52" s="300">
        <v>-228037.59997558594</v>
      </c>
      <c r="O52" s="300">
        <v>35584983165.390045</v>
      </c>
      <c r="P52" s="302">
        <v>7.2532972746451152E-2</v>
      </c>
      <c r="Q52" s="302">
        <v>6.9220096852632765E-2</v>
      </c>
      <c r="R52" s="385">
        <v>2.7881823722848285E-2</v>
      </c>
      <c r="S52" s="385"/>
      <c r="T52" s="385"/>
      <c r="U52" s="303">
        <v>35584983165.390045</v>
      </c>
      <c r="V52" s="303">
        <v>35584983165.390045</v>
      </c>
      <c r="W52" s="303" t="s">
        <v>367</v>
      </c>
      <c r="X52" s="302">
        <v>6.9219653275533657E-2</v>
      </c>
      <c r="Y52" s="386"/>
      <c r="Z52" s="359"/>
      <c r="AA52" s="359"/>
      <c r="AB52" s="193" t="e">
        <v>#VALUE!</v>
      </c>
      <c r="AC52" s="369">
        <v>6.7864510010662751E-2</v>
      </c>
      <c r="AD52" s="304">
        <v>0</v>
      </c>
      <c r="AE52" s="304">
        <v>514087856287.59998</v>
      </c>
      <c r="AV52" s="193" t="s">
        <v>368</v>
      </c>
    </row>
    <row r="53" spans="1:48">
      <c r="A53" s="295">
        <v>2022</v>
      </c>
      <c r="B53" s="381">
        <v>48</v>
      </c>
      <c r="C53" s="295" t="s">
        <v>42</v>
      </c>
      <c r="D53" s="387" t="s">
        <v>87</v>
      </c>
      <c r="E53" s="297">
        <v>2022</v>
      </c>
      <c r="F53" s="298" t="s">
        <v>6</v>
      </c>
      <c r="G53" s="383">
        <v>44712</v>
      </c>
      <c r="H53" s="384">
        <v>530052903105</v>
      </c>
      <c r="I53" s="301">
        <v>39061238992.149933</v>
      </c>
      <c r="J53" s="301">
        <v>1875000000</v>
      </c>
      <c r="K53" s="384">
        <v>40936238992.149933</v>
      </c>
      <c r="L53" s="300">
        <v>-1305509535</v>
      </c>
      <c r="M53" s="300">
        <v>39630729457.149933</v>
      </c>
      <c r="N53" s="300">
        <v>-113105</v>
      </c>
      <c r="O53" s="300">
        <v>39630616352.149933</v>
      </c>
      <c r="P53" s="302">
        <v>7.723047784919071E-2</v>
      </c>
      <c r="Q53" s="302">
        <v>7.4767498159140064E-2</v>
      </c>
      <c r="R53" s="385">
        <v>2.8747696385751146E-2</v>
      </c>
      <c r="S53" s="385"/>
      <c r="T53" s="385"/>
      <c r="U53" s="303">
        <v>39630616352.149933</v>
      </c>
      <c r="V53" s="303">
        <v>39630616352.149933</v>
      </c>
      <c r="W53" s="303" t="s">
        <v>367</v>
      </c>
      <c r="X53" s="302">
        <v>7.4767284774779105E-2</v>
      </c>
      <c r="Y53" s="386"/>
      <c r="Z53" s="359"/>
      <c r="AA53" s="359"/>
      <c r="AB53" s="193" t="e">
        <v>#VALUE!</v>
      </c>
      <c r="AC53" s="369">
        <v>7.3693095091702868E-2</v>
      </c>
      <c r="AD53" s="304">
        <v>0</v>
      </c>
      <c r="AE53" s="304">
        <v>530052903105</v>
      </c>
      <c r="AV53" s="193" t="s">
        <v>368</v>
      </c>
    </row>
    <row r="54" spans="1:48">
      <c r="A54" s="295">
        <v>2022</v>
      </c>
      <c r="B54" s="381">
        <v>49</v>
      </c>
      <c r="C54" s="295" t="s">
        <v>42</v>
      </c>
      <c r="D54" s="387" t="s">
        <v>88</v>
      </c>
      <c r="E54" s="297">
        <v>2022</v>
      </c>
      <c r="F54" s="298" t="s">
        <v>6</v>
      </c>
      <c r="G54" s="383">
        <v>44713</v>
      </c>
      <c r="H54" s="384">
        <v>210356437627</v>
      </c>
      <c r="I54" s="301">
        <v>12862355982.379999</v>
      </c>
      <c r="J54" s="301">
        <v>3375000000</v>
      </c>
      <c r="K54" s="384">
        <v>16237355982.379999</v>
      </c>
      <c r="L54" s="300">
        <v>-2338657784.0104065</v>
      </c>
      <c r="M54" s="300">
        <v>13898698198.369593</v>
      </c>
      <c r="N54" s="300">
        <v>-175627</v>
      </c>
      <c r="O54" s="300">
        <v>13898522571.369593</v>
      </c>
      <c r="P54" s="302">
        <v>7.7189726948940676E-2</v>
      </c>
      <c r="Q54" s="302">
        <v>6.6072131450592916E-2</v>
      </c>
      <c r="R54" s="385">
        <v>1.1408791398490409E-2</v>
      </c>
      <c r="S54" s="385"/>
      <c r="T54" s="385"/>
      <c r="U54" s="303">
        <v>13898522571.369593</v>
      </c>
      <c r="V54" s="303">
        <v>13898522571.369593</v>
      </c>
      <c r="W54" s="303" t="s">
        <v>367</v>
      </c>
      <c r="X54" s="302">
        <v>6.6071296548642772E-2</v>
      </c>
      <c r="Y54" s="386"/>
      <c r="Z54" s="359"/>
      <c r="AA54" s="359"/>
      <c r="AB54" s="193" t="e">
        <v>#VALUE!</v>
      </c>
      <c r="AC54" s="369">
        <v>6.1145530545574658E-2</v>
      </c>
      <c r="AD54" s="304">
        <v>0</v>
      </c>
      <c r="AE54" s="304">
        <v>210356437627</v>
      </c>
      <c r="AV54" s="193" t="s">
        <v>368</v>
      </c>
    </row>
    <row r="55" spans="1:48">
      <c r="A55" s="295">
        <v>2022</v>
      </c>
      <c r="B55" s="381">
        <v>50</v>
      </c>
      <c r="C55" s="295" t="s">
        <v>42</v>
      </c>
      <c r="D55" s="387" t="s">
        <v>89</v>
      </c>
      <c r="E55" s="297">
        <v>2022</v>
      </c>
      <c r="F55" s="298" t="s">
        <v>6</v>
      </c>
      <c r="G55" s="383">
        <v>44714</v>
      </c>
      <c r="H55" s="384">
        <v>224480810344.00003</v>
      </c>
      <c r="I55" s="301">
        <v>15955760778.5</v>
      </c>
      <c r="J55" s="301">
        <v>1500000000</v>
      </c>
      <c r="K55" s="384">
        <v>17455760778.5</v>
      </c>
      <c r="L55" s="300">
        <v>-1034410014.3999786</v>
      </c>
      <c r="M55" s="300">
        <v>16421350764.100021</v>
      </c>
      <c r="N55" s="300">
        <v>-195344.00003051758</v>
      </c>
      <c r="O55" s="300">
        <v>16421155420.099991</v>
      </c>
      <c r="P55" s="302">
        <v>7.7760592327470457E-2</v>
      </c>
      <c r="Q55" s="302">
        <v>7.3152581456452925E-2</v>
      </c>
      <c r="R55" s="385">
        <v>1.217483413899601E-2</v>
      </c>
      <c r="S55" s="385"/>
      <c r="T55" s="385"/>
      <c r="U55" s="303">
        <v>16421155420.099991</v>
      </c>
      <c r="V55" s="303">
        <v>16421155420.099991</v>
      </c>
      <c r="W55" s="303" t="s">
        <v>367</v>
      </c>
      <c r="X55" s="302">
        <v>7.3151711252894172E-2</v>
      </c>
      <c r="Y55" s="386"/>
      <c r="Z55" s="359"/>
      <c r="AA55" s="359"/>
      <c r="AB55" s="193" t="e">
        <v>#VALUE!</v>
      </c>
      <c r="AC55" s="369">
        <v>7.1078506684152609E-2</v>
      </c>
      <c r="AD55" s="304">
        <v>0</v>
      </c>
      <c r="AE55" s="304">
        <v>224480810344.00003</v>
      </c>
      <c r="AV55" s="193" t="s">
        <v>368</v>
      </c>
    </row>
    <row r="56" spans="1:48">
      <c r="A56" s="295">
        <v>2022</v>
      </c>
      <c r="B56" s="381">
        <v>51</v>
      </c>
      <c r="C56" s="295" t="s">
        <v>42</v>
      </c>
      <c r="D56" s="387" t="s">
        <v>90</v>
      </c>
      <c r="E56" s="297">
        <v>2022</v>
      </c>
      <c r="F56" s="298" t="s">
        <v>6</v>
      </c>
      <c r="G56" s="383">
        <v>44715</v>
      </c>
      <c r="H56" s="384">
        <v>302630346460.79999</v>
      </c>
      <c r="I56" s="301">
        <v>24592603696.659973</v>
      </c>
      <c r="J56" s="301">
        <v>0</v>
      </c>
      <c r="K56" s="384">
        <v>24592603696.659973</v>
      </c>
      <c r="L56" s="300">
        <v>-15773.500061035156</v>
      </c>
      <c r="M56" s="300">
        <v>24592587923.159912</v>
      </c>
      <c r="N56" s="300">
        <v>-306460.79998779297</v>
      </c>
      <c r="O56" s="300">
        <v>24592281462.359924</v>
      </c>
      <c r="P56" s="302">
        <v>8.1262847511049188E-2</v>
      </c>
      <c r="Q56" s="302">
        <v>8.126279538970628E-2</v>
      </c>
      <c r="R56" s="385">
        <v>1.6413315097807055E-2</v>
      </c>
      <c r="S56" s="385"/>
      <c r="T56" s="385"/>
      <c r="U56" s="303">
        <v>24592281462.359924</v>
      </c>
      <c r="V56" s="303">
        <v>24592281462.359924</v>
      </c>
      <c r="W56" s="303" t="s">
        <v>367</v>
      </c>
      <c r="X56" s="302">
        <v>8.1261782732503951E-2</v>
      </c>
      <c r="Y56" s="386"/>
      <c r="Z56" s="359"/>
      <c r="AA56" s="359"/>
      <c r="AB56" s="193" t="e">
        <v>#VALUE!</v>
      </c>
      <c r="AC56" s="369">
        <v>8.1262847511049188E-2</v>
      </c>
      <c r="AD56" s="304">
        <v>0</v>
      </c>
      <c r="AE56" s="304">
        <v>302630346460.79999</v>
      </c>
      <c r="AV56" s="193" t="s">
        <v>368</v>
      </c>
    </row>
    <row r="57" spans="1:48">
      <c r="A57" s="295">
        <v>2022</v>
      </c>
      <c r="B57" s="381">
        <v>52</v>
      </c>
      <c r="C57" s="295" t="s">
        <v>42</v>
      </c>
      <c r="D57" s="387" t="s">
        <v>91</v>
      </c>
      <c r="E57" s="297">
        <v>2022</v>
      </c>
      <c r="F57" s="298" t="s">
        <v>6</v>
      </c>
      <c r="G57" s="383">
        <v>44719</v>
      </c>
      <c r="H57" s="384">
        <v>405177474952.40002</v>
      </c>
      <c r="I57" s="301">
        <v>32502389853.109978</v>
      </c>
      <c r="J57" s="301">
        <v>0</v>
      </c>
      <c r="K57" s="384">
        <v>32502389853.109978</v>
      </c>
      <c r="L57" s="300">
        <v>-16496.599975585938</v>
      </c>
      <c r="M57" s="300">
        <v>32502373356.510002</v>
      </c>
      <c r="N57" s="300">
        <v>-306952.40002441406</v>
      </c>
      <c r="O57" s="300">
        <v>32502066404.109978</v>
      </c>
      <c r="P57" s="302">
        <v>8.0217662289662914E-2</v>
      </c>
      <c r="Q57" s="302">
        <v>8.0217621575158785E-2</v>
      </c>
      <c r="R57" s="385">
        <v>2.1975012237541711E-2</v>
      </c>
      <c r="S57" s="385"/>
      <c r="T57" s="385"/>
      <c r="U57" s="303">
        <v>32502066404.109978</v>
      </c>
      <c r="V57" s="303">
        <v>32502066404.109978</v>
      </c>
      <c r="W57" s="303" t="s">
        <v>367</v>
      </c>
      <c r="X57" s="302">
        <v>8.0216863999975074E-2</v>
      </c>
      <c r="Y57" s="386"/>
      <c r="Z57" s="359"/>
      <c r="AA57" s="359"/>
      <c r="AB57" s="193" t="e">
        <v>#VALUE!</v>
      </c>
      <c r="AC57" s="369">
        <v>8.0217662289662914E-2</v>
      </c>
      <c r="AD57" s="304">
        <v>0</v>
      </c>
      <c r="AE57" s="304">
        <v>405177474952.40002</v>
      </c>
      <c r="AV57" s="193" t="s">
        <v>368</v>
      </c>
    </row>
    <row r="58" spans="1:48">
      <c r="A58" s="295">
        <v>2022</v>
      </c>
      <c r="B58" s="381">
        <v>53</v>
      </c>
      <c r="C58" s="295" t="s">
        <v>42</v>
      </c>
      <c r="D58" s="387" t="s">
        <v>92</v>
      </c>
      <c r="E58" s="297">
        <v>2022</v>
      </c>
      <c r="F58" s="298" t="s">
        <v>6</v>
      </c>
      <c r="G58" s="383">
        <v>44720</v>
      </c>
      <c r="H58" s="384">
        <v>198066703754</v>
      </c>
      <c r="I58" s="301">
        <v>17260182213.839989</v>
      </c>
      <c r="J58" s="301">
        <v>0</v>
      </c>
      <c r="K58" s="384">
        <v>17260182213.839989</v>
      </c>
      <c r="L58" s="300">
        <v>-164214</v>
      </c>
      <c r="M58" s="300">
        <v>17260017999.839989</v>
      </c>
      <c r="N58" s="300">
        <v>-3070754</v>
      </c>
      <c r="O58" s="300">
        <v>17256947245.839989</v>
      </c>
      <c r="P58" s="302">
        <v>8.7143279949149027E-2</v>
      </c>
      <c r="Q58" s="302">
        <v>8.7142450864820933E-2</v>
      </c>
      <c r="R58" s="385">
        <v>1.0742251255095141E-2</v>
      </c>
      <c r="S58" s="385"/>
      <c r="T58" s="385"/>
      <c r="U58" s="303">
        <v>17256947245.839989</v>
      </c>
      <c r="V58" s="303">
        <v>17256947245.839989</v>
      </c>
      <c r="W58" s="303" t="s">
        <v>367</v>
      </c>
      <c r="X58" s="302">
        <v>8.7126947229218377E-2</v>
      </c>
      <c r="Y58" s="386"/>
      <c r="Z58" s="359"/>
      <c r="AA58" s="359"/>
      <c r="AB58" s="193" t="e">
        <v>#VALUE!</v>
      </c>
      <c r="AC58" s="369">
        <v>8.7143279949149027E-2</v>
      </c>
      <c r="AD58" s="304">
        <v>0</v>
      </c>
      <c r="AE58" s="304">
        <v>198066703754</v>
      </c>
      <c r="AV58" s="193" t="s">
        <v>368</v>
      </c>
    </row>
    <row r="59" spans="1:48">
      <c r="A59" s="295">
        <v>2022</v>
      </c>
      <c r="B59" s="381">
        <v>54</v>
      </c>
      <c r="C59" s="295" t="s">
        <v>42</v>
      </c>
      <c r="D59" s="387" t="s">
        <v>93</v>
      </c>
      <c r="E59" s="297">
        <v>2022</v>
      </c>
      <c r="F59" s="298" t="s">
        <v>6</v>
      </c>
      <c r="G59" s="383">
        <v>44721</v>
      </c>
      <c r="H59" s="384">
        <v>336151037029.5</v>
      </c>
      <c r="I59" s="301">
        <v>32004286024.949982</v>
      </c>
      <c r="J59" s="301">
        <v>7125000000</v>
      </c>
      <c r="K59" s="384">
        <v>39129286024.949982</v>
      </c>
      <c r="L59" s="300">
        <v>-5054982386.7000427</v>
      </c>
      <c r="M59" s="300">
        <v>34074303638.249939</v>
      </c>
      <c r="N59" s="300">
        <v>-214529.5</v>
      </c>
      <c r="O59" s="300">
        <v>34074089108.749939</v>
      </c>
      <c r="P59" s="302">
        <v>0.1164038831197063</v>
      </c>
      <c r="Q59" s="302">
        <v>0.10136605241309918</v>
      </c>
      <c r="R59" s="385">
        <v>1.8231327280109563E-2</v>
      </c>
      <c r="S59" s="385"/>
      <c r="T59" s="385"/>
      <c r="U59" s="303">
        <v>34074089108.749939</v>
      </c>
      <c r="V59" s="303">
        <v>34074089108.749939</v>
      </c>
      <c r="W59" s="303" t="s">
        <v>367</v>
      </c>
      <c r="X59" s="302">
        <v>0.10136541421932208</v>
      </c>
      <c r="Y59" s="386"/>
      <c r="Z59" s="359"/>
      <c r="AA59" s="359"/>
      <c r="AB59" s="193" t="e">
        <v>#VALUE!</v>
      </c>
      <c r="AC59" s="369">
        <v>9.520805381939472E-2</v>
      </c>
      <c r="AD59" s="304">
        <v>0</v>
      </c>
      <c r="AE59" s="304">
        <v>336151037029.5</v>
      </c>
      <c r="AV59" s="193" t="s">
        <v>368</v>
      </c>
    </row>
    <row r="60" spans="1:48">
      <c r="A60" s="295">
        <v>2022</v>
      </c>
      <c r="B60" s="381">
        <v>55</v>
      </c>
      <c r="C60" s="295" t="s">
        <v>42</v>
      </c>
      <c r="D60" s="387" t="s">
        <v>94</v>
      </c>
      <c r="E60" s="297">
        <v>2022</v>
      </c>
      <c r="F60" s="298" t="s">
        <v>6</v>
      </c>
      <c r="G60" s="383">
        <v>44747</v>
      </c>
      <c r="H60" s="384">
        <v>283469576520</v>
      </c>
      <c r="I60" s="301">
        <v>27000051975.080017</v>
      </c>
      <c r="J60" s="301">
        <v>0</v>
      </c>
      <c r="K60" s="384">
        <v>27000051975.080017</v>
      </c>
      <c r="L60" s="300">
        <v>-1367280104.2000122</v>
      </c>
      <c r="M60" s="300">
        <v>25632771870.880005</v>
      </c>
      <c r="N60" s="300">
        <v>-76520</v>
      </c>
      <c r="O60" s="300">
        <v>25632695350.880005</v>
      </c>
      <c r="P60" s="302">
        <v>9.5248500056142882E-2</v>
      </c>
      <c r="Q60" s="302">
        <v>9.0425124930722509E-2</v>
      </c>
      <c r="R60" s="385">
        <v>1.5374120720135231E-2</v>
      </c>
      <c r="S60" s="385"/>
      <c r="T60" s="385"/>
      <c r="U60" s="303">
        <v>25632695350.880005</v>
      </c>
      <c r="V60" s="303">
        <v>25632695350.880005</v>
      </c>
      <c r="W60" s="303" t="s">
        <v>367</v>
      </c>
      <c r="X60" s="302">
        <v>9.0424854989937548E-2</v>
      </c>
      <c r="Y60" s="386"/>
      <c r="Z60" s="359"/>
      <c r="AA60" s="359"/>
      <c r="AB60" s="193" t="e">
        <v>#VALUE!</v>
      </c>
      <c r="AC60" s="369">
        <v>9.5248500056142882E-2</v>
      </c>
      <c r="AD60" s="304">
        <v>0</v>
      </c>
      <c r="AE60" s="304">
        <v>283469576520</v>
      </c>
      <c r="AV60" s="193" t="s">
        <v>368</v>
      </c>
    </row>
    <row r="61" spans="1:48">
      <c r="A61" s="295">
        <v>2022</v>
      </c>
      <c r="B61" s="381">
        <v>56</v>
      </c>
      <c r="C61" s="295" t="s">
        <v>42</v>
      </c>
      <c r="D61" s="387" t="s">
        <v>95</v>
      </c>
      <c r="E61" s="297">
        <v>2022</v>
      </c>
      <c r="F61" s="298" t="s">
        <v>6</v>
      </c>
      <c r="G61" s="383">
        <v>44749</v>
      </c>
      <c r="H61" s="384">
        <v>135482447452.8</v>
      </c>
      <c r="I61" s="301">
        <v>13556701685.12999</v>
      </c>
      <c r="J61" s="301">
        <v>0</v>
      </c>
      <c r="K61" s="384">
        <v>13556701685.12999</v>
      </c>
      <c r="L61" s="300">
        <v>-482735994</v>
      </c>
      <c r="M61" s="300">
        <v>13073965691.12999</v>
      </c>
      <c r="N61" s="300">
        <v>-163452.80000305176</v>
      </c>
      <c r="O61" s="300">
        <v>13073802238.329987</v>
      </c>
      <c r="P61" s="302">
        <v>0.10006242092617153</v>
      </c>
      <c r="Q61" s="302">
        <v>9.6499332104882138E-2</v>
      </c>
      <c r="R61" s="385">
        <v>7.3479613867901833E-3</v>
      </c>
      <c r="S61" s="385"/>
      <c r="T61" s="385"/>
      <c r="U61" s="303">
        <v>13073802238.329987</v>
      </c>
      <c r="V61" s="303">
        <v>13073802238.329987</v>
      </c>
      <c r="W61" s="303" t="s">
        <v>367</v>
      </c>
      <c r="X61" s="302">
        <v>9.649812565487273E-2</v>
      </c>
      <c r="Y61" s="386"/>
      <c r="Z61" s="359"/>
      <c r="AA61" s="359"/>
      <c r="AB61" s="193" t="e">
        <v>#VALUE!</v>
      </c>
      <c r="AC61" s="369">
        <v>0.10006242092617153</v>
      </c>
      <c r="AD61" s="304">
        <v>0</v>
      </c>
      <c r="AE61" s="304">
        <v>135482447452.8</v>
      </c>
      <c r="AV61" s="193" t="s">
        <v>368</v>
      </c>
    </row>
    <row r="62" spans="1:48">
      <c r="A62" s="295">
        <v>2022</v>
      </c>
      <c r="B62" s="381">
        <v>57</v>
      </c>
      <c r="C62" s="295" t="s">
        <v>42</v>
      </c>
      <c r="D62" s="387" t="s">
        <v>96</v>
      </c>
      <c r="E62" s="297">
        <v>2022</v>
      </c>
      <c r="F62" s="298" t="s">
        <v>6</v>
      </c>
      <c r="G62" s="383">
        <v>44811</v>
      </c>
      <c r="H62" s="384">
        <v>106754227982</v>
      </c>
      <c r="I62" s="301">
        <v>12700841325.809998</v>
      </c>
      <c r="J62" s="301">
        <v>0</v>
      </c>
      <c r="K62" s="384">
        <v>12700841325.809998</v>
      </c>
      <c r="L62" s="300">
        <v>-10900.196533203125</v>
      </c>
      <c r="M62" s="300">
        <v>12700830425.613464</v>
      </c>
      <c r="N62" s="300">
        <v>-313982</v>
      </c>
      <c r="O62" s="300">
        <v>12700516443.613464</v>
      </c>
      <c r="P62" s="302">
        <v>0.11897272422738617</v>
      </c>
      <c r="Q62" s="302">
        <v>0.1189726221218608</v>
      </c>
      <c r="R62" s="385">
        <v>5.7898713806569958E-3</v>
      </c>
      <c r="S62" s="385"/>
      <c r="T62" s="385"/>
      <c r="U62" s="303">
        <v>12700516443.613464</v>
      </c>
      <c r="V62" s="303">
        <v>12700516443.613464</v>
      </c>
      <c r="W62" s="303" t="s">
        <v>367</v>
      </c>
      <c r="X62" s="302">
        <v>0.11896968095497744</v>
      </c>
      <c r="Y62" s="386"/>
      <c r="Z62" s="359"/>
      <c r="AA62" s="359"/>
      <c r="AB62" s="193" t="e">
        <v>#VALUE!</v>
      </c>
      <c r="AC62" s="369">
        <v>0.11897272422738617</v>
      </c>
      <c r="AD62" s="304">
        <v>0</v>
      </c>
      <c r="AE62" s="304">
        <v>106754227982</v>
      </c>
      <c r="AV62" s="193" t="s">
        <v>368</v>
      </c>
    </row>
    <row r="63" spans="1:48">
      <c r="A63" s="295">
        <v>2022</v>
      </c>
      <c r="B63" s="381">
        <v>58</v>
      </c>
      <c r="C63" s="295" t="s">
        <v>42</v>
      </c>
      <c r="D63" s="387" t="s">
        <v>97</v>
      </c>
      <c r="E63" s="297">
        <v>2022</v>
      </c>
      <c r="F63" s="298" t="s">
        <v>6</v>
      </c>
      <c r="G63" s="383">
        <v>44812</v>
      </c>
      <c r="H63" s="384">
        <v>51820527000</v>
      </c>
      <c r="I63" s="301">
        <v>6191516565.9599991</v>
      </c>
      <c r="J63" s="301">
        <v>0</v>
      </c>
      <c r="K63" s="384">
        <v>6191516565.9599991</v>
      </c>
      <c r="L63" s="300">
        <v>0</v>
      </c>
      <c r="M63" s="300">
        <v>6191516565.9599991</v>
      </c>
      <c r="N63" s="300">
        <v>0</v>
      </c>
      <c r="O63" s="300">
        <v>6191516565.9599991</v>
      </c>
      <c r="P63" s="302">
        <v>0.11947999999999999</v>
      </c>
      <c r="Q63" s="302">
        <v>0.11947999999999999</v>
      </c>
      <c r="R63" s="385">
        <v>2.8105133808700522E-3</v>
      </c>
      <c r="S63" s="385"/>
      <c r="T63" s="385"/>
      <c r="U63" s="303">
        <v>6191516565.9599991</v>
      </c>
      <c r="V63" s="303">
        <v>6191516565.9599991</v>
      </c>
      <c r="W63" s="303" t="s">
        <v>367</v>
      </c>
      <c r="X63" s="302">
        <v>0.11947999999999999</v>
      </c>
      <c r="Y63" s="386"/>
      <c r="Z63" s="359"/>
      <c r="AA63" s="359"/>
      <c r="AB63" s="193" t="e">
        <v>#VALUE!</v>
      </c>
      <c r="AC63" s="369">
        <v>0.11947999999999999</v>
      </c>
      <c r="AD63" s="304">
        <v>0</v>
      </c>
      <c r="AE63" s="304">
        <v>51820527000</v>
      </c>
      <c r="AV63" s="193" t="s">
        <v>368</v>
      </c>
    </row>
    <row r="64" spans="1:48">
      <c r="A64" s="295">
        <v>2022</v>
      </c>
      <c r="B64" s="381">
        <v>59</v>
      </c>
      <c r="C64" s="295" t="s">
        <v>42</v>
      </c>
      <c r="D64" s="387" t="s">
        <v>98</v>
      </c>
      <c r="E64" s="297">
        <v>2022</v>
      </c>
      <c r="F64" s="298" t="s">
        <v>6</v>
      </c>
      <c r="G64" s="383">
        <v>44813</v>
      </c>
      <c r="H64" s="384">
        <v>106809504000</v>
      </c>
      <c r="I64" s="301">
        <v>12894043322.87999</v>
      </c>
      <c r="J64" s="301">
        <v>0</v>
      </c>
      <c r="K64" s="384">
        <v>12894043322.87999</v>
      </c>
      <c r="L64" s="300">
        <v>0</v>
      </c>
      <c r="M64" s="300">
        <v>12894043322.87999</v>
      </c>
      <c r="N64" s="300">
        <v>0</v>
      </c>
      <c r="O64" s="300">
        <v>12894043322.87999</v>
      </c>
      <c r="P64" s="302">
        <v>0.1207199999999999</v>
      </c>
      <c r="Q64" s="302">
        <v>0.1207199999999999</v>
      </c>
      <c r="R64" s="385">
        <v>5.7928693043992653E-3</v>
      </c>
      <c r="S64" s="385"/>
      <c r="T64" s="385"/>
      <c r="U64" s="303">
        <v>12894043322.87999</v>
      </c>
      <c r="V64" s="303">
        <v>12894043322.87999</v>
      </c>
      <c r="W64" s="303" t="s">
        <v>367</v>
      </c>
      <c r="X64" s="302">
        <v>0.1207199999999999</v>
      </c>
      <c r="Y64" s="386"/>
      <c r="Z64" s="359"/>
      <c r="AA64" s="359"/>
      <c r="AB64" s="193" t="e">
        <v>#VALUE!</v>
      </c>
      <c r="AC64" s="369">
        <v>0.1207199999999999</v>
      </c>
      <c r="AD64" s="304">
        <v>0</v>
      </c>
      <c r="AE64" s="304">
        <v>106809504000</v>
      </c>
      <c r="AV64" s="193" t="s">
        <v>368</v>
      </c>
    </row>
    <row r="65" spans="1:48">
      <c r="A65" s="295">
        <v>2022</v>
      </c>
      <c r="B65" s="381">
        <v>60</v>
      </c>
      <c r="C65" s="295" t="s">
        <v>42</v>
      </c>
      <c r="D65" s="387" t="s">
        <v>99</v>
      </c>
      <c r="E65" s="297">
        <v>2022</v>
      </c>
      <c r="F65" s="298" t="s">
        <v>6</v>
      </c>
      <c r="G65" s="383">
        <v>44816</v>
      </c>
      <c r="H65" s="384">
        <v>43228748750</v>
      </c>
      <c r="I65" s="301">
        <v>5302006034.1900024</v>
      </c>
      <c r="J65" s="301">
        <v>0</v>
      </c>
      <c r="K65" s="384">
        <v>5302006034.1900024</v>
      </c>
      <c r="L65" s="300">
        <v>0</v>
      </c>
      <c r="M65" s="300">
        <v>5302006034.1900024</v>
      </c>
      <c r="N65" s="300">
        <v>0</v>
      </c>
      <c r="O65" s="300">
        <v>5302006034.1900024</v>
      </c>
      <c r="P65" s="302">
        <v>0.12265000000005789</v>
      </c>
      <c r="Q65" s="302">
        <v>0.12265000000005789</v>
      </c>
      <c r="R65" s="385">
        <v>2.3445337944970057E-3</v>
      </c>
      <c r="S65" s="385"/>
      <c r="T65" s="385"/>
      <c r="U65" s="303">
        <v>5302006034.1900024</v>
      </c>
      <c r="V65" s="303">
        <v>5302006034.1900024</v>
      </c>
      <c r="W65" s="303" t="s">
        <v>367</v>
      </c>
      <c r="X65" s="302">
        <v>0.12265000000005789</v>
      </c>
      <c r="Y65" s="386"/>
      <c r="Z65" s="359"/>
      <c r="AA65" s="359"/>
      <c r="AB65" s="193" t="e">
        <v>#VALUE!</v>
      </c>
      <c r="AC65" s="369">
        <v>0.12265000000005789</v>
      </c>
      <c r="AD65" s="304">
        <v>0</v>
      </c>
      <c r="AE65" s="304">
        <v>43228748750</v>
      </c>
      <c r="AV65" s="193" t="s">
        <v>368</v>
      </c>
    </row>
    <row r="66" spans="1:48">
      <c r="A66" s="295">
        <v>2022</v>
      </c>
      <c r="B66" s="381">
        <v>61</v>
      </c>
      <c r="C66" s="295" t="s">
        <v>42</v>
      </c>
      <c r="D66" s="387" t="s">
        <v>100</v>
      </c>
      <c r="E66" s="297">
        <v>2022</v>
      </c>
      <c r="F66" s="298" t="s">
        <v>6</v>
      </c>
      <c r="G66" s="383">
        <v>44818</v>
      </c>
      <c r="H66" s="384">
        <v>365669722500</v>
      </c>
      <c r="I66" s="301">
        <v>47734525575.150024</v>
      </c>
      <c r="J66" s="301">
        <v>0</v>
      </c>
      <c r="K66" s="384">
        <v>47734525575.150024</v>
      </c>
      <c r="L66" s="300">
        <v>0</v>
      </c>
      <c r="M66" s="300">
        <v>47734525575.150024</v>
      </c>
      <c r="N66" s="300">
        <v>0</v>
      </c>
      <c r="O66" s="300">
        <v>47734525575.150024</v>
      </c>
      <c r="P66" s="302">
        <v>0.13054000000000007</v>
      </c>
      <c r="Q66" s="302">
        <v>0.13054000000000007</v>
      </c>
      <c r="R66" s="385">
        <v>1.9832288623102746E-2</v>
      </c>
      <c r="S66" s="385"/>
      <c r="T66" s="385"/>
      <c r="U66" s="303">
        <v>47734525575.150024</v>
      </c>
      <c r="V66" s="303">
        <v>47734525575.150024</v>
      </c>
      <c r="W66" s="303" t="s">
        <v>367</v>
      </c>
      <c r="X66" s="302">
        <v>0.13054000000000007</v>
      </c>
      <c r="Y66" s="386"/>
      <c r="Z66" s="359"/>
      <c r="AA66" s="359"/>
      <c r="AB66" s="193" t="e">
        <v>#VALUE!</v>
      </c>
      <c r="AC66" s="369">
        <v>0.13054000000000007</v>
      </c>
      <c r="AD66" s="304">
        <v>0</v>
      </c>
      <c r="AE66" s="304">
        <v>365669722500</v>
      </c>
      <c r="AV66" s="193" t="s">
        <v>368</v>
      </c>
    </row>
    <row r="67" spans="1:48">
      <c r="A67" s="295">
        <v>2022</v>
      </c>
      <c r="B67" s="381">
        <v>62</v>
      </c>
      <c r="C67" s="295" t="s">
        <v>42</v>
      </c>
      <c r="D67" s="387" t="s">
        <v>101</v>
      </c>
      <c r="E67" s="297">
        <v>2022</v>
      </c>
      <c r="F67" s="298" t="s">
        <v>6</v>
      </c>
      <c r="G67" s="383">
        <v>44819</v>
      </c>
      <c r="H67" s="384">
        <v>195074630000</v>
      </c>
      <c r="I67" s="301">
        <v>25229001897.900024</v>
      </c>
      <c r="J67" s="301">
        <v>0</v>
      </c>
      <c r="K67" s="384">
        <v>25229001897.900024</v>
      </c>
      <c r="L67" s="300">
        <v>0</v>
      </c>
      <c r="M67" s="300">
        <v>25229001897.900024</v>
      </c>
      <c r="N67" s="300">
        <v>0</v>
      </c>
      <c r="O67" s="300">
        <v>25229001897.900024</v>
      </c>
      <c r="P67" s="302">
        <v>0.12933000000000011</v>
      </c>
      <c r="Q67" s="302">
        <v>0.12933000000000011</v>
      </c>
      <c r="R67" s="385">
        <v>1.0579974570371978E-2</v>
      </c>
      <c r="S67" s="385"/>
      <c r="T67" s="385"/>
      <c r="U67" s="303">
        <v>25229001897.900024</v>
      </c>
      <c r="V67" s="303">
        <v>25229001897.900024</v>
      </c>
      <c r="W67" s="303" t="s">
        <v>367</v>
      </c>
      <c r="X67" s="302">
        <v>0.12933000000000011</v>
      </c>
      <c r="Y67" s="386"/>
      <c r="Z67" s="359"/>
      <c r="AA67" s="359"/>
      <c r="AB67" s="193" t="e">
        <v>#VALUE!</v>
      </c>
      <c r="AC67" s="369">
        <v>0.12933000000000011</v>
      </c>
      <c r="AD67" s="304">
        <v>0</v>
      </c>
      <c r="AE67" s="304">
        <v>195074630000</v>
      </c>
      <c r="AV67" s="193" t="s">
        <v>368</v>
      </c>
    </row>
    <row r="68" spans="1:48">
      <c r="A68" s="295">
        <v>2022</v>
      </c>
      <c r="B68" s="381">
        <v>63</v>
      </c>
      <c r="C68" s="295" t="s">
        <v>42</v>
      </c>
      <c r="D68" s="387" t="s">
        <v>102</v>
      </c>
      <c r="E68" s="297">
        <v>2022</v>
      </c>
      <c r="F68" s="298" t="s">
        <v>6</v>
      </c>
      <c r="G68" s="383">
        <v>44820</v>
      </c>
      <c r="H68" s="384">
        <v>29900585000</v>
      </c>
      <c r="I68" s="301">
        <v>3855680435.75</v>
      </c>
      <c r="J68" s="301">
        <v>0</v>
      </c>
      <c r="K68" s="384">
        <v>3855680435.75</v>
      </c>
      <c r="L68" s="300">
        <v>0</v>
      </c>
      <c r="M68" s="300">
        <v>3855680435.75</v>
      </c>
      <c r="N68" s="300">
        <v>0</v>
      </c>
      <c r="O68" s="300">
        <v>3855680435.75</v>
      </c>
      <c r="P68" s="302">
        <v>0.12895000000000001</v>
      </c>
      <c r="Q68" s="302">
        <v>0.12895000000000001</v>
      </c>
      <c r="R68" s="385">
        <v>1.6216738636861483E-3</v>
      </c>
      <c r="S68" s="385"/>
      <c r="T68" s="385"/>
      <c r="U68" s="303">
        <v>3855680435.75</v>
      </c>
      <c r="V68" s="303">
        <v>3855680435.75</v>
      </c>
      <c r="W68" s="303" t="s">
        <v>367</v>
      </c>
      <c r="X68" s="302">
        <v>0.12895000000000001</v>
      </c>
      <c r="Y68" s="386"/>
      <c r="Z68" s="359"/>
      <c r="AA68" s="359"/>
      <c r="AB68" s="193" t="e">
        <v>#VALUE!</v>
      </c>
      <c r="AC68" s="369">
        <v>0.12895000000000001</v>
      </c>
      <c r="AD68" s="304">
        <v>0</v>
      </c>
      <c r="AE68" s="304">
        <v>29900585000</v>
      </c>
      <c r="AV68" s="193" t="s">
        <v>368</v>
      </c>
    </row>
    <row r="69" spans="1:48">
      <c r="A69" s="295">
        <v>2022</v>
      </c>
      <c r="B69" s="381">
        <v>64</v>
      </c>
      <c r="C69" s="295" t="s">
        <v>42</v>
      </c>
      <c r="D69" s="387" t="s">
        <v>103</v>
      </c>
      <c r="E69" s="297">
        <v>2022</v>
      </c>
      <c r="F69" s="298" t="s">
        <v>6</v>
      </c>
      <c r="G69" s="383">
        <v>44823</v>
      </c>
      <c r="H69" s="384">
        <v>141778125000</v>
      </c>
      <c r="I69" s="301">
        <v>17746367906.25</v>
      </c>
      <c r="J69" s="301">
        <v>0</v>
      </c>
      <c r="K69" s="384">
        <v>17746367906.25</v>
      </c>
      <c r="L69" s="300">
        <v>0</v>
      </c>
      <c r="M69" s="300">
        <v>17746367906.25</v>
      </c>
      <c r="N69" s="300">
        <v>0</v>
      </c>
      <c r="O69" s="300">
        <v>17746367906.25</v>
      </c>
      <c r="P69" s="302">
        <v>0.12517</v>
      </c>
      <c r="Q69" s="302">
        <v>0.12517</v>
      </c>
      <c r="R69" s="385">
        <v>7.6894107508240286E-3</v>
      </c>
      <c r="S69" s="385"/>
      <c r="T69" s="385"/>
      <c r="U69" s="303">
        <v>17746367906.25</v>
      </c>
      <c r="V69" s="303">
        <v>17746367906.25</v>
      </c>
      <c r="W69" s="303" t="s">
        <v>367</v>
      </c>
      <c r="X69" s="302">
        <v>0.12517</v>
      </c>
      <c r="Y69" s="386"/>
      <c r="Z69" s="359"/>
      <c r="AA69" s="359"/>
      <c r="AB69" s="193" t="e">
        <v>#VALUE!</v>
      </c>
      <c r="AC69" s="369">
        <v>0.12517</v>
      </c>
      <c r="AD69" s="304">
        <v>0</v>
      </c>
      <c r="AE69" s="304">
        <v>141778125000</v>
      </c>
      <c r="AV69" s="193" t="s">
        <v>368</v>
      </c>
    </row>
    <row r="70" spans="1:48">
      <c r="A70" s="295">
        <v>2022</v>
      </c>
      <c r="B70" s="381">
        <v>65</v>
      </c>
      <c r="C70" s="295" t="s">
        <v>42</v>
      </c>
      <c r="D70" s="387" t="s">
        <v>104</v>
      </c>
      <c r="E70" s="297">
        <v>2022</v>
      </c>
      <c r="F70" s="298" t="s">
        <v>6</v>
      </c>
      <c r="G70" s="383">
        <v>44824</v>
      </c>
      <c r="H70" s="384">
        <v>44911596750</v>
      </c>
      <c r="I70" s="301">
        <v>5820093822.8300018</v>
      </c>
      <c r="J70" s="301">
        <v>0</v>
      </c>
      <c r="K70" s="384">
        <v>5820093822.8300018</v>
      </c>
      <c r="L70" s="300">
        <v>0</v>
      </c>
      <c r="M70" s="300">
        <v>5820093822.8300018</v>
      </c>
      <c r="N70" s="300">
        <v>0</v>
      </c>
      <c r="O70" s="300">
        <v>5820093822.8300018</v>
      </c>
      <c r="P70" s="302">
        <v>0.12958999999994439</v>
      </c>
      <c r="Q70" s="302">
        <v>0.12958999999994439</v>
      </c>
      <c r="R70" s="385">
        <v>2.4358039358054954E-3</v>
      </c>
      <c r="S70" s="385"/>
      <c r="T70" s="385"/>
      <c r="U70" s="303">
        <v>5820093822.8300018</v>
      </c>
      <c r="V70" s="303">
        <v>5820093822.8300018</v>
      </c>
      <c r="W70" s="303" t="s">
        <v>367</v>
      </c>
      <c r="X70" s="302">
        <v>0.12958999999994439</v>
      </c>
      <c r="Y70" s="386"/>
      <c r="Z70" s="359"/>
      <c r="AA70" s="359"/>
      <c r="AB70" s="193" t="e">
        <v>#VALUE!</v>
      </c>
      <c r="AC70" s="369">
        <v>0.12958999999994439</v>
      </c>
      <c r="AD70" s="304">
        <v>0</v>
      </c>
      <c r="AE70" s="304">
        <v>44911596750</v>
      </c>
      <c r="AV70" s="193" t="s">
        <v>368</v>
      </c>
    </row>
    <row r="71" spans="1:48">
      <c r="A71" s="295">
        <v>2022</v>
      </c>
      <c r="B71" s="381">
        <v>66</v>
      </c>
      <c r="C71" s="295" t="s">
        <v>42</v>
      </c>
      <c r="D71" s="387" t="s">
        <v>105</v>
      </c>
      <c r="E71" s="297">
        <v>2022</v>
      </c>
      <c r="F71" s="298" t="s">
        <v>6</v>
      </c>
      <c r="G71" s="383">
        <v>44825</v>
      </c>
      <c r="H71" s="384">
        <v>69360676000</v>
      </c>
      <c r="I71" s="301">
        <v>9075844454.5999985</v>
      </c>
      <c r="J71" s="301">
        <v>0</v>
      </c>
      <c r="K71" s="384">
        <v>9075844454.5999985</v>
      </c>
      <c r="L71" s="300">
        <v>0</v>
      </c>
      <c r="M71" s="300">
        <v>9075844454.5999985</v>
      </c>
      <c r="N71" s="300">
        <v>0</v>
      </c>
      <c r="O71" s="300">
        <v>9075844454.5999985</v>
      </c>
      <c r="P71" s="302">
        <v>0.13084999999999997</v>
      </c>
      <c r="Q71" s="302">
        <v>0.13084999999999997</v>
      </c>
      <c r="R71" s="385">
        <v>3.7618125343301177E-3</v>
      </c>
      <c r="S71" s="385"/>
      <c r="T71" s="385"/>
      <c r="U71" s="303">
        <v>9075844454.5999985</v>
      </c>
      <c r="V71" s="303">
        <v>9075844454.5999985</v>
      </c>
      <c r="W71" s="303" t="s">
        <v>367</v>
      </c>
      <c r="X71" s="302">
        <v>0.13084999999999997</v>
      </c>
      <c r="Y71" s="386"/>
      <c r="Z71" s="359"/>
      <c r="AA71" s="359"/>
      <c r="AB71" s="193" t="e">
        <v>#VALUE!</v>
      </c>
      <c r="AC71" s="369">
        <v>0.13084999999999997</v>
      </c>
      <c r="AD71" s="304">
        <v>0</v>
      </c>
      <c r="AE71" s="304">
        <v>69360676000</v>
      </c>
      <c r="AV71" s="193" t="s">
        <v>368</v>
      </c>
    </row>
    <row r="72" spans="1:48">
      <c r="A72" s="295">
        <v>2022</v>
      </c>
      <c r="B72" s="381">
        <v>67</v>
      </c>
      <c r="C72" s="295" t="s">
        <v>42</v>
      </c>
      <c r="D72" s="387" t="s">
        <v>106</v>
      </c>
      <c r="E72" s="297">
        <v>2022</v>
      </c>
      <c r="F72" s="298" t="s">
        <v>6</v>
      </c>
      <c r="G72" s="383">
        <v>44826</v>
      </c>
      <c r="H72" s="384">
        <v>48095816000</v>
      </c>
      <c r="I72" s="301">
        <v>6348166753.840004</v>
      </c>
      <c r="J72" s="301">
        <v>0</v>
      </c>
      <c r="K72" s="384">
        <v>6348166753.840004</v>
      </c>
      <c r="L72" s="300">
        <v>0</v>
      </c>
      <c r="M72" s="300">
        <v>6348166753.840004</v>
      </c>
      <c r="N72" s="300">
        <v>0</v>
      </c>
      <c r="O72" s="300">
        <v>6348166753.840004</v>
      </c>
      <c r="P72" s="302">
        <v>0.13199000000000008</v>
      </c>
      <c r="Q72" s="302">
        <v>0.13199000000000008</v>
      </c>
      <c r="R72" s="385">
        <v>2.608501731984778E-3</v>
      </c>
      <c r="S72" s="385"/>
      <c r="T72" s="385"/>
      <c r="U72" s="303">
        <v>6348166753.840004</v>
      </c>
      <c r="V72" s="303">
        <v>6348166753.840004</v>
      </c>
      <c r="W72" s="303" t="s">
        <v>367</v>
      </c>
      <c r="X72" s="302">
        <v>0.13199000000000008</v>
      </c>
      <c r="Y72" s="386"/>
      <c r="Z72" s="359"/>
      <c r="AA72" s="359"/>
      <c r="AB72" s="193" t="e">
        <v>#VALUE!</v>
      </c>
      <c r="AC72" s="369">
        <v>0.13199000000000008</v>
      </c>
      <c r="AD72" s="304">
        <v>0</v>
      </c>
      <c r="AE72" s="304">
        <v>48095816000</v>
      </c>
      <c r="AV72" s="193" t="s">
        <v>368</v>
      </c>
    </row>
    <row r="73" spans="1:48">
      <c r="A73" s="295">
        <v>2022</v>
      </c>
      <c r="B73" s="381">
        <v>68</v>
      </c>
      <c r="C73" s="295" t="s">
        <v>42</v>
      </c>
      <c r="D73" s="387" t="s">
        <v>107</v>
      </c>
      <c r="E73" s="297">
        <v>2022</v>
      </c>
      <c r="F73" s="298" t="s">
        <v>6</v>
      </c>
      <c r="G73" s="383">
        <v>44827</v>
      </c>
      <c r="H73" s="384">
        <v>124618194500</v>
      </c>
      <c r="I73" s="301">
        <v>16523126408.759995</v>
      </c>
      <c r="J73" s="301">
        <v>0</v>
      </c>
      <c r="K73" s="384">
        <v>16523126408.759995</v>
      </c>
      <c r="L73" s="300">
        <v>0</v>
      </c>
      <c r="M73" s="300">
        <v>16523126408.759995</v>
      </c>
      <c r="N73" s="300">
        <v>0</v>
      </c>
      <c r="O73" s="300">
        <v>16523126408.759995</v>
      </c>
      <c r="P73" s="302">
        <v>0.13259000000004006</v>
      </c>
      <c r="Q73" s="302">
        <v>0.13259000000004006</v>
      </c>
      <c r="R73" s="385">
        <v>6.758732946542916E-3</v>
      </c>
      <c r="S73" s="385"/>
      <c r="T73" s="385"/>
      <c r="U73" s="303">
        <v>16523126408.759995</v>
      </c>
      <c r="V73" s="303">
        <v>16523126408.759995</v>
      </c>
      <c r="W73" s="303" t="s">
        <v>367</v>
      </c>
      <c r="X73" s="302">
        <v>0.13259000000004006</v>
      </c>
      <c r="Y73" s="386"/>
      <c r="Z73" s="359"/>
      <c r="AA73" s="359"/>
      <c r="AB73" s="193" t="e">
        <v>#VALUE!</v>
      </c>
      <c r="AC73" s="369">
        <v>0.13259000000004006</v>
      </c>
      <c r="AD73" s="304">
        <v>0</v>
      </c>
      <c r="AE73" s="304">
        <v>124618194500</v>
      </c>
      <c r="AV73" s="193" t="s">
        <v>368</v>
      </c>
    </row>
    <row r="74" spans="1:48">
      <c r="A74" s="295">
        <v>2022</v>
      </c>
      <c r="B74" s="381">
        <v>69</v>
      </c>
      <c r="C74" s="295" t="s">
        <v>42</v>
      </c>
      <c r="D74" s="387" t="s">
        <v>108</v>
      </c>
      <c r="E74" s="297">
        <v>2022</v>
      </c>
      <c r="F74" s="298" t="s">
        <v>6</v>
      </c>
      <c r="G74" s="383">
        <v>44831</v>
      </c>
      <c r="H74" s="384">
        <v>66342423000</v>
      </c>
      <c r="I74" s="301">
        <v>8703462473.3699951</v>
      </c>
      <c r="J74" s="301">
        <v>0</v>
      </c>
      <c r="K74" s="384">
        <v>8703462473.3699951</v>
      </c>
      <c r="L74" s="300">
        <v>7.62939453125E-6</v>
      </c>
      <c r="M74" s="300">
        <v>8703462473.3700027</v>
      </c>
      <c r="N74" s="300">
        <v>-7.62939453125E-6</v>
      </c>
      <c r="O74" s="300">
        <v>8703462473.3699951</v>
      </c>
      <c r="P74" s="302">
        <v>0.13118999999999992</v>
      </c>
      <c r="Q74" s="302">
        <v>0.13119000000000003</v>
      </c>
      <c r="R74" s="385">
        <v>3.5981160045099716E-3</v>
      </c>
      <c r="S74" s="385"/>
      <c r="T74" s="385"/>
      <c r="U74" s="303">
        <v>8703462473.3699951</v>
      </c>
      <c r="V74" s="303">
        <v>8703462473.3699951</v>
      </c>
      <c r="W74" s="303" t="s">
        <v>367</v>
      </c>
      <c r="X74" s="302">
        <v>0.13118999999999992</v>
      </c>
      <c r="Y74" s="386"/>
      <c r="Z74" s="359"/>
      <c r="AA74" s="359"/>
      <c r="AB74" s="193" t="e">
        <v>#VALUE!</v>
      </c>
      <c r="AC74" s="369">
        <v>0.13118999999999992</v>
      </c>
      <c r="AD74" s="304">
        <v>0</v>
      </c>
      <c r="AE74" s="304">
        <v>66342423000</v>
      </c>
      <c r="AV74" s="193" t="s">
        <v>368</v>
      </c>
    </row>
    <row r="75" spans="1:48">
      <c r="A75" s="295">
        <v>2022</v>
      </c>
      <c r="B75" s="381">
        <v>70</v>
      </c>
      <c r="C75" s="295" t="s">
        <v>42</v>
      </c>
      <c r="D75" s="387" t="s">
        <v>109</v>
      </c>
      <c r="E75" s="297">
        <v>2022</v>
      </c>
      <c r="F75" s="298" t="s">
        <v>6</v>
      </c>
      <c r="G75" s="383">
        <v>44832</v>
      </c>
      <c r="H75" s="384">
        <v>79795858000</v>
      </c>
      <c r="I75" s="301">
        <v>10185941273.699997</v>
      </c>
      <c r="J75" s="301">
        <v>0</v>
      </c>
      <c r="K75" s="384">
        <v>10185941273.699997</v>
      </c>
      <c r="L75" s="300">
        <v>0</v>
      </c>
      <c r="M75" s="300">
        <v>10185941273.699997</v>
      </c>
      <c r="N75" s="300">
        <v>0</v>
      </c>
      <c r="O75" s="300">
        <v>10185941273.699997</v>
      </c>
      <c r="P75" s="302">
        <v>0.12764999999999996</v>
      </c>
      <c r="Q75" s="302">
        <v>0.12764999999999996</v>
      </c>
      <c r="R75" s="385">
        <v>4.3277700870739235E-3</v>
      </c>
      <c r="S75" s="385"/>
      <c r="T75" s="385"/>
      <c r="U75" s="303">
        <v>10185941273.699997</v>
      </c>
      <c r="V75" s="303">
        <v>10185941273.699997</v>
      </c>
      <c r="W75" s="303" t="s">
        <v>367</v>
      </c>
      <c r="X75" s="302">
        <v>0.12764999999999996</v>
      </c>
      <c r="Y75" s="386"/>
      <c r="Z75" s="359"/>
      <c r="AA75" s="359"/>
      <c r="AB75" s="193" t="e">
        <v>#VALUE!</v>
      </c>
      <c r="AC75" s="369">
        <v>0.12764999999999996</v>
      </c>
      <c r="AD75" s="304">
        <v>0</v>
      </c>
      <c r="AE75" s="304">
        <v>79795858000</v>
      </c>
      <c r="AV75" s="193" t="s">
        <v>368</v>
      </c>
    </row>
    <row r="76" spans="1:48">
      <c r="A76" s="295">
        <v>2022</v>
      </c>
      <c r="B76" s="381">
        <v>71</v>
      </c>
      <c r="C76" s="295" t="s">
        <v>42</v>
      </c>
      <c r="D76" s="387" t="s">
        <v>110</v>
      </c>
      <c r="E76" s="297">
        <v>2022</v>
      </c>
      <c r="F76" s="298" t="s">
        <v>6</v>
      </c>
      <c r="G76" s="383">
        <v>44833</v>
      </c>
      <c r="H76" s="384">
        <v>66387321000</v>
      </c>
      <c r="I76" s="301">
        <v>8575250253.5699997</v>
      </c>
      <c r="J76" s="301">
        <v>0</v>
      </c>
      <c r="K76" s="384">
        <v>8575250253.5699997</v>
      </c>
      <c r="L76" s="300">
        <v>0</v>
      </c>
      <c r="M76" s="300">
        <v>8575250253.5699997</v>
      </c>
      <c r="N76" s="300">
        <v>7.62939453125E-6</v>
      </c>
      <c r="O76" s="300">
        <v>8575250253.5700073</v>
      </c>
      <c r="P76" s="302">
        <v>0.12917000000000001</v>
      </c>
      <c r="Q76" s="302">
        <v>0.12917000000000001</v>
      </c>
      <c r="R76" s="385">
        <v>3.6005510710189308E-3</v>
      </c>
      <c r="S76" s="385"/>
      <c r="T76" s="385"/>
      <c r="U76" s="303">
        <v>8575250253.5700073</v>
      </c>
      <c r="V76" s="303">
        <v>8575250253.5700073</v>
      </c>
      <c r="W76" s="303" t="s">
        <v>367</v>
      </c>
      <c r="X76" s="302">
        <v>0.12917000000000012</v>
      </c>
      <c r="Y76" s="386"/>
      <c r="Z76" s="359"/>
      <c r="AA76" s="359"/>
      <c r="AB76" s="193" t="e">
        <v>#VALUE!</v>
      </c>
      <c r="AC76" s="369">
        <v>0.12917000000000001</v>
      </c>
      <c r="AD76" s="304">
        <v>0</v>
      </c>
      <c r="AE76" s="304">
        <v>66387321000</v>
      </c>
      <c r="AV76" s="193" t="s">
        <v>369</v>
      </c>
    </row>
    <row r="77" spans="1:48">
      <c r="A77" s="295">
        <v>2022</v>
      </c>
      <c r="B77" s="381">
        <v>72</v>
      </c>
      <c r="C77" s="295" t="s">
        <v>42</v>
      </c>
      <c r="D77" s="387" t="s">
        <v>111</v>
      </c>
      <c r="E77" s="297">
        <v>2022</v>
      </c>
      <c r="F77" s="298" t="s">
        <v>6</v>
      </c>
      <c r="G77" s="383">
        <v>44837</v>
      </c>
      <c r="H77" s="384">
        <v>41152566000</v>
      </c>
      <c r="I77" s="301">
        <v>5200038239.7600021</v>
      </c>
      <c r="J77" s="301">
        <v>0</v>
      </c>
      <c r="K77" s="384">
        <v>5200038239.7600021</v>
      </c>
      <c r="L77" s="300">
        <v>0</v>
      </c>
      <c r="M77" s="300">
        <v>5200038239.7600021</v>
      </c>
      <c r="N77" s="300">
        <v>0</v>
      </c>
      <c r="O77" s="300">
        <v>5200038239.7600021</v>
      </c>
      <c r="P77" s="302">
        <v>0.12636000000000006</v>
      </c>
      <c r="Q77" s="302">
        <v>0.12636000000000006</v>
      </c>
      <c r="R77" s="385">
        <v>2.231930937331802E-3</v>
      </c>
      <c r="S77" s="385"/>
      <c r="T77" s="385"/>
      <c r="U77" s="303">
        <v>5200038239.7600021</v>
      </c>
      <c r="V77" s="303">
        <v>5200038239.7600021</v>
      </c>
      <c r="W77" s="303" t="s">
        <v>367</v>
      </c>
      <c r="X77" s="302">
        <v>0.12636000000000006</v>
      </c>
      <c r="Y77" s="386"/>
      <c r="Z77" s="359"/>
      <c r="AA77" s="359"/>
      <c r="AB77" s="193" t="e">
        <v>#VALUE!</v>
      </c>
      <c r="AC77" s="369">
        <v>0.12636000000000006</v>
      </c>
      <c r="AD77" s="304">
        <v>0</v>
      </c>
      <c r="AE77" s="304">
        <v>41152566000</v>
      </c>
      <c r="AV77" s="193" t="s">
        <v>368</v>
      </c>
    </row>
    <row r="78" spans="1:48">
      <c r="A78" s="295">
        <v>2022</v>
      </c>
      <c r="B78" s="381">
        <v>73</v>
      </c>
      <c r="C78" s="295" t="s">
        <v>42</v>
      </c>
      <c r="D78" s="387" t="s">
        <v>112</v>
      </c>
      <c r="E78" s="297">
        <v>2022</v>
      </c>
      <c r="F78" s="298" t="s">
        <v>6</v>
      </c>
      <c r="G78" s="383">
        <v>44838</v>
      </c>
      <c r="H78" s="384">
        <v>105291212250</v>
      </c>
      <c r="I78" s="301">
        <v>13477275168</v>
      </c>
      <c r="J78" s="301">
        <v>0</v>
      </c>
      <c r="K78" s="384">
        <v>13477275168</v>
      </c>
      <c r="L78" s="300">
        <v>0</v>
      </c>
      <c r="M78" s="300">
        <v>13477275168</v>
      </c>
      <c r="N78" s="300">
        <v>0</v>
      </c>
      <c r="O78" s="300">
        <v>13477275168</v>
      </c>
      <c r="P78" s="302">
        <v>0.128</v>
      </c>
      <c r="Q78" s="302">
        <v>0.128</v>
      </c>
      <c r="R78" s="385">
        <v>5.7105239573625672E-3</v>
      </c>
      <c r="S78" s="385"/>
      <c r="T78" s="385"/>
      <c r="U78" s="303">
        <v>13477275168</v>
      </c>
      <c r="V78" s="303">
        <v>13477275168</v>
      </c>
      <c r="W78" s="303" t="s">
        <v>367</v>
      </c>
      <c r="X78" s="302">
        <v>0.128</v>
      </c>
      <c r="Y78" s="386"/>
      <c r="Z78" s="359"/>
      <c r="AA78" s="359"/>
      <c r="AB78" s="193" t="e">
        <v>#VALUE!</v>
      </c>
      <c r="AC78" s="369">
        <v>0.128</v>
      </c>
      <c r="AD78" s="304">
        <v>0</v>
      </c>
      <c r="AE78" s="304">
        <v>105291212250</v>
      </c>
      <c r="AV78" s="193" t="s">
        <v>368</v>
      </c>
    </row>
    <row r="79" spans="1:48">
      <c r="A79" s="295">
        <v>2022</v>
      </c>
      <c r="B79" s="381">
        <v>74</v>
      </c>
      <c r="C79" s="295" t="s">
        <v>42</v>
      </c>
      <c r="D79" s="387" t="s">
        <v>113</v>
      </c>
      <c r="E79" s="297">
        <v>2022</v>
      </c>
      <c r="F79" s="298" t="s">
        <v>6</v>
      </c>
      <c r="G79" s="383">
        <v>44839</v>
      </c>
      <c r="H79" s="384">
        <v>28509516000</v>
      </c>
      <c r="I79" s="301">
        <v>3686280418.7999992</v>
      </c>
      <c r="J79" s="301">
        <v>0</v>
      </c>
      <c r="K79" s="384">
        <v>3686280418.7999992</v>
      </c>
      <c r="L79" s="300">
        <v>0</v>
      </c>
      <c r="M79" s="300">
        <v>3686280418.7999992</v>
      </c>
      <c r="N79" s="300">
        <v>0</v>
      </c>
      <c r="O79" s="300">
        <v>3686280418.7999992</v>
      </c>
      <c r="P79" s="302">
        <v>0.12929999999999997</v>
      </c>
      <c r="Q79" s="302">
        <v>0.12929999999999997</v>
      </c>
      <c r="R79" s="385">
        <v>1.5462285090255613E-3</v>
      </c>
      <c r="S79" s="385"/>
      <c r="T79" s="385"/>
      <c r="U79" s="303">
        <v>3686280418.7999992</v>
      </c>
      <c r="V79" s="303">
        <v>3686280418.7999992</v>
      </c>
      <c r="W79" s="303" t="s">
        <v>367</v>
      </c>
      <c r="X79" s="302">
        <v>0.12929999999999997</v>
      </c>
      <c r="Y79" s="386"/>
      <c r="Z79" s="359"/>
      <c r="AA79" s="359"/>
      <c r="AB79" s="193" t="e">
        <v>#VALUE!</v>
      </c>
      <c r="AC79" s="369">
        <v>0.12929999999999997</v>
      </c>
      <c r="AD79" s="304">
        <v>0</v>
      </c>
      <c r="AE79" s="304">
        <v>28509516000</v>
      </c>
      <c r="AV79" s="193" t="s">
        <v>368</v>
      </c>
    </row>
    <row r="80" spans="1:48">
      <c r="A80" s="295">
        <v>2022</v>
      </c>
      <c r="B80" s="381">
        <v>75</v>
      </c>
      <c r="C80" s="295" t="s">
        <v>42</v>
      </c>
      <c r="D80" s="387" t="s">
        <v>114</v>
      </c>
      <c r="E80" s="297">
        <v>2022</v>
      </c>
      <c r="F80" s="298" t="s">
        <v>6</v>
      </c>
      <c r="G80" s="383">
        <v>44846</v>
      </c>
      <c r="H80" s="384">
        <v>65886105500</v>
      </c>
      <c r="I80" s="301">
        <v>8826761553.8300018</v>
      </c>
      <c r="J80" s="301">
        <v>0</v>
      </c>
      <c r="K80" s="384">
        <v>8826761553.8300018</v>
      </c>
      <c r="L80" s="300">
        <v>7.62939453125E-6</v>
      </c>
      <c r="M80" s="300">
        <v>8826761553.8300095</v>
      </c>
      <c r="N80" s="300">
        <v>-7.62939453125E-6</v>
      </c>
      <c r="O80" s="300">
        <v>8826761553.8300018</v>
      </c>
      <c r="P80" s="302">
        <v>0.13396999999992415</v>
      </c>
      <c r="Q80" s="302">
        <v>0.13396999999992426</v>
      </c>
      <c r="R80" s="385">
        <v>3.5733673862708101E-3</v>
      </c>
      <c r="S80" s="385"/>
      <c r="T80" s="385"/>
      <c r="U80" s="303">
        <v>8826761553.8300018</v>
      </c>
      <c r="V80" s="303">
        <v>8826761553.8300018</v>
      </c>
      <c r="W80" s="303" t="s">
        <v>367</v>
      </c>
      <c r="X80" s="302">
        <v>0.13396999999992415</v>
      </c>
      <c r="Y80" s="386"/>
      <c r="Z80" s="359"/>
      <c r="AA80" s="359"/>
      <c r="AB80" s="193" t="e">
        <v>#VALUE!</v>
      </c>
      <c r="AC80" s="369">
        <v>0.13396999999992415</v>
      </c>
      <c r="AD80" s="304">
        <v>0</v>
      </c>
      <c r="AE80" s="304">
        <v>65886105500</v>
      </c>
      <c r="AV80" s="193" t="s">
        <v>368</v>
      </c>
    </row>
    <row r="81" spans="1:48">
      <c r="A81" s="295">
        <v>2022</v>
      </c>
      <c r="B81" s="381">
        <v>76</v>
      </c>
      <c r="C81" s="295" t="s">
        <v>42</v>
      </c>
      <c r="D81" s="387" t="s">
        <v>115</v>
      </c>
      <c r="E81" s="297">
        <v>2022</v>
      </c>
      <c r="F81" s="298" t="s">
        <v>6</v>
      </c>
      <c r="G81" s="383">
        <v>44847</v>
      </c>
      <c r="H81" s="384">
        <v>86554393000</v>
      </c>
      <c r="I81" s="301">
        <v>11669263264.259995</v>
      </c>
      <c r="J81" s="301">
        <v>0</v>
      </c>
      <c r="K81" s="384">
        <v>11669263264.259995</v>
      </c>
      <c r="L81" s="300">
        <v>0</v>
      </c>
      <c r="M81" s="300">
        <v>11669263264.259995</v>
      </c>
      <c r="N81" s="300">
        <v>0</v>
      </c>
      <c r="O81" s="300">
        <v>11669263264.259995</v>
      </c>
      <c r="P81" s="302">
        <v>0.13481999999999994</v>
      </c>
      <c r="Q81" s="302">
        <v>0.13481999999999994</v>
      </c>
      <c r="R81" s="385">
        <v>4.6943227671070419E-3</v>
      </c>
      <c r="S81" s="385"/>
      <c r="T81" s="385"/>
      <c r="U81" s="303">
        <v>11669263264.259995</v>
      </c>
      <c r="V81" s="303">
        <v>11669263264.259995</v>
      </c>
      <c r="W81" s="303" t="s">
        <v>367</v>
      </c>
      <c r="X81" s="302">
        <v>0.13481999999999994</v>
      </c>
      <c r="Y81" s="386"/>
      <c r="Z81" s="359"/>
      <c r="AA81" s="359"/>
      <c r="AB81" s="193" t="e">
        <v>#VALUE!</v>
      </c>
      <c r="AC81" s="369">
        <v>0.13481999999999994</v>
      </c>
      <c r="AD81" s="304">
        <v>0</v>
      </c>
      <c r="AE81" s="304">
        <v>86554393000</v>
      </c>
      <c r="AV81" s="193" t="s">
        <v>368</v>
      </c>
    </row>
    <row r="82" spans="1:48">
      <c r="A82" s="295">
        <v>2022</v>
      </c>
      <c r="B82" s="381">
        <v>77</v>
      </c>
      <c r="C82" s="295" t="s">
        <v>42</v>
      </c>
      <c r="D82" s="387" t="s">
        <v>116</v>
      </c>
      <c r="E82" s="297">
        <v>2022</v>
      </c>
      <c r="F82" s="298" t="s">
        <v>6</v>
      </c>
      <c r="G82" s="383">
        <v>44852</v>
      </c>
      <c r="H82" s="384">
        <v>6362614000</v>
      </c>
      <c r="I82" s="301">
        <v>860798048.05999947</v>
      </c>
      <c r="J82" s="301">
        <v>0</v>
      </c>
      <c r="K82" s="384">
        <v>860798048.05999947</v>
      </c>
      <c r="L82" s="300">
        <v>0</v>
      </c>
      <c r="M82" s="300">
        <v>860798048.05999947</v>
      </c>
      <c r="N82" s="300">
        <v>0</v>
      </c>
      <c r="O82" s="300">
        <v>860798048.05999947</v>
      </c>
      <c r="P82" s="302">
        <v>0.13528999999999991</v>
      </c>
      <c r="Q82" s="302">
        <v>0.13528999999999991</v>
      </c>
      <c r="R82" s="385">
        <v>3.4507969755520097E-4</v>
      </c>
      <c r="S82" s="385"/>
      <c r="T82" s="385"/>
      <c r="U82" s="303">
        <v>860798048.05999947</v>
      </c>
      <c r="V82" s="303">
        <v>860798048.05999947</v>
      </c>
      <c r="W82" s="303" t="s">
        <v>367</v>
      </c>
      <c r="X82" s="302">
        <v>0.13528999999999991</v>
      </c>
      <c r="Y82" s="386"/>
      <c r="Z82" s="359"/>
      <c r="AA82" s="359"/>
      <c r="AB82" s="193" t="e">
        <v>#VALUE!</v>
      </c>
      <c r="AC82" s="369">
        <v>0.13528999999999991</v>
      </c>
      <c r="AD82" s="304">
        <v>0</v>
      </c>
      <c r="AE82" s="304">
        <v>6362614000</v>
      </c>
      <c r="AV82" s="193" t="s">
        <v>368</v>
      </c>
    </row>
    <row r="83" spans="1:48">
      <c r="A83" s="295">
        <v>2022</v>
      </c>
      <c r="B83" s="381">
        <v>78</v>
      </c>
      <c r="C83" s="295" t="s">
        <v>42</v>
      </c>
      <c r="D83" s="387" t="s">
        <v>117</v>
      </c>
      <c r="E83" s="297">
        <v>2022</v>
      </c>
      <c r="F83" s="298" t="s">
        <v>6</v>
      </c>
      <c r="G83" s="383">
        <v>44875</v>
      </c>
      <c r="H83" s="384">
        <v>38438772000</v>
      </c>
      <c r="I83" s="301">
        <v>4087963402.1999969</v>
      </c>
      <c r="J83" s="301">
        <v>0</v>
      </c>
      <c r="K83" s="384">
        <v>4087963402.1999969</v>
      </c>
      <c r="L83" s="300">
        <v>0</v>
      </c>
      <c r="M83" s="300">
        <v>4087963402.1999969</v>
      </c>
      <c r="N83" s="300">
        <v>0</v>
      </c>
      <c r="O83" s="300">
        <v>4087963402.1999969</v>
      </c>
      <c r="P83" s="302">
        <v>0.10634999999999992</v>
      </c>
      <c r="Q83" s="302">
        <v>0.10634999999999992</v>
      </c>
      <c r="R83" s="385">
        <v>2.0847469005904379E-3</v>
      </c>
      <c r="S83" s="385"/>
      <c r="T83" s="385"/>
      <c r="U83" s="303">
        <v>4087963402.1999969</v>
      </c>
      <c r="V83" s="303">
        <v>4087963402.1999969</v>
      </c>
      <c r="W83" s="303" t="s">
        <v>367</v>
      </c>
      <c r="X83" s="302">
        <v>0.10634999999999992</v>
      </c>
      <c r="Y83" s="386"/>
      <c r="Z83" s="359"/>
      <c r="AA83" s="359"/>
      <c r="AB83" s="193" t="e">
        <v>#VALUE!</v>
      </c>
      <c r="AC83" s="369">
        <v>0.10634999999999992</v>
      </c>
      <c r="AD83" s="304">
        <v>0</v>
      </c>
      <c r="AE83" s="304">
        <v>38438772000</v>
      </c>
      <c r="AV83" s="193" t="s">
        <v>368</v>
      </c>
    </row>
    <row r="84" spans="1:48">
      <c r="A84" s="295">
        <v>2022</v>
      </c>
      <c r="B84" s="381">
        <v>79</v>
      </c>
      <c r="C84" s="295" t="s">
        <v>42</v>
      </c>
      <c r="D84" s="387" t="s">
        <v>118</v>
      </c>
      <c r="E84" s="297">
        <v>2022</v>
      </c>
      <c r="F84" s="298" t="s">
        <v>6</v>
      </c>
      <c r="G84" s="383">
        <v>44880</v>
      </c>
      <c r="H84" s="384">
        <v>56140315000</v>
      </c>
      <c r="I84" s="301">
        <v>6304557374.5</v>
      </c>
      <c r="J84" s="301">
        <v>0</v>
      </c>
      <c r="K84" s="384">
        <v>6304557374.5</v>
      </c>
      <c r="L84" s="300">
        <v>0</v>
      </c>
      <c r="M84" s="300">
        <v>6304557374.5</v>
      </c>
      <c r="N84" s="300">
        <v>0</v>
      </c>
      <c r="O84" s="300">
        <v>6304557374.5</v>
      </c>
      <c r="P84" s="302">
        <v>0.1123</v>
      </c>
      <c r="Q84" s="302">
        <v>0.1123</v>
      </c>
      <c r="R84" s="385">
        <v>3.0447993420398773E-3</v>
      </c>
      <c r="S84" s="385"/>
      <c r="T84" s="385"/>
      <c r="U84" s="303">
        <v>6304557374.5</v>
      </c>
      <c r="V84" s="303">
        <v>6304557374.5</v>
      </c>
      <c r="W84" s="303" t="s">
        <v>367</v>
      </c>
      <c r="X84" s="302">
        <v>0.1123</v>
      </c>
      <c r="Y84" s="386"/>
      <c r="Z84" s="359"/>
      <c r="AA84" s="359"/>
      <c r="AB84" s="193" t="e">
        <v>#VALUE!</v>
      </c>
      <c r="AC84" s="369">
        <v>0.1123</v>
      </c>
      <c r="AD84" s="304">
        <v>0</v>
      </c>
      <c r="AE84" s="304">
        <v>56140315000</v>
      </c>
      <c r="AV84" s="193" t="s">
        <v>368</v>
      </c>
    </row>
    <row r="85" spans="1:48">
      <c r="A85" s="295">
        <v>2022</v>
      </c>
      <c r="B85" s="381">
        <v>80</v>
      </c>
      <c r="C85" s="295" t="s">
        <v>42</v>
      </c>
      <c r="D85" s="387" t="s">
        <v>119</v>
      </c>
      <c r="E85" s="297">
        <v>2022</v>
      </c>
      <c r="F85" s="298" t="s">
        <v>6</v>
      </c>
      <c r="G85" s="383">
        <v>44881</v>
      </c>
      <c r="H85" s="384">
        <v>77010840000</v>
      </c>
      <c r="I85" s="301">
        <v>9553964810.4000092</v>
      </c>
      <c r="J85" s="301">
        <v>0</v>
      </c>
      <c r="K85" s="384">
        <v>9553964810.4000092</v>
      </c>
      <c r="L85" s="300">
        <v>0</v>
      </c>
      <c r="M85" s="300">
        <v>9553964810.4000092</v>
      </c>
      <c r="N85" s="300">
        <v>0</v>
      </c>
      <c r="O85" s="300">
        <v>9553964810.4000092</v>
      </c>
      <c r="P85" s="302">
        <v>0.12406000000000011</v>
      </c>
      <c r="Q85" s="302">
        <v>0.12406000000000011</v>
      </c>
      <c r="R85" s="385">
        <v>4.1767231794466826E-3</v>
      </c>
      <c r="S85" s="385"/>
      <c r="T85" s="385"/>
      <c r="U85" s="303">
        <v>9553964810.4000092</v>
      </c>
      <c r="V85" s="303">
        <v>9553964810.4000092</v>
      </c>
      <c r="W85" s="303" t="s">
        <v>367</v>
      </c>
      <c r="X85" s="302">
        <v>0.12406000000000011</v>
      </c>
      <c r="Y85" s="386"/>
      <c r="Z85" s="359"/>
      <c r="AA85" s="359"/>
      <c r="AB85" s="388" t="e">
        <v>#VALUE!</v>
      </c>
      <c r="AC85" s="389">
        <v>0.12406000000000011</v>
      </c>
      <c r="AD85" s="304">
        <v>0</v>
      </c>
      <c r="AE85" s="304">
        <v>77010840000</v>
      </c>
      <c r="AF85" s="390"/>
      <c r="AH85" s="391"/>
      <c r="AI85" s="391"/>
      <c r="AV85" s="193" t="s">
        <v>368</v>
      </c>
    </row>
    <row r="86" spans="1:48">
      <c r="A86" s="295">
        <v>2022</v>
      </c>
      <c r="B86" s="381">
        <v>81</v>
      </c>
      <c r="C86" s="295" t="s">
        <v>42</v>
      </c>
      <c r="D86" s="387" t="s">
        <v>120</v>
      </c>
      <c r="E86" s="297">
        <v>2022</v>
      </c>
      <c r="F86" s="298" t="s">
        <v>6</v>
      </c>
      <c r="G86" s="383">
        <v>44887</v>
      </c>
      <c r="H86" s="384">
        <v>96401790000</v>
      </c>
      <c r="I86" s="301">
        <v>14681992617</v>
      </c>
      <c r="J86" s="301">
        <v>0</v>
      </c>
      <c r="K86" s="384">
        <v>14681992617</v>
      </c>
      <c r="L86" s="300">
        <v>0</v>
      </c>
      <c r="M86" s="300">
        <v>14681992617</v>
      </c>
      <c r="N86" s="300">
        <v>0</v>
      </c>
      <c r="O86" s="300">
        <v>14681992617</v>
      </c>
      <c r="P86" s="302">
        <v>0.15229999999999999</v>
      </c>
      <c r="Q86" s="302">
        <v>0.15229999999999999</v>
      </c>
      <c r="R86" s="385">
        <v>5.2284014929995749E-3</v>
      </c>
      <c r="S86" s="385"/>
      <c r="T86" s="385"/>
      <c r="U86" s="303">
        <v>14681992617</v>
      </c>
      <c r="V86" s="303">
        <v>14681992617</v>
      </c>
      <c r="W86" s="303" t="s">
        <v>367</v>
      </c>
      <c r="X86" s="302">
        <v>0.15229999999999999</v>
      </c>
      <c r="Y86" s="386"/>
      <c r="Z86" s="359"/>
      <c r="AA86" s="359"/>
      <c r="AB86" s="388" t="e">
        <v>#VALUE!</v>
      </c>
      <c r="AC86" s="389">
        <v>0.15229999999999999</v>
      </c>
      <c r="AD86" s="304">
        <v>0</v>
      </c>
      <c r="AE86" s="304">
        <v>96401790000</v>
      </c>
      <c r="AF86" s="390"/>
      <c r="AV86" s="193" t="s">
        <v>368</v>
      </c>
    </row>
    <row r="87" spans="1:48" ht="13.5" customHeight="1">
      <c r="A87" s="295">
        <v>2022</v>
      </c>
      <c r="B87" s="381">
        <v>82</v>
      </c>
      <c r="C87" s="295" t="s">
        <v>42</v>
      </c>
      <c r="D87" s="387" t="s">
        <v>121</v>
      </c>
      <c r="E87" s="297">
        <v>2022</v>
      </c>
      <c r="F87" s="298" t="s">
        <v>6</v>
      </c>
      <c r="G87" s="383">
        <v>44888</v>
      </c>
      <c r="H87" s="384">
        <v>122138118000</v>
      </c>
      <c r="I87" s="301">
        <v>18561329792.460007</v>
      </c>
      <c r="J87" s="301">
        <v>0</v>
      </c>
      <c r="K87" s="384">
        <v>18561329792.460007</v>
      </c>
      <c r="L87" s="300">
        <v>0</v>
      </c>
      <c r="M87" s="300">
        <v>18561329792.460007</v>
      </c>
      <c r="N87" s="300">
        <v>-1.52587890625E-5</v>
      </c>
      <c r="O87" s="300">
        <v>18561329792.459991</v>
      </c>
      <c r="P87" s="302">
        <v>0.15197000000000005</v>
      </c>
      <c r="Q87" s="302">
        <v>0.15197000000000005</v>
      </c>
      <c r="R87" s="385">
        <v>6.6242247006342752E-3</v>
      </c>
      <c r="S87" s="385"/>
      <c r="T87" s="385"/>
      <c r="U87" s="303">
        <v>18561329792.459991</v>
      </c>
      <c r="V87" s="303">
        <v>18561329792.459991</v>
      </c>
      <c r="W87" s="303" t="s">
        <v>367</v>
      </c>
      <c r="X87" s="302">
        <v>0.15196999999999994</v>
      </c>
      <c r="Y87" s="386"/>
      <c r="Z87" s="359"/>
      <c r="AA87" s="359"/>
      <c r="AB87" s="388" t="e">
        <v>#VALUE!</v>
      </c>
      <c r="AC87" s="389">
        <v>0.15197000000000005</v>
      </c>
      <c r="AD87" s="304">
        <v>0</v>
      </c>
      <c r="AE87" s="304">
        <v>122138118000</v>
      </c>
      <c r="AF87" s="390"/>
      <c r="AV87" s="193" t="s">
        <v>368</v>
      </c>
    </row>
    <row r="88" spans="1:48">
      <c r="A88" s="295">
        <v>2022</v>
      </c>
      <c r="B88" s="381">
        <v>83</v>
      </c>
      <c r="C88" s="295" t="s">
        <v>42</v>
      </c>
      <c r="D88" s="387" t="s">
        <v>122</v>
      </c>
      <c r="E88" s="297">
        <v>2022</v>
      </c>
      <c r="F88" s="298" t="s">
        <v>6</v>
      </c>
      <c r="G88" s="383">
        <v>44889</v>
      </c>
      <c r="H88" s="384">
        <v>50635147500</v>
      </c>
      <c r="I88" s="301">
        <v>7682870930.1699982</v>
      </c>
      <c r="J88" s="301">
        <v>0</v>
      </c>
      <c r="K88" s="384">
        <v>7682870930.1699982</v>
      </c>
      <c r="L88" s="300">
        <v>0</v>
      </c>
      <c r="M88" s="300">
        <v>7682870930.1699982</v>
      </c>
      <c r="N88" s="300">
        <v>0</v>
      </c>
      <c r="O88" s="300">
        <v>7682870930.1699982</v>
      </c>
      <c r="P88" s="302">
        <v>0.15172999999990122</v>
      </c>
      <c r="Q88" s="302">
        <v>0.15172999999990122</v>
      </c>
      <c r="R88" s="385">
        <v>2.7462237038052271E-3</v>
      </c>
      <c r="S88" s="385"/>
      <c r="T88" s="385"/>
      <c r="U88" s="303">
        <v>7682870930.1699982</v>
      </c>
      <c r="V88" s="303">
        <v>7682870930.1699982</v>
      </c>
      <c r="W88" s="303" t="s">
        <v>367</v>
      </c>
      <c r="X88" s="302">
        <v>0.15172999999990122</v>
      </c>
      <c r="Y88" s="386"/>
      <c r="Z88" s="359"/>
      <c r="AA88" s="359"/>
      <c r="AB88" s="388" t="e">
        <v>#VALUE!</v>
      </c>
      <c r="AC88" s="389">
        <v>0.15172999999990122</v>
      </c>
      <c r="AD88" s="304">
        <v>0</v>
      </c>
      <c r="AE88" s="304">
        <v>50635147500</v>
      </c>
      <c r="AF88" s="390"/>
      <c r="AV88" s="193" t="s">
        <v>368</v>
      </c>
    </row>
    <row r="89" spans="1:48">
      <c r="A89" s="295">
        <v>2022</v>
      </c>
      <c r="B89" s="381">
        <v>84</v>
      </c>
      <c r="C89" s="295" t="s">
        <v>42</v>
      </c>
      <c r="D89" s="387" t="s">
        <v>123</v>
      </c>
      <c r="E89" s="297">
        <v>2022</v>
      </c>
      <c r="F89" s="298" t="s">
        <v>6</v>
      </c>
      <c r="G89" s="383">
        <v>44890</v>
      </c>
      <c r="H89" s="384">
        <v>25725592000</v>
      </c>
      <c r="I89" s="301">
        <v>4190698936.7999992</v>
      </c>
      <c r="J89" s="301">
        <v>0</v>
      </c>
      <c r="K89" s="384">
        <v>4190698936.7999992</v>
      </c>
      <c r="L89" s="300">
        <v>0</v>
      </c>
      <c r="M89" s="300">
        <v>4190698936.7999992</v>
      </c>
      <c r="N89" s="300">
        <v>0</v>
      </c>
      <c r="O89" s="300">
        <v>4190698936.7999992</v>
      </c>
      <c r="P89" s="302">
        <v>0.16289999999999996</v>
      </c>
      <c r="Q89" s="302">
        <v>0.16289999999999996</v>
      </c>
      <c r="R89" s="385">
        <v>1.3952409350604165E-3</v>
      </c>
      <c r="S89" s="385"/>
      <c r="T89" s="385"/>
      <c r="U89" s="303">
        <v>4190698936.7999992</v>
      </c>
      <c r="V89" s="303">
        <v>4190698936.7999992</v>
      </c>
      <c r="W89" s="303" t="s">
        <v>367</v>
      </c>
      <c r="X89" s="302">
        <v>0.16289999999999996</v>
      </c>
      <c r="Y89" s="386"/>
      <c r="Z89" s="359"/>
      <c r="AA89" s="359"/>
      <c r="AB89" s="388" t="e">
        <v>#VALUE!</v>
      </c>
      <c r="AC89" s="389">
        <v>0.16289999999999996</v>
      </c>
      <c r="AD89" s="304">
        <v>0</v>
      </c>
      <c r="AE89" s="304">
        <v>25725592000</v>
      </c>
      <c r="AF89" s="390"/>
      <c r="AV89" s="193" t="s">
        <v>368</v>
      </c>
    </row>
    <row r="90" spans="1:48" ht="16.5" customHeight="1">
      <c r="A90" s="295">
        <v>2022</v>
      </c>
      <c r="B90" s="381">
        <v>85</v>
      </c>
      <c r="C90" s="295" t="s">
        <v>42</v>
      </c>
      <c r="D90" s="387" t="s">
        <v>124</v>
      </c>
      <c r="E90" s="297">
        <v>2022</v>
      </c>
      <c r="F90" s="298" t="s">
        <v>6</v>
      </c>
      <c r="G90" s="383">
        <v>44894</v>
      </c>
      <c r="H90" s="384">
        <v>127946346000</v>
      </c>
      <c r="I90" s="301">
        <v>19931481779.87999</v>
      </c>
      <c r="J90" s="301">
        <v>0</v>
      </c>
      <c r="K90" s="384">
        <v>19931481779.87999</v>
      </c>
      <c r="L90" s="300">
        <v>-1.52587890625E-5</v>
      </c>
      <c r="M90" s="300">
        <v>19931481779.879974</v>
      </c>
      <c r="N90" s="300">
        <v>-1.52587890625E-5</v>
      </c>
      <c r="O90" s="300">
        <v>19931481779.879959</v>
      </c>
      <c r="P90" s="302">
        <v>0.15577999999999992</v>
      </c>
      <c r="Q90" s="302">
        <v>0.15577999999999981</v>
      </c>
      <c r="R90" s="385">
        <v>6.9392369835688753E-3</v>
      </c>
      <c r="S90" s="385"/>
      <c r="T90" s="385"/>
      <c r="U90" s="303">
        <v>19931481779.879959</v>
      </c>
      <c r="V90" s="303">
        <v>19931481779.879959</v>
      </c>
      <c r="W90" s="303" t="s">
        <v>367</v>
      </c>
      <c r="X90" s="302">
        <v>0.15577999999999967</v>
      </c>
      <c r="Y90" s="386"/>
      <c r="Z90" s="359"/>
      <c r="AA90" s="359"/>
      <c r="AB90" s="388" t="e">
        <v>#VALUE!</v>
      </c>
      <c r="AC90" s="389">
        <v>0.15577999999999992</v>
      </c>
      <c r="AD90" s="304">
        <v>0</v>
      </c>
      <c r="AE90" s="304">
        <v>127946346000</v>
      </c>
      <c r="AF90" s="390"/>
      <c r="AV90" s="193" t="s">
        <v>368</v>
      </c>
    </row>
    <row r="91" spans="1:48">
      <c r="A91" s="295">
        <v>2022</v>
      </c>
      <c r="B91" s="381">
        <v>86</v>
      </c>
      <c r="C91" s="295" t="s">
        <v>42</v>
      </c>
      <c r="D91" s="387" t="s">
        <v>125</v>
      </c>
      <c r="E91" s="297">
        <v>2022</v>
      </c>
      <c r="F91" s="298" t="s">
        <v>6</v>
      </c>
      <c r="G91" s="383">
        <v>44896</v>
      </c>
      <c r="H91" s="384">
        <v>166643624241.60001</v>
      </c>
      <c r="I91" s="301">
        <v>26894153455.040001</v>
      </c>
      <c r="J91" s="301">
        <v>0</v>
      </c>
      <c r="K91" s="384">
        <v>26894153455.040001</v>
      </c>
      <c r="L91" s="300">
        <v>-1218701163.5999832</v>
      </c>
      <c r="M91" s="300">
        <v>25675452291.440018</v>
      </c>
      <c r="N91" s="392">
        <v>167758.39999389648</v>
      </c>
      <c r="O91" s="300">
        <v>25675620049.840012</v>
      </c>
      <c r="P91" s="302">
        <v>0.16138723324961324</v>
      </c>
      <c r="Q91" s="302">
        <v>0.15407401518233746</v>
      </c>
      <c r="R91" s="385">
        <v>9.0380041053557368E-3</v>
      </c>
      <c r="S91" s="385"/>
      <c r="T91" s="385"/>
      <c r="U91" s="303">
        <v>25675620049.840012</v>
      </c>
      <c r="V91" s="303">
        <v>25675620049.840012</v>
      </c>
      <c r="W91" s="303" t="s">
        <v>367</v>
      </c>
      <c r="X91" s="302">
        <v>0.15407502187191682</v>
      </c>
      <c r="Y91" s="386"/>
      <c r="Z91" s="359"/>
      <c r="AA91" s="359"/>
      <c r="AB91" s="388" t="e">
        <v>#VALUE!</v>
      </c>
      <c r="AC91" s="389">
        <v>0.16138723324961324</v>
      </c>
      <c r="AD91" s="304">
        <v>0</v>
      </c>
      <c r="AE91" s="304">
        <v>166643624241.60001</v>
      </c>
      <c r="AF91" s="390"/>
      <c r="AV91" s="193" t="s">
        <v>369</v>
      </c>
    </row>
    <row r="92" spans="1:48" ht="19.5" customHeight="1">
      <c r="A92" s="295">
        <v>2022</v>
      </c>
      <c r="B92" s="381">
        <v>87</v>
      </c>
      <c r="C92" s="295" t="s">
        <v>42</v>
      </c>
      <c r="D92" s="387" t="s">
        <v>126</v>
      </c>
      <c r="E92" s="297">
        <v>2022</v>
      </c>
      <c r="F92" s="298" t="s">
        <v>6</v>
      </c>
      <c r="G92" s="383">
        <v>44897</v>
      </c>
      <c r="H92" s="384">
        <v>330586820460.59998</v>
      </c>
      <c r="I92" s="301">
        <v>44728638264.820007</v>
      </c>
      <c r="J92" s="301">
        <v>0</v>
      </c>
      <c r="K92" s="384">
        <v>44728638264.820007</v>
      </c>
      <c r="L92" s="300">
        <v>-952427576.1000061</v>
      </c>
      <c r="M92" s="300">
        <v>43776210688.720001</v>
      </c>
      <c r="N92" s="300">
        <v>-257460.59994506836</v>
      </c>
      <c r="O92" s="300">
        <v>43775953228.120056</v>
      </c>
      <c r="P92" s="302">
        <v>0.13530073038755899</v>
      </c>
      <c r="Q92" s="302">
        <v>0.13241970937536918</v>
      </c>
      <c r="R92" s="385">
        <v>1.7929549084743999E-2</v>
      </c>
      <c r="S92" s="385"/>
      <c r="T92" s="385"/>
      <c r="U92" s="303">
        <v>43775953228.120056</v>
      </c>
      <c r="V92" s="303">
        <v>43775953228.120056</v>
      </c>
      <c r="W92" s="303" t="s">
        <v>367</v>
      </c>
      <c r="X92" s="302">
        <v>0.13241893057662704</v>
      </c>
      <c r="Y92" s="386"/>
      <c r="Z92" s="359"/>
      <c r="AA92" s="359"/>
      <c r="AB92" s="388" t="e">
        <v>#VALUE!</v>
      </c>
      <c r="AC92" s="389">
        <v>0.13530073038755899</v>
      </c>
      <c r="AD92" s="304">
        <v>0</v>
      </c>
      <c r="AE92" s="304">
        <v>330586820460.59998</v>
      </c>
      <c r="AF92" s="390"/>
      <c r="AV92" s="193" t="s">
        <v>368</v>
      </c>
    </row>
    <row r="93" spans="1:48" ht="21.75" customHeight="1">
      <c r="A93" s="295">
        <v>2022</v>
      </c>
      <c r="B93" s="381">
        <v>88</v>
      </c>
      <c r="C93" s="295" t="s">
        <v>42</v>
      </c>
      <c r="D93" s="387" t="s">
        <v>127</v>
      </c>
      <c r="E93" s="297">
        <v>2022</v>
      </c>
      <c r="F93" s="298" t="s">
        <v>6</v>
      </c>
      <c r="G93" s="383">
        <v>44900</v>
      </c>
      <c r="H93" s="384">
        <v>124973396838.60001</v>
      </c>
      <c r="I93" s="301">
        <v>16966870100.799988</v>
      </c>
      <c r="J93" s="301">
        <v>0</v>
      </c>
      <c r="K93" s="384">
        <v>16966870100.799988</v>
      </c>
      <c r="L93" s="300">
        <v>-379329476.69999695</v>
      </c>
      <c r="M93" s="300">
        <v>16587540624.099991</v>
      </c>
      <c r="N93" s="300">
        <v>-145838.60000610352</v>
      </c>
      <c r="O93" s="300">
        <v>16587394785.499985</v>
      </c>
      <c r="P93" s="302">
        <v>0.13576385478832967</v>
      </c>
      <c r="Q93" s="302">
        <v>0.13272857298999707</v>
      </c>
      <c r="R93" s="385">
        <v>6.7779975311263894E-3</v>
      </c>
      <c r="S93" s="385"/>
      <c r="T93" s="385"/>
      <c r="U93" s="303">
        <v>16587394785.499985</v>
      </c>
      <c r="V93" s="303">
        <v>16587394785.499985</v>
      </c>
      <c r="W93" s="303" t="s">
        <v>367</v>
      </c>
      <c r="X93" s="302">
        <v>0.13272740603283903</v>
      </c>
      <c r="Y93" s="386"/>
      <c r="Z93" s="359"/>
      <c r="AA93" s="359"/>
      <c r="AB93" s="388" t="e">
        <v>#VALUE!</v>
      </c>
      <c r="AC93" s="389">
        <v>0.13576385478832967</v>
      </c>
      <c r="AD93" s="304">
        <v>0</v>
      </c>
      <c r="AE93" s="304">
        <v>124973396838.60001</v>
      </c>
      <c r="AF93" s="390"/>
      <c r="AV93" s="193" t="s">
        <v>368</v>
      </c>
    </row>
    <row r="94" spans="1:48" ht="21" customHeight="1">
      <c r="A94" s="295">
        <v>2022</v>
      </c>
      <c r="B94" s="381">
        <v>89</v>
      </c>
      <c r="C94" s="295" t="s">
        <v>42</v>
      </c>
      <c r="D94" s="387" t="s">
        <v>128</v>
      </c>
      <c r="E94" s="297">
        <v>2022</v>
      </c>
      <c r="F94" s="298" t="s">
        <v>6</v>
      </c>
      <c r="G94" s="383">
        <v>44901</v>
      </c>
      <c r="H94" s="384">
        <v>92380179855.600006</v>
      </c>
      <c r="I94" s="301">
        <v>11974092511.099991</v>
      </c>
      <c r="J94" s="301">
        <v>0</v>
      </c>
      <c r="K94" s="384">
        <v>11974092511.099991</v>
      </c>
      <c r="L94" s="300">
        <v>-121776570</v>
      </c>
      <c r="M94" s="300">
        <v>11852315941.099991</v>
      </c>
      <c r="N94" s="300">
        <v>-123855.60000610352</v>
      </c>
      <c r="O94" s="300">
        <v>11852192085.499985</v>
      </c>
      <c r="P94" s="302">
        <v>0.12961754923855706</v>
      </c>
      <c r="Q94" s="302">
        <v>0.12829933823062928</v>
      </c>
      <c r="R94" s="385">
        <v>5.0102873637573363E-3</v>
      </c>
      <c r="S94" s="385"/>
      <c r="T94" s="385"/>
      <c r="U94" s="303">
        <v>11852192085.499985</v>
      </c>
      <c r="V94" s="303">
        <v>11852192085.499985</v>
      </c>
      <c r="W94" s="303" t="s">
        <v>367</v>
      </c>
      <c r="X94" s="302">
        <v>0.12829799751446919</v>
      </c>
      <c r="Y94" s="386"/>
      <c r="Z94" s="359"/>
      <c r="AA94" s="359"/>
      <c r="AB94" s="388" t="e">
        <v>#VALUE!</v>
      </c>
      <c r="AC94" s="389">
        <v>0.12961754923855706</v>
      </c>
      <c r="AD94" s="304">
        <v>0</v>
      </c>
      <c r="AE94" s="304">
        <v>92380179855.600006</v>
      </c>
      <c r="AF94" s="390"/>
      <c r="AV94" s="193" t="s">
        <v>368</v>
      </c>
    </row>
    <row r="95" spans="1:48">
      <c r="A95" s="295">
        <v>2022</v>
      </c>
      <c r="B95" s="381">
        <v>90</v>
      </c>
      <c r="C95" s="295" t="s">
        <v>42</v>
      </c>
      <c r="D95" s="387" t="s">
        <v>129</v>
      </c>
      <c r="E95" s="297">
        <v>2022</v>
      </c>
      <c r="F95" s="298" t="s">
        <v>6</v>
      </c>
      <c r="G95" s="383">
        <v>44902</v>
      </c>
      <c r="H95" s="384">
        <v>96748200000</v>
      </c>
      <c r="I95" s="301">
        <v>12629510028</v>
      </c>
      <c r="J95" s="301">
        <v>0</v>
      </c>
      <c r="K95" s="384">
        <v>12629510028</v>
      </c>
      <c r="L95" s="300">
        <v>-1.52587890625E-5</v>
      </c>
      <c r="M95" s="300">
        <v>12629510027.999985</v>
      </c>
      <c r="N95" s="300">
        <v>1.52587890625E-5</v>
      </c>
      <c r="O95" s="300">
        <v>12629510028</v>
      </c>
      <c r="P95" s="302">
        <v>0.13053999999999999</v>
      </c>
      <c r="Q95" s="302">
        <v>0.13053999999999985</v>
      </c>
      <c r="R95" s="385">
        <v>5.2471892205012112E-3</v>
      </c>
      <c r="S95" s="385"/>
      <c r="T95" s="385"/>
      <c r="U95" s="303">
        <v>12629510028</v>
      </c>
      <c r="V95" s="303">
        <v>12629510028</v>
      </c>
      <c r="W95" s="303" t="s">
        <v>367</v>
      </c>
      <c r="X95" s="302">
        <v>0.13053999999999999</v>
      </c>
      <c r="Y95" s="386"/>
      <c r="Z95" s="359"/>
      <c r="AA95" s="359"/>
      <c r="AB95" s="388" t="e">
        <v>#VALUE!</v>
      </c>
      <c r="AC95" s="389">
        <v>0.13053999999999999</v>
      </c>
      <c r="AD95" s="304">
        <v>0</v>
      </c>
      <c r="AE95" s="304">
        <v>96748200000</v>
      </c>
      <c r="AF95" s="390"/>
      <c r="AV95" s="193" t="s">
        <v>369</v>
      </c>
    </row>
    <row r="96" spans="1:48">
      <c r="A96" s="295">
        <v>2022</v>
      </c>
      <c r="B96" s="381">
        <v>91</v>
      </c>
      <c r="C96" s="295" t="s">
        <v>42</v>
      </c>
      <c r="D96" s="387" t="s">
        <v>130</v>
      </c>
      <c r="E96" s="297">
        <v>2022</v>
      </c>
      <c r="F96" s="298" t="s">
        <v>6</v>
      </c>
      <c r="G96" s="383">
        <v>44907</v>
      </c>
      <c r="H96" s="384">
        <v>121079925000</v>
      </c>
      <c r="I96" s="301">
        <v>19070088187.5</v>
      </c>
      <c r="J96" s="301">
        <v>0</v>
      </c>
      <c r="K96" s="384">
        <v>19070088187.5</v>
      </c>
      <c r="L96" s="300">
        <v>0</v>
      </c>
      <c r="M96" s="300">
        <v>19070088187.5</v>
      </c>
      <c r="N96" s="300">
        <v>0</v>
      </c>
      <c r="O96" s="300">
        <v>19070088187.5</v>
      </c>
      <c r="P96" s="302">
        <v>0.1575</v>
      </c>
      <c r="Q96" s="302">
        <v>0.1575</v>
      </c>
      <c r="R96" s="385">
        <v>6.566833049907855E-3</v>
      </c>
      <c r="S96" s="385"/>
      <c r="T96" s="385"/>
      <c r="U96" s="303">
        <v>19070088187.5</v>
      </c>
      <c r="V96" s="303">
        <v>19070088187.5</v>
      </c>
      <c r="W96" s="303" t="s">
        <v>367</v>
      </c>
      <c r="X96" s="302">
        <v>0.1575</v>
      </c>
      <c r="Y96" s="386"/>
      <c r="Z96" s="359"/>
      <c r="AA96" s="359"/>
      <c r="AB96" s="388" t="e">
        <v>#VALUE!</v>
      </c>
      <c r="AC96" s="389">
        <v>0.1575</v>
      </c>
      <c r="AD96" s="304">
        <v>0</v>
      </c>
      <c r="AE96" s="304">
        <v>121079925000</v>
      </c>
      <c r="AF96" s="390"/>
      <c r="AV96" s="193" t="s">
        <v>368</v>
      </c>
    </row>
    <row r="97" spans="1:48">
      <c r="A97" s="295">
        <v>2022</v>
      </c>
      <c r="B97" s="381">
        <v>92</v>
      </c>
      <c r="C97" s="295" t="s">
        <v>42</v>
      </c>
      <c r="D97" s="387" t="s">
        <v>131</v>
      </c>
      <c r="E97" s="297">
        <v>2022</v>
      </c>
      <c r="F97" s="298" t="s">
        <v>6</v>
      </c>
      <c r="G97" s="383">
        <v>44908</v>
      </c>
      <c r="H97" s="384">
        <v>184085547000</v>
      </c>
      <c r="I97" s="301">
        <v>27445314202.230011</v>
      </c>
      <c r="J97" s="301">
        <v>0</v>
      </c>
      <c r="K97" s="384">
        <v>27445314202.230011</v>
      </c>
      <c r="L97" s="300">
        <v>0</v>
      </c>
      <c r="M97" s="300">
        <v>27445314202.230011</v>
      </c>
      <c r="N97" s="300">
        <v>0</v>
      </c>
      <c r="O97" s="300">
        <v>27445314202.230011</v>
      </c>
      <c r="P97" s="302">
        <v>0.14909000000000006</v>
      </c>
      <c r="Q97" s="302">
        <v>0.14909000000000006</v>
      </c>
      <c r="R97" s="385">
        <v>9.9839759072361985E-3</v>
      </c>
      <c r="S97" s="385"/>
      <c r="T97" s="385"/>
      <c r="U97" s="303">
        <v>27445314202.230011</v>
      </c>
      <c r="V97" s="303">
        <v>27445314202.230011</v>
      </c>
      <c r="W97" s="303" t="s">
        <v>367</v>
      </c>
      <c r="X97" s="302">
        <v>0.14909000000000006</v>
      </c>
      <c r="Y97" s="386"/>
      <c r="Z97" s="359"/>
      <c r="AA97" s="359"/>
      <c r="AB97" s="388" t="e">
        <v>#VALUE!</v>
      </c>
      <c r="AC97" s="389">
        <v>0.14909000000000006</v>
      </c>
      <c r="AD97" s="304">
        <v>0</v>
      </c>
      <c r="AE97" s="304">
        <v>184085547000</v>
      </c>
      <c r="AF97" s="390"/>
      <c r="AV97" s="193" t="s">
        <v>368</v>
      </c>
    </row>
    <row r="98" spans="1:48" ht="15.75" customHeight="1">
      <c r="A98" s="295">
        <v>2022</v>
      </c>
      <c r="B98" s="381">
        <v>93</v>
      </c>
      <c r="C98" s="295" t="s">
        <v>42</v>
      </c>
      <c r="D98" s="387">
        <v>44909</v>
      </c>
      <c r="E98" s="297">
        <v>2022</v>
      </c>
      <c r="F98" s="298" t="s">
        <v>6</v>
      </c>
      <c r="G98" s="383">
        <v>44909</v>
      </c>
      <c r="H98" s="384">
        <v>1661237483317.2</v>
      </c>
      <c r="I98" s="301">
        <v>271888067100.33008</v>
      </c>
      <c r="J98" s="301">
        <v>0</v>
      </c>
      <c r="K98" s="384">
        <v>271888067100.33008</v>
      </c>
      <c r="L98" s="300">
        <v>-3032341286</v>
      </c>
      <c r="M98" s="300">
        <v>268855725814.33008</v>
      </c>
      <c r="N98" s="300">
        <v>-137385.80004882813</v>
      </c>
      <c r="O98" s="300">
        <v>268855588428.53003</v>
      </c>
      <c r="P98" s="302">
        <v>0.16366598384080361</v>
      </c>
      <c r="Q98" s="302">
        <v>0.16184063297047233</v>
      </c>
      <c r="R98" s="385">
        <v>9.0098083635195003E-2</v>
      </c>
      <c r="S98" s="385"/>
      <c r="T98" s="385"/>
      <c r="U98" s="303">
        <v>268855588428.53003</v>
      </c>
      <c r="V98" s="303">
        <v>268855588428.53003</v>
      </c>
      <c r="W98" s="303" t="s">
        <v>367</v>
      </c>
      <c r="X98" s="302">
        <v>0.16184055026959335</v>
      </c>
      <c r="Y98" s="386"/>
      <c r="Z98" s="359"/>
      <c r="AA98" s="359"/>
      <c r="AB98" s="388" t="e">
        <v>#VALUE!</v>
      </c>
      <c r="AC98" s="389">
        <v>0.16366598384080361</v>
      </c>
      <c r="AD98" s="304">
        <v>0</v>
      </c>
      <c r="AE98" s="304">
        <v>1661237483317.2</v>
      </c>
      <c r="AF98" s="390"/>
      <c r="AV98" s="193" t="s">
        <v>368</v>
      </c>
    </row>
    <row r="99" spans="1:48" ht="16.899999999999999" customHeight="1">
      <c r="A99" s="340">
        <v>2022</v>
      </c>
      <c r="B99" s="370">
        <v>94</v>
      </c>
      <c r="C99" s="340" t="s">
        <v>42</v>
      </c>
      <c r="D99" s="393" t="s">
        <v>132</v>
      </c>
      <c r="E99" s="343">
        <v>2022</v>
      </c>
      <c r="F99" s="344" t="s">
        <v>6</v>
      </c>
      <c r="G99" s="371">
        <v>44917</v>
      </c>
      <c r="H99" s="372">
        <v>141768204600</v>
      </c>
      <c r="I99" s="364">
        <v>23151919752.04406</v>
      </c>
      <c r="J99" s="364">
        <v>0</v>
      </c>
      <c r="K99" s="372">
        <v>23151919752.04406</v>
      </c>
      <c r="L99" s="346">
        <v>-291499985.99941254</v>
      </c>
      <c r="M99" s="346">
        <v>22860419766.044647</v>
      </c>
      <c r="N99" s="346">
        <v>-313745</v>
      </c>
      <c r="O99" s="346">
        <v>22860106021.044647</v>
      </c>
      <c r="P99" s="348">
        <v>0.16330826659875794</v>
      </c>
      <c r="Q99" s="348">
        <v>0.16125209337697041</v>
      </c>
      <c r="R99" s="373">
        <v>9.2454259294889648E-3</v>
      </c>
      <c r="S99" s="373"/>
      <c r="T99" s="373"/>
      <c r="U99" s="349">
        <v>22860106021.044647</v>
      </c>
      <c r="V99" s="349">
        <v>22860106021.044647</v>
      </c>
      <c r="W99" s="349" t="s">
        <v>367</v>
      </c>
      <c r="X99" s="348">
        <v>0.16124988029258464</v>
      </c>
      <c r="Y99" s="374"/>
      <c r="Z99" s="351"/>
      <c r="AA99" s="351"/>
      <c r="AB99" s="394" t="e">
        <v>#VALUE!</v>
      </c>
      <c r="AC99" s="395">
        <v>0.16330826659875794</v>
      </c>
      <c r="AD99" s="304">
        <v>0</v>
      </c>
      <c r="AE99" s="304">
        <v>141768204600</v>
      </c>
      <c r="AF99" s="390"/>
      <c r="AV99" s="193" t="s">
        <v>368</v>
      </c>
    </row>
    <row r="100" spans="1:48" ht="17.25" customHeight="1">
      <c r="A100" s="326">
        <v>2023</v>
      </c>
      <c r="B100" s="375">
        <v>95</v>
      </c>
      <c r="C100" s="326" t="s">
        <v>42</v>
      </c>
      <c r="D100" s="396" t="s">
        <v>133</v>
      </c>
      <c r="E100" s="329">
        <v>2023</v>
      </c>
      <c r="F100" s="330" t="s">
        <v>4</v>
      </c>
      <c r="G100" s="377">
        <v>45009</v>
      </c>
      <c r="H100" s="378">
        <v>338000000000</v>
      </c>
      <c r="I100" s="367">
        <v>10591660000</v>
      </c>
      <c r="J100" s="367">
        <v>-27700000000</v>
      </c>
      <c r="K100" s="378">
        <v>-17108340000</v>
      </c>
      <c r="L100" s="332">
        <v>0</v>
      </c>
      <c r="M100" s="332">
        <v>-17108340000</v>
      </c>
      <c r="N100" s="332">
        <v>0</v>
      </c>
      <c r="O100" s="332">
        <v>-17108340000</v>
      </c>
      <c r="P100" s="334">
        <v>-5.0616390532544381E-2</v>
      </c>
      <c r="Q100" s="334">
        <v>-5.0616390532544381E-2</v>
      </c>
      <c r="R100" s="379">
        <v>2.2042699722299157E-2</v>
      </c>
      <c r="S100" s="379">
        <v>-3.1E-2</v>
      </c>
      <c r="T100" s="379">
        <v>0.1305</v>
      </c>
      <c r="U100" s="335">
        <v>-17108340000</v>
      </c>
      <c r="V100" s="335">
        <v>-17108340000</v>
      </c>
      <c r="W100" s="335" t="s">
        <v>367</v>
      </c>
      <c r="X100" s="334">
        <v>-5.0616390532544381E-2</v>
      </c>
      <c r="Y100" s="380"/>
      <c r="Z100" s="337"/>
      <c r="AA100" s="337"/>
      <c r="AB100" s="338" t="e">
        <v>#VALUE!</v>
      </c>
      <c r="AC100" s="339">
        <v>3.1336272189349111E-2</v>
      </c>
      <c r="AD100" s="304">
        <v>338000000000</v>
      </c>
      <c r="AE100" s="304">
        <v>0</v>
      </c>
      <c r="AF100" s="397">
        <v>338000000000</v>
      </c>
      <c r="AG100" s="397">
        <v>10591660000</v>
      </c>
      <c r="AH100" s="397">
        <v>-27700000000</v>
      </c>
      <c r="AI100" s="378">
        <v>-17108340000</v>
      </c>
      <c r="AJ100" s="397">
        <v>0</v>
      </c>
      <c r="AK100" s="332">
        <v>-17108340000</v>
      </c>
      <c r="AL100" s="397">
        <v>0</v>
      </c>
      <c r="AM100" s="332">
        <v>-17108340000</v>
      </c>
      <c r="AN100" s="334">
        <v>-5.0616390532544381E-2</v>
      </c>
      <c r="AO100" s="334">
        <v>-5.0616390532544381E-2</v>
      </c>
      <c r="AP100" s="335">
        <v>-17108340000</v>
      </c>
      <c r="AQ100" s="335">
        <v>-17108340000</v>
      </c>
      <c r="AR100" s="335" t="s">
        <v>367</v>
      </c>
      <c r="AS100" s="334">
        <v>-5.0616390532544381E-2</v>
      </c>
      <c r="AV100" s="193" t="s">
        <v>368</v>
      </c>
    </row>
    <row r="101" spans="1:48" ht="17.25" customHeight="1">
      <c r="A101" s="295">
        <v>2023</v>
      </c>
      <c r="B101" s="381">
        <v>96</v>
      </c>
      <c r="C101" s="295" t="s">
        <v>42</v>
      </c>
      <c r="D101" s="398" t="s">
        <v>134</v>
      </c>
      <c r="E101" s="297">
        <v>2023</v>
      </c>
      <c r="F101" s="298" t="s">
        <v>4</v>
      </c>
      <c r="G101" s="383">
        <v>45012</v>
      </c>
      <c r="H101" s="384">
        <v>306000000000</v>
      </c>
      <c r="I101" s="301">
        <v>8892250000</v>
      </c>
      <c r="J101" s="301">
        <v>-25262500000</v>
      </c>
      <c r="K101" s="384">
        <v>-16370250000</v>
      </c>
      <c r="L101" s="300">
        <v>0</v>
      </c>
      <c r="M101" s="300">
        <v>-16370250000</v>
      </c>
      <c r="N101" s="300">
        <v>0</v>
      </c>
      <c r="O101" s="300">
        <v>-16370250000</v>
      </c>
      <c r="P101" s="302">
        <v>-5.3497549019607842E-2</v>
      </c>
      <c r="Q101" s="302">
        <v>-5.3497549019607842E-2</v>
      </c>
      <c r="R101" s="385">
        <v>1.9955816908353675E-2</v>
      </c>
      <c r="S101" s="385">
        <v>-6.1282000000000003E-2</v>
      </c>
      <c r="T101" s="385">
        <v>0.12033882142857143</v>
      </c>
      <c r="U101" s="303">
        <v>-16370250000</v>
      </c>
      <c r="V101" s="303">
        <v>-16370250000</v>
      </c>
      <c r="W101" s="303" t="s">
        <v>367</v>
      </c>
      <c r="X101" s="302">
        <v>-5.3497549019607842E-2</v>
      </c>
      <c r="Y101" s="386"/>
      <c r="Z101" s="359"/>
      <c r="AA101" s="359"/>
      <c r="AB101" s="193" t="e">
        <v>#VALUE!</v>
      </c>
      <c r="AC101" s="369">
        <v>2.9059640522875817E-2</v>
      </c>
      <c r="AD101" s="304">
        <v>306000000000</v>
      </c>
      <c r="AE101" s="304">
        <v>0</v>
      </c>
      <c r="AF101" s="397">
        <v>644000000000</v>
      </c>
      <c r="AG101" s="397">
        <v>19483910000</v>
      </c>
      <c r="AH101" s="397">
        <v>-52962500000</v>
      </c>
      <c r="AI101" s="378">
        <v>-33478590000</v>
      </c>
      <c r="AJ101" s="397">
        <v>0</v>
      </c>
      <c r="AK101" s="332">
        <v>-33478590000</v>
      </c>
      <c r="AL101" s="397">
        <v>0</v>
      </c>
      <c r="AM101" s="332">
        <v>-33478590000</v>
      </c>
      <c r="AN101" s="334">
        <v>-5.1985388198757761E-2</v>
      </c>
      <c r="AO101" s="334">
        <v>-5.1985388198757761E-2</v>
      </c>
      <c r="AP101" s="335">
        <v>-33478590000</v>
      </c>
      <c r="AQ101" s="335">
        <v>-33478590000</v>
      </c>
      <c r="AR101" s="335" t="s">
        <v>367</v>
      </c>
      <c r="AS101" s="334">
        <v>-5.1985388198757761E-2</v>
      </c>
      <c r="AV101" s="193" t="s">
        <v>368</v>
      </c>
    </row>
    <row r="102" spans="1:48" ht="17.25" customHeight="1">
      <c r="A102" s="295">
        <v>2023</v>
      </c>
      <c r="B102" s="381">
        <v>97</v>
      </c>
      <c r="C102" s="295" t="s">
        <v>42</v>
      </c>
      <c r="D102" s="398" t="s">
        <v>135</v>
      </c>
      <c r="E102" s="297">
        <v>2023</v>
      </c>
      <c r="F102" s="298" t="s">
        <v>4</v>
      </c>
      <c r="G102" s="383">
        <v>45013</v>
      </c>
      <c r="H102" s="384">
        <v>299000000000</v>
      </c>
      <c r="I102" s="301">
        <v>5037420000</v>
      </c>
      <c r="J102" s="301">
        <v>-26087500000</v>
      </c>
      <c r="K102" s="384">
        <v>-21050080000</v>
      </c>
      <c r="L102" s="300">
        <v>0</v>
      </c>
      <c r="M102" s="300">
        <v>-21050080000</v>
      </c>
      <c r="N102" s="300">
        <v>0</v>
      </c>
      <c r="O102" s="300">
        <v>-21050080000</v>
      </c>
      <c r="P102" s="302">
        <v>-7.0401605351170571E-2</v>
      </c>
      <c r="Q102" s="302">
        <v>-7.0401605351170571E-2</v>
      </c>
      <c r="R102" s="385">
        <v>1.94993112928031E-2</v>
      </c>
      <c r="S102" s="385">
        <v>-6.1282000000000003E-2</v>
      </c>
      <c r="T102" s="385">
        <v>0.12033882142857143</v>
      </c>
      <c r="U102" s="303">
        <v>-21050080000</v>
      </c>
      <c r="V102" s="303">
        <v>-21050080000</v>
      </c>
      <c r="W102" s="303" t="s">
        <v>367</v>
      </c>
      <c r="X102" s="302">
        <v>-7.0401605351170571E-2</v>
      </c>
      <c r="Y102" s="386"/>
      <c r="Z102" s="359"/>
      <c r="AA102" s="359"/>
      <c r="AB102" s="193" t="e">
        <v>#VALUE!</v>
      </c>
      <c r="AC102" s="369">
        <v>1.6847558528428095E-2</v>
      </c>
      <c r="AD102" s="304">
        <v>299000000000</v>
      </c>
      <c r="AE102" s="304">
        <v>0</v>
      </c>
      <c r="AF102" s="397">
        <v>943000000000</v>
      </c>
      <c r="AG102" s="397">
        <v>24521330000</v>
      </c>
      <c r="AH102" s="397">
        <v>-79050000000</v>
      </c>
      <c r="AI102" s="378">
        <v>-54528670000</v>
      </c>
      <c r="AJ102" s="397">
        <v>0</v>
      </c>
      <c r="AK102" s="332">
        <v>-54528670000</v>
      </c>
      <c r="AL102" s="397">
        <v>0</v>
      </c>
      <c r="AM102" s="332">
        <v>-54528670000</v>
      </c>
      <c r="AN102" s="334">
        <v>-5.7824676564156949E-2</v>
      </c>
      <c r="AO102" s="334">
        <v>-5.7824676564156949E-2</v>
      </c>
      <c r="AP102" s="335">
        <v>-54528670000</v>
      </c>
      <c r="AQ102" s="335">
        <v>-54528670000</v>
      </c>
      <c r="AR102" s="335" t="s">
        <v>367</v>
      </c>
      <c r="AS102" s="334">
        <v>-5.7824676564156949E-2</v>
      </c>
      <c r="AV102" s="193" t="s">
        <v>368</v>
      </c>
    </row>
    <row r="103" spans="1:48" ht="17.25" customHeight="1">
      <c r="A103" s="295">
        <v>2023</v>
      </c>
      <c r="B103" s="381">
        <v>98</v>
      </c>
      <c r="C103" s="295" t="s">
        <v>42</v>
      </c>
      <c r="D103" s="398" t="s">
        <v>136</v>
      </c>
      <c r="E103" s="297">
        <v>2023</v>
      </c>
      <c r="F103" s="298" t="s">
        <v>4</v>
      </c>
      <c r="G103" s="383">
        <v>45014</v>
      </c>
      <c r="H103" s="384">
        <v>301500000000</v>
      </c>
      <c r="I103" s="301">
        <v>2105885000</v>
      </c>
      <c r="J103" s="301">
        <v>-27053750000</v>
      </c>
      <c r="K103" s="384">
        <v>-24947865000</v>
      </c>
      <c r="L103" s="300">
        <v>0</v>
      </c>
      <c r="M103" s="300">
        <v>-24947865000</v>
      </c>
      <c r="N103" s="300">
        <v>0</v>
      </c>
      <c r="O103" s="300">
        <v>-24947865000</v>
      </c>
      <c r="P103" s="302">
        <v>-8.274582089552239E-2</v>
      </c>
      <c r="Q103" s="302">
        <v>-8.274582089552239E-2</v>
      </c>
      <c r="R103" s="385">
        <v>1.9662349012642591E-2</v>
      </c>
      <c r="S103" s="385">
        <v>-6.1282000000000003E-2</v>
      </c>
      <c r="T103" s="385">
        <v>0.12033882142857143</v>
      </c>
      <c r="U103" s="303">
        <v>-24947865000</v>
      </c>
      <c r="V103" s="303">
        <v>-24947865000</v>
      </c>
      <c r="W103" s="303" t="s">
        <v>367</v>
      </c>
      <c r="X103" s="302">
        <v>-8.274582089552239E-2</v>
      </c>
      <c r="Y103" s="386"/>
      <c r="Z103" s="359"/>
      <c r="AA103" s="359"/>
      <c r="AB103" s="193" t="e">
        <v>#VALUE!</v>
      </c>
      <c r="AC103" s="369">
        <v>6.9846932006633498E-3</v>
      </c>
      <c r="AD103" s="304">
        <v>301500000000</v>
      </c>
      <c r="AE103" s="304">
        <v>0</v>
      </c>
      <c r="AF103" s="397">
        <v>1244500000000</v>
      </c>
      <c r="AG103" s="397">
        <v>26627215000</v>
      </c>
      <c r="AH103" s="397">
        <v>-106103750000</v>
      </c>
      <c r="AI103" s="378">
        <v>-79476535000</v>
      </c>
      <c r="AJ103" s="397">
        <v>0</v>
      </c>
      <c r="AK103" s="332">
        <v>-79476535000</v>
      </c>
      <c r="AL103" s="397">
        <v>0</v>
      </c>
      <c r="AM103" s="332">
        <v>-79476535000</v>
      </c>
      <c r="AN103" s="334">
        <v>-6.3862221775813577E-2</v>
      </c>
      <c r="AO103" s="334">
        <v>-6.3862221775813577E-2</v>
      </c>
      <c r="AP103" s="335">
        <v>-79476535000</v>
      </c>
      <c r="AQ103" s="335">
        <v>-79476535000</v>
      </c>
      <c r="AR103" s="335" t="s">
        <v>367</v>
      </c>
      <c r="AS103" s="334">
        <v>-6.3862221775813577E-2</v>
      </c>
      <c r="AV103" s="193" t="s">
        <v>368</v>
      </c>
    </row>
    <row r="104" spans="1:48" ht="17.25" customHeight="1">
      <c r="A104" s="295">
        <v>2023</v>
      </c>
      <c r="B104" s="381">
        <v>99</v>
      </c>
      <c r="C104" s="295" t="s">
        <v>42</v>
      </c>
      <c r="D104" s="398" t="s">
        <v>137</v>
      </c>
      <c r="E104" s="297">
        <v>2023</v>
      </c>
      <c r="F104" s="298" t="s">
        <v>4</v>
      </c>
      <c r="G104" s="383">
        <v>45015</v>
      </c>
      <c r="H104" s="384">
        <v>535000000000</v>
      </c>
      <c r="I104" s="301">
        <v>4847450000</v>
      </c>
      <c r="J104" s="301">
        <v>-47400000000</v>
      </c>
      <c r="K104" s="384">
        <v>-42552550000</v>
      </c>
      <c r="L104" s="300">
        <v>0</v>
      </c>
      <c r="M104" s="300">
        <v>-42552550000</v>
      </c>
      <c r="N104" s="300">
        <v>0</v>
      </c>
      <c r="O104" s="300">
        <v>-42552550000</v>
      </c>
      <c r="P104" s="302">
        <v>-7.9537476635514012E-2</v>
      </c>
      <c r="Q104" s="302">
        <v>-7.9537476635514012E-2</v>
      </c>
      <c r="R104" s="385">
        <v>3.4890072045651033E-2</v>
      </c>
      <c r="S104" s="385">
        <v>-6.1282000000000003E-2</v>
      </c>
      <c r="T104" s="385">
        <v>0.12033882142857143</v>
      </c>
      <c r="U104" s="303">
        <v>-42552550000</v>
      </c>
      <c r="V104" s="303">
        <v>-42552550000</v>
      </c>
      <c r="W104" s="303" t="s">
        <v>367</v>
      </c>
      <c r="X104" s="302">
        <v>-7.9537476635514012E-2</v>
      </c>
      <c r="Y104" s="386"/>
      <c r="Z104" s="359"/>
      <c r="AA104" s="359"/>
      <c r="AB104" s="193" t="e">
        <v>#VALUE!</v>
      </c>
      <c r="AC104" s="369">
        <v>9.0606542056074768E-3</v>
      </c>
      <c r="AD104" s="304">
        <v>535000000000</v>
      </c>
      <c r="AE104" s="304">
        <v>0</v>
      </c>
      <c r="AF104" s="397">
        <v>1779500000000</v>
      </c>
      <c r="AG104" s="397">
        <v>31474665000</v>
      </c>
      <c r="AH104" s="397">
        <v>-153503750000</v>
      </c>
      <c r="AI104" s="378">
        <v>-122029085000</v>
      </c>
      <c r="AJ104" s="397">
        <v>0</v>
      </c>
      <c r="AK104" s="332">
        <v>-122029085000</v>
      </c>
      <c r="AL104" s="397">
        <v>0</v>
      </c>
      <c r="AM104" s="332">
        <v>-122029085000</v>
      </c>
      <c r="AN104" s="334">
        <v>-6.85749283506603E-2</v>
      </c>
      <c r="AO104" s="334">
        <v>-6.85749283506603E-2</v>
      </c>
      <c r="AP104" s="335">
        <v>-122029085000</v>
      </c>
      <c r="AQ104" s="335">
        <v>-122029085000</v>
      </c>
      <c r="AR104" s="335" t="s">
        <v>367</v>
      </c>
      <c r="AS104" s="334">
        <v>-6.85749283506603E-2</v>
      </c>
      <c r="AV104" s="193" t="s">
        <v>368</v>
      </c>
    </row>
    <row r="105" spans="1:48" ht="17.25" customHeight="1">
      <c r="A105" s="295">
        <v>2023</v>
      </c>
      <c r="B105" s="381">
        <v>100</v>
      </c>
      <c r="C105" s="295" t="s">
        <v>42</v>
      </c>
      <c r="D105" s="398" t="s">
        <v>138</v>
      </c>
      <c r="E105" s="297">
        <v>2023</v>
      </c>
      <c r="F105" s="298" t="s">
        <v>4</v>
      </c>
      <c r="G105" s="383">
        <v>45016</v>
      </c>
      <c r="H105" s="384">
        <v>246000000000</v>
      </c>
      <c r="I105" s="301">
        <v>548580000</v>
      </c>
      <c r="J105" s="301">
        <v>-22312500000</v>
      </c>
      <c r="K105" s="384">
        <v>-21763920000</v>
      </c>
      <c r="L105" s="300">
        <v>0</v>
      </c>
      <c r="M105" s="300">
        <v>-21763920000</v>
      </c>
      <c r="N105" s="300">
        <v>0</v>
      </c>
      <c r="O105" s="300">
        <v>-21763920000</v>
      </c>
      <c r="P105" s="302">
        <v>-8.8471219512195123E-2</v>
      </c>
      <c r="Q105" s="302">
        <v>-8.8471219512195123E-2</v>
      </c>
      <c r="R105" s="385">
        <v>1.6042911632205895E-2</v>
      </c>
      <c r="S105" s="385">
        <v>-6.1282000000000003E-2</v>
      </c>
      <c r="T105" s="385">
        <v>0.12033882142857143</v>
      </c>
      <c r="U105" s="303">
        <v>-21763920000</v>
      </c>
      <c r="V105" s="303">
        <v>-21763920000</v>
      </c>
      <c r="W105" s="303" t="s">
        <v>367</v>
      </c>
      <c r="X105" s="302">
        <v>-8.8471219512195123E-2</v>
      </c>
      <c r="Y105" s="386"/>
      <c r="Z105" s="359"/>
      <c r="AA105" s="359"/>
      <c r="AB105" s="193" t="e">
        <v>#VALUE!</v>
      </c>
      <c r="AC105" s="369">
        <v>2.2300000000000002E-3</v>
      </c>
      <c r="AD105" s="304">
        <v>246000000000</v>
      </c>
      <c r="AE105" s="304">
        <v>0</v>
      </c>
      <c r="AF105" s="397">
        <v>2025500000000</v>
      </c>
      <c r="AG105" s="397">
        <v>32023245000</v>
      </c>
      <c r="AH105" s="397">
        <v>-175816250000</v>
      </c>
      <c r="AI105" s="378">
        <v>-143793005000</v>
      </c>
      <c r="AJ105" s="397">
        <v>0</v>
      </c>
      <c r="AK105" s="332">
        <v>-143793005000</v>
      </c>
      <c r="AL105" s="397">
        <v>0</v>
      </c>
      <c r="AM105" s="332">
        <v>-143793005000</v>
      </c>
      <c r="AN105" s="334">
        <v>-7.099136262651197E-2</v>
      </c>
      <c r="AO105" s="334">
        <v>-7.099136262651197E-2</v>
      </c>
      <c r="AP105" s="335">
        <v>-143793005000</v>
      </c>
      <c r="AQ105" s="335">
        <v>-143793005000</v>
      </c>
      <c r="AR105" s="335" t="s">
        <v>367</v>
      </c>
      <c r="AS105" s="334">
        <v>-7.099136262651197E-2</v>
      </c>
      <c r="AV105" s="193" t="s">
        <v>368</v>
      </c>
    </row>
    <row r="106" spans="1:48" ht="17.25" customHeight="1">
      <c r="A106" s="295">
        <v>2023</v>
      </c>
      <c r="B106" s="381">
        <v>101</v>
      </c>
      <c r="C106" s="295" t="s">
        <v>42</v>
      </c>
      <c r="D106" s="398" t="s">
        <v>139</v>
      </c>
      <c r="E106" s="297">
        <v>2023</v>
      </c>
      <c r="F106" s="298" t="s">
        <v>4</v>
      </c>
      <c r="G106" s="383">
        <v>45019</v>
      </c>
      <c r="H106" s="384">
        <v>185000000000</v>
      </c>
      <c r="I106" s="301">
        <v>876350000</v>
      </c>
      <c r="J106" s="301">
        <v>-15450000000</v>
      </c>
      <c r="K106" s="384">
        <v>-14573650000</v>
      </c>
      <c r="L106" s="300">
        <v>0</v>
      </c>
      <c r="M106" s="300">
        <v>-14573650000</v>
      </c>
      <c r="N106" s="300">
        <v>0</v>
      </c>
      <c r="O106" s="300">
        <v>-14573650000</v>
      </c>
      <c r="P106" s="302">
        <v>-7.8776486486486483E-2</v>
      </c>
      <c r="Q106" s="302">
        <v>-7.8776486486486483E-2</v>
      </c>
      <c r="R106" s="385">
        <v>1.206479126812232E-2</v>
      </c>
      <c r="S106" s="385">
        <v>-7.1580000000000005E-2</v>
      </c>
      <c r="T106" s="385">
        <v>0.118234775974026</v>
      </c>
      <c r="U106" s="303">
        <v>-14573650000</v>
      </c>
      <c r="V106" s="303">
        <v>-14573650000</v>
      </c>
      <c r="W106" s="303" t="s">
        <v>367</v>
      </c>
      <c r="X106" s="302">
        <v>-7.8776486486486483E-2</v>
      </c>
      <c r="Y106" s="386"/>
      <c r="Z106" s="359"/>
      <c r="AA106" s="359"/>
      <c r="AB106" s="193" t="e">
        <v>#VALUE!</v>
      </c>
      <c r="AC106" s="369">
        <v>4.7370270270270269E-3</v>
      </c>
      <c r="AD106" s="304">
        <v>185000000000</v>
      </c>
      <c r="AE106" s="304">
        <v>0</v>
      </c>
      <c r="AF106" s="397">
        <v>2210500000000</v>
      </c>
      <c r="AG106" s="397">
        <v>32899595000</v>
      </c>
      <c r="AH106" s="397">
        <v>-191266250000</v>
      </c>
      <c r="AI106" s="378">
        <v>-158366655000</v>
      </c>
      <c r="AJ106" s="397">
        <v>0</v>
      </c>
      <c r="AK106" s="332">
        <v>-158366655000</v>
      </c>
      <c r="AL106" s="397">
        <v>0</v>
      </c>
      <c r="AM106" s="332">
        <v>-158366655000</v>
      </c>
      <c r="AN106" s="334">
        <v>-7.1642911106084603E-2</v>
      </c>
      <c r="AO106" s="334">
        <v>-7.1642911106084603E-2</v>
      </c>
      <c r="AP106" s="335">
        <v>-158366655000</v>
      </c>
      <c r="AQ106" s="335">
        <v>-158366655000</v>
      </c>
      <c r="AR106" s="335" t="s">
        <v>367</v>
      </c>
      <c r="AS106" s="334">
        <v>-7.1642911106084603E-2</v>
      </c>
      <c r="AV106" s="193" t="s">
        <v>368</v>
      </c>
    </row>
    <row r="107" spans="1:48" ht="17.25" customHeight="1">
      <c r="A107" s="295">
        <v>2023</v>
      </c>
      <c r="B107" s="381">
        <v>102</v>
      </c>
      <c r="C107" s="295" t="s">
        <v>42</v>
      </c>
      <c r="D107" s="398" t="s">
        <v>140</v>
      </c>
      <c r="E107" s="297">
        <v>2023</v>
      </c>
      <c r="F107" s="298" t="s">
        <v>4</v>
      </c>
      <c r="G107" s="383">
        <v>45020</v>
      </c>
      <c r="H107" s="384">
        <v>250000000000</v>
      </c>
      <c r="I107" s="301">
        <v>871220000</v>
      </c>
      <c r="J107" s="301">
        <v>-21067500000</v>
      </c>
      <c r="K107" s="384">
        <v>-20196280000</v>
      </c>
      <c r="L107" s="300">
        <v>0</v>
      </c>
      <c r="M107" s="300">
        <v>-20196280000</v>
      </c>
      <c r="N107" s="300">
        <v>0</v>
      </c>
      <c r="O107" s="300">
        <v>-20196280000</v>
      </c>
      <c r="P107" s="302">
        <v>-8.0785120000000002E-2</v>
      </c>
      <c r="Q107" s="302">
        <v>-8.0785120000000002E-2</v>
      </c>
      <c r="R107" s="385">
        <v>1.630377198394908E-2</v>
      </c>
      <c r="S107" s="385">
        <v>-7.1580000000000005E-2</v>
      </c>
      <c r="T107" s="385">
        <v>0.118234775974026</v>
      </c>
      <c r="U107" s="303">
        <v>-20196280000</v>
      </c>
      <c r="V107" s="303">
        <v>-20196280000</v>
      </c>
      <c r="W107" s="303" t="s">
        <v>367</v>
      </c>
      <c r="X107" s="302">
        <v>-8.0785120000000002E-2</v>
      </c>
      <c r="Y107" s="386"/>
      <c r="Z107" s="359"/>
      <c r="AA107" s="359"/>
      <c r="AB107" s="193" t="e">
        <v>#VALUE!</v>
      </c>
      <c r="AC107" s="369">
        <v>3.4848800000000001E-3</v>
      </c>
      <c r="AD107" s="304">
        <v>250000000000</v>
      </c>
      <c r="AE107" s="304">
        <v>0</v>
      </c>
      <c r="AF107" s="397">
        <v>2460500000000</v>
      </c>
      <c r="AG107" s="397">
        <v>33770815000</v>
      </c>
      <c r="AH107" s="397">
        <v>-212333750000</v>
      </c>
      <c r="AI107" s="378">
        <v>-178562935000</v>
      </c>
      <c r="AJ107" s="397">
        <v>0</v>
      </c>
      <c r="AK107" s="332">
        <v>-178562935000</v>
      </c>
      <c r="AL107" s="397">
        <v>0</v>
      </c>
      <c r="AM107" s="332">
        <v>-178562935000</v>
      </c>
      <c r="AN107" s="334">
        <v>-7.257180857549278E-2</v>
      </c>
      <c r="AO107" s="334">
        <v>-7.257180857549278E-2</v>
      </c>
      <c r="AP107" s="335">
        <v>-178562935000</v>
      </c>
      <c r="AQ107" s="335">
        <v>-178562935000</v>
      </c>
      <c r="AR107" s="335" t="s">
        <v>367</v>
      </c>
      <c r="AS107" s="334">
        <v>-7.257180857549278E-2</v>
      </c>
      <c r="AV107" s="193" t="s">
        <v>368</v>
      </c>
    </row>
    <row r="108" spans="1:48" ht="17.25" customHeight="1">
      <c r="A108" s="295">
        <v>2023</v>
      </c>
      <c r="B108" s="381">
        <v>103</v>
      </c>
      <c r="C108" s="295" t="s">
        <v>42</v>
      </c>
      <c r="D108" s="398" t="s">
        <v>141</v>
      </c>
      <c r="E108" s="297">
        <v>2023</v>
      </c>
      <c r="F108" s="298" t="s">
        <v>4</v>
      </c>
      <c r="G108" s="383">
        <v>45026</v>
      </c>
      <c r="H108" s="384">
        <v>205000000000</v>
      </c>
      <c r="I108" s="301">
        <v>3166750000.0000305</v>
      </c>
      <c r="J108" s="301">
        <v>-17450000000</v>
      </c>
      <c r="K108" s="384">
        <v>-14283249999.999969</v>
      </c>
      <c r="L108" s="300">
        <v>0</v>
      </c>
      <c r="M108" s="300">
        <v>-14283249999.999969</v>
      </c>
      <c r="N108" s="300">
        <v>0</v>
      </c>
      <c r="O108" s="300">
        <v>-14283249999.999969</v>
      </c>
      <c r="P108" s="302">
        <v>-6.967439024390229E-2</v>
      </c>
      <c r="Q108" s="302">
        <v>-6.967439024390229E-2</v>
      </c>
      <c r="R108" s="385">
        <v>1.3369093026838245E-2</v>
      </c>
      <c r="S108" s="385">
        <v>-7.8399999999999997E-2</v>
      </c>
      <c r="T108" s="385">
        <v>0.1166</v>
      </c>
      <c r="U108" s="303">
        <v>-14283249999.999969</v>
      </c>
      <c r="V108" s="303">
        <v>-14283249999.999969</v>
      </c>
      <c r="W108" s="303" t="s">
        <v>367</v>
      </c>
      <c r="X108" s="302">
        <v>-6.967439024390229E-2</v>
      </c>
      <c r="Y108" s="301">
        <v>0</v>
      </c>
      <c r="Z108" s="301">
        <v>0</v>
      </c>
      <c r="AA108" s="384">
        <v>0</v>
      </c>
      <c r="AB108" s="193" t="e">
        <v>#VALUE!</v>
      </c>
      <c r="AC108" s="369">
        <v>1.5447560975609904E-2</v>
      </c>
      <c r="AD108" s="304">
        <v>205000000000</v>
      </c>
      <c r="AE108" s="304">
        <v>0</v>
      </c>
      <c r="AF108" s="397">
        <v>2665500000000</v>
      </c>
      <c r="AG108" s="397">
        <v>36937565000.000031</v>
      </c>
      <c r="AH108" s="397">
        <v>-229783750000</v>
      </c>
      <c r="AI108" s="378">
        <v>-192846184999.99997</v>
      </c>
      <c r="AJ108" s="397">
        <v>0</v>
      </c>
      <c r="AK108" s="332">
        <v>-192846184999.99997</v>
      </c>
      <c r="AL108" s="397">
        <v>0</v>
      </c>
      <c r="AM108" s="332">
        <v>-192846184999.99997</v>
      </c>
      <c r="AN108" s="334">
        <v>-7.2348972050271979E-2</v>
      </c>
      <c r="AO108" s="334">
        <v>-7.2348972050271979E-2</v>
      </c>
      <c r="AP108" s="335">
        <v>-192846184999.99997</v>
      </c>
      <c r="AQ108" s="335">
        <v>-192846184999.99997</v>
      </c>
      <c r="AR108" s="335" t="s">
        <v>367</v>
      </c>
      <c r="AS108" s="334">
        <v>-7.2348972050271979E-2</v>
      </c>
      <c r="AV108" s="193" t="s">
        <v>368</v>
      </c>
    </row>
    <row r="109" spans="1:48" ht="17.25" customHeight="1">
      <c r="A109" s="295">
        <v>2023</v>
      </c>
      <c r="B109" s="381">
        <v>104</v>
      </c>
      <c r="C109" s="295" t="s">
        <v>42</v>
      </c>
      <c r="D109" s="398" t="s">
        <v>142</v>
      </c>
      <c r="E109" s="297">
        <v>2023</v>
      </c>
      <c r="F109" s="298" t="s">
        <v>4</v>
      </c>
      <c r="G109" s="383">
        <v>45027</v>
      </c>
      <c r="H109" s="384">
        <v>275000000000</v>
      </c>
      <c r="I109" s="301">
        <v>6815700000</v>
      </c>
      <c r="J109" s="301">
        <v>-22162500000</v>
      </c>
      <c r="K109" s="384">
        <v>-15346800000</v>
      </c>
      <c r="L109" s="300">
        <v>0</v>
      </c>
      <c r="M109" s="300">
        <v>-15346800000</v>
      </c>
      <c r="N109" s="300">
        <v>0</v>
      </c>
      <c r="O109" s="300">
        <v>-15346800000</v>
      </c>
      <c r="P109" s="302">
        <v>-5.5806545454545456E-2</v>
      </c>
      <c r="Q109" s="302">
        <v>-5.5806545454545456E-2</v>
      </c>
      <c r="R109" s="385">
        <v>1.7934149182343987E-2</v>
      </c>
      <c r="S109" s="385">
        <v>-7.8399999999999997E-2</v>
      </c>
      <c r="T109" s="385">
        <v>0.1166</v>
      </c>
      <c r="U109" s="303">
        <v>-15346800000</v>
      </c>
      <c r="V109" s="303">
        <v>-15346800000</v>
      </c>
      <c r="W109" s="303" t="s">
        <v>367</v>
      </c>
      <c r="X109" s="302">
        <v>-5.5806545454545456E-2</v>
      </c>
      <c r="Y109" s="386"/>
      <c r="Z109" s="359"/>
      <c r="AA109" s="359"/>
      <c r="AB109" s="193" t="e">
        <v>#VALUE!</v>
      </c>
      <c r="AC109" s="369">
        <v>2.4784363636363636E-2</v>
      </c>
      <c r="AD109" s="304">
        <v>275000000000</v>
      </c>
      <c r="AE109" s="304">
        <v>0</v>
      </c>
      <c r="AF109" s="397">
        <v>2940500000000</v>
      </c>
      <c r="AG109" s="397">
        <v>43753265000.000031</v>
      </c>
      <c r="AH109" s="397">
        <v>-251946250000</v>
      </c>
      <c r="AI109" s="378">
        <v>-208192984999.99997</v>
      </c>
      <c r="AJ109" s="397">
        <v>0</v>
      </c>
      <c r="AK109" s="332">
        <v>-208192984999.99997</v>
      </c>
      <c r="AL109" s="397">
        <v>0</v>
      </c>
      <c r="AM109" s="332">
        <v>-208192984999.99997</v>
      </c>
      <c r="AN109" s="334">
        <v>-7.0801899336847468E-2</v>
      </c>
      <c r="AO109" s="334">
        <v>-7.0801899336847468E-2</v>
      </c>
      <c r="AP109" s="335">
        <v>-208192984999.99997</v>
      </c>
      <c r="AQ109" s="335">
        <v>-208192984999.99997</v>
      </c>
      <c r="AR109" s="335" t="s">
        <v>367</v>
      </c>
      <c r="AS109" s="334">
        <v>-7.0801899336847468E-2</v>
      </c>
      <c r="AV109" s="193" t="s">
        <v>368</v>
      </c>
    </row>
    <row r="110" spans="1:48" ht="17.25" customHeight="1">
      <c r="A110" s="295">
        <v>2023</v>
      </c>
      <c r="B110" s="381">
        <v>105</v>
      </c>
      <c r="C110" s="295" t="s">
        <v>42</v>
      </c>
      <c r="D110" s="398" t="s">
        <v>143</v>
      </c>
      <c r="E110" s="297">
        <v>2023</v>
      </c>
      <c r="F110" s="298" t="s">
        <v>4</v>
      </c>
      <c r="G110" s="383">
        <v>45028</v>
      </c>
      <c r="H110" s="384">
        <v>200000000000</v>
      </c>
      <c r="I110" s="301">
        <v>1631600000</v>
      </c>
      <c r="J110" s="301">
        <v>-16950000000</v>
      </c>
      <c r="K110" s="384">
        <v>-15318400000</v>
      </c>
      <c r="L110" s="300">
        <v>0</v>
      </c>
      <c r="M110" s="300">
        <v>-15318400000</v>
      </c>
      <c r="N110" s="300">
        <v>0</v>
      </c>
      <c r="O110" s="300">
        <v>-15318400000</v>
      </c>
      <c r="P110" s="302">
        <v>-7.6591999999999993E-2</v>
      </c>
      <c r="Q110" s="302">
        <v>-7.6591999999999993E-2</v>
      </c>
      <c r="R110" s="385">
        <v>1.3043017587159264E-2</v>
      </c>
      <c r="S110" s="385">
        <v>-7.8399999999999997E-2</v>
      </c>
      <c r="T110" s="385">
        <v>0.1166</v>
      </c>
      <c r="U110" s="303">
        <v>-15318400000</v>
      </c>
      <c r="V110" s="303">
        <v>-15318400000</v>
      </c>
      <c r="W110" s="303" t="s">
        <v>367</v>
      </c>
      <c r="X110" s="302">
        <v>-7.6591999999999993E-2</v>
      </c>
      <c r="Y110" s="386"/>
      <c r="Z110" s="359"/>
      <c r="AA110" s="359"/>
      <c r="AB110" s="193" t="e">
        <v>#VALUE!</v>
      </c>
      <c r="AC110" s="369">
        <v>8.1580000000000003E-3</v>
      </c>
      <c r="AD110" s="304">
        <v>200000000000</v>
      </c>
      <c r="AE110" s="304">
        <v>0</v>
      </c>
      <c r="AF110" s="397">
        <v>3140500000000</v>
      </c>
      <c r="AG110" s="397">
        <v>45384865000.000031</v>
      </c>
      <c r="AH110" s="397">
        <v>-268896250000</v>
      </c>
      <c r="AI110" s="378">
        <v>-223511384999.99997</v>
      </c>
      <c r="AJ110" s="397">
        <v>0</v>
      </c>
      <c r="AK110" s="332">
        <v>-223511384999.99997</v>
      </c>
      <c r="AL110" s="397">
        <v>0</v>
      </c>
      <c r="AM110" s="332">
        <v>-223511384999.99997</v>
      </c>
      <c r="AN110" s="334">
        <v>-7.1170636841267301E-2</v>
      </c>
      <c r="AO110" s="334">
        <v>-7.1170636841267301E-2</v>
      </c>
      <c r="AP110" s="335">
        <v>-223511384999.99997</v>
      </c>
      <c r="AQ110" s="335">
        <v>-223511384999.99997</v>
      </c>
      <c r="AR110" s="335" t="s">
        <v>367</v>
      </c>
      <c r="AS110" s="334">
        <v>-7.1170636841267301E-2</v>
      </c>
      <c r="AV110" s="193" t="s">
        <v>368</v>
      </c>
    </row>
    <row r="111" spans="1:48" ht="17.25" customHeight="1">
      <c r="A111" s="295">
        <v>2023</v>
      </c>
      <c r="B111" s="381">
        <v>106</v>
      </c>
      <c r="C111" s="295" t="s">
        <v>42</v>
      </c>
      <c r="D111" s="398" t="s">
        <v>144</v>
      </c>
      <c r="E111" s="297">
        <v>2023</v>
      </c>
      <c r="F111" s="298" t="s">
        <v>4</v>
      </c>
      <c r="G111" s="383">
        <v>45030</v>
      </c>
      <c r="H111" s="384">
        <v>1470000000000</v>
      </c>
      <c r="I111" s="301">
        <v>139460100000</v>
      </c>
      <c r="J111" s="301">
        <v>-78000000000</v>
      </c>
      <c r="K111" s="384">
        <v>61460100000</v>
      </c>
      <c r="L111" s="300">
        <v>0</v>
      </c>
      <c r="M111" s="300">
        <v>61460100000</v>
      </c>
      <c r="N111" s="300">
        <v>0</v>
      </c>
      <c r="O111" s="300">
        <v>61460100000</v>
      </c>
      <c r="P111" s="302">
        <v>4.1809591836734696E-2</v>
      </c>
      <c r="Q111" s="302">
        <v>4.1809591836734696E-2</v>
      </c>
      <c r="R111" s="385">
        <v>9.5866179265620591E-2</v>
      </c>
      <c r="S111" s="385">
        <v>6.6400000000000001E-2</v>
      </c>
      <c r="T111" s="385">
        <v>0.1196</v>
      </c>
      <c r="U111" s="303">
        <v>61460100000</v>
      </c>
      <c r="V111" s="303">
        <v>61460100000</v>
      </c>
      <c r="W111" s="303" t="s">
        <v>367</v>
      </c>
      <c r="X111" s="302">
        <v>4.1809591836734696E-2</v>
      </c>
      <c r="Y111" s="386"/>
      <c r="Z111" s="359"/>
      <c r="AA111" s="359"/>
      <c r="AB111" s="193" t="e">
        <v>#VALUE!</v>
      </c>
      <c r="AC111" s="399">
        <v>9.4870816326530619E-2</v>
      </c>
      <c r="AD111" s="304">
        <v>1470000000000</v>
      </c>
      <c r="AE111" s="304">
        <v>0</v>
      </c>
      <c r="AF111" s="397">
        <v>4610500000000</v>
      </c>
      <c r="AG111" s="397">
        <v>184844965000.00003</v>
      </c>
      <c r="AH111" s="397">
        <v>-346896250000</v>
      </c>
      <c r="AI111" s="378">
        <v>-162051284999.99997</v>
      </c>
      <c r="AJ111" s="397">
        <v>0</v>
      </c>
      <c r="AK111" s="332">
        <v>-162051284999.99997</v>
      </c>
      <c r="AL111" s="397">
        <v>0</v>
      </c>
      <c r="AM111" s="332">
        <v>-162051284999.99997</v>
      </c>
      <c r="AN111" s="334">
        <v>-3.5148310378483892E-2</v>
      </c>
      <c r="AO111" s="334">
        <v>-3.5148310378483892E-2</v>
      </c>
      <c r="AP111" s="335">
        <v>-162051284999.99997</v>
      </c>
      <c r="AQ111" s="335">
        <v>-162051284999.99997</v>
      </c>
      <c r="AR111" s="335" t="s">
        <v>367</v>
      </c>
      <c r="AS111" s="334">
        <v>-3.5148310378483892E-2</v>
      </c>
      <c r="AV111" s="193" t="s">
        <v>368</v>
      </c>
    </row>
    <row r="112" spans="1:48" ht="17.25" customHeight="1">
      <c r="A112" s="295">
        <v>2023</v>
      </c>
      <c r="B112" s="381">
        <v>107</v>
      </c>
      <c r="C112" s="295" t="s">
        <v>42</v>
      </c>
      <c r="D112" s="398">
        <v>45035</v>
      </c>
      <c r="E112" s="297">
        <v>2023</v>
      </c>
      <c r="F112" s="298" t="s">
        <v>4</v>
      </c>
      <c r="G112" s="383">
        <v>45035</v>
      </c>
      <c r="H112" s="384">
        <v>104000000000</v>
      </c>
      <c r="I112" s="301">
        <v>857599999.99998474</v>
      </c>
      <c r="J112" s="301">
        <v>-8505000000</v>
      </c>
      <c r="K112" s="384">
        <v>-7647400000.0000153</v>
      </c>
      <c r="L112" s="300">
        <v>0</v>
      </c>
      <c r="M112" s="300">
        <v>-7647400000.0000153</v>
      </c>
      <c r="N112" s="300">
        <v>0</v>
      </c>
      <c r="O112" s="300">
        <v>-7647400000.0000153</v>
      </c>
      <c r="P112" s="302">
        <v>-7.3532692307692452E-2</v>
      </c>
      <c r="Q112" s="302">
        <v>-7.3532692307692452E-2</v>
      </c>
      <c r="R112" s="385">
        <v>6.782369145322817E-3</v>
      </c>
      <c r="S112" s="385">
        <v>-8.1799999999999998E-2</v>
      </c>
      <c r="T112" s="385">
        <v>0.11650000000000001</v>
      </c>
      <c r="U112" s="303">
        <v>-7647400000.0000153</v>
      </c>
      <c r="V112" s="303">
        <v>-7647400000.0000153</v>
      </c>
      <c r="W112" s="303" t="s">
        <v>367</v>
      </c>
      <c r="X112" s="302">
        <v>-7.3532692307692452E-2</v>
      </c>
      <c r="Y112" s="386"/>
      <c r="Z112" s="359"/>
      <c r="AA112" s="359"/>
      <c r="AB112" s="193" t="e">
        <v>#VALUE!</v>
      </c>
      <c r="AC112" s="369">
        <v>8.2461538461537E-3</v>
      </c>
      <c r="AD112" s="304">
        <v>104000000000</v>
      </c>
      <c r="AE112" s="304">
        <v>0</v>
      </c>
      <c r="AF112" s="397">
        <v>4714500000000</v>
      </c>
      <c r="AG112" s="397">
        <v>185702565000</v>
      </c>
      <c r="AH112" s="397">
        <v>-355401250000</v>
      </c>
      <c r="AI112" s="378">
        <v>-169698685000</v>
      </c>
      <c r="AJ112" s="397">
        <v>0</v>
      </c>
      <c r="AK112" s="332">
        <v>-169698685000</v>
      </c>
      <c r="AL112" s="397">
        <v>0</v>
      </c>
      <c r="AM112" s="332">
        <v>-169698685000</v>
      </c>
      <c r="AN112" s="334">
        <v>-3.5995054618729455E-2</v>
      </c>
      <c r="AO112" s="334">
        <v>-3.5995054618729455E-2</v>
      </c>
      <c r="AP112" s="335">
        <v>-169698685000</v>
      </c>
      <c r="AQ112" s="335">
        <v>-169698685000</v>
      </c>
      <c r="AR112" s="335" t="s">
        <v>367</v>
      </c>
      <c r="AS112" s="334">
        <v>-3.5995054618729455E-2</v>
      </c>
      <c r="AV112" s="193" t="s">
        <v>368</v>
      </c>
    </row>
    <row r="113" spans="1:48" ht="17.25" customHeight="1">
      <c r="A113" s="295">
        <v>2023</v>
      </c>
      <c r="B113" s="381">
        <v>108</v>
      </c>
      <c r="C113" s="295" t="s">
        <v>42</v>
      </c>
      <c r="D113" s="398">
        <v>45036</v>
      </c>
      <c r="E113" s="297">
        <v>2023</v>
      </c>
      <c r="F113" s="298" t="s">
        <v>4</v>
      </c>
      <c r="G113" s="383">
        <v>45036</v>
      </c>
      <c r="H113" s="384">
        <v>501500000000</v>
      </c>
      <c r="I113" s="301">
        <v>937560000</v>
      </c>
      <c r="J113" s="301">
        <v>-42222500000</v>
      </c>
      <c r="K113" s="384">
        <v>-41284940000</v>
      </c>
      <c r="L113" s="300">
        <v>0</v>
      </c>
      <c r="M113" s="300">
        <v>-41284940000</v>
      </c>
      <c r="N113" s="300">
        <v>0</v>
      </c>
      <c r="O113" s="300">
        <v>-41284940000</v>
      </c>
      <c r="P113" s="302">
        <v>-8.2322911266201393E-2</v>
      </c>
      <c r="Q113" s="302">
        <v>-8.2322911266201393E-2</v>
      </c>
      <c r="R113" s="385">
        <v>3.2705366599801854E-2</v>
      </c>
      <c r="S113" s="385">
        <v>-8.1799999999999998E-2</v>
      </c>
      <c r="T113" s="385">
        <v>0.11650000000000001</v>
      </c>
      <c r="U113" s="303">
        <v>-41284940000</v>
      </c>
      <c r="V113" s="303">
        <v>-41284940000</v>
      </c>
      <c r="W113" s="303" t="s">
        <v>367</v>
      </c>
      <c r="X113" s="302">
        <v>-8.2322911266201393E-2</v>
      </c>
      <c r="Y113" s="386"/>
      <c r="Z113" s="359"/>
      <c r="AA113" s="359"/>
      <c r="AB113" s="193" t="e">
        <v>#VALUE!</v>
      </c>
      <c r="AC113" s="369">
        <v>1.8695114656031905E-3</v>
      </c>
      <c r="AD113" s="304">
        <v>501500000000</v>
      </c>
      <c r="AE113" s="304">
        <v>0</v>
      </c>
      <c r="AF113" s="397">
        <v>5216000000000</v>
      </c>
      <c r="AG113" s="397">
        <v>186640125000</v>
      </c>
      <c r="AH113" s="397">
        <v>-397623750000</v>
      </c>
      <c r="AI113" s="378">
        <v>-210983625000</v>
      </c>
      <c r="AJ113" s="397">
        <v>0</v>
      </c>
      <c r="AK113" s="332">
        <v>-210983625000</v>
      </c>
      <c r="AL113" s="397">
        <v>0</v>
      </c>
      <c r="AM113" s="332">
        <v>-210983625000</v>
      </c>
      <c r="AN113" s="334">
        <v>-4.0449314608895705E-2</v>
      </c>
      <c r="AO113" s="334">
        <v>-4.0449314608895705E-2</v>
      </c>
      <c r="AP113" s="335">
        <v>-210983625000</v>
      </c>
      <c r="AQ113" s="335">
        <v>-210983625000</v>
      </c>
      <c r="AR113" s="335" t="s">
        <v>367</v>
      </c>
      <c r="AS113" s="334">
        <v>-4.0449314608895705E-2</v>
      </c>
      <c r="AV113" s="193" t="s">
        <v>368</v>
      </c>
    </row>
    <row r="114" spans="1:48" ht="17.25" customHeight="1">
      <c r="A114" s="295">
        <v>2023</v>
      </c>
      <c r="B114" s="400">
        <v>109</v>
      </c>
      <c r="C114" s="295" t="s">
        <v>42</v>
      </c>
      <c r="D114" s="398">
        <v>45037</v>
      </c>
      <c r="E114" s="297">
        <v>2023</v>
      </c>
      <c r="F114" s="298" t="s">
        <v>4</v>
      </c>
      <c r="G114" s="383">
        <v>45037</v>
      </c>
      <c r="H114" s="384">
        <v>105000000000</v>
      </c>
      <c r="I114" s="301">
        <v>358250000</v>
      </c>
      <c r="J114" s="301">
        <v>-8795000000</v>
      </c>
      <c r="K114" s="384">
        <v>-8436750000</v>
      </c>
      <c r="L114" s="300">
        <v>0</v>
      </c>
      <c r="M114" s="300">
        <v>-8436750000</v>
      </c>
      <c r="N114" s="300">
        <v>0</v>
      </c>
      <c r="O114" s="300">
        <v>-8436750000</v>
      </c>
      <c r="P114" s="302">
        <v>-8.0350000000000005E-2</v>
      </c>
      <c r="Q114" s="302">
        <v>-8.0350000000000005E-2</v>
      </c>
      <c r="R114" s="385">
        <v>6.8475842332586133E-3</v>
      </c>
      <c r="S114" s="385">
        <v>-8.1799999999999998E-2</v>
      </c>
      <c r="T114" s="385">
        <v>0.11650000000000001</v>
      </c>
      <c r="U114" s="303">
        <v>-8436750000</v>
      </c>
      <c r="V114" s="303">
        <v>-8436750000</v>
      </c>
      <c r="W114" s="303" t="s">
        <v>367</v>
      </c>
      <c r="X114" s="302">
        <v>-8.0350000000000005E-2</v>
      </c>
      <c r="Y114" s="386"/>
      <c r="Z114" s="359"/>
      <c r="AA114" s="359"/>
      <c r="AB114" s="193" t="e">
        <v>#VALUE!</v>
      </c>
      <c r="AC114" s="401">
        <v>3.4119047619047618E-3</v>
      </c>
      <c r="AD114" s="304">
        <v>105000000000</v>
      </c>
      <c r="AE114" s="304">
        <v>0</v>
      </c>
      <c r="AF114" s="397">
        <v>5321000000000</v>
      </c>
      <c r="AG114" s="397">
        <v>186998375000</v>
      </c>
      <c r="AH114" s="397">
        <v>-406418750000</v>
      </c>
      <c r="AI114" s="378">
        <v>-219420375000</v>
      </c>
      <c r="AJ114" s="397">
        <v>0</v>
      </c>
      <c r="AK114" s="332">
        <v>-219420375000</v>
      </c>
      <c r="AL114" s="397">
        <v>0</v>
      </c>
      <c r="AM114" s="332">
        <v>-219420375000</v>
      </c>
      <c r="AN114" s="334">
        <v>-4.1236680135312911E-2</v>
      </c>
      <c r="AO114" s="334">
        <v>-4.1236680135312911E-2</v>
      </c>
      <c r="AP114" s="335">
        <v>-219420375000</v>
      </c>
      <c r="AQ114" s="335">
        <v>-219420375000</v>
      </c>
      <c r="AR114" s="335" t="s">
        <v>367</v>
      </c>
      <c r="AS114" s="334">
        <v>-4.1236680135312911E-2</v>
      </c>
      <c r="AV114" s="193" t="s">
        <v>368</v>
      </c>
    </row>
    <row r="115" spans="1:48" ht="17.25" customHeight="1">
      <c r="A115" s="295">
        <v>2023</v>
      </c>
      <c r="B115" s="400">
        <v>110</v>
      </c>
      <c r="C115" s="295" t="s">
        <v>42</v>
      </c>
      <c r="D115" s="398">
        <v>45049</v>
      </c>
      <c r="E115" s="297">
        <v>2023</v>
      </c>
      <c r="F115" s="298" t="s">
        <v>4</v>
      </c>
      <c r="G115" s="383">
        <v>45049</v>
      </c>
      <c r="H115" s="384">
        <v>206000000000</v>
      </c>
      <c r="I115" s="301">
        <v>5666429999.9999733</v>
      </c>
      <c r="J115" s="301">
        <v>-18195000000</v>
      </c>
      <c r="K115" s="384">
        <v>-12528570000.000027</v>
      </c>
      <c r="L115" s="300">
        <v>0</v>
      </c>
      <c r="M115" s="300">
        <v>-12528570000.000027</v>
      </c>
      <c r="N115" s="300">
        <v>0</v>
      </c>
      <c r="O115" s="300">
        <v>-12528570000.000027</v>
      </c>
      <c r="P115" s="302">
        <v>-6.0818300970873915E-2</v>
      </c>
      <c r="Q115" s="302">
        <v>-6.0818300970873915E-2</v>
      </c>
      <c r="R115" s="385">
        <v>1.3434308114774042E-2</v>
      </c>
      <c r="S115" s="385">
        <v>-8.1799999999999998E-2</v>
      </c>
      <c r="T115" s="385">
        <v>0.11650000000000001</v>
      </c>
      <c r="U115" s="303">
        <v>-12528570000.000027</v>
      </c>
      <c r="V115" s="303">
        <v>-12528570000.000027</v>
      </c>
      <c r="W115" s="303" t="s">
        <v>367</v>
      </c>
      <c r="X115" s="302">
        <v>-6.0818300970873915E-2</v>
      </c>
      <c r="Y115" s="386"/>
      <c r="Z115" s="359"/>
      <c r="AA115" s="359"/>
      <c r="AB115" s="193" t="e">
        <v>#VALUE!</v>
      </c>
      <c r="AC115" s="401">
        <v>2.7506941747572684E-2</v>
      </c>
      <c r="AD115" s="304">
        <v>206000000000</v>
      </c>
      <c r="AE115" s="304">
        <v>0</v>
      </c>
      <c r="AF115" s="397">
        <v>5527000000000</v>
      </c>
      <c r="AG115" s="397">
        <v>192664804999.99997</v>
      </c>
      <c r="AH115" s="397">
        <v>-424613750000</v>
      </c>
      <c r="AI115" s="378">
        <v>-231948945000.00003</v>
      </c>
      <c r="AJ115" s="397">
        <v>0</v>
      </c>
      <c r="AK115" s="332">
        <v>-231948945000.00003</v>
      </c>
      <c r="AL115" s="397">
        <v>0</v>
      </c>
      <c r="AM115" s="332">
        <v>-231948945000.00003</v>
      </c>
      <c r="AN115" s="334">
        <v>-4.1966518002533024E-2</v>
      </c>
      <c r="AO115" s="334">
        <v>-4.1966518002533024E-2</v>
      </c>
      <c r="AP115" s="335">
        <v>-231948945000.00003</v>
      </c>
      <c r="AQ115" s="335">
        <v>-231948945000.00003</v>
      </c>
      <c r="AR115" s="335" t="s">
        <v>367</v>
      </c>
      <c r="AS115" s="334">
        <v>-4.1966518002533024E-2</v>
      </c>
      <c r="AV115" s="193" t="s">
        <v>368</v>
      </c>
    </row>
    <row r="116" spans="1:48" ht="17.25" customHeight="1">
      <c r="A116" s="295">
        <v>2023</v>
      </c>
      <c r="B116" s="400">
        <v>111</v>
      </c>
      <c r="C116" s="295" t="s">
        <v>42</v>
      </c>
      <c r="D116" s="398">
        <v>45056</v>
      </c>
      <c r="E116" s="297">
        <v>2023</v>
      </c>
      <c r="F116" s="298" t="s">
        <v>4</v>
      </c>
      <c r="G116" s="383">
        <v>45056</v>
      </c>
      <c r="H116" s="384">
        <v>100000000000</v>
      </c>
      <c r="I116" s="301">
        <v>153600000</v>
      </c>
      <c r="J116" s="301">
        <v>-9075000000</v>
      </c>
      <c r="K116" s="384">
        <v>-8921400000</v>
      </c>
      <c r="L116" s="300">
        <v>0</v>
      </c>
      <c r="M116" s="300">
        <v>-8921400000</v>
      </c>
      <c r="N116" s="300">
        <v>0</v>
      </c>
      <c r="O116" s="300">
        <v>-8921400000</v>
      </c>
      <c r="P116" s="302">
        <v>-8.9214000000000002E-2</v>
      </c>
      <c r="Q116" s="302">
        <v>-8.9214000000000002E-2</v>
      </c>
      <c r="R116" s="385">
        <v>6.5215087935796322E-3</v>
      </c>
      <c r="S116" s="385">
        <v>-8.8700000000000001E-2</v>
      </c>
      <c r="T116" s="385">
        <v>0.1153</v>
      </c>
      <c r="U116" s="303">
        <v>-8921400000</v>
      </c>
      <c r="V116" s="303">
        <v>-8921400000</v>
      </c>
      <c r="W116" s="303" t="s">
        <v>367</v>
      </c>
      <c r="X116" s="302">
        <v>-8.9214000000000002E-2</v>
      </c>
      <c r="Y116" s="386"/>
      <c r="Z116" s="359"/>
      <c r="AA116" s="359"/>
      <c r="AB116" s="193" t="e">
        <v>#VALUE!</v>
      </c>
      <c r="AC116" s="401">
        <v>1.536E-3</v>
      </c>
      <c r="AD116" s="304">
        <v>100000000000</v>
      </c>
      <c r="AE116" s="304">
        <v>0</v>
      </c>
      <c r="AF116" s="397">
        <v>5627000000000</v>
      </c>
      <c r="AG116" s="397">
        <v>192818404999.99997</v>
      </c>
      <c r="AH116" s="397">
        <v>-433688750000</v>
      </c>
      <c r="AI116" s="378">
        <v>-240870345000.00003</v>
      </c>
      <c r="AJ116" s="397">
        <v>0</v>
      </c>
      <c r="AK116" s="332">
        <v>-240870345000.00003</v>
      </c>
      <c r="AL116" s="397">
        <v>0</v>
      </c>
      <c r="AM116" s="332">
        <v>-240870345000.00003</v>
      </c>
      <c r="AN116" s="334">
        <v>-4.2806174693442334E-2</v>
      </c>
      <c r="AO116" s="334">
        <v>-4.2806174693442334E-2</v>
      </c>
      <c r="AP116" s="335">
        <v>-240870345000.00003</v>
      </c>
      <c r="AQ116" s="335">
        <v>-240870345000.00003</v>
      </c>
      <c r="AR116" s="335" t="s">
        <v>367</v>
      </c>
      <c r="AS116" s="334">
        <v>-4.2806174693442334E-2</v>
      </c>
      <c r="AV116" s="193" t="s">
        <v>368</v>
      </c>
    </row>
    <row r="117" spans="1:48" ht="17.25" customHeight="1">
      <c r="A117" s="295">
        <v>2023</v>
      </c>
      <c r="B117" s="400">
        <v>112</v>
      </c>
      <c r="C117" s="295" t="s">
        <v>42</v>
      </c>
      <c r="D117" s="398">
        <v>45063</v>
      </c>
      <c r="E117" s="297">
        <v>2023</v>
      </c>
      <c r="F117" s="298" t="s">
        <v>4</v>
      </c>
      <c r="G117" s="383">
        <v>45063</v>
      </c>
      <c r="H117" s="384">
        <v>177000000000</v>
      </c>
      <c r="I117" s="301">
        <v>475529999.99996948</v>
      </c>
      <c r="J117" s="301">
        <v>-15572500000</v>
      </c>
      <c r="K117" s="384">
        <v>-15096970000.000031</v>
      </c>
      <c r="L117" s="300">
        <v>0</v>
      </c>
      <c r="M117" s="300">
        <v>-15096970000.000031</v>
      </c>
      <c r="N117" s="300">
        <v>0</v>
      </c>
      <c r="O117" s="300">
        <v>-15096970000.000031</v>
      </c>
      <c r="P117" s="302">
        <v>-8.5293615819209218E-2</v>
      </c>
      <c r="Q117" s="302">
        <v>-8.5293615819209218E-2</v>
      </c>
      <c r="R117" s="385">
        <v>1.1543070564635948E-2</v>
      </c>
      <c r="S117" s="385">
        <v>-9.0700000000000003E-2</v>
      </c>
      <c r="T117" s="385">
        <v>0.11310000000000001</v>
      </c>
      <c r="U117" s="303">
        <v>-15096970000.000031</v>
      </c>
      <c r="V117" s="303">
        <v>-15096970000.000031</v>
      </c>
      <c r="W117" s="303" t="s">
        <v>367</v>
      </c>
      <c r="X117" s="302">
        <v>-8.5293615819209218E-2</v>
      </c>
      <c r="Y117" s="386"/>
      <c r="Z117" s="359"/>
      <c r="AA117" s="359"/>
      <c r="AB117" s="193" t="e">
        <v>#VALUE!</v>
      </c>
      <c r="AC117" s="401">
        <v>2.6866101694913531E-3</v>
      </c>
      <c r="AD117" s="304">
        <v>177000000000</v>
      </c>
      <c r="AE117" s="304">
        <v>0</v>
      </c>
      <c r="AF117" s="397">
        <v>5804000000000</v>
      </c>
      <c r="AG117" s="397">
        <v>193293934999.99994</v>
      </c>
      <c r="AH117" s="397">
        <v>-449261250000</v>
      </c>
      <c r="AI117" s="378">
        <v>-255967315000.00006</v>
      </c>
      <c r="AJ117" s="397">
        <v>0</v>
      </c>
      <c r="AK117" s="332">
        <v>-255967315000.00006</v>
      </c>
      <c r="AL117" s="397">
        <v>0</v>
      </c>
      <c r="AM117" s="332">
        <v>-255967315000.00006</v>
      </c>
      <c r="AN117" s="334">
        <v>-4.4101880599586502E-2</v>
      </c>
      <c r="AO117" s="334">
        <v>-4.4101880599586502E-2</v>
      </c>
      <c r="AP117" s="335">
        <v>-255967315000.00006</v>
      </c>
      <c r="AQ117" s="335">
        <v>-255967315000.00006</v>
      </c>
      <c r="AR117" s="335" t="s">
        <v>367</v>
      </c>
      <c r="AS117" s="334">
        <v>-4.4101880599586502E-2</v>
      </c>
      <c r="AV117" s="193" t="s">
        <v>368</v>
      </c>
    </row>
    <row r="118" spans="1:48" ht="17.25" customHeight="1">
      <c r="A118" s="295">
        <v>2023</v>
      </c>
      <c r="B118" s="400">
        <v>113</v>
      </c>
      <c r="C118" s="295" t="s">
        <v>42</v>
      </c>
      <c r="D118" s="398">
        <v>45077</v>
      </c>
      <c r="E118" s="297">
        <v>2023</v>
      </c>
      <c r="F118" s="298" t="s">
        <v>4</v>
      </c>
      <c r="G118" s="383">
        <v>45077</v>
      </c>
      <c r="H118" s="384">
        <v>268000000000</v>
      </c>
      <c r="I118" s="301">
        <v>5335750000</v>
      </c>
      <c r="J118" s="301">
        <v>-26800000000</v>
      </c>
      <c r="K118" s="384">
        <v>-21464250000</v>
      </c>
      <c r="L118" s="300">
        <v>0</v>
      </c>
      <c r="M118" s="300">
        <v>-21464250000</v>
      </c>
      <c r="N118" s="300">
        <v>0</v>
      </c>
      <c r="O118" s="300">
        <v>-21464250000</v>
      </c>
      <c r="P118" s="302">
        <v>-8.0090485074626863E-2</v>
      </c>
      <c r="Q118" s="302">
        <v>-8.0090485074626863E-2</v>
      </c>
      <c r="R118" s="385">
        <v>1.7477643566793415E-2</v>
      </c>
      <c r="S118" s="385">
        <v>-9.0499999999999997E-2</v>
      </c>
      <c r="T118" s="385">
        <v>0.1142</v>
      </c>
      <c r="U118" s="303">
        <v>-21464250000</v>
      </c>
      <c r="V118" s="303">
        <v>-21464250000</v>
      </c>
      <c r="W118" s="303" t="s">
        <v>367</v>
      </c>
      <c r="X118" s="302">
        <v>-8.0090485074626863E-2</v>
      </c>
      <c r="Y118" s="386"/>
      <c r="Z118" s="359"/>
      <c r="AA118" s="359"/>
      <c r="AB118" s="193" t="e">
        <v>#VALUE!</v>
      </c>
      <c r="AC118" s="401">
        <v>1.9909514925373135E-2</v>
      </c>
      <c r="AD118" s="304">
        <v>268000000000</v>
      </c>
      <c r="AE118" s="304">
        <v>0</v>
      </c>
      <c r="AF118" s="397">
        <v>6072000000000</v>
      </c>
      <c r="AG118" s="397">
        <v>198629684999.99994</v>
      </c>
      <c r="AH118" s="397">
        <v>-476061250000</v>
      </c>
      <c r="AI118" s="378">
        <v>-277431565000.00006</v>
      </c>
      <c r="AJ118" s="397">
        <v>0</v>
      </c>
      <c r="AK118" s="332">
        <v>-277431565000.00006</v>
      </c>
      <c r="AL118" s="397">
        <v>0</v>
      </c>
      <c r="AM118" s="332">
        <v>-277431565000.00006</v>
      </c>
      <c r="AN118" s="334">
        <v>-4.5690310441370237E-2</v>
      </c>
      <c r="AO118" s="334">
        <v>-4.5690310441370237E-2</v>
      </c>
      <c r="AP118" s="335">
        <v>-277431565000.00006</v>
      </c>
      <c r="AQ118" s="335">
        <v>-277431565000.00006</v>
      </c>
      <c r="AR118" s="335" t="s">
        <v>367</v>
      </c>
      <c r="AS118" s="334">
        <v>-4.5690310441370237E-2</v>
      </c>
      <c r="AV118" s="193" t="s">
        <v>368</v>
      </c>
    </row>
    <row r="119" spans="1:48" ht="17.25" customHeight="1">
      <c r="A119" s="400">
        <v>2023</v>
      </c>
      <c r="B119" s="400">
        <v>114</v>
      </c>
      <c r="C119" s="295" t="s">
        <v>42</v>
      </c>
      <c r="D119" s="398">
        <v>45105</v>
      </c>
      <c r="E119" s="297">
        <v>2023</v>
      </c>
      <c r="F119" s="298" t="s">
        <v>4</v>
      </c>
      <c r="G119" s="383">
        <v>45105</v>
      </c>
      <c r="H119" s="384">
        <v>255000000000</v>
      </c>
      <c r="I119" s="301">
        <v>464999999.99993896</v>
      </c>
      <c r="J119" s="301">
        <v>-25500000000</v>
      </c>
      <c r="K119" s="384">
        <v>-25035000000.000061</v>
      </c>
      <c r="L119" s="300">
        <v>0</v>
      </c>
      <c r="M119" s="300">
        <v>-25035000000.000061</v>
      </c>
      <c r="N119" s="300">
        <v>0</v>
      </c>
      <c r="O119" s="300">
        <v>-25035000000.000061</v>
      </c>
      <c r="P119" s="302">
        <v>-9.8176470588235532E-2</v>
      </c>
      <c r="Q119" s="302">
        <v>-9.8176470588235532E-2</v>
      </c>
      <c r="R119" s="385">
        <v>1.6629847423628063E-2</v>
      </c>
      <c r="S119" s="385">
        <v>-0.1</v>
      </c>
      <c r="T119" s="385">
        <v>0.106</v>
      </c>
      <c r="U119" s="303">
        <v>-25035000000.000061</v>
      </c>
      <c r="V119" s="303">
        <v>-25035000000.000061</v>
      </c>
      <c r="W119" s="303" t="s">
        <v>367</v>
      </c>
      <c r="X119" s="302">
        <v>-9.8176470588235532E-2</v>
      </c>
      <c r="Y119" s="386"/>
      <c r="Z119" s="359"/>
      <c r="AA119" s="359"/>
      <c r="AB119" s="193" t="e">
        <v>#VALUE!</v>
      </c>
      <c r="AC119" s="401">
        <v>1.8235294117644664E-3</v>
      </c>
      <c r="AD119" s="304">
        <v>255000000000</v>
      </c>
      <c r="AE119" s="304">
        <v>0</v>
      </c>
      <c r="AF119" s="397">
        <v>6327000000000</v>
      </c>
      <c r="AG119" s="397">
        <v>199094684999.99988</v>
      </c>
      <c r="AH119" s="397">
        <v>-501561250000</v>
      </c>
      <c r="AI119" s="378">
        <v>-302466565000.00012</v>
      </c>
      <c r="AJ119" s="397">
        <v>0</v>
      </c>
      <c r="AK119" s="332">
        <v>-302466565000.00012</v>
      </c>
      <c r="AL119" s="397">
        <v>0</v>
      </c>
      <c r="AM119" s="332">
        <v>-302466565000.00012</v>
      </c>
      <c r="AN119" s="334">
        <v>-4.7805684368579127E-2</v>
      </c>
      <c r="AO119" s="334">
        <v>-4.7805684368579127E-2</v>
      </c>
      <c r="AP119" s="335">
        <v>-302466565000.00012</v>
      </c>
      <c r="AQ119" s="335">
        <v>-302466565000.00012</v>
      </c>
      <c r="AR119" s="335" t="s">
        <v>367</v>
      </c>
      <c r="AS119" s="334">
        <v>-4.7805684368579127E-2</v>
      </c>
      <c r="AV119" s="193" t="s">
        <v>368</v>
      </c>
    </row>
    <row r="120" spans="1:48" ht="17.25" customHeight="1">
      <c r="A120" s="400">
        <v>2023</v>
      </c>
      <c r="B120" s="400">
        <v>115</v>
      </c>
      <c r="C120" s="295" t="s">
        <v>42</v>
      </c>
      <c r="D120" s="398">
        <v>45107</v>
      </c>
      <c r="E120" s="297">
        <v>2023</v>
      </c>
      <c r="F120" s="298" t="s">
        <v>4</v>
      </c>
      <c r="G120" s="383">
        <v>45107</v>
      </c>
      <c r="H120" s="384">
        <v>159000000000</v>
      </c>
      <c r="I120" s="301">
        <v>617129999.99996948</v>
      </c>
      <c r="J120" s="301">
        <v>-15900000000</v>
      </c>
      <c r="K120" s="384">
        <v>-15282870000.000031</v>
      </c>
      <c r="L120" s="300">
        <v>0</v>
      </c>
      <c r="M120" s="300">
        <v>-15282870000.000031</v>
      </c>
      <c r="N120" s="300">
        <v>0</v>
      </c>
      <c r="O120" s="300">
        <v>-15282870000.000031</v>
      </c>
      <c r="P120" s="302">
        <v>-9.6118679245283209E-2</v>
      </c>
      <c r="Q120" s="302">
        <v>-9.6118679245283209E-2</v>
      </c>
      <c r="R120" s="385">
        <v>1.0369198981791615E-2</v>
      </c>
      <c r="S120" s="385">
        <v>-0.1</v>
      </c>
      <c r="T120" s="385">
        <v>0.106</v>
      </c>
      <c r="U120" s="303">
        <v>-15282870000.000031</v>
      </c>
      <c r="V120" s="303">
        <v>-15282870000.000031</v>
      </c>
      <c r="W120" s="303" t="s">
        <v>367</v>
      </c>
      <c r="X120" s="302">
        <v>-9.6118679245283209E-2</v>
      </c>
      <c r="Y120" s="386"/>
      <c r="Z120" s="359"/>
      <c r="AA120" s="359"/>
      <c r="AB120" s="193" t="e">
        <v>#VALUE!</v>
      </c>
      <c r="AC120" s="401">
        <v>3.8813207547167892E-3</v>
      </c>
      <c r="AD120" s="304">
        <v>159000000000</v>
      </c>
      <c r="AE120" s="304">
        <v>0</v>
      </c>
      <c r="AF120" s="397">
        <v>6486000000000</v>
      </c>
      <c r="AG120" s="397">
        <v>199711814999.99985</v>
      </c>
      <c r="AH120" s="397">
        <v>-517461250000</v>
      </c>
      <c r="AI120" s="378">
        <v>-317749435000.00012</v>
      </c>
      <c r="AJ120" s="397">
        <v>0</v>
      </c>
      <c r="AK120" s="332">
        <v>-317749435000.00012</v>
      </c>
      <c r="AL120" s="397">
        <v>0</v>
      </c>
      <c r="AM120" s="332">
        <v>-317749435000.00012</v>
      </c>
      <c r="AN120" s="334">
        <v>-4.8990045482577876E-2</v>
      </c>
      <c r="AO120" s="334">
        <v>-4.8990045482577876E-2</v>
      </c>
      <c r="AP120" s="335">
        <v>-317749435000.00012</v>
      </c>
      <c r="AQ120" s="335">
        <v>-317749435000.00012</v>
      </c>
      <c r="AR120" s="335" t="s">
        <v>367</v>
      </c>
      <c r="AS120" s="334">
        <v>-4.8990045482577876E-2</v>
      </c>
      <c r="AV120" s="193" t="s">
        <v>368</v>
      </c>
    </row>
    <row r="121" spans="1:48" ht="17.25" customHeight="1">
      <c r="A121" s="400">
        <v>2023</v>
      </c>
      <c r="B121" s="400">
        <v>116</v>
      </c>
      <c r="C121" s="295" t="s">
        <v>42</v>
      </c>
      <c r="D121" s="398">
        <v>45131</v>
      </c>
      <c r="E121" s="297">
        <v>2023</v>
      </c>
      <c r="F121" s="298" t="s">
        <v>4</v>
      </c>
      <c r="G121" s="383">
        <v>45131</v>
      </c>
      <c r="H121" s="384">
        <v>170000000000</v>
      </c>
      <c r="I121" s="301">
        <v>799219999.99999237</v>
      </c>
      <c r="J121" s="301">
        <v>0</v>
      </c>
      <c r="K121" s="384">
        <v>799219999.99999237</v>
      </c>
      <c r="L121" s="300">
        <v>0</v>
      </c>
      <c r="M121" s="300">
        <v>799219999.99999237</v>
      </c>
      <c r="N121" s="300">
        <v>0</v>
      </c>
      <c r="O121" s="300">
        <v>799219999.99999237</v>
      </c>
      <c r="P121" s="302">
        <v>4.7012941176470136E-3</v>
      </c>
      <c r="Q121" s="302">
        <v>4.7012941176470136E-3</v>
      </c>
      <c r="R121" s="385">
        <v>1.1086564949085375E-2</v>
      </c>
      <c r="S121" s="385">
        <v>0</v>
      </c>
      <c r="T121" s="385">
        <v>0.1023</v>
      </c>
      <c r="U121" s="303">
        <v>799219999.99999237</v>
      </c>
      <c r="V121" s="303">
        <v>799219999.99999237</v>
      </c>
      <c r="W121" s="303" t="s">
        <v>367</v>
      </c>
      <c r="X121" s="302">
        <v>4.7012941176470136E-3</v>
      </c>
      <c r="Y121" s="386"/>
      <c r="Z121" s="359"/>
      <c r="AA121" s="359"/>
      <c r="AB121" s="193" t="e">
        <v>#VALUE!</v>
      </c>
      <c r="AC121" s="401">
        <v>4.7012941176470136E-3</v>
      </c>
      <c r="AD121" s="304">
        <v>170000000000</v>
      </c>
      <c r="AE121" s="304">
        <v>0</v>
      </c>
      <c r="AF121" s="397">
        <v>6656000000000</v>
      </c>
      <c r="AG121" s="397">
        <v>200511034999.99985</v>
      </c>
      <c r="AH121" s="397">
        <v>-517461250000</v>
      </c>
      <c r="AI121" s="378">
        <v>-316950215000.00012</v>
      </c>
      <c r="AJ121" s="397">
        <v>0</v>
      </c>
      <c r="AK121" s="332">
        <v>-316950215000.00012</v>
      </c>
      <c r="AL121" s="397">
        <v>0</v>
      </c>
      <c r="AM121" s="332">
        <v>-316950215000.00012</v>
      </c>
      <c r="AN121" s="334">
        <v>-4.7618722205528867E-2</v>
      </c>
      <c r="AO121" s="334">
        <v>-4.7618722205528867E-2</v>
      </c>
      <c r="AP121" s="335">
        <v>-316950215000.00012</v>
      </c>
      <c r="AQ121" s="335">
        <v>-316950215000.00012</v>
      </c>
      <c r="AR121" s="335" t="s">
        <v>367</v>
      </c>
      <c r="AS121" s="334">
        <v>-4.7618722205528867E-2</v>
      </c>
      <c r="AV121" s="193" t="s">
        <v>368</v>
      </c>
    </row>
    <row r="122" spans="1:48" ht="17.25" customHeight="1">
      <c r="A122" s="400">
        <v>2023</v>
      </c>
      <c r="B122" s="400">
        <v>117</v>
      </c>
      <c r="C122" s="295" t="s">
        <v>42</v>
      </c>
      <c r="D122" s="398">
        <v>45132</v>
      </c>
      <c r="E122" s="297">
        <v>2023</v>
      </c>
      <c r="F122" s="298" t="s">
        <v>4</v>
      </c>
      <c r="G122" s="383">
        <v>45132</v>
      </c>
      <c r="H122" s="384">
        <v>144000000000</v>
      </c>
      <c r="I122" s="301">
        <v>139199999.99999237</v>
      </c>
      <c r="J122" s="301">
        <v>0</v>
      </c>
      <c r="K122" s="384">
        <v>139199999.99999237</v>
      </c>
      <c r="L122" s="300">
        <v>0</v>
      </c>
      <c r="M122" s="300">
        <v>139199999.99999237</v>
      </c>
      <c r="N122" s="300">
        <v>0</v>
      </c>
      <c r="O122" s="300">
        <v>139199999.99999237</v>
      </c>
      <c r="P122" s="302">
        <v>9.6666666666661365E-4</v>
      </c>
      <c r="Q122" s="302">
        <v>9.6666666666661365E-4</v>
      </c>
      <c r="R122" s="385">
        <v>9.3909726627546698E-3</v>
      </c>
      <c r="S122" s="385">
        <v>0</v>
      </c>
      <c r="T122" s="385">
        <v>0.1023</v>
      </c>
      <c r="U122" s="303">
        <v>139199999.99999237</v>
      </c>
      <c r="V122" s="303">
        <v>139199999.99999237</v>
      </c>
      <c r="W122" s="303" t="s">
        <v>367</v>
      </c>
      <c r="X122" s="302">
        <v>9.6666666666661365E-4</v>
      </c>
      <c r="Y122" s="386"/>
      <c r="Z122" s="359"/>
      <c r="AA122" s="359"/>
      <c r="AB122" s="193" t="e">
        <v>#VALUE!</v>
      </c>
      <c r="AC122" s="401">
        <v>9.6666666666661365E-4</v>
      </c>
      <c r="AD122" s="304">
        <v>144000000000</v>
      </c>
      <c r="AE122" s="304">
        <v>0</v>
      </c>
      <c r="AF122" s="397">
        <v>6800000000000</v>
      </c>
      <c r="AG122" s="397">
        <v>200650234999.99985</v>
      </c>
      <c r="AH122" s="397">
        <v>-517461250000</v>
      </c>
      <c r="AI122" s="378">
        <v>-316811015000.00012</v>
      </c>
      <c r="AJ122" s="397">
        <v>0</v>
      </c>
      <c r="AK122" s="332">
        <v>-316811015000.00012</v>
      </c>
      <c r="AL122" s="397">
        <v>0</v>
      </c>
      <c r="AM122" s="332">
        <v>-316811015000.00012</v>
      </c>
      <c r="AN122" s="334">
        <v>-4.6589855147058844E-2</v>
      </c>
      <c r="AO122" s="334">
        <v>-4.6589855147058844E-2</v>
      </c>
      <c r="AP122" s="335">
        <v>-316811015000.00012</v>
      </c>
      <c r="AQ122" s="335">
        <v>-316811015000.00012</v>
      </c>
      <c r="AR122" s="335" t="s">
        <v>367</v>
      </c>
      <c r="AS122" s="334">
        <v>-4.6589855147058844E-2</v>
      </c>
      <c r="AV122" s="193" t="s">
        <v>368</v>
      </c>
    </row>
    <row r="123" spans="1:48" ht="17.25" customHeight="1">
      <c r="A123" s="400">
        <v>2023</v>
      </c>
      <c r="B123" s="400">
        <v>118</v>
      </c>
      <c r="C123" s="295" t="s">
        <v>42</v>
      </c>
      <c r="D123" s="398">
        <v>45133</v>
      </c>
      <c r="E123" s="297">
        <v>2023</v>
      </c>
      <c r="F123" s="298" t="s">
        <v>4</v>
      </c>
      <c r="G123" s="383">
        <v>45133</v>
      </c>
      <c r="H123" s="384">
        <v>191000000000</v>
      </c>
      <c r="I123" s="301">
        <v>24090000.000030518</v>
      </c>
      <c r="J123" s="301">
        <v>0</v>
      </c>
      <c r="K123" s="384">
        <v>24090000.000030518</v>
      </c>
      <c r="L123" s="300">
        <v>0</v>
      </c>
      <c r="M123" s="300">
        <v>24090000.000030518</v>
      </c>
      <c r="N123" s="300">
        <v>0</v>
      </c>
      <c r="O123" s="300">
        <v>24090000.000030518</v>
      </c>
      <c r="P123" s="302">
        <v>1.2612565445042155E-4</v>
      </c>
      <c r="Q123" s="302">
        <v>1.2612565445042155E-4</v>
      </c>
      <c r="R123" s="385">
        <v>1.2456081795737097E-2</v>
      </c>
      <c r="S123" s="385">
        <v>0</v>
      </c>
      <c r="T123" s="385">
        <v>0.1023</v>
      </c>
      <c r="U123" s="303">
        <v>24090000.000030518</v>
      </c>
      <c r="V123" s="303">
        <v>24090000.000030518</v>
      </c>
      <c r="W123" s="303" t="s">
        <v>367</v>
      </c>
      <c r="X123" s="302">
        <v>1.2612565445042155E-4</v>
      </c>
      <c r="Y123" s="386"/>
      <c r="Z123" s="359"/>
      <c r="AA123" s="359"/>
      <c r="AB123" s="193" t="e">
        <v>#VALUE!</v>
      </c>
      <c r="AC123" s="401">
        <v>1.2612565445042155E-4</v>
      </c>
      <c r="AD123" s="304">
        <v>191000000000</v>
      </c>
      <c r="AE123" s="304">
        <v>0</v>
      </c>
      <c r="AF123" s="397">
        <v>6991000000000</v>
      </c>
      <c r="AG123" s="397">
        <v>200674324999.99988</v>
      </c>
      <c r="AH123" s="397">
        <v>-517461250000</v>
      </c>
      <c r="AI123" s="378">
        <v>-316786925000.00012</v>
      </c>
      <c r="AJ123" s="397">
        <v>0</v>
      </c>
      <c r="AK123" s="332">
        <v>-316786925000.00012</v>
      </c>
      <c r="AL123" s="397">
        <v>0</v>
      </c>
      <c r="AM123" s="332">
        <v>-316786925000.00012</v>
      </c>
      <c r="AN123" s="334">
        <v>-4.5313535259619529E-2</v>
      </c>
      <c r="AO123" s="334">
        <v>-4.5313535259619529E-2</v>
      </c>
      <c r="AP123" s="335">
        <v>-316786925000.00012</v>
      </c>
      <c r="AQ123" s="335">
        <v>-316786925000.00012</v>
      </c>
      <c r="AR123" s="335" t="s">
        <v>367</v>
      </c>
      <c r="AS123" s="334">
        <v>-4.5313535259619529E-2</v>
      </c>
      <c r="AV123" s="193" t="s">
        <v>368</v>
      </c>
    </row>
    <row r="124" spans="1:48" ht="17.25" customHeight="1">
      <c r="A124" s="400">
        <v>2023</v>
      </c>
      <c r="B124" s="400">
        <v>119</v>
      </c>
      <c r="C124" s="295" t="s">
        <v>42</v>
      </c>
      <c r="D124" s="398">
        <v>45135</v>
      </c>
      <c r="E124" s="297">
        <v>2023</v>
      </c>
      <c r="F124" s="298" t="s">
        <v>4</v>
      </c>
      <c r="G124" s="383">
        <v>45135</v>
      </c>
      <c r="H124" s="384">
        <v>195000000000</v>
      </c>
      <c r="I124" s="301">
        <v>348950000.00003052</v>
      </c>
      <c r="J124" s="301">
        <v>0</v>
      </c>
      <c r="K124" s="384">
        <v>348950000.00003052</v>
      </c>
      <c r="L124" s="300">
        <v>0</v>
      </c>
      <c r="M124" s="300">
        <v>348950000.00003052</v>
      </c>
      <c r="N124" s="300">
        <v>0</v>
      </c>
      <c r="O124" s="300">
        <v>348950000.00003052</v>
      </c>
      <c r="P124" s="302">
        <v>1.789487179487336E-3</v>
      </c>
      <c r="Q124" s="302">
        <v>1.789487179487336E-3</v>
      </c>
      <c r="R124" s="385">
        <v>1.2716942147480282E-2</v>
      </c>
      <c r="S124" s="385">
        <v>0</v>
      </c>
      <c r="T124" s="385">
        <v>0.1023</v>
      </c>
      <c r="U124" s="303">
        <v>348950000.00003052</v>
      </c>
      <c r="V124" s="303">
        <v>348950000.00003052</v>
      </c>
      <c r="W124" s="303" t="s">
        <v>367</v>
      </c>
      <c r="X124" s="302">
        <v>1.789487179487336E-3</v>
      </c>
      <c r="Y124" s="386"/>
      <c r="Z124" s="359"/>
      <c r="AA124" s="359"/>
      <c r="AB124" s="193" t="e">
        <v>#VALUE!</v>
      </c>
      <c r="AC124" s="401">
        <v>1.789487179487336E-3</v>
      </c>
      <c r="AD124" s="304">
        <v>195000000000</v>
      </c>
      <c r="AE124" s="304">
        <v>0</v>
      </c>
      <c r="AF124" s="397">
        <v>7186000000000</v>
      </c>
      <c r="AG124" s="397">
        <v>201023274999.99991</v>
      </c>
      <c r="AH124" s="397">
        <v>-517461250000</v>
      </c>
      <c r="AI124" s="378">
        <v>-316437975000.00012</v>
      </c>
      <c r="AJ124" s="397">
        <v>0</v>
      </c>
      <c r="AK124" s="332">
        <v>-316437975000.00012</v>
      </c>
      <c r="AL124" s="397">
        <v>0</v>
      </c>
      <c r="AM124" s="332">
        <v>-316437975000.00012</v>
      </c>
      <c r="AN124" s="334">
        <v>-4.4035343028110234E-2</v>
      </c>
      <c r="AO124" s="334">
        <v>-4.4035343028110234E-2</v>
      </c>
      <c r="AP124" s="335">
        <v>-316437975000.00012</v>
      </c>
      <c r="AQ124" s="335">
        <v>-316437975000.00012</v>
      </c>
      <c r="AR124" s="335" t="s">
        <v>367</v>
      </c>
      <c r="AS124" s="334">
        <v>-4.4035343028110234E-2</v>
      </c>
      <c r="AV124" s="193" t="s">
        <v>368</v>
      </c>
    </row>
    <row r="125" spans="1:48" ht="17.25" customHeight="1">
      <c r="A125" s="400">
        <v>2023</v>
      </c>
      <c r="B125" s="400">
        <v>220</v>
      </c>
      <c r="C125" s="295" t="s">
        <v>42</v>
      </c>
      <c r="D125" s="398">
        <v>45153</v>
      </c>
      <c r="E125" s="297">
        <v>2023</v>
      </c>
      <c r="F125" s="298" t="s">
        <v>4</v>
      </c>
      <c r="G125" s="383">
        <v>45153</v>
      </c>
      <c r="H125" s="384">
        <v>103508600000</v>
      </c>
      <c r="I125" s="301">
        <v>91423.999984741211</v>
      </c>
      <c r="J125" s="301">
        <v>0</v>
      </c>
      <c r="K125" s="384">
        <v>91423.999984741211</v>
      </c>
      <c r="L125" s="300">
        <v>0</v>
      </c>
      <c r="M125" s="300">
        <v>91423.999984741211</v>
      </c>
      <c r="N125" s="300">
        <v>-8600000</v>
      </c>
      <c r="O125" s="300">
        <v>-8508576.0000152588</v>
      </c>
      <c r="P125" s="302">
        <v>8.8325028050559284E-7</v>
      </c>
      <c r="Q125" s="302">
        <v>8.8325028050559284E-7</v>
      </c>
      <c r="R125" s="385">
        <v>6.7503224511111671E-3</v>
      </c>
      <c r="S125" s="385">
        <v>0</v>
      </c>
      <c r="T125" s="385">
        <v>0.10440000000000001</v>
      </c>
      <c r="U125" s="303">
        <v>-8508576.0000152588</v>
      </c>
      <c r="V125" s="303">
        <v>-8508576.0000152588</v>
      </c>
      <c r="W125" s="303" t="s">
        <v>367</v>
      </c>
      <c r="X125" s="302">
        <v>-8.2201633487606428E-5</v>
      </c>
      <c r="Y125" s="386"/>
      <c r="Z125" s="359"/>
      <c r="AA125" s="359"/>
      <c r="AB125" s="193" t="e">
        <v>#VALUE!</v>
      </c>
      <c r="AC125" s="401">
        <v>8.8325028050559284E-7</v>
      </c>
      <c r="AD125" s="304">
        <v>103508600000</v>
      </c>
      <c r="AE125" s="304">
        <v>0</v>
      </c>
      <c r="AF125" s="397">
        <v>7289508600000</v>
      </c>
      <c r="AG125" s="397">
        <v>201023366423.99988</v>
      </c>
      <c r="AH125" s="397">
        <v>-517461250000</v>
      </c>
      <c r="AI125" s="378">
        <v>-316437883576.00012</v>
      </c>
      <c r="AJ125" s="397">
        <v>0</v>
      </c>
      <c r="AK125" s="332">
        <v>-316437883576.00012</v>
      </c>
      <c r="AL125" s="397">
        <v>-8600000</v>
      </c>
      <c r="AM125" s="332">
        <v>-316446483576.00012</v>
      </c>
      <c r="AN125" s="334">
        <v>-4.3410043247085285E-2</v>
      </c>
      <c r="AO125" s="334">
        <v>-4.3410043247085285E-2</v>
      </c>
      <c r="AP125" s="335">
        <v>-316446483576.00012</v>
      </c>
      <c r="AQ125" s="335">
        <v>-316446483576.00012</v>
      </c>
      <c r="AR125" s="335" t="s">
        <v>367</v>
      </c>
      <c r="AS125" s="334">
        <v>-4.3411223024827778E-2</v>
      </c>
      <c r="AV125" s="193" t="s">
        <v>368</v>
      </c>
    </row>
    <row r="126" spans="1:48" ht="17.25" customHeight="1">
      <c r="A126" s="400">
        <v>2023</v>
      </c>
      <c r="B126" s="400">
        <v>221</v>
      </c>
      <c r="C126" s="295" t="s">
        <v>42</v>
      </c>
      <c r="D126" s="398">
        <v>45154</v>
      </c>
      <c r="E126" s="297">
        <v>2023</v>
      </c>
      <c r="F126" s="298" t="s">
        <v>4</v>
      </c>
      <c r="G126" s="383">
        <v>45154</v>
      </c>
      <c r="H126" s="384">
        <v>103000000000</v>
      </c>
      <c r="I126" s="301">
        <v>9349999.9999923706</v>
      </c>
      <c r="J126" s="301">
        <v>0</v>
      </c>
      <c r="K126" s="384">
        <v>9349999.9999923706</v>
      </c>
      <c r="L126" s="300">
        <v>0</v>
      </c>
      <c r="M126" s="300">
        <v>9349999.9999923706</v>
      </c>
      <c r="N126" s="300">
        <v>0</v>
      </c>
      <c r="O126" s="300">
        <v>9349999.9999923706</v>
      </c>
      <c r="P126" s="302">
        <v>9.0776699029052144E-5</v>
      </c>
      <c r="Q126" s="302">
        <v>9.0776699029052144E-5</v>
      </c>
      <c r="R126" s="385">
        <v>6.7171540573870208E-3</v>
      </c>
      <c r="S126" s="385">
        <v>0</v>
      </c>
      <c r="T126" s="385">
        <v>0.10440000000000001</v>
      </c>
      <c r="U126" s="303">
        <v>9349999.9999923706</v>
      </c>
      <c r="V126" s="303">
        <v>9349999.9999923706</v>
      </c>
      <c r="W126" s="303" t="s">
        <v>367</v>
      </c>
      <c r="X126" s="302">
        <v>9.0776699029052144E-5</v>
      </c>
      <c r="Y126" s="386"/>
      <c r="Z126" s="359"/>
      <c r="AA126" s="359"/>
      <c r="AB126" s="193" t="e">
        <v>#VALUE!</v>
      </c>
      <c r="AC126" s="401">
        <v>9.0776699029052144E-5</v>
      </c>
      <c r="AD126" s="304">
        <v>103000000000</v>
      </c>
      <c r="AE126" s="304">
        <v>0</v>
      </c>
      <c r="AF126" s="397">
        <v>7392508600000</v>
      </c>
      <c r="AG126" s="397">
        <v>201032716423.99988</v>
      </c>
      <c r="AH126" s="397">
        <v>-517461250000</v>
      </c>
      <c r="AI126" s="378">
        <v>-316428533576.00012</v>
      </c>
      <c r="AJ126" s="397">
        <v>0</v>
      </c>
      <c r="AK126" s="332">
        <v>-316428533576.00012</v>
      </c>
      <c r="AL126" s="397">
        <v>-8600000</v>
      </c>
      <c r="AM126" s="332">
        <v>-316437133576.00012</v>
      </c>
      <c r="AN126" s="334">
        <v>-4.2803945277250018E-2</v>
      </c>
      <c r="AO126" s="334">
        <v>-4.2803945277250018E-2</v>
      </c>
      <c r="AP126" s="335">
        <v>-316437133576.00012</v>
      </c>
      <c r="AQ126" s="335">
        <v>-316437133576.00012</v>
      </c>
      <c r="AR126" s="335" t="s">
        <v>367</v>
      </c>
      <c r="AS126" s="334">
        <v>-4.280510861712087E-2</v>
      </c>
      <c r="AV126" s="193" t="s">
        <v>368</v>
      </c>
    </row>
    <row r="127" spans="1:48" ht="17.25" customHeight="1">
      <c r="A127" s="400">
        <v>2023</v>
      </c>
      <c r="B127" s="400">
        <v>222</v>
      </c>
      <c r="C127" s="295" t="s">
        <v>42</v>
      </c>
      <c r="D127" s="398">
        <v>45155</v>
      </c>
      <c r="E127" s="297">
        <v>2023</v>
      </c>
      <c r="F127" s="298" t="s">
        <v>4</v>
      </c>
      <c r="G127" s="383">
        <v>45155</v>
      </c>
      <c r="H127" s="384">
        <v>106449100000</v>
      </c>
      <c r="I127" s="301">
        <v>31032</v>
      </c>
      <c r="J127" s="301">
        <v>0</v>
      </c>
      <c r="K127" s="384">
        <v>31032</v>
      </c>
      <c r="L127" s="300">
        <v>0</v>
      </c>
      <c r="M127" s="300">
        <v>31032</v>
      </c>
      <c r="N127" s="300">
        <v>-449100000</v>
      </c>
      <c r="O127" s="300">
        <v>-449068968</v>
      </c>
      <c r="P127" s="302">
        <v>2.9151960890228285E-7</v>
      </c>
      <c r="Q127" s="302">
        <v>2.9151960890228285E-7</v>
      </c>
      <c r="R127" s="385">
        <v>6.9420874171863762E-3</v>
      </c>
      <c r="S127" s="385">
        <v>0</v>
      </c>
      <c r="T127" s="385">
        <v>0.10440000000000001</v>
      </c>
      <c r="U127" s="303">
        <v>-449068968</v>
      </c>
      <c r="V127" s="303">
        <v>-449068968</v>
      </c>
      <c r="W127" s="303" t="s">
        <v>367</v>
      </c>
      <c r="X127" s="302">
        <v>-4.2186262542379411E-3</v>
      </c>
      <c r="Y127" s="386"/>
      <c r="Z127" s="359"/>
      <c r="AA127" s="359"/>
      <c r="AB127" s="193" t="e">
        <v>#VALUE!</v>
      </c>
      <c r="AC127" s="401">
        <v>2.9151960890228285E-7</v>
      </c>
      <c r="AD127" s="304">
        <v>106449100000</v>
      </c>
      <c r="AE127" s="304">
        <v>0</v>
      </c>
      <c r="AF127" s="397">
        <v>7498957700000</v>
      </c>
      <c r="AG127" s="397">
        <v>201032747455.99988</v>
      </c>
      <c r="AH127" s="397">
        <v>-517461250000</v>
      </c>
      <c r="AI127" s="378">
        <v>-316428502544.00012</v>
      </c>
      <c r="AJ127" s="397">
        <v>0</v>
      </c>
      <c r="AK127" s="332">
        <v>-316428502544.00012</v>
      </c>
      <c r="AL127" s="397">
        <v>-457700000</v>
      </c>
      <c r="AM127" s="332">
        <v>-316886202544.00012</v>
      </c>
      <c r="AN127" s="334">
        <v>-4.219633117066391E-2</v>
      </c>
      <c r="AO127" s="334">
        <v>-4.219633117066391E-2</v>
      </c>
      <c r="AP127" s="335">
        <v>-316886202544.00012</v>
      </c>
      <c r="AQ127" s="335">
        <v>-316886202544.00012</v>
      </c>
      <c r="AR127" s="335" t="s">
        <v>367</v>
      </c>
      <c r="AS127" s="334">
        <v>-4.2257366319588673E-2</v>
      </c>
      <c r="AV127" s="193" t="s">
        <v>368</v>
      </c>
    </row>
    <row r="128" spans="1:48" ht="17.25" customHeight="1">
      <c r="A128" s="400">
        <v>2023</v>
      </c>
      <c r="B128" s="400">
        <v>223</v>
      </c>
      <c r="C128" s="295" t="s">
        <v>42</v>
      </c>
      <c r="D128" s="398">
        <v>45156</v>
      </c>
      <c r="E128" s="297">
        <v>2023</v>
      </c>
      <c r="F128" s="298" t="s">
        <v>4</v>
      </c>
      <c r="G128" s="383">
        <v>45156</v>
      </c>
      <c r="H128" s="384">
        <v>115047200000</v>
      </c>
      <c r="I128" s="301">
        <v>50384</v>
      </c>
      <c r="J128" s="301">
        <v>0</v>
      </c>
      <c r="K128" s="384">
        <v>50384</v>
      </c>
      <c r="L128" s="300">
        <v>0</v>
      </c>
      <c r="M128" s="300">
        <v>50384</v>
      </c>
      <c r="N128" s="300">
        <v>-47200000</v>
      </c>
      <c r="O128" s="300">
        <v>-47149616</v>
      </c>
      <c r="P128" s="302">
        <v>4.3794199250394621E-7</v>
      </c>
      <c r="Q128" s="302">
        <v>4.3794199250394621E-7</v>
      </c>
      <c r="R128" s="385">
        <v>7.5028132647671462E-3</v>
      </c>
      <c r="S128" s="385">
        <v>0</v>
      </c>
      <c r="T128" s="385">
        <v>0.10440000000000001</v>
      </c>
      <c r="U128" s="303">
        <v>-47149616</v>
      </c>
      <c r="V128" s="303">
        <v>-47149616</v>
      </c>
      <c r="W128" s="303" t="s">
        <v>367</v>
      </c>
      <c r="X128" s="302">
        <v>-4.098284530175441E-4</v>
      </c>
      <c r="Y128" s="386"/>
      <c r="Z128" s="359"/>
      <c r="AA128" s="359"/>
      <c r="AB128" s="193" t="e">
        <v>#VALUE!</v>
      </c>
      <c r="AC128" s="401">
        <v>4.3794199250394621E-7</v>
      </c>
      <c r="AD128" s="304">
        <v>115047200000</v>
      </c>
      <c r="AE128" s="304">
        <v>0</v>
      </c>
      <c r="AF128" s="397">
        <v>7614004900000</v>
      </c>
      <c r="AG128" s="397">
        <v>201032797839.99988</v>
      </c>
      <c r="AH128" s="397">
        <v>-517461250000</v>
      </c>
      <c r="AI128" s="378">
        <v>-316428452160.00012</v>
      </c>
      <c r="AJ128" s="397">
        <v>0</v>
      </c>
      <c r="AK128" s="332">
        <v>-316428452160.00012</v>
      </c>
      <c r="AL128" s="397">
        <v>-504900000</v>
      </c>
      <c r="AM128" s="332">
        <v>-316933352160.00012</v>
      </c>
      <c r="AN128" s="334">
        <v>-4.15587402839733E-2</v>
      </c>
      <c r="AO128" s="334">
        <v>-4.15587402839733E-2</v>
      </c>
      <c r="AP128" s="335">
        <v>-316933352160.00012</v>
      </c>
      <c r="AQ128" s="335">
        <v>-316933352160.00012</v>
      </c>
      <c r="AR128" s="335" t="s">
        <v>367</v>
      </c>
      <c r="AS128" s="334">
        <v>-4.1625052298035703E-2</v>
      </c>
      <c r="AV128" s="193" t="s">
        <v>368</v>
      </c>
    </row>
    <row r="129" spans="1:48" ht="17.25" customHeight="1">
      <c r="A129" s="400">
        <v>2023</v>
      </c>
      <c r="B129" s="400">
        <v>224</v>
      </c>
      <c r="C129" s="295" t="s">
        <v>42</v>
      </c>
      <c r="D129" s="398">
        <v>45160</v>
      </c>
      <c r="E129" s="297">
        <v>2023</v>
      </c>
      <c r="F129" s="298" t="s">
        <v>4</v>
      </c>
      <c r="G129" s="383">
        <v>45160</v>
      </c>
      <c r="H129" s="384">
        <v>149000000000</v>
      </c>
      <c r="I129" s="301">
        <v>24670000</v>
      </c>
      <c r="J129" s="301">
        <v>0</v>
      </c>
      <c r="K129" s="384">
        <v>24670000</v>
      </c>
      <c r="L129" s="300">
        <v>0</v>
      </c>
      <c r="M129" s="300">
        <v>24670000</v>
      </c>
      <c r="N129" s="300">
        <v>0</v>
      </c>
      <c r="O129" s="300">
        <v>24670000</v>
      </c>
      <c r="P129" s="302">
        <v>1.6557046979865771E-4</v>
      </c>
      <c r="Q129" s="302">
        <v>1.6557046979865771E-4</v>
      </c>
      <c r="R129" s="385">
        <v>9.7170481024336508E-3</v>
      </c>
      <c r="S129" s="385">
        <v>1E-4</v>
      </c>
      <c r="T129" s="385">
        <v>0.1089</v>
      </c>
      <c r="U129" s="303">
        <v>24670000</v>
      </c>
      <c r="V129" s="303">
        <v>24670000</v>
      </c>
      <c r="W129" s="303" t="s">
        <v>367</v>
      </c>
      <c r="X129" s="302">
        <v>1.6557046979865771E-4</v>
      </c>
      <c r="Y129" s="386"/>
      <c r="Z129" s="359"/>
      <c r="AA129" s="359"/>
      <c r="AB129" s="193" t="e">
        <v>#VALUE!</v>
      </c>
      <c r="AC129" s="401">
        <v>1.6557046979865771E-4</v>
      </c>
      <c r="AD129" s="304">
        <v>149000000000</v>
      </c>
      <c r="AE129" s="304">
        <v>0</v>
      </c>
      <c r="AF129" s="397">
        <v>7763004900000</v>
      </c>
      <c r="AG129" s="397">
        <v>201057467839.99988</v>
      </c>
      <c r="AH129" s="397">
        <v>-517461250000</v>
      </c>
      <c r="AI129" s="378">
        <v>-316403782160.00012</v>
      </c>
      <c r="AJ129" s="397">
        <v>0</v>
      </c>
      <c r="AK129" s="332">
        <v>-316403782160.00012</v>
      </c>
      <c r="AL129" s="397">
        <v>-504900000</v>
      </c>
      <c r="AM129" s="332">
        <v>-316908682160.00012</v>
      </c>
      <c r="AN129" s="334">
        <v>-4.075790061139857E-2</v>
      </c>
      <c r="AO129" s="334">
        <v>-4.075790061139857E-2</v>
      </c>
      <c r="AP129" s="335">
        <v>-316908682160.00012</v>
      </c>
      <c r="AQ129" s="335">
        <v>-316908682160.00012</v>
      </c>
      <c r="AR129" s="335" t="s">
        <v>367</v>
      </c>
      <c r="AS129" s="334">
        <v>-4.0822939859280538E-2</v>
      </c>
      <c r="AV129" s="193" t="s">
        <v>368</v>
      </c>
    </row>
    <row r="130" spans="1:48" ht="17.25" customHeight="1">
      <c r="A130" s="400">
        <v>2023</v>
      </c>
      <c r="B130" s="400">
        <v>225</v>
      </c>
      <c r="C130" s="295" t="s">
        <v>42</v>
      </c>
      <c r="D130" s="398">
        <v>45161</v>
      </c>
      <c r="E130" s="297">
        <v>2023</v>
      </c>
      <c r="F130" s="298" t="s">
        <v>4</v>
      </c>
      <c r="G130" s="383">
        <v>45161</v>
      </c>
      <c r="H130" s="384">
        <v>320000000000</v>
      </c>
      <c r="I130" s="301">
        <v>156000000</v>
      </c>
      <c r="J130" s="301">
        <v>0</v>
      </c>
      <c r="K130" s="384">
        <v>156000000</v>
      </c>
      <c r="L130" s="300">
        <v>0</v>
      </c>
      <c r="M130" s="300">
        <v>156000000</v>
      </c>
      <c r="N130" s="300">
        <v>0</v>
      </c>
      <c r="O130" s="300">
        <v>156000000</v>
      </c>
      <c r="P130" s="302">
        <v>4.8749999999999998E-4</v>
      </c>
      <c r="Q130" s="302">
        <v>4.8749999999999998E-4</v>
      </c>
      <c r="R130" s="385">
        <v>2.0868828139454822E-2</v>
      </c>
      <c r="S130" s="385">
        <v>1E-4</v>
      </c>
      <c r="T130" s="385">
        <v>0.1089</v>
      </c>
      <c r="U130" s="303">
        <v>156000000</v>
      </c>
      <c r="V130" s="303">
        <v>156000000</v>
      </c>
      <c r="W130" s="303" t="s">
        <v>367</v>
      </c>
      <c r="X130" s="302">
        <v>4.8749999999999998E-4</v>
      </c>
      <c r="Y130" s="386"/>
      <c r="Z130" s="359"/>
      <c r="AA130" s="359"/>
      <c r="AB130" s="193" t="e">
        <v>#VALUE!</v>
      </c>
      <c r="AC130" s="401">
        <v>4.8749999999999998E-4</v>
      </c>
      <c r="AD130" s="304">
        <v>320000000000</v>
      </c>
      <c r="AE130" s="304">
        <v>0</v>
      </c>
      <c r="AF130" s="397">
        <v>8083004900000</v>
      </c>
      <c r="AG130" s="397">
        <v>201213467839.99988</v>
      </c>
      <c r="AH130" s="397">
        <v>-517461250000</v>
      </c>
      <c r="AI130" s="378">
        <v>-316247782160.00012</v>
      </c>
      <c r="AJ130" s="397">
        <v>0</v>
      </c>
      <c r="AK130" s="332">
        <v>-316247782160.00012</v>
      </c>
      <c r="AL130" s="397">
        <v>-504900000</v>
      </c>
      <c r="AM130" s="332">
        <v>-316752682160.00012</v>
      </c>
      <c r="AN130" s="334">
        <v>-3.9125026654381979E-2</v>
      </c>
      <c r="AO130" s="334">
        <v>-3.9125026654381979E-2</v>
      </c>
      <c r="AP130" s="335">
        <v>-316752682160.00012</v>
      </c>
      <c r="AQ130" s="335">
        <v>-316752682160.00012</v>
      </c>
      <c r="AR130" s="335" t="s">
        <v>367</v>
      </c>
      <c r="AS130" s="334">
        <v>-3.9187491048038349E-2</v>
      </c>
      <c r="AV130" s="193" t="s">
        <v>368</v>
      </c>
    </row>
    <row r="131" spans="1:48" ht="17.25" customHeight="1">
      <c r="A131" s="400">
        <v>2023</v>
      </c>
      <c r="B131" s="400">
        <v>226</v>
      </c>
      <c r="C131" s="295" t="s">
        <v>42</v>
      </c>
      <c r="D131" s="398">
        <v>45162</v>
      </c>
      <c r="E131" s="297">
        <v>2023</v>
      </c>
      <c r="F131" s="298" t="s">
        <v>4</v>
      </c>
      <c r="G131" s="383">
        <v>45162</v>
      </c>
      <c r="H131" s="384">
        <v>299500000000</v>
      </c>
      <c r="I131" s="301">
        <v>152344999.99993896</v>
      </c>
      <c r="J131" s="301">
        <v>0</v>
      </c>
      <c r="K131" s="384">
        <v>152344999.99993896</v>
      </c>
      <c r="L131" s="300">
        <v>0</v>
      </c>
      <c r="M131" s="300">
        <v>152344999.99993896</v>
      </c>
      <c r="N131" s="300">
        <v>0</v>
      </c>
      <c r="O131" s="300">
        <v>152344999.99993896</v>
      </c>
      <c r="P131" s="302">
        <v>5.0866444073435378E-4</v>
      </c>
      <c r="Q131" s="302">
        <v>5.0866444073435378E-4</v>
      </c>
      <c r="R131" s="385">
        <v>1.9531918836770999E-2</v>
      </c>
      <c r="S131" s="385">
        <v>1E-4</v>
      </c>
      <c r="T131" s="385">
        <v>0.1089</v>
      </c>
      <c r="U131" s="303">
        <v>152344999.99993896</v>
      </c>
      <c r="V131" s="303">
        <v>152344999.99993896</v>
      </c>
      <c r="W131" s="303" t="s">
        <v>367</v>
      </c>
      <c r="X131" s="302">
        <v>5.0866444073435378E-4</v>
      </c>
      <c r="Y131" s="386"/>
      <c r="Z131" s="359"/>
      <c r="AA131" s="359"/>
      <c r="AB131" s="193" t="e">
        <v>#VALUE!</v>
      </c>
      <c r="AC131" s="401">
        <v>5.0866444073435378E-4</v>
      </c>
      <c r="AD131" s="304">
        <v>299500000000</v>
      </c>
      <c r="AE131" s="304">
        <v>0</v>
      </c>
      <c r="AF131" s="397">
        <v>8382504900000</v>
      </c>
      <c r="AG131" s="397">
        <v>201365812839.99982</v>
      </c>
      <c r="AH131" s="397">
        <v>-517461250000</v>
      </c>
      <c r="AI131" s="378">
        <v>-316095437160.00018</v>
      </c>
      <c r="AJ131" s="397">
        <v>0</v>
      </c>
      <c r="AK131" s="332">
        <v>-316095437160.00018</v>
      </c>
      <c r="AL131" s="397">
        <v>-504900000</v>
      </c>
      <c r="AM131" s="332">
        <v>-316600337160.00018</v>
      </c>
      <c r="AN131" s="334">
        <v>-3.7708947496111832E-2</v>
      </c>
      <c r="AO131" s="334">
        <v>-3.7708947496111832E-2</v>
      </c>
      <c r="AP131" s="335">
        <v>-316600337160.00018</v>
      </c>
      <c r="AQ131" s="335">
        <v>-316600337160.00018</v>
      </c>
      <c r="AR131" s="335" t="s">
        <v>367</v>
      </c>
      <c r="AS131" s="334">
        <v>-3.7769180088400564E-2</v>
      </c>
      <c r="AV131" s="193" t="s">
        <v>368</v>
      </c>
    </row>
    <row r="132" spans="1:48" ht="17.25" customHeight="1">
      <c r="A132" s="400">
        <v>2023</v>
      </c>
      <c r="B132" s="400">
        <v>227</v>
      </c>
      <c r="C132" s="295" t="s">
        <v>42</v>
      </c>
      <c r="D132" s="398">
        <v>45166</v>
      </c>
      <c r="E132" s="297">
        <v>2023</v>
      </c>
      <c r="F132" s="298" t="s">
        <v>4</v>
      </c>
      <c r="G132" s="383">
        <v>45166</v>
      </c>
      <c r="H132" s="384">
        <v>300500000000</v>
      </c>
      <c r="I132" s="301">
        <v>13570000.000030518</v>
      </c>
      <c r="J132" s="301">
        <v>0</v>
      </c>
      <c r="K132" s="384">
        <v>13570000.000030518</v>
      </c>
      <c r="L132" s="300">
        <v>0</v>
      </c>
      <c r="M132" s="300">
        <v>13570000.000030518</v>
      </c>
      <c r="N132" s="300">
        <v>0</v>
      </c>
      <c r="O132" s="300">
        <v>13570000.000030518</v>
      </c>
      <c r="P132" s="302">
        <v>4.5158069883629012E-5</v>
      </c>
      <c r="Q132" s="302">
        <v>4.5158069883629012E-5</v>
      </c>
      <c r="R132" s="385">
        <v>1.9597133924706793E-2</v>
      </c>
      <c r="S132" s="385">
        <v>0</v>
      </c>
      <c r="T132" s="385">
        <v>0.1066</v>
      </c>
      <c r="U132" s="303">
        <v>13570000.000030518</v>
      </c>
      <c r="V132" s="303">
        <v>13570000.000030518</v>
      </c>
      <c r="W132" s="303" t="s">
        <v>367</v>
      </c>
      <c r="X132" s="302">
        <v>4.5158069883629012E-5</v>
      </c>
      <c r="Y132" s="386"/>
      <c r="Z132" s="359"/>
      <c r="AA132" s="359"/>
      <c r="AB132" s="193" t="e">
        <v>#VALUE!</v>
      </c>
      <c r="AC132" s="401">
        <v>4.5158069883629012E-5</v>
      </c>
      <c r="AD132" s="304">
        <v>300500000000</v>
      </c>
      <c r="AE132" s="304">
        <v>0</v>
      </c>
      <c r="AF132" s="397">
        <v>8683004900000</v>
      </c>
      <c r="AG132" s="397">
        <v>201379382839.99985</v>
      </c>
      <c r="AH132" s="397">
        <v>-517461250000</v>
      </c>
      <c r="AI132" s="378">
        <v>-316081867160.00012</v>
      </c>
      <c r="AJ132" s="397">
        <v>0</v>
      </c>
      <c r="AK132" s="332">
        <v>-316081867160.00012</v>
      </c>
      <c r="AL132" s="397">
        <v>-504900000</v>
      </c>
      <c r="AM132" s="332">
        <v>-316586767160.00012</v>
      </c>
      <c r="AN132" s="334">
        <v>-3.6402359643952303E-2</v>
      </c>
      <c r="AO132" s="334">
        <v>-3.6402359643952303E-2</v>
      </c>
      <c r="AP132" s="335">
        <v>-316586767160.00012</v>
      </c>
      <c r="AQ132" s="335">
        <v>-316586767160.00012</v>
      </c>
      <c r="AR132" s="335" t="s">
        <v>367</v>
      </c>
      <c r="AS132" s="334">
        <v>-3.6460507716631611E-2</v>
      </c>
      <c r="AV132" s="193" t="s">
        <v>368</v>
      </c>
    </row>
    <row r="133" spans="1:48" ht="17.25" customHeight="1">
      <c r="A133" s="400">
        <v>2023</v>
      </c>
      <c r="B133" s="400">
        <v>228</v>
      </c>
      <c r="C133" s="295" t="s">
        <v>42</v>
      </c>
      <c r="D133" s="398">
        <v>45167</v>
      </c>
      <c r="E133" s="297">
        <v>2023</v>
      </c>
      <c r="F133" s="298" t="s">
        <v>4</v>
      </c>
      <c r="G133" s="383">
        <v>45167</v>
      </c>
      <c r="H133" s="384">
        <v>370000000000</v>
      </c>
      <c r="I133" s="301">
        <v>12600000</v>
      </c>
      <c r="J133" s="301">
        <v>0</v>
      </c>
      <c r="K133" s="384">
        <v>12600000</v>
      </c>
      <c r="L133" s="300">
        <v>0</v>
      </c>
      <c r="M133" s="300">
        <v>12600000</v>
      </c>
      <c r="N133" s="300">
        <v>0</v>
      </c>
      <c r="O133" s="300">
        <v>12600000</v>
      </c>
      <c r="P133" s="302">
        <v>3.4054054054054055E-5</v>
      </c>
      <c r="Q133" s="302">
        <v>3.4054054054054055E-5</v>
      </c>
      <c r="R133" s="385">
        <v>2.4129582536244639E-2</v>
      </c>
      <c r="S133" s="385">
        <v>0</v>
      </c>
      <c r="T133" s="385">
        <v>0.1066</v>
      </c>
      <c r="U133" s="303">
        <v>12600000</v>
      </c>
      <c r="V133" s="303">
        <v>12600000</v>
      </c>
      <c r="W133" s="303" t="s">
        <v>367</v>
      </c>
      <c r="X133" s="302">
        <v>3.4054054054054055E-5</v>
      </c>
      <c r="Y133" s="386"/>
      <c r="Z133" s="359"/>
      <c r="AA133" s="359"/>
      <c r="AB133" s="193" t="e">
        <v>#VALUE!</v>
      </c>
      <c r="AC133" s="401">
        <v>3.4054054054054055E-5</v>
      </c>
      <c r="AD133" s="304">
        <v>370000000000</v>
      </c>
      <c r="AE133" s="304">
        <v>0</v>
      </c>
      <c r="AF133" s="397">
        <v>9053004900000</v>
      </c>
      <c r="AG133" s="397">
        <v>201391982839.99985</v>
      </c>
      <c r="AH133" s="397">
        <v>-517461250000</v>
      </c>
      <c r="AI133" s="378">
        <v>-316069267160.00012</v>
      </c>
      <c r="AJ133" s="397">
        <v>0</v>
      </c>
      <c r="AK133" s="332">
        <v>-316069267160.00012</v>
      </c>
      <c r="AL133" s="397">
        <v>-504900000</v>
      </c>
      <c r="AM133" s="332">
        <v>-316574167160.00012</v>
      </c>
      <c r="AN133" s="334">
        <v>-3.4913188565710386E-2</v>
      </c>
      <c r="AO133" s="334">
        <v>-3.4913188565710386E-2</v>
      </c>
      <c r="AP133" s="335">
        <v>-316574167160.00012</v>
      </c>
      <c r="AQ133" s="335">
        <v>-316574167160.00012</v>
      </c>
      <c r="AR133" s="335" t="s">
        <v>367</v>
      </c>
      <c r="AS133" s="334">
        <v>-3.4968960102959863E-2</v>
      </c>
      <c r="AV133" s="193" t="s">
        <v>368</v>
      </c>
    </row>
    <row r="134" spans="1:48" ht="17.25" customHeight="1">
      <c r="A134" s="400">
        <v>2023</v>
      </c>
      <c r="B134" s="400">
        <v>229</v>
      </c>
      <c r="C134" s="295" t="s">
        <v>42</v>
      </c>
      <c r="D134" s="398">
        <v>45168</v>
      </c>
      <c r="E134" s="297">
        <v>2023</v>
      </c>
      <c r="F134" s="298" t="s">
        <v>4</v>
      </c>
      <c r="G134" s="383">
        <v>45168</v>
      </c>
      <c r="H134" s="384">
        <v>107501900000</v>
      </c>
      <c r="I134" s="301">
        <v>41936.999984741211</v>
      </c>
      <c r="J134" s="301">
        <v>0</v>
      </c>
      <c r="K134" s="384">
        <v>41936.999984741211</v>
      </c>
      <c r="L134" s="300">
        <v>0</v>
      </c>
      <c r="M134" s="300">
        <v>41936.999984741211</v>
      </c>
      <c r="N134" s="300">
        <v>-1900000</v>
      </c>
      <c r="O134" s="300">
        <v>-1858063.0000152588</v>
      </c>
      <c r="P134" s="302">
        <v>3.9010473289068574E-7</v>
      </c>
      <c r="Q134" s="302">
        <v>3.9010473289068574E-7</v>
      </c>
      <c r="R134" s="385">
        <v>7.0107458617651823E-3</v>
      </c>
      <c r="S134" s="385">
        <v>0</v>
      </c>
      <c r="T134" s="385">
        <v>0.1066</v>
      </c>
      <c r="U134" s="303">
        <v>-1858063.0000152588</v>
      </c>
      <c r="V134" s="303">
        <v>-1858063.0000152588</v>
      </c>
      <c r="W134" s="303" t="s">
        <v>367</v>
      </c>
      <c r="X134" s="302">
        <v>-1.7284001492208591E-5</v>
      </c>
      <c r="Y134" s="386"/>
      <c r="Z134" s="359"/>
      <c r="AA134" s="359"/>
      <c r="AB134" s="193" t="e">
        <v>#VALUE!</v>
      </c>
      <c r="AC134" s="401">
        <v>3.9010473289068574E-7</v>
      </c>
      <c r="AD134" s="304">
        <v>107501900000</v>
      </c>
      <c r="AE134" s="304">
        <v>0</v>
      </c>
      <c r="AF134" s="397">
        <v>9160506800000</v>
      </c>
      <c r="AG134" s="397">
        <v>201392024776.99982</v>
      </c>
      <c r="AH134" s="397">
        <v>-517461250000</v>
      </c>
      <c r="AI134" s="378">
        <v>-316069225223.00018</v>
      </c>
      <c r="AJ134" s="397">
        <v>0</v>
      </c>
      <c r="AK134" s="332">
        <v>-316069225223.00018</v>
      </c>
      <c r="AL134" s="397">
        <v>-506800000</v>
      </c>
      <c r="AM134" s="332">
        <v>-316576025223.00018</v>
      </c>
      <c r="AN134" s="334">
        <v>-3.4503464941808698E-2</v>
      </c>
      <c r="AO134" s="334">
        <v>-3.4503464941808698E-2</v>
      </c>
      <c r="AP134" s="335">
        <v>-316576025223.00018</v>
      </c>
      <c r="AQ134" s="335">
        <v>-316576025223.00018</v>
      </c>
      <c r="AR134" s="335" t="s">
        <v>367</v>
      </c>
      <c r="AS134" s="334">
        <v>-3.4558789391761623E-2</v>
      </c>
      <c r="AV134" s="193" t="s">
        <v>368</v>
      </c>
    </row>
    <row r="135" spans="1:48" ht="17.25" customHeight="1">
      <c r="A135" s="400">
        <v>2023</v>
      </c>
      <c r="B135" s="400">
        <v>330</v>
      </c>
      <c r="C135" s="295" t="s">
        <v>42</v>
      </c>
      <c r="D135" s="398">
        <v>45169</v>
      </c>
      <c r="E135" s="297">
        <v>2023</v>
      </c>
      <c r="F135" s="298" t="s">
        <v>4</v>
      </c>
      <c r="G135" s="383">
        <v>45169</v>
      </c>
      <c r="H135" s="384">
        <v>300000000000</v>
      </c>
      <c r="I135" s="301">
        <v>17459999.999969482</v>
      </c>
      <c r="J135" s="301">
        <v>0</v>
      </c>
      <c r="K135" s="384">
        <v>17459999.999969482</v>
      </c>
      <c r="L135" s="300">
        <v>0</v>
      </c>
      <c r="M135" s="300">
        <v>17459999.999969482</v>
      </c>
      <c r="N135" s="300">
        <v>0</v>
      </c>
      <c r="O135" s="300">
        <v>17459999.999969482</v>
      </c>
      <c r="P135" s="302">
        <v>5.8199999999898273E-5</v>
      </c>
      <c r="Q135" s="302">
        <v>5.8199999999898273E-5</v>
      </c>
      <c r="R135" s="385">
        <v>1.9564526380738897E-2</v>
      </c>
      <c r="S135" s="385">
        <v>0</v>
      </c>
      <c r="T135" s="385">
        <v>0.1066</v>
      </c>
      <c r="U135" s="303">
        <v>17459999.999969482</v>
      </c>
      <c r="V135" s="303">
        <v>17459999.999969482</v>
      </c>
      <c r="W135" s="303" t="s">
        <v>367</v>
      </c>
      <c r="X135" s="302">
        <v>5.8199999999898273E-5</v>
      </c>
      <c r="Y135" s="386"/>
      <c r="Z135" s="359"/>
      <c r="AA135" s="359"/>
      <c r="AB135" s="193" t="e">
        <v>#VALUE!</v>
      </c>
      <c r="AC135" s="401">
        <v>5.8199999999898273E-5</v>
      </c>
      <c r="AD135" s="304">
        <v>300000000000</v>
      </c>
      <c r="AE135" s="304">
        <v>0</v>
      </c>
      <c r="AF135" s="397">
        <v>9460506800000</v>
      </c>
      <c r="AG135" s="397">
        <v>201409484776.99979</v>
      </c>
      <c r="AH135" s="397">
        <v>-517461250000</v>
      </c>
      <c r="AI135" s="378">
        <v>-316051765223.00024</v>
      </c>
      <c r="AJ135" s="397">
        <v>0</v>
      </c>
      <c r="AK135" s="332">
        <v>-316051765223.00024</v>
      </c>
      <c r="AL135" s="397">
        <v>-506800000</v>
      </c>
      <c r="AM135" s="332">
        <v>-316558565223.00024</v>
      </c>
      <c r="AN135" s="334">
        <v>-3.3407487770422642E-2</v>
      </c>
      <c r="AO135" s="334">
        <v>-3.3407487770422642E-2</v>
      </c>
      <c r="AP135" s="335">
        <v>-316558565223.00024</v>
      </c>
      <c r="AQ135" s="335">
        <v>-316558565223.00024</v>
      </c>
      <c r="AR135" s="335" t="s">
        <v>367</v>
      </c>
      <c r="AS135" s="334">
        <v>-3.3461057839205846E-2</v>
      </c>
      <c r="AV135" s="193" t="s">
        <v>368</v>
      </c>
    </row>
    <row r="136" spans="1:48" ht="17.25" customHeight="1">
      <c r="A136" s="400">
        <v>2023</v>
      </c>
      <c r="B136" s="400">
        <v>331</v>
      </c>
      <c r="C136" s="295" t="s">
        <v>42</v>
      </c>
      <c r="D136" s="398">
        <v>45173</v>
      </c>
      <c r="E136" s="297">
        <v>2023</v>
      </c>
      <c r="F136" s="298" t="s">
        <v>4</v>
      </c>
      <c r="G136" s="383">
        <v>45173</v>
      </c>
      <c r="H136" s="384">
        <v>129000000000</v>
      </c>
      <c r="I136" s="301">
        <v>14454999.999984741</v>
      </c>
      <c r="J136" s="301">
        <v>0</v>
      </c>
      <c r="K136" s="384">
        <v>14454999.999984741</v>
      </c>
      <c r="L136" s="300">
        <v>0</v>
      </c>
      <c r="M136" s="300">
        <v>14454999.999984741</v>
      </c>
      <c r="N136" s="300">
        <v>0</v>
      </c>
      <c r="O136" s="300">
        <v>14454999.999984741</v>
      </c>
      <c r="P136" s="302">
        <v>1.1205426356577319E-4</v>
      </c>
      <c r="Q136" s="302">
        <v>1.1205426356577319E-4</v>
      </c>
      <c r="R136" s="385">
        <v>8.4127463437177249E-3</v>
      </c>
      <c r="S136" s="385">
        <v>0</v>
      </c>
      <c r="T136" s="385">
        <v>0.1075</v>
      </c>
      <c r="U136" s="303">
        <v>14454999.999984741</v>
      </c>
      <c r="V136" s="303">
        <v>14454999.999984741</v>
      </c>
      <c r="W136" s="303" t="s">
        <v>367</v>
      </c>
      <c r="X136" s="302">
        <v>1.1205426356577319E-4</v>
      </c>
      <c r="Y136" s="386"/>
      <c r="Z136" s="359"/>
      <c r="AA136" s="359"/>
      <c r="AB136" s="193" t="e">
        <v>#VALUE!</v>
      </c>
      <c r="AC136" s="401">
        <v>1.1205426356577319E-4</v>
      </c>
      <c r="AD136" s="304">
        <v>129000000000</v>
      </c>
      <c r="AE136" s="304">
        <v>0</v>
      </c>
      <c r="AF136" s="397">
        <v>9589506800000</v>
      </c>
      <c r="AG136" s="397">
        <v>201423939776.99976</v>
      </c>
      <c r="AH136" s="397">
        <v>-517461250000</v>
      </c>
      <c r="AI136" s="378">
        <v>-316037310223.00024</v>
      </c>
      <c r="AJ136" s="397">
        <v>0</v>
      </c>
      <c r="AK136" s="332">
        <v>-316037310223.00024</v>
      </c>
      <c r="AL136" s="397">
        <v>-506800000</v>
      </c>
      <c r="AM136" s="332">
        <v>-316544110223.00024</v>
      </c>
      <c r="AN136" s="334">
        <v>-3.2956576059052403E-2</v>
      </c>
      <c r="AO136" s="334">
        <v>-3.2956576059052403E-2</v>
      </c>
      <c r="AP136" s="335">
        <v>-316544110223.00024</v>
      </c>
      <c r="AQ136" s="335">
        <v>-316544110223.00024</v>
      </c>
      <c r="AR136" s="335" t="s">
        <v>367</v>
      </c>
      <c r="AS136" s="334">
        <v>-3.3009425492351731E-2</v>
      </c>
      <c r="AV136" s="193" t="s">
        <v>368</v>
      </c>
    </row>
    <row r="137" spans="1:48" ht="17.25" customHeight="1">
      <c r="A137" s="400">
        <v>2023</v>
      </c>
      <c r="B137" s="400">
        <v>332</v>
      </c>
      <c r="C137" s="295" t="s">
        <v>42</v>
      </c>
      <c r="D137" s="398">
        <v>45174</v>
      </c>
      <c r="E137" s="297">
        <v>2023</v>
      </c>
      <c r="F137" s="298" t="s">
        <v>4</v>
      </c>
      <c r="G137" s="383">
        <v>45174</v>
      </c>
      <c r="H137" s="384">
        <v>194000000000</v>
      </c>
      <c r="I137" s="301">
        <v>300000.00001525879</v>
      </c>
      <c r="J137" s="301">
        <v>0</v>
      </c>
      <c r="K137" s="384">
        <v>300000.00001525879</v>
      </c>
      <c r="L137" s="300">
        <v>0</v>
      </c>
      <c r="M137" s="300">
        <v>300000.00001525879</v>
      </c>
      <c r="N137" s="300">
        <v>0</v>
      </c>
      <c r="O137" s="300">
        <v>300000.00001525879</v>
      </c>
      <c r="P137" s="302">
        <v>1.5463917526559731E-6</v>
      </c>
      <c r="Q137" s="302">
        <v>1.5463917526559731E-6</v>
      </c>
      <c r="R137" s="385">
        <v>1.2651727059544485E-2</v>
      </c>
      <c r="S137" s="385">
        <v>0</v>
      </c>
      <c r="T137" s="385">
        <v>0.1075</v>
      </c>
      <c r="U137" s="303">
        <v>300000.00001525879</v>
      </c>
      <c r="V137" s="303">
        <v>300000.00001525879</v>
      </c>
      <c r="W137" s="303" t="s">
        <v>367</v>
      </c>
      <c r="X137" s="302">
        <v>1.5463917526559731E-6</v>
      </c>
      <c r="Y137" s="386"/>
      <c r="Z137" s="359"/>
      <c r="AA137" s="359"/>
      <c r="AB137" s="193" t="e">
        <v>#VALUE!</v>
      </c>
      <c r="AC137" s="401">
        <v>1.5463917526559731E-6</v>
      </c>
      <c r="AD137" s="304">
        <v>194000000000</v>
      </c>
      <c r="AE137" s="304">
        <v>0</v>
      </c>
      <c r="AF137" s="397">
        <v>9783506800000</v>
      </c>
      <c r="AG137" s="397">
        <v>201424239776.99976</v>
      </c>
      <c r="AH137" s="397">
        <v>-517461250000</v>
      </c>
      <c r="AI137" s="378">
        <v>-316037010223.00024</v>
      </c>
      <c r="AJ137" s="397">
        <v>0</v>
      </c>
      <c r="AK137" s="332">
        <v>-316037010223.00024</v>
      </c>
      <c r="AL137" s="397">
        <v>-506800000</v>
      </c>
      <c r="AM137" s="332">
        <v>-316543810223.00024</v>
      </c>
      <c r="AN137" s="334">
        <v>-3.2303039869405546E-2</v>
      </c>
      <c r="AO137" s="334">
        <v>-3.2303039869405546E-2</v>
      </c>
      <c r="AP137" s="335">
        <v>-316543810223.00024</v>
      </c>
      <c r="AQ137" s="335">
        <v>-316543810223.00024</v>
      </c>
      <c r="AR137" s="335" t="s">
        <v>367</v>
      </c>
      <c r="AS137" s="334">
        <v>-3.235484133593082E-2</v>
      </c>
      <c r="AV137" s="193" t="s">
        <v>368</v>
      </c>
    </row>
    <row r="138" spans="1:48" ht="17.25" customHeight="1">
      <c r="A138" s="400">
        <v>2023</v>
      </c>
      <c r="B138" s="400">
        <v>333</v>
      </c>
      <c r="C138" s="295" t="s">
        <v>42</v>
      </c>
      <c r="D138" s="398">
        <v>45176</v>
      </c>
      <c r="E138" s="297">
        <v>2023</v>
      </c>
      <c r="F138" s="298" t="s">
        <v>4</v>
      </c>
      <c r="G138" s="383">
        <v>45176</v>
      </c>
      <c r="H138" s="384">
        <v>150500000000</v>
      </c>
      <c r="I138" s="301">
        <v>5160000</v>
      </c>
      <c r="J138" s="301">
        <v>0</v>
      </c>
      <c r="K138" s="384">
        <v>5160000</v>
      </c>
      <c r="L138" s="300">
        <v>0</v>
      </c>
      <c r="M138" s="300">
        <v>5160000</v>
      </c>
      <c r="N138" s="300">
        <v>0</v>
      </c>
      <c r="O138" s="300">
        <v>5160000</v>
      </c>
      <c r="P138" s="302">
        <v>3.4285714285714284E-5</v>
      </c>
      <c r="Q138" s="302">
        <v>3.4285714285714284E-5</v>
      </c>
      <c r="R138" s="385">
        <v>9.814870734337346E-3</v>
      </c>
      <c r="S138" s="385">
        <v>0</v>
      </c>
      <c r="T138" s="385">
        <v>0.1075</v>
      </c>
      <c r="U138" s="303">
        <v>5160000</v>
      </c>
      <c r="V138" s="303">
        <v>5160000</v>
      </c>
      <c r="W138" s="303" t="s">
        <v>367</v>
      </c>
      <c r="X138" s="302">
        <v>3.4285714285714284E-5</v>
      </c>
      <c r="Y138" s="386"/>
      <c r="Z138" s="359"/>
      <c r="AA138" s="359"/>
      <c r="AB138" s="193" t="e">
        <v>#VALUE!</v>
      </c>
      <c r="AC138" s="401">
        <v>3.4285714285714284E-5</v>
      </c>
      <c r="AD138" s="304">
        <v>150500000000</v>
      </c>
      <c r="AE138" s="304">
        <v>0</v>
      </c>
      <c r="AF138" s="397">
        <v>9934006800000</v>
      </c>
      <c r="AG138" s="397">
        <v>201429399776.99976</v>
      </c>
      <c r="AH138" s="397">
        <v>-517461250000</v>
      </c>
      <c r="AI138" s="378">
        <v>-316031850223.00024</v>
      </c>
      <c r="AJ138" s="397">
        <v>0</v>
      </c>
      <c r="AK138" s="332">
        <v>-316031850223.00024</v>
      </c>
      <c r="AL138" s="397">
        <v>-506800000</v>
      </c>
      <c r="AM138" s="332">
        <v>-316538650223.00024</v>
      </c>
      <c r="AN138" s="334">
        <v>-3.1813130047686322E-2</v>
      </c>
      <c r="AO138" s="334">
        <v>-3.1813130047686322E-2</v>
      </c>
      <c r="AP138" s="335">
        <v>-316538650223.00024</v>
      </c>
      <c r="AQ138" s="335">
        <v>-316538650223.00024</v>
      </c>
      <c r="AR138" s="335" t="s">
        <v>367</v>
      </c>
      <c r="AS138" s="334">
        <v>-3.1864146723052399E-2</v>
      </c>
      <c r="AV138" s="193" t="s">
        <v>368</v>
      </c>
    </row>
    <row r="139" spans="1:48" ht="17.25" customHeight="1">
      <c r="A139" s="400">
        <v>2023</v>
      </c>
      <c r="B139" s="400">
        <v>334</v>
      </c>
      <c r="C139" s="295" t="s">
        <v>42</v>
      </c>
      <c r="D139" s="398">
        <v>45180</v>
      </c>
      <c r="E139" s="297">
        <v>2023</v>
      </c>
      <c r="F139" s="298" t="s">
        <v>4</v>
      </c>
      <c r="G139" s="383">
        <v>45180</v>
      </c>
      <c r="H139" s="384">
        <v>145000000000</v>
      </c>
      <c r="I139" s="301">
        <v>19560000.000030518</v>
      </c>
      <c r="J139" s="301">
        <v>0</v>
      </c>
      <c r="K139" s="384">
        <v>19560000.000030518</v>
      </c>
      <c r="L139" s="300">
        <v>0</v>
      </c>
      <c r="M139" s="300">
        <v>19560000.000030518</v>
      </c>
      <c r="N139" s="300">
        <v>0</v>
      </c>
      <c r="O139" s="300">
        <v>19560000.000030518</v>
      </c>
      <c r="P139" s="302">
        <v>1.3489655172434841E-4</v>
      </c>
      <c r="Q139" s="302">
        <v>1.3489655172434841E-4</v>
      </c>
      <c r="R139" s="385">
        <v>9.456187750690466E-3</v>
      </c>
      <c r="S139" s="385">
        <v>0</v>
      </c>
      <c r="T139" s="385">
        <v>0.10970000000000001</v>
      </c>
      <c r="U139" s="303">
        <v>19560000.000030518</v>
      </c>
      <c r="V139" s="303">
        <v>19560000.000030518</v>
      </c>
      <c r="W139" s="303" t="s">
        <v>367</v>
      </c>
      <c r="X139" s="302">
        <v>1.3489655172434841E-4</v>
      </c>
      <c r="Y139" s="386"/>
      <c r="Z139" s="359"/>
      <c r="AA139" s="359"/>
      <c r="AB139" s="193" t="e">
        <v>#VALUE!</v>
      </c>
      <c r="AC139" s="401">
        <v>1.3489655172434841E-4</v>
      </c>
      <c r="AD139" s="304">
        <v>145000000000</v>
      </c>
      <c r="AE139" s="304">
        <v>0</v>
      </c>
      <c r="AF139" s="397">
        <v>10079006800000</v>
      </c>
      <c r="AG139" s="397">
        <v>201448959776.99979</v>
      </c>
      <c r="AH139" s="397">
        <v>-517461250000</v>
      </c>
      <c r="AI139" s="378">
        <v>-316012290223.00024</v>
      </c>
      <c r="AJ139" s="397">
        <v>0</v>
      </c>
      <c r="AK139" s="332">
        <v>-316012290223.00024</v>
      </c>
      <c r="AL139" s="397">
        <v>-506800000</v>
      </c>
      <c r="AM139" s="332">
        <v>-316519090223.00024</v>
      </c>
      <c r="AN139" s="334">
        <v>-3.1353514933931806E-2</v>
      </c>
      <c r="AO139" s="334">
        <v>-3.1353514933931806E-2</v>
      </c>
      <c r="AP139" s="335">
        <v>-316519090223.00024</v>
      </c>
      <c r="AQ139" s="335">
        <v>-316519090223.00024</v>
      </c>
      <c r="AR139" s="335" t="s">
        <v>367</v>
      </c>
      <c r="AS139" s="334">
        <v>-3.1403797666154989E-2</v>
      </c>
      <c r="AV139" s="193" t="s">
        <v>368</v>
      </c>
    </row>
    <row r="140" spans="1:48" ht="17.25" customHeight="1">
      <c r="A140" s="400">
        <v>2023</v>
      </c>
      <c r="B140" s="400">
        <v>335</v>
      </c>
      <c r="C140" s="295" t="s">
        <v>42</v>
      </c>
      <c r="D140" s="398">
        <v>45181</v>
      </c>
      <c r="E140" s="297">
        <v>2023</v>
      </c>
      <c r="F140" s="298" t="s">
        <v>4</v>
      </c>
      <c r="G140" s="383">
        <v>45181</v>
      </c>
      <c r="H140" s="384">
        <v>100019200000</v>
      </c>
      <c r="I140" s="301">
        <v>100736.00001525879</v>
      </c>
      <c r="J140" s="301">
        <v>0</v>
      </c>
      <c r="K140" s="384">
        <v>100736.00001525879</v>
      </c>
      <c r="L140" s="300">
        <v>0</v>
      </c>
      <c r="M140" s="300">
        <v>100736.00001525879</v>
      </c>
      <c r="N140" s="300">
        <v>-19200000</v>
      </c>
      <c r="O140" s="300">
        <v>-19099263.999984741</v>
      </c>
      <c r="P140" s="302">
        <v>1.007166624160749E-6</v>
      </c>
      <c r="Q140" s="302">
        <v>1.007166624160749E-6</v>
      </c>
      <c r="R140" s="385">
        <v>6.5227609232679992E-3</v>
      </c>
      <c r="S140" s="385">
        <v>0</v>
      </c>
      <c r="T140" s="385">
        <v>0.10970000000000001</v>
      </c>
      <c r="U140" s="303">
        <v>-19099263.999984741</v>
      </c>
      <c r="V140" s="303">
        <v>-19099263.999984741</v>
      </c>
      <c r="W140" s="303" t="s">
        <v>367</v>
      </c>
      <c r="X140" s="302">
        <v>-1.9095597645236856E-4</v>
      </c>
      <c r="Y140" s="386"/>
      <c r="Z140" s="359"/>
      <c r="AA140" s="359"/>
      <c r="AB140" s="193" t="e">
        <v>#VALUE!</v>
      </c>
      <c r="AC140" s="401">
        <v>1.007166624160749E-6</v>
      </c>
      <c r="AD140" s="304">
        <v>100019200000</v>
      </c>
      <c r="AE140" s="304">
        <v>0</v>
      </c>
      <c r="AF140" s="397">
        <v>10179026000000</v>
      </c>
      <c r="AG140" s="397">
        <v>201449060512.99982</v>
      </c>
      <c r="AH140" s="397">
        <v>-517461250000</v>
      </c>
      <c r="AI140" s="378">
        <v>-316012189487.00018</v>
      </c>
      <c r="AJ140" s="397">
        <v>0</v>
      </c>
      <c r="AK140" s="332">
        <v>-316012189487.00018</v>
      </c>
      <c r="AL140" s="397">
        <v>-526000000</v>
      </c>
      <c r="AM140" s="332">
        <v>-316538189487.00018</v>
      </c>
      <c r="AN140" s="334">
        <v>-3.1045425120930056E-2</v>
      </c>
      <c r="AO140" s="334">
        <v>-3.1045425120930056E-2</v>
      </c>
      <c r="AP140" s="335">
        <v>-316538189487.00018</v>
      </c>
      <c r="AQ140" s="335">
        <v>-316538189487.00018</v>
      </c>
      <c r="AR140" s="335" t="s">
        <v>367</v>
      </c>
      <c r="AS140" s="334">
        <v>-3.1097100006130269E-2</v>
      </c>
      <c r="AV140" s="193" t="s">
        <v>368</v>
      </c>
    </row>
    <row r="141" spans="1:48" ht="17.25" customHeight="1">
      <c r="A141" s="400">
        <v>2023</v>
      </c>
      <c r="B141" s="400">
        <v>336</v>
      </c>
      <c r="C141" s="295" t="s">
        <v>42</v>
      </c>
      <c r="D141" s="398">
        <v>45182</v>
      </c>
      <c r="E141" s="297">
        <v>2023</v>
      </c>
      <c r="F141" s="298" t="s">
        <v>4</v>
      </c>
      <c r="G141" s="383">
        <v>45182</v>
      </c>
      <c r="H141" s="384">
        <v>217500000000</v>
      </c>
      <c r="I141" s="301">
        <v>23245000</v>
      </c>
      <c r="J141" s="301">
        <v>0</v>
      </c>
      <c r="K141" s="384">
        <v>23245000</v>
      </c>
      <c r="L141" s="300">
        <v>0</v>
      </c>
      <c r="M141" s="300">
        <v>23245000</v>
      </c>
      <c r="N141" s="300">
        <v>0</v>
      </c>
      <c r="O141" s="300">
        <v>23245000</v>
      </c>
      <c r="P141" s="302">
        <v>1.0687356321839081E-4</v>
      </c>
      <c r="Q141" s="302">
        <v>1.0687356321839081E-4</v>
      </c>
      <c r="R141" s="385">
        <v>1.4184281626035699E-2</v>
      </c>
      <c r="S141" s="385">
        <v>0</v>
      </c>
      <c r="T141" s="385">
        <v>0.10970000000000001</v>
      </c>
      <c r="U141" s="303">
        <v>23245000</v>
      </c>
      <c r="V141" s="303">
        <v>23245000</v>
      </c>
      <c r="W141" s="303" t="s">
        <v>367</v>
      </c>
      <c r="X141" s="302">
        <v>1.0687356321839081E-4</v>
      </c>
      <c r="Y141" s="386"/>
      <c r="Z141" s="359"/>
      <c r="AA141" s="359"/>
      <c r="AB141" s="193" t="e">
        <v>#VALUE!</v>
      </c>
      <c r="AC141" s="401">
        <v>1.0687356321839081E-4</v>
      </c>
      <c r="AD141" s="304">
        <v>217500000000</v>
      </c>
      <c r="AE141" s="304">
        <v>0</v>
      </c>
      <c r="AF141" s="397">
        <v>10396526000000</v>
      </c>
      <c r="AG141" s="397">
        <v>201472305512.99982</v>
      </c>
      <c r="AH141" s="397">
        <v>-517461250000</v>
      </c>
      <c r="AI141" s="378">
        <v>-315988944487.00018</v>
      </c>
      <c r="AJ141" s="397">
        <v>0</v>
      </c>
      <c r="AK141" s="332">
        <v>-315988944487.00018</v>
      </c>
      <c r="AL141" s="397">
        <v>-526000000</v>
      </c>
      <c r="AM141" s="332">
        <v>-316514944487.00018</v>
      </c>
      <c r="AN141" s="334">
        <v>-3.0393705020984912E-2</v>
      </c>
      <c r="AO141" s="334">
        <v>-3.0393705020984912E-2</v>
      </c>
      <c r="AP141" s="335">
        <v>-316514944487.00018</v>
      </c>
      <c r="AQ141" s="335">
        <v>-316514944487.00018</v>
      </c>
      <c r="AR141" s="335" t="s">
        <v>367</v>
      </c>
      <c r="AS141" s="334">
        <v>-3.0444298844344752E-2</v>
      </c>
      <c r="AV141" s="193" t="s">
        <v>368</v>
      </c>
    </row>
    <row r="142" spans="1:48" ht="17.25" customHeight="1">
      <c r="A142" s="400">
        <v>2023</v>
      </c>
      <c r="B142" s="400">
        <v>337</v>
      </c>
      <c r="C142" s="295" t="s">
        <v>42</v>
      </c>
      <c r="D142" s="398">
        <v>45184</v>
      </c>
      <c r="E142" s="297">
        <v>2023</v>
      </c>
      <c r="F142" s="298" t="s">
        <v>4</v>
      </c>
      <c r="G142" s="383">
        <v>45184</v>
      </c>
      <c r="H142" s="384">
        <v>131000000000</v>
      </c>
      <c r="I142" s="301">
        <v>3870000</v>
      </c>
      <c r="J142" s="301">
        <v>0</v>
      </c>
      <c r="K142" s="384">
        <v>3870000</v>
      </c>
      <c r="L142" s="300">
        <v>0</v>
      </c>
      <c r="M142" s="300">
        <v>3870000</v>
      </c>
      <c r="N142" s="300">
        <v>0</v>
      </c>
      <c r="O142" s="300">
        <v>3870000</v>
      </c>
      <c r="P142" s="302">
        <v>2.9541984732824428E-5</v>
      </c>
      <c r="Q142" s="302">
        <v>2.9541984732824428E-5</v>
      </c>
      <c r="R142" s="385">
        <v>8.5431765195893173E-3</v>
      </c>
      <c r="S142" s="385">
        <v>0</v>
      </c>
      <c r="T142" s="385">
        <v>0.10970000000000001</v>
      </c>
      <c r="U142" s="303">
        <v>3870000</v>
      </c>
      <c r="V142" s="303">
        <v>3870000</v>
      </c>
      <c r="W142" s="303" t="s">
        <v>367</v>
      </c>
      <c r="X142" s="302">
        <v>2.9541984732824428E-5</v>
      </c>
      <c r="Y142" s="386"/>
      <c r="Z142" s="359"/>
      <c r="AA142" s="359"/>
      <c r="AB142" s="193" t="e">
        <v>#VALUE!</v>
      </c>
      <c r="AC142" s="401">
        <v>2.9541984732824428E-5</v>
      </c>
      <c r="AD142" s="304">
        <v>131000000000</v>
      </c>
      <c r="AE142" s="304">
        <v>0</v>
      </c>
      <c r="AF142" s="397">
        <v>10527526000000</v>
      </c>
      <c r="AG142" s="397">
        <v>201476175512.99982</v>
      </c>
      <c r="AH142" s="397">
        <v>-517461250000</v>
      </c>
      <c r="AI142" s="378">
        <v>-315985074487.00018</v>
      </c>
      <c r="AJ142" s="397">
        <v>0</v>
      </c>
      <c r="AK142" s="332">
        <v>-315985074487.00018</v>
      </c>
      <c r="AL142" s="397">
        <v>-526000000</v>
      </c>
      <c r="AM142" s="332">
        <v>-316511074487.00018</v>
      </c>
      <c r="AN142" s="334">
        <v>-3.0015131236626743E-2</v>
      </c>
      <c r="AO142" s="334">
        <v>-3.0015131236626743E-2</v>
      </c>
      <c r="AP142" s="335">
        <v>-316511074487.00018</v>
      </c>
      <c r="AQ142" s="335">
        <v>-316511074487.00018</v>
      </c>
      <c r="AR142" s="335" t="s">
        <v>367</v>
      </c>
      <c r="AS142" s="334">
        <v>-3.0065095492236276E-2</v>
      </c>
      <c r="AV142" s="193" t="s">
        <v>368</v>
      </c>
    </row>
    <row r="143" spans="1:48" ht="17.25" customHeight="1">
      <c r="A143" s="400">
        <v>2023</v>
      </c>
      <c r="B143" s="400">
        <v>338</v>
      </c>
      <c r="C143" s="295" t="s">
        <v>42</v>
      </c>
      <c r="D143" s="398">
        <v>45188</v>
      </c>
      <c r="E143" s="297">
        <v>2023</v>
      </c>
      <c r="F143" s="298" t="s">
        <v>4</v>
      </c>
      <c r="G143" s="383">
        <v>45188</v>
      </c>
      <c r="H143" s="384">
        <v>134500000000</v>
      </c>
      <c r="I143" s="301">
        <v>258110000.00000763</v>
      </c>
      <c r="J143" s="301">
        <v>0</v>
      </c>
      <c r="K143" s="384">
        <v>258110000.00000763</v>
      </c>
      <c r="L143" s="300">
        <v>0</v>
      </c>
      <c r="M143" s="300">
        <v>258110000.00000763</v>
      </c>
      <c r="N143" s="300">
        <v>0</v>
      </c>
      <c r="O143" s="300">
        <v>258110000.00000763</v>
      </c>
      <c r="P143" s="302">
        <v>1.9190334572491273E-3</v>
      </c>
      <c r="Q143" s="302">
        <v>1.9190334572491273E-3</v>
      </c>
      <c r="R143" s="385">
        <v>8.7714293273646049E-3</v>
      </c>
      <c r="S143" s="385">
        <v>0</v>
      </c>
      <c r="T143" s="385">
        <v>0.1099</v>
      </c>
      <c r="U143" s="303">
        <v>258110000.00000763</v>
      </c>
      <c r="V143" s="303">
        <v>258110000.00000763</v>
      </c>
      <c r="W143" s="303" t="s">
        <v>367</v>
      </c>
      <c r="X143" s="302">
        <v>1.9190334572491273E-3</v>
      </c>
      <c r="Y143" s="386"/>
      <c r="Z143" s="359"/>
      <c r="AA143" s="359"/>
      <c r="AB143" s="193" t="e">
        <v>#VALUE!</v>
      </c>
      <c r="AC143" s="401">
        <v>1.9190334572491273E-3</v>
      </c>
      <c r="AD143" s="304">
        <v>134500000000</v>
      </c>
      <c r="AE143" s="304">
        <v>0</v>
      </c>
      <c r="AF143" s="397">
        <v>10662026000000</v>
      </c>
      <c r="AG143" s="397">
        <v>201734285512.99982</v>
      </c>
      <c r="AH143" s="397">
        <v>-517461250000</v>
      </c>
      <c r="AI143" s="378">
        <v>-315726964487.00018</v>
      </c>
      <c r="AJ143" s="397">
        <v>0</v>
      </c>
      <c r="AK143" s="332">
        <v>-315726964487.00018</v>
      </c>
      <c r="AL143" s="397">
        <v>-526000000</v>
      </c>
      <c r="AM143" s="332">
        <v>-316252964487.00018</v>
      </c>
      <c r="AN143" s="334">
        <v>-2.961228611588456E-2</v>
      </c>
      <c r="AO143" s="334">
        <v>-2.961228611588456E-2</v>
      </c>
      <c r="AP143" s="335">
        <v>-316252964487.00018</v>
      </c>
      <c r="AQ143" s="335">
        <v>-316252964487.00018</v>
      </c>
      <c r="AR143" s="335" t="s">
        <v>367</v>
      </c>
      <c r="AS143" s="334">
        <v>-2.9661620079241991E-2</v>
      </c>
      <c r="AV143" s="193" t="s">
        <v>368</v>
      </c>
    </row>
    <row r="144" spans="1:48" ht="17.25" customHeight="1">
      <c r="A144" s="400">
        <v>2023</v>
      </c>
      <c r="B144" s="400">
        <v>339</v>
      </c>
      <c r="C144" s="295" t="s">
        <v>42</v>
      </c>
      <c r="D144" s="398">
        <v>45189</v>
      </c>
      <c r="E144" s="297">
        <v>2023</v>
      </c>
      <c r="F144" s="298" t="s">
        <v>4</v>
      </c>
      <c r="G144" s="383">
        <v>45189</v>
      </c>
      <c r="H144" s="384">
        <v>140500000000</v>
      </c>
      <c r="I144" s="301">
        <v>347280000</v>
      </c>
      <c r="J144" s="301">
        <v>0</v>
      </c>
      <c r="K144" s="384">
        <v>347280000</v>
      </c>
      <c r="L144" s="300">
        <v>0</v>
      </c>
      <c r="M144" s="300">
        <v>347280000</v>
      </c>
      <c r="N144" s="300">
        <v>0</v>
      </c>
      <c r="O144" s="300">
        <v>347280000</v>
      </c>
      <c r="P144" s="302">
        <v>2.4717437722419928E-3</v>
      </c>
      <c r="Q144" s="302">
        <v>2.4717437722419928E-3</v>
      </c>
      <c r="R144" s="385">
        <v>9.1627198549793822E-3</v>
      </c>
      <c r="S144" s="385">
        <v>0</v>
      </c>
      <c r="T144" s="385">
        <v>0.1099</v>
      </c>
      <c r="U144" s="303">
        <v>347280000</v>
      </c>
      <c r="V144" s="303">
        <v>347280000</v>
      </c>
      <c r="W144" s="303" t="s">
        <v>367</v>
      </c>
      <c r="X144" s="302">
        <v>2.4717437722419928E-3</v>
      </c>
      <c r="Y144" s="386"/>
      <c r="Z144" s="359"/>
      <c r="AA144" s="359"/>
      <c r="AB144" s="193" t="e">
        <v>#VALUE!</v>
      </c>
      <c r="AC144" s="401">
        <v>2.4717437722419928E-3</v>
      </c>
      <c r="AD144" s="304">
        <v>140500000000</v>
      </c>
      <c r="AE144" s="304">
        <v>0</v>
      </c>
      <c r="AF144" s="397">
        <v>10802526000000</v>
      </c>
      <c r="AG144" s="397">
        <v>202081565512.99982</v>
      </c>
      <c r="AH144" s="397">
        <v>-517461250000</v>
      </c>
      <c r="AI144" s="378">
        <v>-315379684487.00018</v>
      </c>
      <c r="AJ144" s="397">
        <v>0</v>
      </c>
      <c r="AK144" s="332">
        <v>-315379684487.00018</v>
      </c>
      <c r="AL144" s="397">
        <v>-526000000</v>
      </c>
      <c r="AM144" s="332">
        <v>-315905684487.00018</v>
      </c>
      <c r="AN144" s="334">
        <v>-2.9194994252918268E-2</v>
      </c>
      <c r="AO144" s="334">
        <v>-2.9194994252918268E-2</v>
      </c>
      <c r="AP144" s="335">
        <v>-315905684487.00018</v>
      </c>
      <c r="AQ144" s="335">
        <v>-315905684487.00018</v>
      </c>
      <c r="AR144" s="335" t="s">
        <v>367</v>
      </c>
      <c r="AS144" s="334">
        <v>-2.9243686568030496E-2</v>
      </c>
      <c r="AV144" s="193" t="s">
        <v>368</v>
      </c>
    </row>
    <row r="145" spans="1:48" ht="17.25" customHeight="1">
      <c r="A145" s="400">
        <v>2023</v>
      </c>
      <c r="B145" s="400">
        <v>340</v>
      </c>
      <c r="C145" s="295" t="s">
        <v>42</v>
      </c>
      <c r="D145" s="398">
        <v>45190</v>
      </c>
      <c r="E145" s="297">
        <v>2023</v>
      </c>
      <c r="F145" s="298" t="s">
        <v>4</v>
      </c>
      <c r="G145" s="383">
        <v>45190</v>
      </c>
      <c r="H145" s="384">
        <v>123000000000</v>
      </c>
      <c r="I145" s="301">
        <v>34565000.000015259</v>
      </c>
      <c r="J145" s="301">
        <v>0</v>
      </c>
      <c r="K145" s="384">
        <v>34565000.000015259</v>
      </c>
      <c r="L145" s="300">
        <v>0</v>
      </c>
      <c r="M145" s="300">
        <v>34565000.000015259</v>
      </c>
      <c r="N145" s="300">
        <v>0</v>
      </c>
      <c r="O145" s="300">
        <v>34565000.000015259</v>
      </c>
      <c r="P145" s="302">
        <v>2.8101626016272571E-4</v>
      </c>
      <c r="Q145" s="302">
        <v>2.8101626016272571E-4</v>
      </c>
      <c r="R145" s="385">
        <v>8.0214558161029476E-3</v>
      </c>
      <c r="S145" s="385">
        <v>0</v>
      </c>
      <c r="T145" s="385">
        <v>0.1099</v>
      </c>
      <c r="U145" s="303">
        <v>34565000.000015259</v>
      </c>
      <c r="V145" s="303">
        <v>34565000.000015259</v>
      </c>
      <c r="W145" s="303" t="s">
        <v>367</v>
      </c>
      <c r="X145" s="302">
        <v>2.8101626016272571E-4</v>
      </c>
      <c r="Y145" s="386"/>
      <c r="Z145" s="359"/>
      <c r="AA145" s="359"/>
      <c r="AB145" s="193" t="e">
        <v>#VALUE!</v>
      </c>
      <c r="AC145" s="401">
        <v>2.8101626016272571E-4</v>
      </c>
      <c r="AD145" s="304">
        <v>123000000000</v>
      </c>
      <c r="AE145" s="304">
        <v>0</v>
      </c>
      <c r="AF145" s="397">
        <v>10925526000000</v>
      </c>
      <c r="AG145" s="397">
        <v>202116130512.99982</v>
      </c>
      <c r="AH145" s="397">
        <v>-517461250000</v>
      </c>
      <c r="AI145" s="378">
        <v>-315345119487.00018</v>
      </c>
      <c r="AJ145" s="397">
        <v>0</v>
      </c>
      <c r="AK145" s="332">
        <v>-315345119487.00018</v>
      </c>
      <c r="AL145" s="397">
        <v>-526000000</v>
      </c>
      <c r="AM145" s="332">
        <v>-315871119487.00018</v>
      </c>
      <c r="AN145" s="334">
        <v>-2.8863152171071688E-2</v>
      </c>
      <c r="AO145" s="334">
        <v>-2.8863152171071688E-2</v>
      </c>
      <c r="AP145" s="335">
        <v>-315871119487.00018</v>
      </c>
      <c r="AQ145" s="335">
        <v>-315871119487.00018</v>
      </c>
      <c r="AR145" s="335" t="s">
        <v>367</v>
      </c>
      <c r="AS145" s="334">
        <v>-2.8911296306191589E-2</v>
      </c>
      <c r="AV145" s="193" t="s">
        <v>368</v>
      </c>
    </row>
    <row r="146" spans="1:48" ht="17.25" customHeight="1">
      <c r="A146" s="400">
        <v>2023</v>
      </c>
      <c r="B146" s="400">
        <v>341</v>
      </c>
      <c r="C146" s="295" t="s">
        <v>42</v>
      </c>
      <c r="D146" s="398">
        <v>45194</v>
      </c>
      <c r="E146" s="297">
        <v>2023</v>
      </c>
      <c r="F146" s="298" t="s">
        <v>4</v>
      </c>
      <c r="G146" s="383">
        <v>45194</v>
      </c>
      <c r="H146" s="384">
        <v>160500000000</v>
      </c>
      <c r="I146" s="301">
        <v>22375000.000015259</v>
      </c>
      <c r="J146" s="301">
        <v>0</v>
      </c>
      <c r="K146" s="384">
        <v>22375000.000015259</v>
      </c>
      <c r="L146" s="300">
        <v>0</v>
      </c>
      <c r="M146" s="300">
        <v>22375000.000015259</v>
      </c>
      <c r="N146" s="300">
        <v>0</v>
      </c>
      <c r="O146" s="300">
        <v>22375000.000015259</v>
      </c>
      <c r="P146" s="302">
        <v>1.3940809968856859E-4</v>
      </c>
      <c r="Q146" s="302">
        <v>1.3940809968856859E-4</v>
      </c>
      <c r="R146" s="385">
        <v>1.046702161369531E-2</v>
      </c>
      <c r="S146" s="385">
        <v>1E-4</v>
      </c>
      <c r="T146" s="385">
        <v>0.11459999999999999</v>
      </c>
      <c r="U146" s="303">
        <v>22375000.000015259</v>
      </c>
      <c r="V146" s="303">
        <v>22375000.000015259</v>
      </c>
      <c r="W146" s="303" t="s">
        <v>367</v>
      </c>
      <c r="X146" s="302">
        <v>1.3940809968856859E-4</v>
      </c>
      <c r="Y146" s="386"/>
      <c r="Z146" s="359"/>
      <c r="AA146" s="359"/>
      <c r="AB146" s="193" t="e">
        <v>#VALUE!</v>
      </c>
      <c r="AC146" s="401">
        <v>1.3940809968856859E-4</v>
      </c>
      <c r="AD146" s="304">
        <v>160500000000</v>
      </c>
      <c r="AE146" s="304">
        <v>0</v>
      </c>
      <c r="AF146" s="397">
        <v>11086026000000</v>
      </c>
      <c r="AG146" s="397">
        <v>202138505512.99982</v>
      </c>
      <c r="AH146" s="397">
        <v>-517461250000</v>
      </c>
      <c r="AI146" s="378">
        <v>-315322744487.00018</v>
      </c>
      <c r="AJ146" s="397">
        <v>0</v>
      </c>
      <c r="AK146" s="332">
        <v>-315322744487.00018</v>
      </c>
      <c r="AL146" s="397">
        <v>-526000000</v>
      </c>
      <c r="AM146" s="332">
        <v>-315848744487.00018</v>
      </c>
      <c r="AN146" s="334">
        <v>-2.8443262219211844E-2</v>
      </c>
      <c r="AO146" s="334">
        <v>-2.8443262219211844E-2</v>
      </c>
      <c r="AP146" s="335">
        <v>-315848744487.00018</v>
      </c>
      <c r="AQ146" s="335">
        <v>-315848744487.00018</v>
      </c>
      <c r="AR146" s="335" t="s">
        <v>367</v>
      </c>
      <c r="AS146" s="334">
        <v>-2.849070933867557E-2</v>
      </c>
      <c r="AV146" s="193" t="s">
        <v>368</v>
      </c>
    </row>
    <row r="147" spans="1:48" ht="17.25" customHeight="1">
      <c r="A147" s="400">
        <v>2023</v>
      </c>
      <c r="B147" s="400">
        <v>342</v>
      </c>
      <c r="C147" s="295" t="s">
        <v>42</v>
      </c>
      <c r="D147" s="398">
        <v>45195</v>
      </c>
      <c r="E147" s="297">
        <v>2023</v>
      </c>
      <c r="F147" s="298" t="s">
        <v>4</v>
      </c>
      <c r="G147" s="383">
        <v>45195</v>
      </c>
      <c r="H147" s="384">
        <v>58000000000</v>
      </c>
      <c r="I147" s="301">
        <v>32700000.000007629</v>
      </c>
      <c r="J147" s="301">
        <v>0</v>
      </c>
      <c r="K147" s="384">
        <v>32700000.000007629</v>
      </c>
      <c r="L147" s="300">
        <v>0</v>
      </c>
      <c r="M147" s="300">
        <v>32700000.000007629</v>
      </c>
      <c r="N147" s="300">
        <v>0</v>
      </c>
      <c r="O147" s="300">
        <v>32700000.000007629</v>
      </c>
      <c r="P147" s="302">
        <v>5.6379310344840743E-4</v>
      </c>
      <c r="Q147" s="302">
        <v>5.6379310344840743E-4</v>
      </c>
      <c r="R147" s="385">
        <v>3.7824751002761866E-3</v>
      </c>
      <c r="S147" s="385">
        <v>1E-4</v>
      </c>
      <c r="T147" s="385">
        <v>0.11459999999999999</v>
      </c>
      <c r="U147" s="303">
        <v>32700000.000007629</v>
      </c>
      <c r="V147" s="303">
        <v>32700000.000007629</v>
      </c>
      <c r="W147" s="303" t="s">
        <v>367</v>
      </c>
      <c r="X147" s="302">
        <v>5.6379310344840743E-4</v>
      </c>
      <c r="Y147" s="386"/>
      <c r="Z147" s="359"/>
      <c r="AA147" s="359"/>
      <c r="AB147" s="193" t="e">
        <v>#VALUE!</v>
      </c>
      <c r="AC147" s="401">
        <v>5.6379310344840743E-4</v>
      </c>
      <c r="AD147" s="304">
        <v>58000000000</v>
      </c>
      <c r="AE147" s="304">
        <v>0</v>
      </c>
      <c r="AF147" s="397">
        <v>11144026000000</v>
      </c>
      <c r="AG147" s="397">
        <v>202171205512.99982</v>
      </c>
      <c r="AH147" s="397">
        <v>-517461250000</v>
      </c>
      <c r="AI147" s="378">
        <v>-315290044487.00018</v>
      </c>
      <c r="AJ147" s="397">
        <v>0</v>
      </c>
      <c r="AK147" s="332">
        <v>-315290044487.00018</v>
      </c>
      <c r="AL147" s="397">
        <v>-526000000</v>
      </c>
      <c r="AM147" s="332">
        <v>-315816044487.00018</v>
      </c>
      <c r="AN147" s="334">
        <v>-2.8292292613728662E-2</v>
      </c>
      <c r="AO147" s="334">
        <v>-2.8292292613728662E-2</v>
      </c>
      <c r="AP147" s="335">
        <v>-315816044487.00018</v>
      </c>
      <c r="AQ147" s="335">
        <v>-315816044487.00018</v>
      </c>
      <c r="AR147" s="335" t="s">
        <v>367</v>
      </c>
      <c r="AS147" s="334">
        <v>-2.8339492790756246E-2</v>
      </c>
      <c r="AV147" s="193" t="s">
        <v>368</v>
      </c>
    </row>
    <row r="148" spans="1:48" ht="17.25" customHeight="1">
      <c r="A148" s="400">
        <v>2023</v>
      </c>
      <c r="B148" s="400">
        <v>343</v>
      </c>
      <c r="C148" s="295" t="s">
        <v>42</v>
      </c>
      <c r="D148" s="398">
        <v>45197</v>
      </c>
      <c r="E148" s="297">
        <v>2023</v>
      </c>
      <c r="F148" s="298" t="s">
        <v>4</v>
      </c>
      <c r="G148" s="383">
        <v>45197</v>
      </c>
      <c r="H148" s="384">
        <v>205000000000</v>
      </c>
      <c r="I148" s="301">
        <v>4055000</v>
      </c>
      <c r="J148" s="301">
        <v>0</v>
      </c>
      <c r="K148" s="384">
        <v>4055000</v>
      </c>
      <c r="L148" s="300">
        <v>0</v>
      </c>
      <c r="M148" s="300">
        <v>4055000</v>
      </c>
      <c r="N148" s="300">
        <v>0</v>
      </c>
      <c r="O148" s="300">
        <v>4055000</v>
      </c>
      <c r="P148" s="302">
        <v>1.9780487804878048E-5</v>
      </c>
      <c r="Q148" s="302">
        <v>1.9780487804878048E-5</v>
      </c>
      <c r="R148" s="385">
        <v>1.3369093026838245E-2</v>
      </c>
      <c r="S148" s="385">
        <v>1E-4</v>
      </c>
      <c r="T148" s="385">
        <v>0.11459999999999999</v>
      </c>
      <c r="U148" s="303">
        <v>4055000</v>
      </c>
      <c r="V148" s="303">
        <v>4055000</v>
      </c>
      <c r="W148" s="303" t="s">
        <v>367</v>
      </c>
      <c r="X148" s="302">
        <v>1.9780487804878048E-5</v>
      </c>
      <c r="Y148" s="386"/>
      <c r="Z148" s="359"/>
      <c r="AA148" s="359"/>
      <c r="AB148" s="193" t="e">
        <v>#VALUE!</v>
      </c>
      <c r="AC148" s="401">
        <v>1.9780487804878048E-5</v>
      </c>
      <c r="AD148" s="304">
        <v>205000000000</v>
      </c>
      <c r="AE148" s="304">
        <v>0</v>
      </c>
      <c r="AF148" s="397">
        <v>11349026000000</v>
      </c>
      <c r="AG148" s="397">
        <v>202175260512.99982</v>
      </c>
      <c r="AH148" s="397">
        <v>-517461250000</v>
      </c>
      <c r="AI148" s="378">
        <v>-315285989487.00018</v>
      </c>
      <c r="AJ148" s="397">
        <v>0</v>
      </c>
      <c r="AK148" s="332">
        <v>-315285989487.00018</v>
      </c>
      <c r="AL148" s="397">
        <v>-526000000</v>
      </c>
      <c r="AM148" s="332">
        <v>-315811989487.00018</v>
      </c>
      <c r="AN148" s="334">
        <v>-2.7780885292447138E-2</v>
      </c>
      <c r="AO148" s="334">
        <v>-2.7780885292447138E-2</v>
      </c>
      <c r="AP148" s="335">
        <v>-315811989487.00018</v>
      </c>
      <c r="AQ148" s="335">
        <v>-315811989487.00018</v>
      </c>
      <c r="AR148" s="335" t="s">
        <v>367</v>
      </c>
      <c r="AS148" s="334">
        <v>-2.7827232882099324E-2</v>
      </c>
      <c r="AV148" s="193" t="s">
        <v>368</v>
      </c>
    </row>
    <row r="149" spans="1:48" ht="17.25" customHeight="1">
      <c r="A149" s="400">
        <v>2023</v>
      </c>
      <c r="B149" s="400">
        <v>344</v>
      </c>
      <c r="C149" s="295" t="s">
        <v>42</v>
      </c>
      <c r="D149" s="398">
        <v>45201</v>
      </c>
      <c r="E149" s="297">
        <v>2023</v>
      </c>
      <c r="F149" s="298" t="s">
        <v>4</v>
      </c>
      <c r="G149" s="383">
        <v>45201</v>
      </c>
      <c r="H149" s="384">
        <v>79500000000</v>
      </c>
      <c r="I149" s="301">
        <v>6035000</v>
      </c>
      <c r="J149" s="301">
        <v>0</v>
      </c>
      <c r="K149" s="384">
        <v>6035000</v>
      </c>
      <c r="L149" s="300">
        <v>0</v>
      </c>
      <c r="M149" s="300">
        <v>6035000</v>
      </c>
      <c r="N149" s="300">
        <v>0</v>
      </c>
      <c r="O149" s="300">
        <v>6035000</v>
      </c>
      <c r="P149" s="302">
        <v>7.5911949685534598E-5</v>
      </c>
      <c r="Q149" s="302">
        <v>7.5911949685534598E-5</v>
      </c>
      <c r="R149" s="385">
        <v>5.1845994908958073E-3</v>
      </c>
      <c r="S149" s="385">
        <v>1E-4</v>
      </c>
      <c r="T149" s="385">
        <v>0.11749999999999999</v>
      </c>
      <c r="U149" s="303">
        <v>6035000</v>
      </c>
      <c r="V149" s="303">
        <v>6035000</v>
      </c>
      <c r="W149" s="303" t="s">
        <v>367</v>
      </c>
      <c r="X149" s="302">
        <v>7.5911949685534598E-5</v>
      </c>
      <c r="Y149" s="386"/>
      <c r="Z149" s="359"/>
      <c r="AA149" s="359"/>
      <c r="AB149" s="193" t="e">
        <v>#VALUE!</v>
      </c>
      <c r="AC149" s="401">
        <v>7.5911949685534598E-5</v>
      </c>
      <c r="AD149" s="304">
        <v>79500000000</v>
      </c>
      <c r="AE149" s="304">
        <v>0</v>
      </c>
      <c r="AF149" s="397">
        <v>11428526000000</v>
      </c>
      <c r="AG149" s="397">
        <v>202181295512.99982</v>
      </c>
      <c r="AH149" s="397">
        <v>-517461250000</v>
      </c>
      <c r="AI149" s="378">
        <v>-315279954487.00018</v>
      </c>
      <c r="AJ149" s="397">
        <v>0</v>
      </c>
      <c r="AK149" s="332">
        <v>-315279954487.00018</v>
      </c>
      <c r="AL149" s="397">
        <v>-526000000</v>
      </c>
      <c r="AM149" s="332">
        <v>-315805954487.00018</v>
      </c>
      <c r="AN149" s="334">
        <v>-2.7587105676357578E-2</v>
      </c>
      <c r="AO149" s="334">
        <v>-2.7587105676357578E-2</v>
      </c>
      <c r="AP149" s="335">
        <v>-315805954487.00018</v>
      </c>
      <c r="AQ149" s="335">
        <v>-315805954487.00018</v>
      </c>
      <c r="AR149" s="335" t="s">
        <v>367</v>
      </c>
      <c r="AS149" s="334">
        <v>-2.7633130859307683E-2</v>
      </c>
      <c r="AV149" s="193" t="s">
        <v>368</v>
      </c>
    </row>
    <row r="150" spans="1:48" ht="17.25" customHeight="1">
      <c r="A150" s="400">
        <v>2023</v>
      </c>
      <c r="B150" s="400">
        <v>345</v>
      </c>
      <c r="C150" s="295" t="s">
        <v>42</v>
      </c>
      <c r="D150" s="398">
        <v>45203</v>
      </c>
      <c r="E150" s="297">
        <v>2023</v>
      </c>
      <c r="F150" s="298" t="s">
        <v>4</v>
      </c>
      <c r="G150" s="383">
        <v>45203</v>
      </c>
      <c r="H150" s="384">
        <v>151000000000</v>
      </c>
      <c r="I150" s="301">
        <v>49380000</v>
      </c>
      <c r="J150" s="301">
        <v>0</v>
      </c>
      <c r="K150" s="384">
        <v>49380000</v>
      </c>
      <c r="L150" s="300">
        <v>0</v>
      </c>
      <c r="M150" s="300">
        <v>49380000</v>
      </c>
      <c r="N150" s="300">
        <v>0</v>
      </c>
      <c r="O150" s="300">
        <v>49380000</v>
      </c>
      <c r="P150" s="302">
        <v>3.2701986754966888E-4</v>
      </c>
      <c r="Q150" s="302">
        <v>3.2701986754966888E-4</v>
      </c>
      <c r="R150" s="385">
        <v>9.847478278305245E-3</v>
      </c>
      <c r="S150" s="385">
        <v>1E-4</v>
      </c>
      <c r="T150" s="385">
        <v>0.11749999999999999</v>
      </c>
      <c r="U150" s="303">
        <v>49380000</v>
      </c>
      <c r="V150" s="303">
        <v>49380000</v>
      </c>
      <c r="W150" s="303" t="s">
        <v>367</v>
      </c>
      <c r="X150" s="302">
        <v>3.2701986754966888E-4</v>
      </c>
      <c r="Y150" s="386"/>
      <c r="Z150" s="359"/>
      <c r="AA150" s="359"/>
      <c r="AB150" s="193" t="e">
        <v>#VALUE!</v>
      </c>
      <c r="AC150" s="401">
        <v>3.2701986754966888E-4</v>
      </c>
      <c r="AD150" s="304">
        <v>151000000000</v>
      </c>
      <c r="AE150" s="304">
        <v>0</v>
      </c>
      <c r="AF150" s="397">
        <v>11579526000000</v>
      </c>
      <c r="AG150" s="397">
        <v>202230675512.99982</v>
      </c>
      <c r="AH150" s="397">
        <v>-517461250000</v>
      </c>
      <c r="AI150" s="378">
        <v>-315230574487.00018</v>
      </c>
      <c r="AJ150" s="397">
        <v>0</v>
      </c>
      <c r="AK150" s="332">
        <v>-315230574487.00018</v>
      </c>
      <c r="AL150" s="397">
        <v>-526000000</v>
      </c>
      <c r="AM150" s="332">
        <v>-315756574487.00018</v>
      </c>
      <c r="AN150" s="334">
        <v>-2.7223098293228946E-2</v>
      </c>
      <c r="AO150" s="334">
        <v>-2.7223098293228946E-2</v>
      </c>
      <c r="AP150" s="335">
        <v>-315756574487.00018</v>
      </c>
      <c r="AQ150" s="335">
        <v>-315756574487.00018</v>
      </c>
      <c r="AR150" s="335" t="s">
        <v>367</v>
      </c>
      <c r="AS150" s="334">
        <v>-2.7268523295944945E-2</v>
      </c>
      <c r="AV150" s="193" t="s">
        <v>368</v>
      </c>
    </row>
    <row r="151" spans="1:48" ht="17.25" customHeight="1">
      <c r="A151" s="400">
        <v>2023</v>
      </c>
      <c r="B151" s="400">
        <v>346</v>
      </c>
      <c r="C151" s="295" t="s">
        <v>42</v>
      </c>
      <c r="D151" s="398">
        <v>45217</v>
      </c>
      <c r="E151" s="297">
        <v>2023</v>
      </c>
      <c r="F151" s="298" t="s">
        <v>4</v>
      </c>
      <c r="G151" s="383">
        <v>45217</v>
      </c>
      <c r="H151" s="384">
        <v>50000000000</v>
      </c>
      <c r="I151" s="301">
        <v>11045000.000007629</v>
      </c>
      <c r="J151" s="301">
        <v>0</v>
      </c>
      <c r="K151" s="384">
        <v>11045000.000007629</v>
      </c>
      <c r="L151" s="300">
        <v>0</v>
      </c>
      <c r="M151" s="300">
        <v>11045000.000007629</v>
      </c>
      <c r="N151" s="300">
        <v>0</v>
      </c>
      <c r="O151" s="300">
        <v>11045000.000007629</v>
      </c>
      <c r="P151" s="302">
        <v>2.2090000000015258E-4</v>
      </c>
      <c r="Q151" s="302">
        <v>2.2090000000015258E-4</v>
      </c>
      <c r="R151" s="385">
        <v>3.2607543967898161E-3</v>
      </c>
      <c r="S151" s="385">
        <v>1E-4</v>
      </c>
      <c r="T151" s="385">
        <v>0.1163</v>
      </c>
      <c r="U151" s="303">
        <v>11045000.000007629</v>
      </c>
      <c r="V151" s="303">
        <v>11045000.000007629</v>
      </c>
      <c r="W151" s="303" t="s">
        <v>367</v>
      </c>
      <c r="X151" s="302">
        <v>2.2090000000015258E-4</v>
      </c>
      <c r="Y151" s="386"/>
      <c r="Z151" s="359"/>
      <c r="AA151" s="359"/>
      <c r="AB151" s="193" t="e">
        <v>#VALUE!</v>
      </c>
      <c r="AC151" s="401">
        <v>2.2090000000015258E-4</v>
      </c>
      <c r="AD151" s="304">
        <v>50000000000</v>
      </c>
      <c r="AE151" s="304">
        <v>0</v>
      </c>
      <c r="AF151" s="397">
        <v>11629526000000</v>
      </c>
      <c r="AG151" s="397">
        <v>202241720512.99982</v>
      </c>
      <c r="AH151" s="397">
        <v>-517461250000</v>
      </c>
      <c r="AI151" s="378">
        <v>-315219529487.00018</v>
      </c>
      <c r="AJ151" s="397">
        <v>0</v>
      </c>
      <c r="AK151" s="332">
        <v>-315219529487.00018</v>
      </c>
      <c r="AL151" s="397">
        <v>-526000000</v>
      </c>
      <c r="AM151" s="332">
        <v>-315745529487.00018</v>
      </c>
      <c r="AN151" s="334">
        <v>-2.7105105529408521E-2</v>
      </c>
      <c r="AO151" s="334">
        <v>-2.7105105529408521E-2</v>
      </c>
      <c r="AP151" s="335">
        <v>-315745529487.00018</v>
      </c>
      <c r="AQ151" s="335">
        <v>-315745529487.00018</v>
      </c>
      <c r="AR151" s="335" t="s">
        <v>367</v>
      </c>
      <c r="AS151" s="334">
        <v>-2.715033523180568E-2</v>
      </c>
      <c r="AV151" s="193" t="s">
        <v>368</v>
      </c>
    </row>
    <row r="152" spans="1:48" ht="17.25" customHeight="1">
      <c r="A152" s="400">
        <v>2023</v>
      </c>
      <c r="B152" s="400">
        <v>347</v>
      </c>
      <c r="C152" s="295" t="s">
        <v>42</v>
      </c>
      <c r="D152" s="398">
        <v>45218</v>
      </c>
      <c r="E152" s="297">
        <v>2023</v>
      </c>
      <c r="F152" s="298" t="s">
        <v>4</v>
      </c>
      <c r="G152" s="383">
        <v>45218</v>
      </c>
      <c r="H152" s="384">
        <v>202000000000</v>
      </c>
      <c r="I152" s="301">
        <v>58280000.000007629</v>
      </c>
      <c r="J152" s="301">
        <v>0</v>
      </c>
      <c r="K152" s="384">
        <v>58280000.000007629</v>
      </c>
      <c r="L152" s="300">
        <v>0</v>
      </c>
      <c r="M152" s="300">
        <v>58280000.000007629</v>
      </c>
      <c r="N152" s="300">
        <v>0</v>
      </c>
      <c r="O152" s="300">
        <v>58280000.000007629</v>
      </c>
      <c r="P152" s="302">
        <v>2.8851485148518631E-4</v>
      </c>
      <c r="Q152" s="302">
        <v>2.8851485148518631E-4</v>
      </c>
      <c r="R152" s="385">
        <v>1.3173447763030857E-2</v>
      </c>
      <c r="S152" s="385">
        <v>1E-4</v>
      </c>
      <c r="T152" s="385">
        <v>0.1163</v>
      </c>
      <c r="U152" s="303">
        <v>58280000.000007629</v>
      </c>
      <c r="V152" s="303">
        <v>58280000.000007629</v>
      </c>
      <c r="W152" s="303" t="s">
        <v>367</v>
      </c>
      <c r="X152" s="302">
        <v>2.8851485148518631E-4</v>
      </c>
      <c r="Y152" s="386"/>
      <c r="Z152" s="359"/>
      <c r="AA152" s="359"/>
      <c r="AB152" s="193" t="e">
        <v>#VALUE!</v>
      </c>
      <c r="AC152" s="401">
        <v>2.8851485148518631E-4</v>
      </c>
      <c r="AD152" s="304">
        <v>202000000000</v>
      </c>
      <c r="AE152" s="304">
        <v>0</v>
      </c>
      <c r="AF152" s="397">
        <v>11831526000000</v>
      </c>
      <c r="AG152" s="397">
        <v>202300000512.99982</v>
      </c>
      <c r="AH152" s="397">
        <v>-517461250000</v>
      </c>
      <c r="AI152" s="378">
        <v>-315161249487.00018</v>
      </c>
      <c r="AJ152" s="397">
        <v>0</v>
      </c>
      <c r="AK152" s="332">
        <v>-315161249487.00018</v>
      </c>
      <c r="AL152" s="397">
        <v>-526000000</v>
      </c>
      <c r="AM152" s="332">
        <v>-315687249487.00018</v>
      </c>
      <c r="AN152" s="334">
        <v>-2.6637413423002257E-2</v>
      </c>
      <c r="AO152" s="334">
        <v>-2.6637413423002257E-2</v>
      </c>
      <c r="AP152" s="335">
        <v>-315687249487.00018</v>
      </c>
      <c r="AQ152" s="335">
        <v>-315687249487.00018</v>
      </c>
      <c r="AR152" s="335" t="s">
        <v>367</v>
      </c>
      <c r="AS152" s="334">
        <v>-2.6681870917327162E-2</v>
      </c>
      <c r="AV152" s="193" t="s">
        <v>368</v>
      </c>
    </row>
    <row r="153" spans="1:48" ht="17.25" customHeight="1">
      <c r="A153" s="400">
        <v>2023</v>
      </c>
      <c r="B153" s="400">
        <v>348</v>
      </c>
      <c r="C153" s="295" t="s">
        <v>42</v>
      </c>
      <c r="D153" s="398">
        <v>45219</v>
      </c>
      <c r="E153" s="297">
        <v>2023</v>
      </c>
      <c r="F153" s="298" t="s">
        <v>4</v>
      </c>
      <c r="G153" s="383">
        <v>45219</v>
      </c>
      <c r="H153" s="384">
        <v>110000000000</v>
      </c>
      <c r="I153" s="301">
        <v>51759999.999984741</v>
      </c>
      <c r="J153" s="301">
        <v>0</v>
      </c>
      <c r="K153" s="384">
        <v>51759999.999984741</v>
      </c>
      <c r="L153" s="300">
        <v>0</v>
      </c>
      <c r="M153" s="300">
        <v>51759999.999984741</v>
      </c>
      <c r="N153" s="300">
        <v>0</v>
      </c>
      <c r="O153" s="300">
        <v>51759999.999984741</v>
      </c>
      <c r="P153" s="302">
        <v>4.7054545454531583E-4</v>
      </c>
      <c r="Q153" s="302">
        <v>4.7054545454531583E-4</v>
      </c>
      <c r="R153" s="385">
        <v>7.1736596729375952E-3</v>
      </c>
      <c r="S153" s="385">
        <v>1E-4</v>
      </c>
      <c r="T153" s="385">
        <v>0.1163</v>
      </c>
      <c r="U153" s="303">
        <v>51759999.999984741</v>
      </c>
      <c r="V153" s="303">
        <v>51759999.999984741</v>
      </c>
      <c r="W153" s="303" t="s">
        <v>367</v>
      </c>
      <c r="X153" s="302">
        <v>4.7054545454531583E-4</v>
      </c>
      <c r="Y153" s="386"/>
      <c r="Z153" s="359"/>
      <c r="AA153" s="359"/>
      <c r="AB153" s="193" t="e">
        <v>#VALUE!</v>
      </c>
      <c r="AC153" s="401">
        <v>4.7054545454531583E-4</v>
      </c>
      <c r="AD153" s="304">
        <v>110000000000</v>
      </c>
      <c r="AE153" s="304">
        <v>0</v>
      </c>
      <c r="AF153" s="397">
        <v>11941526000000</v>
      </c>
      <c r="AG153" s="397">
        <v>202351760512.99982</v>
      </c>
      <c r="AH153" s="397">
        <v>-517461250000</v>
      </c>
      <c r="AI153" s="378">
        <v>-315109489487.00018</v>
      </c>
      <c r="AJ153" s="397">
        <v>0</v>
      </c>
      <c r="AK153" s="332">
        <v>-315109489487.00018</v>
      </c>
      <c r="AL153" s="397">
        <v>-526000000</v>
      </c>
      <c r="AM153" s="332">
        <v>-315635489487.00018</v>
      </c>
      <c r="AN153" s="334">
        <v>-2.6387707022285108E-2</v>
      </c>
      <c r="AO153" s="334">
        <v>-2.6387707022285108E-2</v>
      </c>
      <c r="AP153" s="335">
        <v>-315635489487.00018</v>
      </c>
      <c r="AQ153" s="335">
        <v>-315635489487.00018</v>
      </c>
      <c r="AR153" s="335" t="s">
        <v>367</v>
      </c>
      <c r="AS153" s="334">
        <v>-2.6431754994043492E-2</v>
      </c>
      <c r="AV153" s="193" t="s">
        <v>368</v>
      </c>
    </row>
    <row r="154" spans="1:48" ht="17.25" customHeight="1">
      <c r="A154" s="400">
        <v>2023</v>
      </c>
      <c r="B154" s="400">
        <v>349</v>
      </c>
      <c r="C154" s="295" t="s">
        <v>42</v>
      </c>
      <c r="D154" s="398">
        <v>45222</v>
      </c>
      <c r="E154" s="297">
        <v>2023</v>
      </c>
      <c r="F154" s="298" t="s">
        <v>4</v>
      </c>
      <c r="G154" s="383">
        <v>45222</v>
      </c>
      <c r="H154" s="384">
        <v>179000000000</v>
      </c>
      <c r="I154" s="301">
        <v>76140000.000007629</v>
      </c>
      <c r="J154" s="301">
        <v>0</v>
      </c>
      <c r="K154" s="384">
        <v>76140000.000007629</v>
      </c>
      <c r="L154" s="300">
        <v>0</v>
      </c>
      <c r="M154" s="300">
        <v>76140000.000007629</v>
      </c>
      <c r="N154" s="300">
        <v>0</v>
      </c>
      <c r="O154" s="300">
        <v>76140000.000007629</v>
      </c>
      <c r="P154" s="302">
        <v>4.2536312849166273E-4</v>
      </c>
      <c r="Q154" s="302">
        <v>4.2536312849166273E-4</v>
      </c>
      <c r="R154" s="385">
        <v>1.1673500740507541E-2</v>
      </c>
      <c r="S154" s="385">
        <v>1E-4</v>
      </c>
      <c r="T154" s="385">
        <v>0.1186</v>
      </c>
      <c r="U154" s="303">
        <v>76140000.000007629</v>
      </c>
      <c r="V154" s="303">
        <v>76140000.000007629</v>
      </c>
      <c r="W154" s="303" t="s">
        <v>367</v>
      </c>
      <c r="X154" s="302">
        <v>4.2536312849166273E-4</v>
      </c>
      <c r="Y154" s="386"/>
      <c r="Z154" s="359"/>
      <c r="AA154" s="359"/>
      <c r="AB154" s="193" t="e">
        <v>#VALUE!</v>
      </c>
      <c r="AC154" s="401">
        <v>4.2536312849166273E-4</v>
      </c>
      <c r="AD154" s="304">
        <v>179000000000</v>
      </c>
      <c r="AE154" s="304">
        <v>0</v>
      </c>
      <c r="AF154" s="397">
        <v>12120526000000</v>
      </c>
      <c r="AG154" s="397">
        <v>202427900512.99982</v>
      </c>
      <c r="AH154" s="397">
        <v>-517461250000</v>
      </c>
      <c r="AI154" s="378">
        <v>-315033349487.00018</v>
      </c>
      <c r="AJ154" s="397">
        <v>0</v>
      </c>
      <c r="AK154" s="332">
        <v>-315033349487.00018</v>
      </c>
      <c r="AL154" s="397">
        <v>-526000000</v>
      </c>
      <c r="AM154" s="332">
        <v>-315559349487.00018</v>
      </c>
      <c r="AN154" s="334">
        <v>-2.5991722594134955E-2</v>
      </c>
      <c r="AO154" s="334">
        <v>-2.5991722594134955E-2</v>
      </c>
      <c r="AP154" s="335">
        <v>-315559349487.00018</v>
      </c>
      <c r="AQ154" s="335">
        <v>-315559349487.00018</v>
      </c>
      <c r="AR154" s="335" t="s">
        <v>367</v>
      </c>
      <c r="AS154" s="334">
        <v>-2.6035120050647981E-2</v>
      </c>
      <c r="AV154" s="193" t="s">
        <v>368</v>
      </c>
    </row>
    <row r="155" spans="1:48" ht="17.25" customHeight="1">
      <c r="A155" s="400">
        <v>2023</v>
      </c>
      <c r="B155" s="400">
        <v>350</v>
      </c>
      <c r="C155" s="295" t="s">
        <v>42</v>
      </c>
      <c r="D155" s="398">
        <v>45224</v>
      </c>
      <c r="E155" s="297">
        <v>2023</v>
      </c>
      <c r="F155" s="298" t="s">
        <v>4</v>
      </c>
      <c r="G155" s="383">
        <v>45224</v>
      </c>
      <c r="H155" s="384">
        <v>209000000000</v>
      </c>
      <c r="I155" s="301">
        <v>1190000</v>
      </c>
      <c r="J155" s="301">
        <v>0</v>
      </c>
      <c r="K155" s="384">
        <v>1190000</v>
      </c>
      <c r="L155" s="300">
        <v>0</v>
      </c>
      <c r="M155" s="300">
        <v>1190000</v>
      </c>
      <c r="N155" s="300">
        <v>0</v>
      </c>
      <c r="O155" s="300">
        <v>1190000</v>
      </c>
      <c r="P155" s="302">
        <v>5.6937799043062197E-6</v>
      </c>
      <c r="Q155" s="302">
        <v>5.6937799043062197E-6</v>
      </c>
      <c r="R155" s="385">
        <v>1.362995337858143E-2</v>
      </c>
      <c r="S155" s="385">
        <v>1E-4</v>
      </c>
      <c r="T155" s="385">
        <v>0.1186</v>
      </c>
      <c r="U155" s="303">
        <v>1190000</v>
      </c>
      <c r="V155" s="303">
        <v>1190000</v>
      </c>
      <c r="W155" s="303" t="s">
        <v>367</v>
      </c>
      <c r="X155" s="302">
        <v>5.6937799043062197E-6</v>
      </c>
      <c r="Y155" s="386"/>
      <c r="Z155" s="359"/>
      <c r="AA155" s="359"/>
      <c r="AB155" s="193" t="e">
        <v>#VALUE!</v>
      </c>
      <c r="AC155" s="401">
        <v>5.6937799043062197E-6</v>
      </c>
      <c r="AD155" s="304">
        <v>209000000000</v>
      </c>
      <c r="AE155" s="304">
        <v>0</v>
      </c>
      <c r="AF155" s="397">
        <v>12329526000000</v>
      </c>
      <c r="AG155" s="397">
        <v>202429090512.99982</v>
      </c>
      <c r="AH155" s="397">
        <v>-517461250000</v>
      </c>
      <c r="AI155" s="378">
        <v>-315032159487.00018</v>
      </c>
      <c r="AJ155" s="397">
        <v>0</v>
      </c>
      <c r="AK155" s="332">
        <v>-315032159487.00018</v>
      </c>
      <c r="AL155" s="397">
        <v>-526000000</v>
      </c>
      <c r="AM155" s="332">
        <v>-315558159487.00018</v>
      </c>
      <c r="AN155" s="334">
        <v>-2.5551035740303412E-2</v>
      </c>
      <c r="AO155" s="334">
        <v>-2.5551035740303412E-2</v>
      </c>
      <c r="AP155" s="335">
        <v>-315558159487.00018</v>
      </c>
      <c r="AQ155" s="335">
        <v>-315558159487.00018</v>
      </c>
      <c r="AR155" s="335" t="s">
        <v>367</v>
      </c>
      <c r="AS155" s="334">
        <v>-2.5593697558770726E-2</v>
      </c>
      <c r="AV155" s="193" t="s">
        <v>368</v>
      </c>
    </row>
    <row r="156" spans="1:48" ht="17.25" customHeight="1">
      <c r="A156" s="400">
        <v>2023</v>
      </c>
      <c r="B156" s="400">
        <v>351</v>
      </c>
      <c r="C156" s="295" t="s">
        <v>42</v>
      </c>
      <c r="D156" s="398">
        <v>45226</v>
      </c>
      <c r="E156" s="297">
        <v>2023</v>
      </c>
      <c r="F156" s="298" t="s">
        <v>4</v>
      </c>
      <c r="G156" s="383">
        <v>45226</v>
      </c>
      <c r="H156" s="384">
        <v>120000000000</v>
      </c>
      <c r="I156" s="301">
        <v>57489999.999996185</v>
      </c>
      <c r="J156" s="301">
        <v>0</v>
      </c>
      <c r="K156" s="384">
        <v>57489999.999996185</v>
      </c>
      <c r="L156" s="300">
        <v>0</v>
      </c>
      <c r="M156" s="300">
        <v>57489999.999996185</v>
      </c>
      <c r="N156" s="300">
        <v>0</v>
      </c>
      <c r="O156" s="300">
        <v>57489999.999996185</v>
      </c>
      <c r="P156" s="302">
        <v>4.7908333333330155E-4</v>
      </c>
      <c r="Q156" s="302">
        <v>4.7908333333330155E-4</v>
      </c>
      <c r="R156" s="385">
        <v>7.825810552295559E-3</v>
      </c>
      <c r="S156" s="385">
        <v>1E-4</v>
      </c>
      <c r="T156" s="385">
        <v>0.1186</v>
      </c>
      <c r="U156" s="303">
        <v>57489999.999996185</v>
      </c>
      <c r="V156" s="303">
        <v>57489999.999996185</v>
      </c>
      <c r="W156" s="303" t="s">
        <v>367</v>
      </c>
      <c r="X156" s="302">
        <v>4.7908333333330155E-4</v>
      </c>
      <c r="Y156" s="386"/>
      <c r="Z156" s="359"/>
      <c r="AA156" s="359"/>
      <c r="AB156" s="193" t="e">
        <v>#VALUE!</v>
      </c>
      <c r="AC156" s="401">
        <v>4.7908333333330155E-4</v>
      </c>
      <c r="AD156" s="304">
        <v>120000000000</v>
      </c>
      <c r="AE156" s="304">
        <v>0</v>
      </c>
      <c r="AF156" s="397">
        <v>12449526000000</v>
      </c>
      <c r="AG156" s="397">
        <v>202486580512.99982</v>
      </c>
      <c r="AH156" s="397">
        <v>-517461250000</v>
      </c>
      <c r="AI156" s="378">
        <v>-314974669487.00018</v>
      </c>
      <c r="AJ156" s="397">
        <v>0</v>
      </c>
      <c r="AK156" s="332">
        <v>-314974669487.00018</v>
      </c>
      <c r="AL156" s="397">
        <v>-526000000</v>
      </c>
      <c r="AM156" s="332">
        <v>-315500669487.00018</v>
      </c>
      <c r="AN156" s="334">
        <v>-2.5300133473917012E-2</v>
      </c>
      <c r="AO156" s="334">
        <v>-2.5300133473917012E-2</v>
      </c>
      <c r="AP156" s="335">
        <v>-315500669487.00018</v>
      </c>
      <c r="AQ156" s="335">
        <v>-315500669487.00018</v>
      </c>
      <c r="AR156" s="335" t="s">
        <v>367</v>
      </c>
      <c r="AS156" s="334">
        <v>-2.5342384078478185E-2</v>
      </c>
      <c r="AV156" s="193" t="s">
        <v>368</v>
      </c>
    </row>
    <row r="157" spans="1:48" ht="17.25" customHeight="1">
      <c r="A157" s="400">
        <v>2023</v>
      </c>
      <c r="B157" s="400">
        <v>352</v>
      </c>
      <c r="C157" s="295" t="s">
        <v>42</v>
      </c>
      <c r="D157" s="398">
        <v>45229</v>
      </c>
      <c r="E157" s="297">
        <v>2023</v>
      </c>
      <c r="F157" s="298" t="s">
        <v>4</v>
      </c>
      <c r="G157" s="383">
        <v>45229</v>
      </c>
      <c r="H157" s="384">
        <v>70500000000</v>
      </c>
      <c r="I157" s="301">
        <v>107175000</v>
      </c>
      <c r="J157" s="301">
        <v>0</v>
      </c>
      <c r="K157" s="384">
        <v>107175000</v>
      </c>
      <c r="L157" s="300">
        <v>0</v>
      </c>
      <c r="M157" s="300">
        <v>107175000</v>
      </c>
      <c r="N157" s="300">
        <v>0</v>
      </c>
      <c r="O157" s="300">
        <v>107175000</v>
      </c>
      <c r="P157" s="302">
        <v>1.5202127659574467E-3</v>
      </c>
      <c r="Q157" s="302">
        <v>1.5202127659574467E-3</v>
      </c>
      <c r="R157" s="385">
        <v>4.5976636994736406E-3</v>
      </c>
      <c r="S157" s="385"/>
      <c r="T157" s="385"/>
      <c r="U157" s="303">
        <v>107175000</v>
      </c>
      <c r="V157" s="303">
        <v>107175000</v>
      </c>
      <c r="W157" s="303" t="s">
        <v>367</v>
      </c>
      <c r="X157" s="302">
        <v>1.5202127659574467E-3</v>
      </c>
      <c r="Y157" s="386"/>
      <c r="Z157" s="359"/>
      <c r="AA157" s="359"/>
      <c r="AB157" s="193" t="e">
        <v>#VALUE!</v>
      </c>
      <c r="AC157" s="401">
        <v>1.5202127659574467E-3</v>
      </c>
      <c r="AD157" s="304">
        <v>70500000000</v>
      </c>
      <c r="AE157" s="304">
        <v>0</v>
      </c>
      <c r="AF157" s="397">
        <v>12520026000000</v>
      </c>
      <c r="AG157" s="397">
        <v>202593755512.99982</v>
      </c>
      <c r="AH157" s="397">
        <v>-517461250000</v>
      </c>
      <c r="AI157" s="378">
        <v>-314867494487.00018</v>
      </c>
      <c r="AJ157" s="397">
        <v>0</v>
      </c>
      <c r="AK157" s="332">
        <v>-314867494487.00018</v>
      </c>
      <c r="AL157" s="397">
        <v>-526000000</v>
      </c>
      <c r="AM157" s="332">
        <v>-315393494487.00018</v>
      </c>
      <c r="AN157" s="334">
        <v>-2.5149108674934077E-2</v>
      </c>
      <c r="AO157" s="334">
        <v>-2.5149108674934077E-2</v>
      </c>
      <c r="AP157" s="335">
        <v>-315393494487.00018</v>
      </c>
      <c r="AQ157" s="335">
        <v>-315393494487.00018</v>
      </c>
      <c r="AR157" s="335" t="s">
        <v>367</v>
      </c>
      <c r="AS157" s="334">
        <v>-2.5191121367239985E-2</v>
      </c>
      <c r="AV157" s="193" t="s">
        <v>368</v>
      </c>
    </row>
    <row r="158" spans="1:48" ht="17.25" customHeight="1">
      <c r="A158" s="400">
        <v>2023</v>
      </c>
      <c r="B158" s="400">
        <v>353</v>
      </c>
      <c r="C158" s="295" t="s">
        <v>42</v>
      </c>
      <c r="D158" s="398">
        <v>45230</v>
      </c>
      <c r="E158" s="297">
        <v>2023</v>
      </c>
      <c r="F158" s="298" t="s">
        <v>4</v>
      </c>
      <c r="G158" s="383">
        <v>45230</v>
      </c>
      <c r="H158" s="384">
        <v>203551600000</v>
      </c>
      <c r="I158" s="301">
        <v>10756142089.550003</v>
      </c>
      <c r="J158" s="301">
        <v>-9232537500</v>
      </c>
      <c r="K158" s="384">
        <v>1523604589.5500031</v>
      </c>
      <c r="L158" s="300">
        <v>62431000</v>
      </c>
      <c r="M158" s="300">
        <v>1586035589.5500031</v>
      </c>
      <c r="N158" s="300">
        <v>-97000</v>
      </c>
      <c r="O158" s="300">
        <v>1585938589.5500031</v>
      </c>
      <c r="P158" s="302">
        <v>7.4851024975976762E-3</v>
      </c>
      <c r="Q158" s="302">
        <v>7.7918109685701465E-3</v>
      </c>
      <c r="R158" s="385">
        <v>1.3274635493472037E-2</v>
      </c>
      <c r="S158" s="385"/>
      <c r="T158" s="385"/>
      <c r="U158" s="303">
        <v>1585938589.5500031</v>
      </c>
      <c r="V158" s="303">
        <v>1585938589.5500031</v>
      </c>
      <c r="W158" s="303" t="s">
        <v>367</v>
      </c>
      <c r="X158" s="302">
        <v>7.7913344309256376E-3</v>
      </c>
      <c r="Y158" s="386"/>
      <c r="Z158" s="359"/>
      <c r="AA158" s="359"/>
      <c r="AB158" s="193" t="e">
        <v>#VALUE!</v>
      </c>
      <c r="AC158" s="401">
        <v>5.2842336240786138E-2</v>
      </c>
      <c r="AD158" s="304">
        <v>203551600000</v>
      </c>
      <c r="AE158" s="304">
        <v>0</v>
      </c>
      <c r="AF158" s="397">
        <v>12723577600000</v>
      </c>
      <c r="AG158" s="397">
        <v>213349897602.5498</v>
      </c>
      <c r="AH158" s="397">
        <v>-526693787500</v>
      </c>
      <c r="AI158" s="378">
        <v>-313343889897.4502</v>
      </c>
      <c r="AJ158" s="397">
        <v>62431000</v>
      </c>
      <c r="AK158" s="332">
        <v>-313281458897.4502</v>
      </c>
      <c r="AL158" s="397">
        <v>-526097000</v>
      </c>
      <c r="AM158" s="332">
        <v>-313807555897.4502</v>
      </c>
      <c r="AN158" s="334">
        <v>-2.4627027063319849E-2</v>
      </c>
      <c r="AO158" s="334">
        <v>-2.4622120345888423E-2</v>
      </c>
      <c r="AP158" s="335">
        <v>-313807555897.4502</v>
      </c>
      <c r="AQ158" s="335">
        <v>-313807555897.4502</v>
      </c>
      <c r="AR158" s="335" t="s">
        <v>367</v>
      </c>
      <c r="AS158" s="334">
        <v>-2.4663468543426825E-2</v>
      </c>
      <c r="AV158" s="193" t="s">
        <v>368</v>
      </c>
    </row>
    <row r="159" spans="1:48" ht="17.25" customHeight="1">
      <c r="A159" s="400">
        <v>2024</v>
      </c>
      <c r="B159" s="400">
        <v>354</v>
      </c>
      <c r="C159" s="295" t="s">
        <v>42</v>
      </c>
      <c r="D159" s="398">
        <v>45231</v>
      </c>
      <c r="E159" s="297">
        <v>2023</v>
      </c>
      <c r="F159" s="298" t="s">
        <v>4</v>
      </c>
      <c r="G159" s="383">
        <v>45597</v>
      </c>
      <c r="H159" s="384">
        <v>200000000000</v>
      </c>
      <c r="I159" s="301">
        <v>8516311904</v>
      </c>
      <c r="J159" s="301">
        <v>-9053700000</v>
      </c>
      <c r="K159" s="384">
        <v>-537388096</v>
      </c>
      <c r="L159" s="300">
        <v>0</v>
      </c>
      <c r="M159" s="300">
        <v>-537388096</v>
      </c>
      <c r="N159" s="300">
        <v>0</v>
      </c>
      <c r="O159" s="300">
        <v>-537388096</v>
      </c>
      <c r="P159" s="302">
        <v>-2.6869404799999999E-3</v>
      </c>
      <c r="Q159" s="302">
        <v>-2.6869404799999999E-3</v>
      </c>
      <c r="R159" s="385">
        <v>1.3043017587159264E-2</v>
      </c>
      <c r="S159" s="385"/>
      <c r="T159" s="385"/>
      <c r="U159" s="303">
        <v>-537388096</v>
      </c>
      <c r="V159" s="303">
        <v>-537388096</v>
      </c>
      <c r="W159" s="303" t="s">
        <v>367</v>
      </c>
      <c r="X159" s="302">
        <v>-2.6869404799999999E-3</v>
      </c>
      <c r="Y159" s="386"/>
      <c r="Z159" s="359"/>
      <c r="AA159" s="359"/>
      <c r="AB159" s="193" t="e">
        <v>#VALUE!</v>
      </c>
      <c r="AC159" s="401">
        <v>4.2581559519999999E-2</v>
      </c>
      <c r="AD159" s="304">
        <v>200000000000</v>
      </c>
      <c r="AE159" s="304">
        <v>0</v>
      </c>
      <c r="AF159" s="397">
        <v>12923577600000</v>
      </c>
      <c r="AG159" s="397">
        <v>221866209506.5498</v>
      </c>
      <c r="AH159" s="397">
        <v>-535747487500</v>
      </c>
      <c r="AI159" s="378">
        <v>-313881277993.4502</v>
      </c>
      <c r="AJ159" s="397">
        <v>62431000</v>
      </c>
      <c r="AK159" s="332">
        <v>-313818846993.4502</v>
      </c>
      <c r="AL159" s="397">
        <v>-526097000</v>
      </c>
      <c r="AM159" s="332">
        <v>-314344943993.4502</v>
      </c>
      <c r="AN159" s="334">
        <v>-2.4287491258879444E-2</v>
      </c>
      <c r="AO159" s="334">
        <v>-2.4282660475799689E-2</v>
      </c>
      <c r="AP159" s="335">
        <v>-314344943993.4502</v>
      </c>
      <c r="AQ159" s="335">
        <v>-314344943993.4502</v>
      </c>
      <c r="AR159" s="335" t="s">
        <v>367</v>
      </c>
      <c r="AS159" s="334">
        <v>-2.4323368785548222E-2</v>
      </c>
      <c r="AV159" s="193" t="s">
        <v>368</v>
      </c>
    </row>
    <row r="160" spans="1:48" ht="17.25" customHeight="1">
      <c r="A160" s="400">
        <v>2023</v>
      </c>
      <c r="B160" s="400">
        <v>355</v>
      </c>
      <c r="C160" s="295" t="s">
        <v>42</v>
      </c>
      <c r="D160" s="398">
        <v>45232</v>
      </c>
      <c r="E160" s="297">
        <v>2023</v>
      </c>
      <c r="F160" s="298" t="s">
        <v>4</v>
      </c>
      <c r="G160" s="383">
        <v>45232</v>
      </c>
      <c r="H160" s="384">
        <v>100000000000</v>
      </c>
      <c r="I160" s="301">
        <v>2620770969</v>
      </c>
      <c r="J160" s="301">
        <v>-4478893750</v>
      </c>
      <c r="K160" s="384">
        <v>-1858122781</v>
      </c>
      <c r="L160" s="300">
        <v>0</v>
      </c>
      <c r="M160" s="300">
        <v>-1858122781</v>
      </c>
      <c r="N160" s="300">
        <v>0</v>
      </c>
      <c r="O160" s="300">
        <v>-1858122781</v>
      </c>
      <c r="P160" s="302">
        <v>-1.858122781E-2</v>
      </c>
      <c r="Q160" s="302">
        <v>-1.858122781E-2</v>
      </c>
      <c r="R160" s="385">
        <v>6.5215087935796322E-3</v>
      </c>
      <c r="S160" s="385"/>
      <c r="T160" s="385"/>
      <c r="U160" s="303">
        <v>-1858122781</v>
      </c>
      <c r="V160" s="303">
        <v>-1858122781</v>
      </c>
      <c r="W160" s="303" t="s">
        <v>367</v>
      </c>
      <c r="X160" s="302">
        <v>-1.858122781E-2</v>
      </c>
      <c r="Y160" s="386"/>
      <c r="Z160" s="359"/>
      <c r="AA160" s="359"/>
      <c r="AB160" s="193" t="e">
        <v>#VALUE!</v>
      </c>
      <c r="AC160" s="401">
        <v>2.6207709690000001E-2</v>
      </c>
      <c r="AD160" s="304">
        <v>100000000000</v>
      </c>
      <c r="AE160" s="304">
        <v>0</v>
      </c>
      <c r="AF160" s="397">
        <v>13023577600000</v>
      </c>
      <c r="AG160" s="397">
        <v>224486980475.5498</v>
      </c>
      <c r="AH160" s="397">
        <v>-540226381250</v>
      </c>
      <c r="AI160" s="378">
        <v>-315739400774.4502</v>
      </c>
      <c r="AJ160" s="397">
        <v>62431000</v>
      </c>
      <c r="AK160" s="332">
        <v>-315676969774.4502</v>
      </c>
      <c r="AL160" s="397">
        <v>-526097000</v>
      </c>
      <c r="AM160" s="332">
        <v>-316203066774.4502</v>
      </c>
      <c r="AN160" s="334">
        <v>-2.4243676389999795E-2</v>
      </c>
      <c r="AO160" s="334">
        <v>-2.4238882699516469E-2</v>
      </c>
      <c r="AP160" s="335">
        <v>-316203066774.4502</v>
      </c>
      <c r="AQ160" s="335">
        <v>-316203066774.4502</v>
      </c>
      <c r="AR160" s="335" t="s">
        <v>367</v>
      </c>
      <c r="AS160" s="334">
        <v>-2.4279278435324115E-2</v>
      </c>
      <c r="AV160" s="193" t="s">
        <v>368</v>
      </c>
    </row>
    <row r="161" spans="1:48" ht="17.25" customHeight="1">
      <c r="A161" s="400">
        <v>2023</v>
      </c>
      <c r="B161" s="400">
        <v>356</v>
      </c>
      <c r="C161" s="295" t="s">
        <v>42</v>
      </c>
      <c r="D161" s="398">
        <v>45233</v>
      </c>
      <c r="E161" s="297">
        <v>2023</v>
      </c>
      <c r="F161" s="298" t="s">
        <v>4</v>
      </c>
      <c r="G161" s="383">
        <v>45233</v>
      </c>
      <c r="H161" s="384">
        <v>200000000000</v>
      </c>
      <c r="I161" s="301">
        <v>7541190250.0000076</v>
      </c>
      <c r="J161" s="301">
        <v>-10171562500</v>
      </c>
      <c r="K161" s="384">
        <v>-2630372249.9999924</v>
      </c>
      <c r="L161" s="300">
        <v>0</v>
      </c>
      <c r="M161" s="300">
        <v>-2630372249.9999924</v>
      </c>
      <c r="N161" s="300">
        <v>0</v>
      </c>
      <c r="O161" s="300">
        <v>-2630372249.9999924</v>
      </c>
      <c r="P161" s="302">
        <v>-1.3151861249999963E-2</v>
      </c>
      <c r="Q161" s="302">
        <v>-1.3151861249999963E-2</v>
      </c>
      <c r="R161" s="385">
        <v>1.3043017587159264E-2</v>
      </c>
      <c r="S161" s="385"/>
      <c r="T161" s="385"/>
      <c r="U161" s="303">
        <v>-2630372249.9999924</v>
      </c>
      <c r="V161" s="303">
        <v>-2630372249.9999924</v>
      </c>
      <c r="W161" s="303" t="s">
        <v>367</v>
      </c>
      <c r="X161" s="302">
        <v>-1.3151861249999963E-2</v>
      </c>
      <c r="Y161" s="386"/>
      <c r="Z161" s="359"/>
      <c r="AA161" s="359"/>
      <c r="AB161" s="193" t="e">
        <v>#VALUE!</v>
      </c>
      <c r="AC161" s="401">
        <v>3.7705951250000036E-2</v>
      </c>
      <c r="AD161" s="304">
        <v>200000000000</v>
      </c>
      <c r="AE161" s="304">
        <v>0</v>
      </c>
      <c r="AF161" s="397">
        <v>13223577600000</v>
      </c>
      <c r="AG161" s="397">
        <v>232028170725.5498</v>
      </c>
      <c r="AH161" s="397">
        <v>-550397943750</v>
      </c>
      <c r="AI161" s="378">
        <v>-318369773024.4502</v>
      </c>
      <c r="AJ161" s="397">
        <v>62431000</v>
      </c>
      <c r="AK161" s="332">
        <v>-318307342024.4502</v>
      </c>
      <c r="AL161" s="397">
        <v>-526097000</v>
      </c>
      <c r="AM161" s="332">
        <v>-318833439024.4502</v>
      </c>
      <c r="AN161" s="334">
        <v>-2.4075918231420988E-2</v>
      </c>
      <c r="AO161" s="334">
        <v>-2.4071197043109588E-2</v>
      </c>
      <c r="AP161" s="335">
        <v>-318833439024.4502</v>
      </c>
      <c r="AQ161" s="335">
        <v>-318833439024.4502</v>
      </c>
      <c r="AR161" s="335" t="s">
        <v>367</v>
      </c>
      <c r="AS161" s="334">
        <v>-2.4110981813609215E-2</v>
      </c>
      <c r="AV161" s="193" t="s">
        <v>368</v>
      </c>
    </row>
    <row r="162" spans="1:48" ht="17.25" customHeight="1">
      <c r="A162" s="400">
        <v>2023</v>
      </c>
      <c r="B162" s="400">
        <v>357</v>
      </c>
      <c r="C162" s="295" t="s">
        <v>42</v>
      </c>
      <c r="D162" s="398">
        <v>45237</v>
      </c>
      <c r="E162" s="297">
        <v>2023</v>
      </c>
      <c r="F162" s="298" t="s">
        <v>4</v>
      </c>
      <c r="G162" s="383">
        <v>45237</v>
      </c>
      <c r="H162" s="384">
        <v>220000000000</v>
      </c>
      <c r="I162" s="301">
        <v>13731000000.000031</v>
      </c>
      <c r="J162" s="301">
        <v>-13750000000</v>
      </c>
      <c r="K162" s="384">
        <v>-18999999.999969482</v>
      </c>
      <c r="L162" s="300">
        <v>0</v>
      </c>
      <c r="M162" s="300">
        <v>-18999999.999969482</v>
      </c>
      <c r="N162" s="300">
        <v>0</v>
      </c>
      <c r="O162" s="300">
        <v>-18999999.999969482</v>
      </c>
      <c r="P162" s="302">
        <v>-8.636363636349765E-5</v>
      </c>
      <c r="Q162" s="302">
        <v>-8.636363636349765E-5</v>
      </c>
      <c r="R162" s="385">
        <v>1.434731934587519E-2</v>
      </c>
      <c r="S162" s="385"/>
      <c r="T162" s="385"/>
      <c r="U162" s="303">
        <v>-18999999.999969482</v>
      </c>
      <c r="V162" s="303">
        <v>-18999999.999969482</v>
      </c>
      <c r="W162" s="303" t="s">
        <v>367</v>
      </c>
      <c r="X162" s="302">
        <v>-8.636363636349765E-5</v>
      </c>
      <c r="Y162" s="386"/>
      <c r="Z162" s="359"/>
      <c r="AA162" s="359"/>
      <c r="AB162" s="193" t="e">
        <v>#VALUE!</v>
      </c>
      <c r="AC162" s="401">
        <v>6.2413636363636504E-2</v>
      </c>
      <c r="AD162" s="304">
        <v>220000000000</v>
      </c>
      <c r="AE162" s="304">
        <v>0</v>
      </c>
      <c r="AF162" s="397">
        <v>13443577600000</v>
      </c>
      <c r="AG162" s="397">
        <v>245759170725.54984</v>
      </c>
      <c r="AH162" s="397">
        <v>-564147943750</v>
      </c>
      <c r="AI162" s="378">
        <v>-318388773024.4502</v>
      </c>
      <c r="AJ162" s="397">
        <v>62431000</v>
      </c>
      <c r="AK162" s="332">
        <v>-318326342024.4502</v>
      </c>
      <c r="AL162" s="397">
        <v>-526097000</v>
      </c>
      <c r="AM162" s="332">
        <v>-318852439024.4502</v>
      </c>
      <c r="AN162" s="334">
        <v>-2.3683336571393779E-2</v>
      </c>
      <c r="AO162" s="334">
        <v>-2.3678692643872581E-2</v>
      </c>
      <c r="AP162" s="335">
        <v>-318852439024.4502</v>
      </c>
      <c r="AQ162" s="335">
        <v>-318852439024.4502</v>
      </c>
      <c r="AR162" s="335" t="s">
        <v>367</v>
      </c>
      <c r="AS162" s="334">
        <v>-2.3717826348876821E-2</v>
      </c>
      <c r="AV162" s="193" t="s">
        <v>368</v>
      </c>
    </row>
    <row r="163" spans="1:48" ht="17.25" customHeight="1">
      <c r="A163" s="400">
        <v>2023</v>
      </c>
      <c r="B163" s="400">
        <v>358</v>
      </c>
      <c r="C163" s="295" t="s">
        <v>42</v>
      </c>
      <c r="D163" s="398">
        <v>45239</v>
      </c>
      <c r="E163" s="297">
        <v>2023</v>
      </c>
      <c r="F163" s="298" t="s">
        <v>4</v>
      </c>
      <c r="G163" s="383">
        <v>45239</v>
      </c>
      <c r="H163" s="384">
        <v>100000000000</v>
      </c>
      <c r="I163" s="301">
        <v>4835488504</v>
      </c>
      <c r="J163" s="301">
        <v>-5095050000</v>
      </c>
      <c r="K163" s="384">
        <v>-259561496</v>
      </c>
      <c r="L163" s="300">
        <v>0</v>
      </c>
      <c r="M163" s="300">
        <v>-259561496</v>
      </c>
      <c r="N163" s="300">
        <v>0</v>
      </c>
      <c r="O163" s="300">
        <v>-259561496</v>
      </c>
      <c r="P163" s="302">
        <v>-2.5956149600000001E-3</v>
      </c>
      <c r="Q163" s="302">
        <v>-2.5956149600000001E-3</v>
      </c>
      <c r="R163" s="385">
        <v>6.5215087935796322E-3</v>
      </c>
      <c r="S163" s="385"/>
      <c r="T163" s="385"/>
      <c r="U163" s="303">
        <v>-259561496</v>
      </c>
      <c r="V163" s="303">
        <v>-259561496</v>
      </c>
      <c r="W163" s="303" t="s">
        <v>367</v>
      </c>
      <c r="X163" s="302">
        <v>-2.5956149600000001E-3</v>
      </c>
      <c r="Y163" s="386"/>
      <c r="Z163" s="359"/>
      <c r="AA163" s="359"/>
      <c r="AB163" s="193" t="e">
        <v>#VALUE!</v>
      </c>
      <c r="AC163" s="401">
        <v>4.8354885039999997E-2</v>
      </c>
      <c r="AD163" s="304">
        <v>100000000000</v>
      </c>
      <c r="AE163" s="304">
        <v>0</v>
      </c>
      <c r="AF163" s="397">
        <v>13543577600000</v>
      </c>
      <c r="AG163" s="397">
        <v>250594659229.54984</v>
      </c>
      <c r="AH163" s="397">
        <v>-569242993750</v>
      </c>
      <c r="AI163" s="378">
        <v>-318648334520.4502</v>
      </c>
      <c r="AJ163" s="397">
        <v>62431000</v>
      </c>
      <c r="AK163" s="332">
        <v>-318585903520.4502</v>
      </c>
      <c r="AL163" s="397">
        <v>-526097000</v>
      </c>
      <c r="AM163" s="332">
        <v>-319112000520.4502</v>
      </c>
      <c r="AN163" s="334">
        <v>-2.3527633829960128E-2</v>
      </c>
      <c r="AO163" s="334">
        <v>-2.3523024191218884E-2</v>
      </c>
      <c r="AP163" s="335">
        <v>-319112000520.4502</v>
      </c>
      <c r="AQ163" s="335">
        <v>-319112000520.4502</v>
      </c>
      <c r="AR163" s="335" t="s">
        <v>367</v>
      </c>
      <c r="AS163" s="334">
        <v>-2.3561868949637813E-2</v>
      </c>
      <c r="AV163" s="193" t="s">
        <v>368</v>
      </c>
    </row>
    <row r="164" spans="1:48" ht="17.25" customHeight="1">
      <c r="A164" s="400">
        <v>2023</v>
      </c>
      <c r="B164" s="400">
        <v>359</v>
      </c>
      <c r="C164" s="295" t="s">
        <v>42</v>
      </c>
      <c r="D164" s="398">
        <v>45244</v>
      </c>
      <c r="E164" s="297">
        <v>2023</v>
      </c>
      <c r="F164" s="298" t="s">
        <v>4</v>
      </c>
      <c r="G164" s="383">
        <v>45244</v>
      </c>
      <c r="H164" s="384">
        <v>200000000000</v>
      </c>
      <c r="I164" s="301">
        <v>8014621932</v>
      </c>
      <c r="J164" s="301">
        <v>-10175575000</v>
      </c>
      <c r="K164" s="384">
        <v>-2160953068</v>
      </c>
      <c r="L164" s="300">
        <v>0</v>
      </c>
      <c r="M164" s="300">
        <v>-2160953068</v>
      </c>
      <c r="N164" s="300">
        <v>0</v>
      </c>
      <c r="O164" s="300">
        <v>-2160953068</v>
      </c>
      <c r="P164" s="302">
        <v>-1.080476534E-2</v>
      </c>
      <c r="Q164" s="302">
        <v>-1.080476534E-2</v>
      </c>
      <c r="R164" s="385">
        <v>1.3043017587159264E-2</v>
      </c>
      <c r="S164" s="385"/>
      <c r="T164" s="385"/>
      <c r="U164" s="303">
        <v>-2160953068</v>
      </c>
      <c r="V164" s="303">
        <v>-2160953068</v>
      </c>
      <c r="W164" s="303" t="s">
        <v>367</v>
      </c>
      <c r="X164" s="302">
        <v>-1.080476534E-2</v>
      </c>
      <c r="Y164" s="386"/>
      <c r="Z164" s="359"/>
      <c r="AA164" s="359"/>
      <c r="AB164" s="193" t="e">
        <v>#VALUE!</v>
      </c>
      <c r="AC164" s="401">
        <v>4.0073109660000002E-2</v>
      </c>
      <c r="AD164" s="304">
        <v>200000000000</v>
      </c>
      <c r="AE164" s="304">
        <v>0</v>
      </c>
      <c r="AF164" s="397">
        <v>13743577600000</v>
      </c>
      <c r="AG164" s="397">
        <v>258609281161.54984</v>
      </c>
      <c r="AH164" s="397">
        <v>-579418568750</v>
      </c>
      <c r="AI164" s="378">
        <v>-320809287588.4502</v>
      </c>
      <c r="AJ164" s="397">
        <v>62431000</v>
      </c>
      <c r="AK164" s="332">
        <v>-320746856588.4502</v>
      </c>
      <c r="AL164" s="397">
        <v>-526097000</v>
      </c>
      <c r="AM164" s="332">
        <v>-321272953588.4502</v>
      </c>
      <c r="AN164" s="334">
        <v>-2.3342487445805245E-2</v>
      </c>
      <c r="AO164" s="334">
        <v>-2.3337944887687045E-2</v>
      </c>
      <c r="AP164" s="335">
        <v>-321272953588.4502</v>
      </c>
      <c r="AQ164" s="335">
        <v>-321272953588.4502</v>
      </c>
      <c r="AR164" s="335" t="s">
        <v>367</v>
      </c>
      <c r="AS164" s="334">
        <v>-2.3376224367405631E-2</v>
      </c>
      <c r="AV164" s="193" t="s">
        <v>368</v>
      </c>
    </row>
    <row r="165" spans="1:48" ht="17.25" customHeight="1">
      <c r="A165" s="400">
        <v>2023</v>
      </c>
      <c r="B165" s="400">
        <v>360</v>
      </c>
      <c r="C165" s="295" t="s">
        <v>42</v>
      </c>
      <c r="D165" s="398">
        <v>45245</v>
      </c>
      <c r="E165" s="297">
        <v>2023</v>
      </c>
      <c r="F165" s="298" t="s">
        <v>4</v>
      </c>
      <c r="G165" s="383">
        <v>45245</v>
      </c>
      <c r="H165" s="384">
        <v>200000000000</v>
      </c>
      <c r="I165" s="301">
        <v>9191469035</v>
      </c>
      <c r="J165" s="301">
        <v>-10179781250</v>
      </c>
      <c r="K165" s="384">
        <v>-988312215</v>
      </c>
      <c r="L165" s="300">
        <v>0</v>
      </c>
      <c r="M165" s="300">
        <v>-988312215</v>
      </c>
      <c r="N165" s="300">
        <v>0</v>
      </c>
      <c r="O165" s="300">
        <v>-988312215</v>
      </c>
      <c r="P165" s="302">
        <v>-4.9415610749999998E-3</v>
      </c>
      <c r="Q165" s="302">
        <v>-4.9415610749999998E-3</v>
      </c>
      <c r="R165" s="385">
        <v>1.3043017587159264E-2</v>
      </c>
      <c r="S165" s="385"/>
      <c r="T165" s="385"/>
      <c r="U165" s="303">
        <v>-988312215</v>
      </c>
      <c r="V165" s="303">
        <v>-988312215</v>
      </c>
      <c r="W165" s="303" t="s">
        <v>367</v>
      </c>
      <c r="X165" s="302">
        <v>-4.9415610749999998E-3</v>
      </c>
      <c r="Y165" s="386"/>
      <c r="Z165" s="359"/>
      <c r="AA165" s="359"/>
      <c r="AB165" s="193" t="e">
        <v>#VALUE!</v>
      </c>
      <c r="AC165" s="401">
        <v>4.5957345174999997E-2</v>
      </c>
      <c r="AD165" s="304">
        <v>200000000000</v>
      </c>
      <c r="AE165" s="304">
        <v>0</v>
      </c>
      <c r="AF165" s="397">
        <v>13943577600000</v>
      </c>
      <c r="AG165" s="397">
        <v>267800750196.54984</v>
      </c>
      <c r="AH165" s="397">
        <v>-589598350000</v>
      </c>
      <c r="AI165" s="378">
        <v>-321797599803.4502</v>
      </c>
      <c r="AJ165" s="397">
        <v>62431000</v>
      </c>
      <c r="AK165" s="332">
        <v>-321735168803.4502</v>
      </c>
      <c r="AL165" s="397">
        <v>-526097000</v>
      </c>
      <c r="AM165" s="332">
        <v>-322261265803.4502</v>
      </c>
      <c r="AN165" s="334">
        <v>-2.3078553369506129E-2</v>
      </c>
      <c r="AO165" s="334">
        <v>-2.3074075967666304E-2</v>
      </c>
      <c r="AP165" s="335">
        <v>-322261265803.4502</v>
      </c>
      <c r="AQ165" s="335">
        <v>-322261265803.4502</v>
      </c>
      <c r="AR165" s="335" t="s">
        <v>367</v>
      </c>
      <c r="AS165" s="334">
        <v>-2.3111806384858515E-2</v>
      </c>
      <c r="AV165" s="193" t="s">
        <v>368</v>
      </c>
    </row>
    <row r="166" spans="1:48" ht="17.25" customHeight="1">
      <c r="A166" s="400">
        <v>2023</v>
      </c>
      <c r="B166" s="400">
        <v>361</v>
      </c>
      <c r="C166" s="295" t="s">
        <v>42</v>
      </c>
      <c r="D166" s="398">
        <v>45246</v>
      </c>
      <c r="E166" s="297">
        <v>2023</v>
      </c>
      <c r="F166" s="298" t="s">
        <v>4</v>
      </c>
      <c r="G166" s="383">
        <v>45246</v>
      </c>
      <c r="H166" s="384">
        <v>200000000000</v>
      </c>
      <c r="I166" s="301">
        <v>5156685159.9999771</v>
      </c>
      <c r="J166" s="301">
        <v>-10130337500</v>
      </c>
      <c r="K166" s="384">
        <v>-4973652340.0000229</v>
      </c>
      <c r="L166" s="300">
        <v>0</v>
      </c>
      <c r="M166" s="300">
        <v>-4973652340.0000229</v>
      </c>
      <c r="N166" s="300">
        <v>0</v>
      </c>
      <c r="O166" s="300">
        <v>-4973652340.0000229</v>
      </c>
      <c r="P166" s="302">
        <v>-2.4868261700000116E-2</v>
      </c>
      <c r="Q166" s="302">
        <v>-2.4868261700000116E-2</v>
      </c>
      <c r="R166" s="385">
        <v>1.3043017587159264E-2</v>
      </c>
      <c r="S166" s="385"/>
      <c r="T166" s="385"/>
      <c r="U166" s="303">
        <v>-4973652340.0000229</v>
      </c>
      <c r="V166" s="303">
        <v>-4973652340.0000229</v>
      </c>
      <c r="W166" s="303" t="s">
        <v>367</v>
      </c>
      <c r="X166" s="302">
        <v>-2.4868261700000116E-2</v>
      </c>
      <c r="Y166" s="386"/>
      <c r="Z166" s="359"/>
      <c r="AA166" s="359"/>
      <c r="AB166" s="193" t="e">
        <v>#VALUE!</v>
      </c>
      <c r="AC166" s="401">
        <v>2.5783425799999884E-2</v>
      </c>
      <c r="AD166" s="304">
        <v>200000000000</v>
      </c>
      <c r="AE166" s="304">
        <v>0</v>
      </c>
      <c r="AF166" s="397">
        <v>14143577600000</v>
      </c>
      <c r="AG166" s="397">
        <v>272957435356.5498</v>
      </c>
      <c r="AH166" s="397">
        <v>-599728687500</v>
      </c>
      <c r="AI166" s="378">
        <v>-326771252143.4502</v>
      </c>
      <c r="AJ166" s="397">
        <v>62431000</v>
      </c>
      <c r="AK166" s="332">
        <v>-326708821143.4502</v>
      </c>
      <c r="AL166" s="397">
        <v>-526097000</v>
      </c>
      <c r="AM166" s="332">
        <v>-327234918143.4502</v>
      </c>
      <c r="AN166" s="334">
        <v>-2.3103861086989065E-2</v>
      </c>
      <c r="AO166" s="334">
        <v>-2.3099446998717649E-2</v>
      </c>
      <c r="AP166" s="335">
        <v>-327234918143.4502</v>
      </c>
      <c r="AQ166" s="335">
        <v>-327234918143.4502</v>
      </c>
      <c r="AR166" s="335" t="s">
        <v>367</v>
      </c>
      <c r="AS166" s="334">
        <v>-2.3136643881633612E-2</v>
      </c>
      <c r="AV166" s="193" t="s">
        <v>368</v>
      </c>
    </row>
    <row r="167" spans="1:48" ht="17.25" customHeight="1">
      <c r="A167" s="400">
        <v>2023</v>
      </c>
      <c r="B167" s="400">
        <v>362</v>
      </c>
      <c r="C167" s="295" t="s">
        <v>42</v>
      </c>
      <c r="D167" s="398">
        <v>45252</v>
      </c>
      <c r="E167" s="297">
        <v>2023</v>
      </c>
      <c r="F167" s="298" t="s">
        <v>4</v>
      </c>
      <c r="G167" s="383">
        <v>45252</v>
      </c>
      <c r="H167" s="384">
        <v>200000000000</v>
      </c>
      <c r="I167" s="301">
        <v>7652526975.9999695</v>
      </c>
      <c r="J167" s="301">
        <v>-10069600000</v>
      </c>
      <c r="K167" s="384">
        <v>-2417073024.0000305</v>
      </c>
      <c r="L167" s="300">
        <v>0</v>
      </c>
      <c r="M167" s="300">
        <v>-2417073024.0000305</v>
      </c>
      <c r="N167" s="300">
        <v>0</v>
      </c>
      <c r="O167" s="300">
        <v>-2417073024.0000305</v>
      </c>
      <c r="P167" s="302">
        <v>-1.2085365120000153E-2</v>
      </c>
      <c r="Q167" s="302">
        <v>-1.2085365120000153E-2</v>
      </c>
      <c r="R167" s="385">
        <v>1.3043017587159264E-2</v>
      </c>
      <c r="S167" s="385"/>
      <c r="T167" s="385"/>
      <c r="U167" s="303">
        <v>-2417073024.0000305</v>
      </c>
      <c r="V167" s="303">
        <v>-2417073024.0000305</v>
      </c>
      <c r="W167" s="303" t="s">
        <v>367</v>
      </c>
      <c r="X167" s="302">
        <v>-1.2085365120000153E-2</v>
      </c>
      <c r="Y167" s="386"/>
      <c r="Z167" s="359"/>
      <c r="AA167" s="359"/>
      <c r="AB167" s="193" t="e">
        <v>#VALUE!</v>
      </c>
      <c r="AC167" s="401">
        <v>3.8262634879999848E-2</v>
      </c>
      <c r="AD167" s="304">
        <v>200000000000</v>
      </c>
      <c r="AE167" s="304">
        <v>0</v>
      </c>
      <c r="AF167" s="397">
        <v>14343577600000</v>
      </c>
      <c r="AG167" s="397">
        <v>280609962332.5498</v>
      </c>
      <c r="AH167" s="397">
        <v>-609798287500</v>
      </c>
      <c r="AI167" s="378">
        <v>-329188325167.4502</v>
      </c>
      <c r="AJ167" s="397">
        <v>62431000</v>
      </c>
      <c r="AK167" s="332">
        <v>-329125894167.4502</v>
      </c>
      <c r="AL167" s="397">
        <v>-526097000</v>
      </c>
      <c r="AM167" s="332">
        <v>-329651991167.4502</v>
      </c>
      <c r="AN167" s="334">
        <v>-2.2950224438249647E-2</v>
      </c>
      <c r="AO167" s="334">
        <v>-2.2945871897918284E-2</v>
      </c>
      <c r="AP167" s="335">
        <v>-329651991167.4502</v>
      </c>
      <c r="AQ167" s="335">
        <v>-329651991167.4502</v>
      </c>
      <c r="AR167" s="335" t="s">
        <v>367</v>
      </c>
      <c r="AS167" s="334">
        <v>-2.2982550125252587E-2</v>
      </c>
      <c r="AV167" s="193" t="s">
        <v>368</v>
      </c>
    </row>
    <row r="168" spans="1:48" ht="17.25" customHeight="1">
      <c r="A168" s="400">
        <v>2023</v>
      </c>
      <c r="B168" s="400">
        <v>363</v>
      </c>
      <c r="C168" s="295" t="s">
        <v>42</v>
      </c>
      <c r="D168" s="398">
        <v>45258</v>
      </c>
      <c r="E168" s="297">
        <v>2023</v>
      </c>
      <c r="F168" s="298" t="s">
        <v>4</v>
      </c>
      <c r="G168" s="383">
        <v>45258</v>
      </c>
      <c r="H168" s="384">
        <v>330000000000</v>
      </c>
      <c r="I168" s="301">
        <v>245835000</v>
      </c>
      <c r="J168" s="301">
        <v>0</v>
      </c>
      <c r="K168" s="384">
        <v>245835000</v>
      </c>
      <c r="L168" s="300">
        <v>0</v>
      </c>
      <c r="M168" s="300">
        <v>245835000</v>
      </c>
      <c r="N168" s="300">
        <v>-20500000000</v>
      </c>
      <c r="O168" s="300">
        <v>-20254165000</v>
      </c>
      <c r="P168" s="302">
        <v>7.449545454545455E-4</v>
      </c>
      <c r="Q168" s="302">
        <v>7.449545454545455E-4</v>
      </c>
      <c r="R168" s="385">
        <v>2.1520979018812787E-2</v>
      </c>
      <c r="S168" s="385"/>
      <c r="T168" s="385"/>
      <c r="U168" s="303">
        <v>-20254165000</v>
      </c>
      <c r="V168" s="303">
        <v>-20254165000</v>
      </c>
      <c r="W168" s="303" t="s">
        <v>367</v>
      </c>
      <c r="X168" s="302">
        <v>-6.1376257575757577E-2</v>
      </c>
      <c r="Y168" s="386"/>
      <c r="Z168" s="359"/>
      <c r="AA168" s="359"/>
      <c r="AB168" s="193" t="e">
        <v>#VALUE!</v>
      </c>
      <c r="AC168" s="401">
        <v>7.449545454545455E-4</v>
      </c>
      <c r="AD168" s="304">
        <v>330000000000</v>
      </c>
      <c r="AE168" s="304">
        <v>0</v>
      </c>
      <c r="AF168" s="397">
        <v>14673577600000</v>
      </c>
      <c r="AG168" s="397">
        <v>280855797332.5498</v>
      </c>
      <c r="AH168" s="397">
        <v>-609798287500</v>
      </c>
      <c r="AI168" s="378">
        <v>-328942490167.4502</v>
      </c>
      <c r="AJ168" s="397">
        <v>62431000</v>
      </c>
      <c r="AK168" s="332">
        <v>-328880059167.4502</v>
      </c>
      <c r="AL168" s="397">
        <v>-21026097000</v>
      </c>
      <c r="AM168" s="332">
        <v>-349906156167.4502</v>
      </c>
      <c r="AN168" s="334">
        <v>-2.2417334009086524E-2</v>
      </c>
      <c r="AO168" s="334">
        <v>-2.2413079354788718E-2</v>
      </c>
      <c r="AP168" s="335">
        <v>-349906156167.4502</v>
      </c>
      <c r="AQ168" s="335">
        <v>-349906156167.4502</v>
      </c>
      <c r="AR168" s="335" t="s">
        <v>367</v>
      </c>
      <c r="AS168" s="334">
        <v>-2.3846001684514225E-2</v>
      </c>
      <c r="AV168" s="193" t="s">
        <v>368</v>
      </c>
    </row>
    <row r="169" spans="1:48" ht="17.25" customHeight="1">
      <c r="A169" s="400">
        <v>2023</v>
      </c>
      <c r="B169" s="400">
        <v>364</v>
      </c>
      <c r="C169" s="295" t="s">
        <v>42</v>
      </c>
      <c r="D169" s="398">
        <v>45259</v>
      </c>
      <c r="E169" s="297">
        <v>2023</v>
      </c>
      <c r="F169" s="298" t="s">
        <v>4</v>
      </c>
      <c r="G169" s="383">
        <v>45259</v>
      </c>
      <c r="H169" s="384">
        <v>300000000000</v>
      </c>
      <c r="I169" s="301">
        <v>488200000</v>
      </c>
      <c r="J169" s="301">
        <v>0</v>
      </c>
      <c r="K169" s="384">
        <v>488200000</v>
      </c>
      <c r="L169" s="300">
        <v>0</v>
      </c>
      <c r="M169" s="300">
        <v>488200000</v>
      </c>
      <c r="N169" s="300">
        <v>0</v>
      </c>
      <c r="O169" s="300">
        <v>488200000</v>
      </c>
      <c r="P169" s="302">
        <v>1.6273333333333333E-3</v>
      </c>
      <c r="Q169" s="302">
        <v>1.6273333333333333E-3</v>
      </c>
      <c r="R169" s="385">
        <v>1.9564526380738897E-2</v>
      </c>
      <c r="S169" s="385"/>
      <c r="T169" s="385"/>
      <c r="U169" s="303">
        <v>488200000</v>
      </c>
      <c r="V169" s="303">
        <v>488200000</v>
      </c>
      <c r="W169" s="303" t="s">
        <v>367</v>
      </c>
      <c r="X169" s="302">
        <v>1.6273333333333333E-3</v>
      </c>
      <c r="Y169" s="386"/>
      <c r="Z169" s="359"/>
      <c r="AA169" s="359"/>
      <c r="AB169" s="193" t="e">
        <v>#VALUE!</v>
      </c>
      <c r="AC169" s="401">
        <v>1.6273333333333333E-3</v>
      </c>
      <c r="AD169" s="304">
        <v>300000000000</v>
      </c>
      <c r="AE169" s="304">
        <v>0</v>
      </c>
      <c r="AF169" s="397">
        <v>14973577600000</v>
      </c>
      <c r="AG169" s="397">
        <v>281343997332.5498</v>
      </c>
      <c r="AH169" s="397">
        <v>-609798287500</v>
      </c>
      <c r="AI169" s="378">
        <v>-328454290167.4502</v>
      </c>
      <c r="AJ169" s="397">
        <v>62431000</v>
      </c>
      <c r="AK169" s="332">
        <v>-328391859167.4502</v>
      </c>
      <c r="AL169" s="397">
        <v>-21026097000</v>
      </c>
      <c r="AM169" s="332">
        <v>-349417956167.4502</v>
      </c>
      <c r="AN169" s="334">
        <v>-2.1935592077036433E-2</v>
      </c>
      <c r="AO169" s="334">
        <v>-2.1931422665979985E-2</v>
      </c>
      <c r="AP169" s="335">
        <v>-349417956167.4502</v>
      </c>
      <c r="AQ169" s="335">
        <v>-349417956167.4502</v>
      </c>
      <c r="AR169" s="335" t="s">
        <v>367</v>
      </c>
      <c r="AS169" s="334">
        <v>-2.3335635978368335E-2</v>
      </c>
      <c r="AV169" s="193" t="s">
        <v>368</v>
      </c>
    </row>
    <row r="170" spans="1:48" ht="17.25" customHeight="1">
      <c r="A170" s="400">
        <v>2023</v>
      </c>
      <c r="B170" s="400">
        <v>365</v>
      </c>
      <c r="C170" s="295" t="s">
        <v>42</v>
      </c>
      <c r="D170" s="398">
        <v>45264</v>
      </c>
      <c r="E170" s="297">
        <v>2023</v>
      </c>
      <c r="F170" s="298" t="s">
        <v>4</v>
      </c>
      <c r="G170" s="383">
        <v>45264</v>
      </c>
      <c r="H170" s="384">
        <v>200297300000</v>
      </c>
      <c r="I170" s="301">
        <v>72329</v>
      </c>
      <c r="J170" s="301">
        <v>0</v>
      </c>
      <c r="K170" s="384">
        <v>72329</v>
      </c>
      <c r="L170" s="300">
        <v>0</v>
      </c>
      <c r="M170" s="300">
        <v>72329</v>
      </c>
      <c r="N170" s="300">
        <v>-297300000</v>
      </c>
      <c r="O170" s="300">
        <v>-297227671</v>
      </c>
      <c r="P170" s="302">
        <v>3.6110821264190778E-7</v>
      </c>
      <c r="Q170" s="302">
        <v>3.6110821264190778E-7</v>
      </c>
      <c r="R170" s="385">
        <v>1.3062406032802577E-2</v>
      </c>
      <c r="S170" s="385"/>
      <c r="T170" s="385"/>
      <c r="U170" s="303">
        <v>-297227671</v>
      </c>
      <c r="V170" s="303">
        <v>-297227671</v>
      </c>
      <c r="W170" s="303" t="s">
        <v>367</v>
      </c>
      <c r="X170" s="302">
        <v>-1.4839324893545745E-3</v>
      </c>
      <c r="Y170" s="386"/>
      <c r="Z170" s="359"/>
      <c r="AA170" s="359"/>
      <c r="AB170" s="193" t="e">
        <v>#VALUE!</v>
      </c>
      <c r="AC170" s="401">
        <v>3.6110821264190778E-7</v>
      </c>
      <c r="AD170" s="304">
        <v>200297300000</v>
      </c>
      <c r="AE170" s="304">
        <v>0</v>
      </c>
      <c r="AF170" s="397">
        <v>15173874900000</v>
      </c>
      <c r="AG170" s="397">
        <v>281344069661.5498</v>
      </c>
      <c r="AH170" s="397">
        <v>-609798287500</v>
      </c>
      <c r="AI170" s="378">
        <v>-328454217838.4502</v>
      </c>
      <c r="AJ170" s="397">
        <v>62431000</v>
      </c>
      <c r="AK170" s="332">
        <v>-328391786838.4502</v>
      </c>
      <c r="AL170" s="397">
        <v>-21323397000</v>
      </c>
      <c r="AM170" s="332">
        <v>-349715183838.4502</v>
      </c>
      <c r="AN170" s="334">
        <v>-2.1646034384957939E-2</v>
      </c>
      <c r="AO170" s="334">
        <v>-2.1641920010718567E-2</v>
      </c>
      <c r="AP170" s="335">
        <v>-349715183838.4502</v>
      </c>
      <c r="AQ170" s="335">
        <v>-349715183838.4502</v>
      </c>
      <c r="AR170" s="335" t="s">
        <v>367</v>
      </c>
      <c r="AS170" s="334">
        <v>-2.3047190394224891E-2</v>
      </c>
      <c r="AV170" s="193" t="s">
        <v>368</v>
      </c>
    </row>
    <row r="171" spans="1:48" ht="17.25" customHeight="1">
      <c r="A171" s="400">
        <v>2023</v>
      </c>
      <c r="B171" s="400">
        <v>366</v>
      </c>
      <c r="C171" s="295" t="s">
        <v>42</v>
      </c>
      <c r="D171" s="398">
        <v>45265</v>
      </c>
      <c r="E171" s="297">
        <v>2023</v>
      </c>
      <c r="F171" s="298" t="s">
        <v>4</v>
      </c>
      <c r="G171" s="383">
        <v>45265</v>
      </c>
      <c r="H171" s="384">
        <v>360000000000</v>
      </c>
      <c r="I171" s="301">
        <v>352606630</v>
      </c>
      <c r="J171" s="301">
        <v>0</v>
      </c>
      <c r="K171" s="384">
        <v>352606630</v>
      </c>
      <c r="L171" s="300">
        <v>0</v>
      </c>
      <c r="M171" s="300">
        <v>352606630</v>
      </c>
      <c r="N171" s="300">
        <v>0</v>
      </c>
      <c r="O171" s="300">
        <v>352606630</v>
      </c>
      <c r="P171" s="302">
        <v>9.7946286111111119E-4</v>
      </c>
      <c r="Q171" s="302">
        <v>9.7946286111111119E-4</v>
      </c>
      <c r="R171" s="385">
        <v>2.3477431656886674E-2</v>
      </c>
      <c r="S171" s="385"/>
      <c r="T171" s="385"/>
      <c r="U171" s="303">
        <v>352606630</v>
      </c>
      <c r="V171" s="303">
        <v>352606630</v>
      </c>
      <c r="W171" s="303" t="s">
        <v>367</v>
      </c>
      <c r="X171" s="302">
        <v>9.7946286111111119E-4</v>
      </c>
      <c r="Y171" s="386"/>
      <c r="Z171" s="359"/>
      <c r="AA171" s="359"/>
      <c r="AB171" s="193" t="e">
        <v>#VALUE!</v>
      </c>
      <c r="AC171" s="401">
        <v>9.7946286111111119E-4</v>
      </c>
      <c r="AD171" s="304">
        <v>360000000000</v>
      </c>
      <c r="AE171" s="304">
        <v>0</v>
      </c>
      <c r="AF171" s="397">
        <v>15533874900000</v>
      </c>
      <c r="AG171" s="397">
        <v>281696676291.5498</v>
      </c>
      <c r="AH171" s="397">
        <v>-609798287500</v>
      </c>
      <c r="AI171" s="378">
        <v>-328101611208.4502</v>
      </c>
      <c r="AJ171" s="397">
        <v>62431000</v>
      </c>
      <c r="AK171" s="332">
        <v>-328039180208.4502</v>
      </c>
      <c r="AL171" s="397">
        <v>-21323397000</v>
      </c>
      <c r="AM171" s="332">
        <v>-349362577208.4502</v>
      </c>
      <c r="AN171" s="334">
        <v>-2.1121684918967012E-2</v>
      </c>
      <c r="AO171" s="334">
        <v>-2.1117665895999341E-2</v>
      </c>
      <c r="AP171" s="335">
        <v>-349362577208.4502</v>
      </c>
      <c r="AQ171" s="335">
        <v>-349362577208.4502</v>
      </c>
      <c r="AR171" s="335" t="s">
        <v>367</v>
      </c>
      <c r="AS171" s="334">
        <v>-2.2490368916801961E-2</v>
      </c>
      <c r="AV171" s="193" t="s">
        <v>368</v>
      </c>
    </row>
    <row r="172" spans="1:48" ht="17.25" customHeight="1">
      <c r="A172" s="400">
        <v>2024</v>
      </c>
      <c r="B172" s="400">
        <v>367</v>
      </c>
      <c r="C172" s="295" t="s">
        <v>42</v>
      </c>
      <c r="D172" s="398">
        <v>45341</v>
      </c>
      <c r="E172" s="297">
        <v>2024</v>
      </c>
      <c r="F172" s="298" t="s">
        <v>4</v>
      </c>
      <c r="G172" s="383">
        <v>45341</v>
      </c>
      <c r="H172" s="384">
        <v>60000000000</v>
      </c>
      <c r="I172" s="301">
        <v>-1210919999.9999924</v>
      </c>
      <c r="J172" s="301">
        <v>-1850000000</v>
      </c>
      <c r="K172" s="384">
        <v>-3060919999.9999924</v>
      </c>
      <c r="L172" s="300">
        <v>0</v>
      </c>
      <c r="M172" s="300">
        <v>-3060919999.9999924</v>
      </c>
      <c r="N172" s="300">
        <v>0</v>
      </c>
      <c r="O172" s="300">
        <v>-3060919999.9999924</v>
      </c>
      <c r="P172" s="302">
        <v>-5.1015333333333204E-2</v>
      </c>
      <c r="Q172" s="302">
        <v>-5.1015333333333204E-2</v>
      </c>
      <c r="R172" s="385">
        <v>3.9129052761477795E-3</v>
      </c>
      <c r="S172" s="385"/>
      <c r="T172" s="385"/>
      <c r="U172" s="303">
        <v>-3060919999.9999924</v>
      </c>
      <c r="V172" s="303">
        <v>-3060919999.9999924</v>
      </c>
      <c r="W172" s="303" t="s">
        <v>367</v>
      </c>
      <c r="X172" s="302">
        <v>-5.1015333333333204E-2</v>
      </c>
      <c r="Y172" s="386"/>
      <c r="Z172" s="359"/>
      <c r="AA172" s="359"/>
      <c r="AB172" s="193" t="e">
        <v>#VALUE!</v>
      </c>
      <c r="AC172" s="401">
        <v>-2.0181999999999874E-2</v>
      </c>
      <c r="AD172" s="304">
        <v>60000000000</v>
      </c>
      <c r="AE172" s="304">
        <v>0</v>
      </c>
      <c r="AM172" s="332">
        <v>0</v>
      </c>
      <c r="AN172" s="334" t="e">
        <v>#DIV/0!</v>
      </c>
      <c r="AO172" s="334" t="e">
        <v>#DIV/0!</v>
      </c>
      <c r="AV172" s="193" t="s">
        <v>368</v>
      </c>
    </row>
    <row r="173" spans="1:48" ht="17.25" customHeight="1">
      <c r="A173" s="400">
        <v>2024</v>
      </c>
      <c r="B173" s="400">
        <v>368</v>
      </c>
      <c r="C173" s="295" t="s">
        <v>42</v>
      </c>
      <c r="D173" s="398">
        <v>45341</v>
      </c>
      <c r="E173" s="297">
        <v>2024</v>
      </c>
      <c r="F173" s="298" t="s">
        <v>6</v>
      </c>
      <c r="G173" s="383">
        <v>45341</v>
      </c>
      <c r="H173" s="384">
        <v>21642852000</v>
      </c>
      <c r="I173" s="301">
        <v>1879681696.2000008</v>
      </c>
      <c r="J173" s="301">
        <v>-108214260.00000012</v>
      </c>
      <c r="K173" s="384">
        <v>1771467436.2000008</v>
      </c>
      <c r="L173" s="300">
        <v>0</v>
      </c>
      <c r="M173" s="300">
        <v>1771467436.2000008</v>
      </c>
      <c r="N173" s="300">
        <v>0</v>
      </c>
      <c r="O173" s="300">
        <v>1771467436.2000008</v>
      </c>
      <c r="P173" s="302">
        <v>8.1850000000000034E-2</v>
      </c>
      <c r="Q173" s="302">
        <v>8.1850000000000034E-2</v>
      </c>
      <c r="R173" s="385">
        <v>1.4114404963614252E-3</v>
      </c>
      <c r="S173" s="385"/>
      <c r="T173" s="385"/>
      <c r="U173" s="303">
        <v>1771467436.2000008</v>
      </c>
      <c r="V173" s="303">
        <v>1771467436.2000008</v>
      </c>
      <c r="W173" s="303" t="s">
        <v>367</v>
      </c>
      <c r="X173" s="302">
        <v>8.1850000000000034E-2</v>
      </c>
      <c r="Y173" s="386"/>
      <c r="Z173" s="359"/>
      <c r="AA173" s="359"/>
      <c r="AB173" s="193" t="e">
        <v>#VALUE!</v>
      </c>
      <c r="AC173" s="401">
        <v>8.6850000000000038E-2</v>
      </c>
      <c r="AD173" s="304">
        <v>0</v>
      </c>
      <c r="AE173" s="304">
        <v>21642852000</v>
      </c>
      <c r="AM173" s="332">
        <v>0</v>
      </c>
      <c r="AN173" s="334" t="e">
        <v>#DIV/0!</v>
      </c>
      <c r="AO173" s="334" t="e">
        <v>#DIV/0!</v>
      </c>
      <c r="AV173" s="193" t="s">
        <v>368</v>
      </c>
    </row>
    <row r="174" spans="1:48" ht="17.25" customHeight="1">
      <c r="A174" s="400">
        <v>2024</v>
      </c>
      <c r="B174" s="400">
        <v>369</v>
      </c>
      <c r="C174" s="295" t="s">
        <v>42</v>
      </c>
      <c r="D174" s="402">
        <v>45342</v>
      </c>
      <c r="E174" s="297">
        <v>2024</v>
      </c>
      <c r="F174" s="298" t="s">
        <v>4</v>
      </c>
      <c r="G174" s="383">
        <v>45342</v>
      </c>
      <c r="H174" s="384">
        <v>210000000000</v>
      </c>
      <c r="I174" s="301">
        <v>-2214340000</v>
      </c>
      <c r="J174" s="301">
        <v>-7775000000</v>
      </c>
      <c r="K174" s="384">
        <v>-9989340000</v>
      </c>
      <c r="L174" s="300">
        <v>0</v>
      </c>
      <c r="M174" s="300">
        <v>-9989340000</v>
      </c>
      <c r="N174" s="300">
        <v>0</v>
      </c>
      <c r="O174" s="300">
        <v>-9989340000</v>
      </c>
      <c r="P174" s="302">
        <v>-4.7568285714285716E-2</v>
      </c>
      <c r="Q174" s="302">
        <v>-4.7568285714285716E-2</v>
      </c>
      <c r="R174" s="385">
        <v>1.3695168466517227E-2</v>
      </c>
      <c r="S174" s="385"/>
      <c r="T174" s="385"/>
      <c r="U174" s="303">
        <v>-9989340000</v>
      </c>
      <c r="V174" s="303">
        <v>-9989340000</v>
      </c>
      <c r="W174" s="303" t="s">
        <v>367</v>
      </c>
      <c r="X174" s="302">
        <v>-4.7568285714285716E-2</v>
      </c>
      <c r="Y174" s="386"/>
      <c r="Z174" s="359"/>
      <c r="AA174" s="359"/>
      <c r="AB174" s="193" t="e">
        <v>#VALUE!</v>
      </c>
      <c r="AC174" s="401">
        <v>-1.0544476190476191E-2</v>
      </c>
      <c r="AD174" s="304">
        <v>210000000000</v>
      </c>
      <c r="AE174" s="304">
        <v>0</v>
      </c>
      <c r="AM174" s="332">
        <v>0</v>
      </c>
      <c r="AN174" s="334" t="e">
        <v>#DIV/0!</v>
      </c>
      <c r="AO174" s="334" t="e">
        <v>#DIV/0!</v>
      </c>
      <c r="AV174" s="193" t="s">
        <v>368</v>
      </c>
    </row>
    <row r="175" spans="1:48" ht="17.25" customHeight="1">
      <c r="A175" s="400">
        <v>2024</v>
      </c>
      <c r="B175" s="400">
        <v>370</v>
      </c>
      <c r="C175" s="295" t="s">
        <v>42</v>
      </c>
      <c r="D175" s="402">
        <v>45342</v>
      </c>
      <c r="E175" s="297">
        <v>2024</v>
      </c>
      <c r="F175" s="298" t="s">
        <v>6</v>
      </c>
      <c r="G175" s="383">
        <v>45342</v>
      </c>
      <c r="H175" s="384">
        <v>28866248000</v>
      </c>
      <c r="I175" s="301">
        <v>2501116057.9599991</v>
      </c>
      <c r="J175" s="301">
        <v>-144331240.00000012</v>
      </c>
      <c r="K175" s="384">
        <v>2356784817.9599991</v>
      </c>
      <c r="L175" s="300">
        <v>0</v>
      </c>
      <c r="M175" s="300">
        <v>2356784817.9599991</v>
      </c>
      <c r="N175" s="300">
        <v>0</v>
      </c>
      <c r="O175" s="300">
        <v>2356784817.9599991</v>
      </c>
      <c r="P175" s="302">
        <v>8.1644999999999968E-2</v>
      </c>
      <c r="Q175" s="302">
        <v>8.1644999999999968E-2</v>
      </c>
      <c r="R175" s="385">
        <v>1.8825149016965046E-3</v>
      </c>
      <c r="S175" s="385"/>
      <c r="T175" s="385"/>
      <c r="U175" s="303">
        <v>2356784817.9599991</v>
      </c>
      <c r="V175" s="303">
        <v>2356784817.9599991</v>
      </c>
      <c r="W175" s="303" t="s">
        <v>367</v>
      </c>
      <c r="X175" s="302">
        <v>8.1644999999999968E-2</v>
      </c>
      <c r="Y175" s="386"/>
      <c r="Z175" s="359"/>
      <c r="AA175" s="359"/>
      <c r="AB175" s="193" t="e">
        <v>#VALUE!</v>
      </c>
      <c r="AC175" s="401">
        <v>8.6644999999999972E-2</v>
      </c>
      <c r="AD175" s="304">
        <v>0</v>
      </c>
      <c r="AE175" s="304">
        <v>28866248000</v>
      </c>
      <c r="AM175" s="332">
        <v>0</v>
      </c>
      <c r="AN175" s="334" t="e">
        <v>#DIV/0!</v>
      </c>
      <c r="AO175" s="334" t="e">
        <v>#DIV/0!</v>
      </c>
      <c r="AV175" s="193" t="s">
        <v>368</v>
      </c>
    </row>
    <row r="176" spans="1:48" ht="17.25" customHeight="1">
      <c r="A176" s="400">
        <v>2024</v>
      </c>
      <c r="B176" s="400">
        <v>371</v>
      </c>
      <c r="C176" s="295" t="s">
        <v>42</v>
      </c>
      <c r="D176" s="398">
        <v>45343</v>
      </c>
      <c r="E176" s="297">
        <v>2024</v>
      </c>
      <c r="F176" s="298" t="s">
        <v>4</v>
      </c>
      <c r="G176" s="383">
        <v>45343</v>
      </c>
      <c r="H176" s="384">
        <v>200000000000</v>
      </c>
      <c r="I176" s="301">
        <v>-1849800000</v>
      </c>
      <c r="J176" s="301">
        <v>-5550000000</v>
      </c>
      <c r="K176" s="384">
        <v>-7399800000</v>
      </c>
      <c r="L176" s="300">
        <v>0</v>
      </c>
      <c r="M176" s="300">
        <v>-7399800000</v>
      </c>
      <c r="N176" s="300">
        <v>0</v>
      </c>
      <c r="O176" s="300">
        <v>-7399800000</v>
      </c>
      <c r="P176" s="302">
        <v>-3.6998999999999997E-2</v>
      </c>
      <c r="Q176" s="302">
        <v>-3.6998999999999997E-2</v>
      </c>
      <c r="R176" s="385">
        <v>1.3043017587159264E-2</v>
      </c>
      <c r="S176" s="385"/>
      <c r="T176" s="385"/>
      <c r="U176" s="303">
        <v>-7399800000</v>
      </c>
      <c r="V176" s="303">
        <v>-7399800000</v>
      </c>
      <c r="W176" s="303" t="s">
        <v>367</v>
      </c>
      <c r="X176" s="302">
        <v>-3.6998999999999997E-2</v>
      </c>
      <c r="Y176" s="386"/>
      <c r="Z176" s="359"/>
      <c r="AA176" s="359"/>
      <c r="AB176" s="193" t="e">
        <v>#VALUE!</v>
      </c>
      <c r="AC176" s="401">
        <v>-9.2490000000000003E-3</v>
      </c>
      <c r="AD176" s="304">
        <v>200000000000</v>
      </c>
      <c r="AE176" s="304">
        <v>0</v>
      </c>
      <c r="AM176" s="332">
        <v>0</v>
      </c>
      <c r="AN176" s="334" t="e">
        <v>#DIV/0!</v>
      </c>
      <c r="AO176" s="334" t="e">
        <v>#DIV/0!</v>
      </c>
      <c r="AV176" s="193" t="s">
        <v>368</v>
      </c>
    </row>
    <row r="177" spans="1:48" ht="17.25" customHeight="1">
      <c r="A177" s="400">
        <v>2024</v>
      </c>
      <c r="B177" s="400">
        <v>372</v>
      </c>
      <c r="C177" s="295" t="s">
        <v>42</v>
      </c>
      <c r="D177" s="398">
        <v>45343</v>
      </c>
      <c r="E177" s="297">
        <v>2024</v>
      </c>
      <c r="F177" s="298" t="s">
        <v>6</v>
      </c>
      <c r="G177" s="383">
        <v>45343</v>
      </c>
      <c r="H177" s="384">
        <v>21656520000</v>
      </c>
      <c r="I177" s="301">
        <v>1921149889.1999989</v>
      </c>
      <c r="J177" s="301">
        <v>-108282600.00000012</v>
      </c>
      <c r="K177" s="384">
        <v>1812867289.1999989</v>
      </c>
      <c r="L177" s="300">
        <v>0</v>
      </c>
      <c r="M177" s="300">
        <v>1812867289.1999989</v>
      </c>
      <c r="N177" s="300">
        <v>0</v>
      </c>
      <c r="O177" s="300">
        <v>1812867289.1999989</v>
      </c>
      <c r="P177" s="302">
        <v>8.3709999999999951E-2</v>
      </c>
      <c r="Q177" s="302">
        <v>8.3709999999999951E-2</v>
      </c>
      <c r="R177" s="385">
        <v>1.4123318561833317E-3</v>
      </c>
      <c r="S177" s="385"/>
      <c r="T177" s="385"/>
      <c r="U177" s="303">
        <v>1812867289.1999989</v>
      </c>
      <c r="V177" s="303">
        <v>1812867289.1999989</v>
      </c>
      <c r="W177" s="303" t="s">
        <v>367</v>
      </c>
      <c r="X177" s="302">
        <v>8.3709999999999951E-2</v>
      </c>
      <c r="Y177" s="386"/>
      <c r="Z177" s="359"/>
      <c r="AA177" s="359"/>
      <c r="AB177" s="193" t="e">
        <v>#VALUE!</v>
      </c>
      <c r="AC177" s="401">
        <v>8.8709999999999942E-2</v>
      </c>
      <c r="AD177" s="304">
        <v>0</v>
      </c>
      <c r="AE177" s="304">
        <v>21656520000</v>
      </c>
      <c r="AM177" s="332">
        <v>0</v>
      </c>
      <c r="AN177" s="334" t="e">
        <v>#DIV/0!</v>
      </c>
      <c r="AO177" s="334" t="e">
        <v>#DIV/0!</v>
      </c>
      <c r="AV177" s="193" t="s">
        <v>368</v>
      </c>
    </row>
    <row r="178" spans="1:48" ht="17.25" customHeight="1">
      <c r="A178" s="400">
        <v>2024</v>
      </c>
      <c r="B178" s="400">
        <v>373</v>
      </c>
      <c r="C178" s="295" t="s">
        <v>42</v>
      </c>
      <c r="D178" s="398">
        <v>45344</v>
      </c>
      <c r="E178" s="297">
        <v>2024</v>
      </c>
      <c r="F178" s="298" t="s">
        <v>4</v>
      </c>
      <c r="G178" s="383">
        <v>45344</v>
      </c>
      <c r="H178" s="384">
        <v>239000000000</v>
      </c>
      <c r="I178" s="301">
        <v>1807999.9999694824</v>
      </c>
      <c r="J178" s="301">
        <v>-8862500000</v>
      </c>
      <c r="K178" s="384">
        <v>-8860692000.0000305</v>
      </c>
      <c r="L178" s="300">
        <v>0</v>
      </c>
      <c r="M178" s="300">
        <v>-8860692000.0000305</v>
      </c>
      <c r="N178" s="300">
        <v>0</v>
      </c>
      <c r="O178" s="300">
        <v>-8860692000.0000305</v>
      </c>
      <c r="P178" s="302">
        <v>-3.7074025104602636E-2</v>
      </c>
      <c r="Q178" s="302">
        <v>-3.7074025104602636E-2</v>
      </c>
      <c r="R178" s="385">
        <v>1.558640601665532E-2</v>
      </c>
      <c r="S178" s="385"/>
      <c r="T178" s="385"/>
      <c r="U178" s="303">
        <v>-8860692000.0000305</v>
      </c>
      <c r="V178" s="303">
        <v>-8860692000.0000305</v>
      </c>
      <c r="W178" s="303" t="s">
        <v>367</v>
      </c>
      <c r="X178" s="302">
        <v>-3.7074025104602636E-2</v>
      </c>
      <c r="Y178" s="386"/>
      <c r="Z178" s="359"/>
      <c r="AA178" s="359"/>
      <c r="AB178" s="193" t="e">
        <v>#VALUE!</v>
      </c>
      <c r="AC178" s="401">
        <v>7.5648535563576671E-6</v>
      </c>
      <c r="AD178" s="304">
        <v>239000000000</v>
      </c>
      <c r="AE178" s="304">
        <v>0</v>
      </c>
      <c r="AM178" s="332">
        <v>0</v>
      </c>
      <c r="AN178" s="334" t="e">
        <v>#DIV/0!</v>
      </c>
      <c r="AO178" s="334" t="e">
        <v>#DIV/0!</v>
      </c>
      <c r="AV178" s="193" t="s">
        <v>368</v>
      </c>
    </row>
    <row r="179" spans="1:48" ht="17.25" customHeight="1">
      <c r="A179" s="400">
        <v>2024</v>
      </c>
      <c r="B179" s="400">
        <v>374</v>
      </c>
      <c r="C179" s="295" t="s">
        <v>42</v>
      </c>
      <c r="D179" s="398">
        <v>45345</v>
      </c>
      <c r="E179" s="297">
        <v>2024</v>
      </c>
      <c r="F179" s="298" t="s">
        <v>4</v>
      </c>
      <c r="G179" s="383">
        <v>45345</v>
      </c>
      <c r="H179" s="384">
        <v>208000000000</v>
      </c>
      <c r="I179" s="301">
        <v>152880000.00001526</v>
      </c>
      <c r="J179" s="301">
        <v>-3075000000</v>
      </c>
      <c r="K179" s="384">
        <v>-2922119999.9999847</v>
      </c>
      <c r="L179" s="300">
        <v>0</v>
      </c>
      <c r="M179" s="300">
        <v>-2922119999.9999847</v>
      </c>
      <c r="N179" s="300">
        <v>0</v>
      </c>
      <c r="O179" s="300">
        <v>-2922119999.9999847</v>
      </c>
      <c r="P179" s="302">
        <v>-1.4048653846153773E-2</v>
      </c>
      <c r="Q179" s="302">
        <v>-1.4048653846153773E-2</v>
      </c>
      <c r="R179" s="385">
        <v>1.3564738290645634E-2</v>
      </c>
      <c r="S179" s="385"/>
      <c r="T179" s="385"/>
      <c r="U179" s="303">
        <v>-2922119999.9999847</v>
      </c>
      <c r="V179" s="303">
        <v>-2922119999.9999847</v>
      </c>
      <c r="W179" s="303" t="s">
        <v>367</v>
      </c>
      <c r="X179" s="302">
        <v>-1.4048653846153773E-2</v>
      </c>
      <c r="Y179" s="386"/>
      <c r="Z179" s="359"/>
      <c r="AA179" s="359"/>
      <c r="AB179" s="193" t="e">
        <v>#VALUE!</v>
      </c>
      <c r="AC179" s="401">
        <v>7.3500000000007338E-4</v>
      </c>
      <c r="AD179" s="304">
        <v>208000000000</v>
      </c>
      <c r="AE179" s="304">
        <v>0</v>
      </c>
      <c r="AM179" s="332">
        <v>0</v>
      </c>
      <c r="AN179" s="334" t="e">
        <v>#DIV/0!</v>
      </c>
      <c r="AO179" s="334" t="e">
        <v>#DIV/0!</v>
      </c>
      <c r="AV179" s="193" t="s">
        <v>368</v>
      </c>
    </row>
    <row r="180" spans="1:48" ht="17.25" customHeight="1">
      <c r="A180" s="400">
        <v>2024</v>
      </c>
      <c r="B180" s="400">
        <v>375</v>
      </c>
      <c r="C180" s="295" t="s">
        <v>42</v>
      </c>
      <c r="D180" s="402">
        <v>45348</v>
      </c>
      <c r="E180" s="297">
        <v>2024</v>
      </c>
      <c r="F180" s="298" t="s">
        <v>4</v>
      </c>
      <c r="G180" s="383">
        <v>45348</v>
      </c>
      <c r="H180" s="384">
        <v>183000000000</v>
      </c>
      <c r="I180" s="301">
        <v>-2852220000</v>
      </c>
      <c r="J180" s="301">
        <v>-2843750000</v>
      </c>
      <c r="K180" s="384">
        <v>-5695970000</v>
      </c>
      <c r="L180" s="300">
        <v>0</v>
      </c>
      <c r="M180" s="300">
        <v>-5695970000</v>
      </c>
      <c r="N180" s="300">
        <v>0</v>
      </c>
      <c r="O180" s="300">
        <v>-5695970000</v>
      </c>
      <c r="P180" s="302">
        <v>-3.1125519125683059E-2</v>
      </c>
      <c r="Q180" s="302">
        <v>-3.1125519125683059E-2</v>
      </c>
      <c r="R180" s="385">
        <v>1.1934361092250727E-2</v>
      </c>
      <c r="S180" s="385"/>
      <c r="T180" s="385"/>
      <c r="U180" s="303">
        <v>-5695970000</v>
      </c>
      <c r="V180" s="303">
        <v>-5695970000</v>
      </c>
      <c r="W180" s="303" t="s">
        <v>367</v>
      </c>
      <c r="X180" s="302">
        <v>-3.1125519125683059E-2</v>
      </c>
      <c r="Y180" s="386"/>
      <c r="Z180" s="359"/>
      <c r="AA180" s="359"/>
      <c r="AB180" s="193" t="e">
        <v>#VALUE!</v>
      </c>
      <c r="AC180" s="401">
        <v>-1.5585901639344263E-2</v>
      </c>
      <c r="AD180" s="304">
        <v>183000000000</v>
      </c>
      <c r="AE180" s="304">
        <v>0</v>
      </c>
      <c r="AM180" s="332">
        <v>0</v>
      </c>
      <c r="AN180" s="334" t="e">
        <v>#DIV/0!</v>
      </c>
      <c r="AO180" s="334" t="e">
        <v>#DIV/0!</v>
      </c>
      <c r="AV180" s="193" t="s">
        <v>368</v>
      </c>
    </row>
    <row r="181" spans="1:48" ht="17.25" customHeight="1">
      <c r="A181" s="400">
        <v>2024</v>
      </c>
      <c r="B181" s="400">
        <v>376</v>
      </c>
      <c r="C181" s="295" t="s">
        <v>42</v>
      </c>
      <c r="D181" s="402">
        <v>45348</v>
      </c>
      <c r="E181" s="297">
        <v>2024</v>
      </c>
      <c r="F181" s="298" t="s">
        <v>6</v>
      </c>
      <c r="G181" s="383">
        <v>45348</v>
      </c>
      <c r="H181" s="384">
        <v>28920992000</v>
      </c>
      <c r="I181" s="301">
        <v>3464011816.800005</v>
      </c>
      <c r="J181" s="301">
        <v>-686873560.00000012</v>
      </c>
      <c r="K181" s="384">
        <v>2777138256.800005</v>
      </c>
      <c r="L181" s="300">
        <v>0</v>
      </c>
      <c r="M181" s="300">
        <v>2777138256.800005</v>
      </c>
      <c r="N181" s="300">
        <v>0</v>
      </c>
      <c r="O181" s="300">
        <v>2777138256.800005</v>
      </c>
      <c r="P181" s="302">
        <v>9.6025000000000166E-2</v>
      </c>
      <c r="Q181" s="302">
        <v>9.6025000000000166E-2</v>
      </c>
      <c r="R181" s="385">
        <v>1.8860850364704619E-3</v>
      </c>
      <c r="S181" s="385"/>
      <c r="T181" s="385"/>
      <c r="U181" s="303">
        <v>2777138256.800005</v>
      </c>
      <c r="V181" s="303">
        <v>2777138256.800005</v>
      </c>
      <c r="W181" s="303" t="s">
        <v>367</v>
      </c>
      <c r="X181" s="302">
        <v>9.6025000000000166E-2</v>
      </c>
      <c r="Y181" s="386"/>
      <c r="Z181" s="359"/>
      <c r="AA181" s="359"/>
      <c r="AB181" s="193" t="e">
        <v>#VALUE!</v>
      </c>
      <c r="AC181" s="401">
        <v>0.11977500000000017</v>
      </c>
      <c r="AD181" s="304">
        <v>0</v>
      </c>
      <c r="AE181" s="304">
        <v>28920992000</v>
      </c>
      <c r="AM181" s="332">
        <v>0</v>
      </c>
      <c r="AN181" s="334" t="e">
        <v>#DIV/0!</v>
      </c>
      <c r="AO181" s="334" t="e">
        <v>#DIV/0!</v>
      </c>
      <c r="AV181" s="193" t="s">
        <v>368</v>
      </c>
    </row>
    <row r="182" spans="1:48" ht="17.25" customHeight="1">
      <c r="A182" s="400">
        <v>2024</v>
      </c>
      <c r="B182" s="400">
        <v>377</v>
      </c>
      <c r="C182" s="295" t="s">
        <v>42</v>
      </c>
      <c r="D182" s="402">
        <v>45349</v>
      </c>
      <c r="E182" s="297">
        <v>2024</v>
      </c>
      <c r="F182" s="298" t="s">
        <v>4</v>
      </c>
      <c r="G182" s="383">
        <v>45349</v>
      </c>
      <c r="H182" s="384">
        <v>196000000000</v>
      </c>
      <c r="I182" s="301">
        <v>-4268348000</v>
      </c>
      <c r="J182" s="301">
        <v>-3455000000</v>
      </c>
      <c r="K182" s="384">
        <v>-7723348000</v>
      </c>
      <c r="L182" s="300">
        <v>0</v>
      </c>
      <c r="M182" s="300">
        <v>-7723348000</v>
      </c>
      <c r="N182" s="300">
        <v>0</v>
      </c>
      <c r="O182" s="300">
        <v>-7723348000</v>
      </c>
      <c r="P182" s="302">
        <v>-3.9404836734693881E-2</v>
      </c>
      <c r="Q182" s="302">
        <v>-3.9404836734693881E-2</v>
      </c>
      <c r="R182" s="385">
        <v>1.2782157235416078E-2</v>
      </c>
      <c r="S182" s="385"/>
      <c r="T182" s="385"/>
      <c r="U182" s="303">
        <v>-7723348000</v>
      </c>
      <c r="V182" s="303">
        <v>-7723348000</v>
      </c>
      <c r="W182" s="303" t="s">
        <v>367</v>
      </c>
      <c r="X182" s="302">
        <v>-3.9404836734693881E-2</v>
      </c>
      <c r="Y182" s="386"/>
      <c r="Z182" s="359"/>
      <c r="AA182" s="359"/>
      <c r="AB182" s="193" t="e">
        <v>#VALUE!</v>
      </c>
      <c r="AC182" s="401">
        <v>-2.1777285714285714E-2</v>
      </c>
      <c r="AD182" s="304">
        <v>196000000000</v>
      </c>
      <c r="AE182" s="304">
        <v>0</v>
      </c>
      <c r="AM182" s="332">
        <v>0</v>
      </c>
      <c r="AN182" s="334" t="e">
        <v>#DIV/0!</v>
      </c>
      <c r="AO182" s="334" t="e">
        <v>#DIV/0!</v>
      </c>
      <c r="AV182" s="193" t="s">
        <v>368</v>
      </c>
    </row>
    <row r="183" spans="1:48" ht="17.25" customHeight="1">
      <c r="A183" s="400">
        <v>2024</v>
      </c>
      <c r="B183" s="400">
        <v>378</v>
      </c>
      <c r="C183" s="295" t="s">
        <v>42</v>
      </c>
      <c r="D183" s="402">
        <v>45349</v>
      </c>
      <c r="E183" s="297">
        <v>2024</v>
      </c>
      <c r="F183" s="298" t="s">
        <v>6</v>
      </c>
      <c r="G183" s="383">
        <v>45349</v>
      </c>
      <c r="H183" s="384">
        <v>36162660000</v>
      </c>
      <c r="I183" s="301">
        <v>4313843711.4000015</v>
      </c>
      <c r="J183" s="301">
        <v>-858863175.00000024</v>
      </c>
      <c r="K183" s="384">
        <v>3454980536.4000015</v>
      </c>
      <c r="L183" s="300">
        <v>0</v>
      </c>
      <c r="M183" s="300">
        <v>3454980536.4000015</v>
      </c>
      <c r="N183" s="300">
        <v>0</v>
      </c>
      <c r="O183" s="300">
        <v>3454980536.4000015</v>
      </c>
      <c r="P183" s="302">
        <v>9.5540000000000042E-2</v>
      </c>
      <c r="Q183" s="302">
        <v>9.5540000000000042E-2</v>
      </c>
      <c r="R183" s="385">
        <v>2.3583510518923041E-3</v>
      </c>
      <c r="S183" s="385"/>
      <c r="T183" s="385"/>
      <c r="U183" s="303">
        <v>3454980536.4000015</v>
      </c>
      <c r="V183" s="303">
        <v>3454980536.4000015</v>
      </c>
      <c r="W183" s="303" t="s">
        <v>367</v>
      </c>
      <c r="X183" s="302">
        <v>9.5540000000000042E-2</v>
      </c>
      <c r="Y183" s="386"/>
      <c r="Z183" s="359"/>
      <c r="AA183" s="359"/>
      <c r="AB183" s="193" t="e">
        <v>#VALUE!</v>
      </c>
      <c r="AC183" s="401">
        <v>0.11929000000000005</v>
      </c>
      <c r="AD183" s="304">
        <v>0</v>
      </c>
      <c r="AE183" s="304">
        <v>36162660000</v>
      </c>
      <c r="AM183" s="332">
        <v>0</v>
      </c>
      <c r="AN183" s="334" t="e">
        <v>#DIV/0!</v>
      </c>
      <c r="AO183" s="334" t="e">
        <v>#DIV/0!</v>
      </c>
      <c r="AV183" s="193" t="s">
        <v>368</v>
      </c>
    </row>
    <row r="184" spans="1:48" ht="17.25" customHeight="1">
      <c r="A184" s="400">
        <v>2024</v>
      </c>
      <c r="B184" s="400">
        <v>379</v>
      </c>
      <c r="C184" s="295" t="s">
        <v>42</v>
      </c>
      <c r="D184" s="402">
        <v>45350</v>
      </c>
      <c r="E184" s="297">
        <v>2024</v>
      </c>
      <c r="F184" s="298" t="s">
        <v>4</v>
      </c>
      <c r="G184" s="383">
        <v>45350</v>
      </c>
      <c r="H184" s="384">
        <v>225000000000</v>
      </c>
      <c r="I184" s="301">
        <v>-2101750000</v>
      </c>
      <c r="J184" s="301">
        <v>-2055000000</v>
      </c>
      <c r="K184" s="384">
        <v>-4156750000</v>
      </c>
      <c r="L184" s="300">
        <v>0</v>
      </c>
      <c r="M184" s="300">
        <v>-4156750000</v>
      </c>
      <c r="N184" s="300">
        <v>0</v>
      </c>
      <c r="O184" s="300">
        <v>-4156750000</v>
      </c>
      <c r="P184" s="302">
        <v>-1.8474444444444446E-2</v>
      </c>
      <c r="Q184" s="302">
        <v>-1.8474444444444446E-2</v>
      </c>
      <c r="R184" s="385">
        <v>1.4673394785554171E-2</v>
      </c>
      <c r="S184" s="385"/>
      <c r="T184" s="385"/>
      <c r="U184" s="303">
        <v>-4156750000</v>
      </c>
      <c r="V184" s="303">
        <v>-4156750000</v>
      </c>
      <c r="W184" s="303" t="s">
        <v>367</v>
      </c>
      <c r="X184" s="302">
        <v>-1.8474444444444446E-2</v>
      </c>
      <c r="Y184" s="386"/>
      <c r="Z184" s="359"/>
      <c r="AA184" s="359"/>
      <c r="AB184" s="193" t="e">
        <v>#VALUE!</v>
      </c>
      <c r="AC184" s="401">
        <v>-9.3411111111111108E-3</v>
      </c>
      <c r="AD184" s="304">
        <v>225000000000</v>
      </c>
      <c r="AE184" s="304">
        <v>0</v>
      </c>
      <c r="AM184" s="332">
        <v>0</v>
      </c>
      <c r="AN184" s="334" t="e">
        <v>#DIV/0!</v>
      </c>
      <c r="AO184" s="334" t="e">
        <v>#DIV/0!</v>
      </c>
      <c r="AV184" s="193" t="s">
        <v>368</v>
      </c>
    </row>
    <row r="185" spans="1:48" ht="17.25" customHeight="1">
      <c r="A185" s="403">
        <v>2024</v>
      </c>
      <c r="B185" s="403">
        <v>380</v>
      </c>
      <c r="C185" s="404" t="s">
        <v>42</v>
      </c>
      <c r="D185" s="405">
        <v>45350</v>
      </c>
      <c r="E185" s="406">
        <v>2024</v>
      </c>
      <c r="F185" s="407" t="s">
        <v>6</v>
      </c>
      <c r="G185" s="383">
        <v>45350</v>
      </c>
      <c r="H185" s="408">
        <v>21704448000</v>
      </c>
      <c r="I185" s="409">
        <v>2557507455.999999</v>
      </c>
      <c r="J185" s="409">
        <v>-434088960.00000012</v>
      </c>
      <c r="K185" s="408">
        <v>2123418495.999999</v>
      </c>
      <c r="L185" s="410">
        <v>0</v>
      </c>
      <c r="M185" s="410">
        <v>2123418495.999999</v>
      </c>
      <c r="N185" s="410">
        <v>0</v>
      </c>
      <c r="O185" s="410">
        <v>2123418495.999999</v>
      </c>
      <c r="P185" s="411">
        <v>9.7833333333333286E-2</v>
      </c>
      <c r="Q185" s="411">
        <v>9.7833333333333286E-2</v>
      </c>
      <c r="R185" s="412">
        <v>1.4154574849179185E-3</v>
      </c>
      <c r="S185" s="412"/>
      <c r="T185" s="412"/>
      <c r="U185" s="413">
        <v>2123418495.999999</v>
      </c>
      <c r="V185" s="413">
        <v>2123418495.999999</v>
      </c>
      <c r="W185" s="413" t="s">
        <v>367</v>
      </c>
      <c r="X185" s="411">
        <v>9.7833333333333286E-2</v>
      </c>
      <c r="Y185" s="304"/>
      <c r="Z185" s="305"/>
      <c r="AA185" s="305"/>
      <c r="AB185" s="193" t="e">
        <v>#VALUE!</v>
      </c>
      <c r="AC185" s="306">
        <v>0.11783333333333329</v>
      </c>
      <c r="AD185" s="304">
        <v>0</v>
      </c>
      <c r="AE185" s="304">
        <v>21704448000</v>
      </c>
      <c r="AM185" s="332">
        <v>0</v>
      </c>
      <c r="AN185" s="334" t="e">
        <v>#DIV/0!</v>
      </c>
      <c r="AO185" s="334" t="e">
        <v>#DIV/0!</v>
      </c>
      <c r="AV185" s="193" t="s">
        <v>368</v>
      </c>
    </row>
    <row r="186" spans="1:48" ht="17.25" customHeight="1">
      <c r="A186" s="403">
        <v>2024</v>
      </c>
      <c r="B186" s="403">
        <v>381</v>
      </c>
      <c r="C186" s="404" t="s">
        <v>42</v>
      </c>
      <c r="D186" s="405">
        <v>45351</v>
      </c>
      <c r="E186" s="406">
        <v>2024</v>
      </c>
      <c r="F186" s="407" t="s">
        <v>4</v>
      </c>
      <c r="G186" s="383">
        <v>45351</v>
      </c>
      <c r="H186" s="408">
        <v>288500000000</v>
      </c>
      <c r="I186" s="409">
        <v>-7691229000</v>
      </c>
      <c r="J186" s="409">
        <v>-3352500000</v>
      </c>
      <c r="K186" s="408">
        <v>-11043729000</v>
      </c>
      <c r="L186" s="410">
        <v>0</v>
      </c>
      <c r="M186" s="410">
        <v>-11043729000</v>
      </c>
      <c r="N186" s="410">
        <v>0</v>
      </c>
      <c r="O186" s="410">
        <v>-11043729000</v>
      </c>
      <c r="P186" s="411">
        <v>-3.8279823223570188E-2</v>
      </c>
      <c r="Q186" s="411">
        <v>-3.8279823223570188E-2</v>
      </c>
      <c r="R186" s="412">
        <v>1.8814552869477238E-2</v>
      </c>
      <c r="S186" s="412"/>
      <c r="T186" s="412"/>
      <c r="U186" s="413">
        <v>-11043729000</v>
      </c>
      <c r="V186" s="413">
        <v>-11043729000</v>
      </c>
      <c r="W186" s="413" t="s">
        <v>367</v>
      </c>
      <c r="X186" s="411">
        <v>-3.8279823223570188E-2</v>
      </c>
      <c r="Y186" s="304"/>
      <c r="Z186" s="305"/>
      <c r="AA186" s="305"/>
      <c r="AB186" s="193" t="e">
        <v>#VALUE!</v>
      </c>
      <c r="AC186" s="306">
        <v>-2.6659372616984402E-2</v>
      </c>
      <c r="AD186" s="304">
        <v>288500000000</v>
      </c>
      <c r="AE186" s="304">
        <v>0</v>
      </c>
      <c r="AM186" s="332">
        <v>0</v>
      </c>
      <c r="AN186" s="334" t="e">
        <v>#DIV/0!</v>
      </c>
      <c r="AO186" s="334" t="e">
        <v>#DIV/0!</v>
      </c>
    </row>
    <row r="187" spans="1:48" ht="17.25" customHeight="1">
      <c r="A187" s="403">
        <v>2024</v>
      </c>
      <c r="B187" s="403">
        <v>382</v>
      </c>
      <c r="C187" s="404" t="s">
        <v>42</v>
      </c>
      <c r="D187" s="405">
        <v>45351</v>
      </c>
      <c r="E187" s="406">
        <v>2024</v>
      </c>
      <c r="F187" s="407" t="s">
        <v>6</v>
      </c>
      <c r="G187" s="383">
        <v>45351</v>
      </c>
      <c r="H187" s="408">
        <v>65133918000</v>
      </c>
      <c r="I187" s="409">
        <v>7720323300.5400009</v>
      </c>
      <c r="J187" s="409">
        <v>-1546930552.5</v>
      </c>
      <c r="K187" s="408">
        <v>6173392748.0400009</v>
      </c>
      <c r="L187" s="410">
        <v>0</v>
      </c>
      <c r="M187" s="410">
        <v>6173392748.0400009</v>
      </c>
      <c r="N187" s="410">
        <v>0</v>
      </c>
      <c r="O187" s="410">
        <v>6173392748.0400009</v>
      </c>
      <c r="P187" s="411">
        <v>9.4780000000000017E-2</v>
      </c>
      <c r="Q187" s="411">
        <v>9.4780000000000017E-2</v>
      </c>
      <c r="R187" s="412">
        <v>4.2477141899729468E-3</v>
      </c>
      <c r="S187" s="412"/>
      <c r="T187" s="412"/>
      <c r="U187" s="413">
        <v>6173392748.0400009</v>
      </c>
      <c r="V187" s="413">
        <v>6173392748.0400009</v>
      </c>
      <c r="W187" s="413" t="s">
        <v>367</v>
      </c>
      <c r="X187" s="411">
        <v>9.4780000000000017E-2</v>
      </c>
      <c r="Y187" s="304"/>
      <c r="Z187" s="305"/>
      <c r="AA187" s="305"/>
      <c r="AB187" s="193" t="e">
        <v>#VALUE!</v>
      </c>
      <c r="AC187" s="306">
        <v>0.11853000000000001</v>
      </c>
      <c r="AD187" s="304">
        <v>0</v>
      </c>
      <c r="AE187" s="304">
        <v>65133918000</v>
      </c>
      <c r="AM187" s="332">
        <v>0</v>
      </c>
      <c r="AN187" s="334" t="e">
        <v>#DIV/0!</v>
      </c>
      <c r="AO187" s="334" t="e">
        <v>#DIV/0!</v>
      </c>
    </row>
    <row r="188" spans="1:48" ht="17.25" customHeight="1">
      <c r="A188" s="403">
        <v>2024</v>
      </c>
      <c r="B188" s="403">
        <v>383</v>
      </c>
      <c r="C188" s="404" t="s">
        <v>42</v>
      </c>
      <c r="D188" s="414">
        <v>45352</v>
      </c>
      <c r="E188" s="406">
        <v>2024</v>
      </c>
      <c r="F188" s="407" t="s">
        <v>4</v>
      </c>
      <c r="G188" s="383">
        <v>45352</v>
      </c>
      <c r="H188" s="408">
        <v>238000000000</v>
      </c>
      <c r="I188" s="409">
        <v>-9845730000</v>
      </c>
      <c r="J188" s="409">
        <v>-1272500000</v>
      </c>
      <c r="K188" s="408">
        <v>-11118230000</v>
      </c>
      <c r="L188" s="410">
        <v>0</v>
      </c>
      <c r="M188" s="410">
        <v>-11118230000</v>
      </c>
      <c r="N188" s="410">
        <v>0</v>
      </c>
      <c r="O188" s="410">
        <v>-11118230000</v>
      </c>
      <c r="P188" s="411">
        <v>-4.6715252100840335E-2</v>
      </c>
      <c r="Q188" s="411">
        <v>-4.6715252100840335E-2</v>
      </c>
      <c r="R188" s="412">
        <v>1.5521190928719524E-2</v>
      </c>
      <c r="S188" s="412"/>
      <c r="T188" s="412"/>
      <c r="U188" s="413">
        <v>-11118230000</v>
      </c>
      <c r="V188" s="413">
        <v>-11118230000</v>
      </c>
      <c r="W188" s="413" t="s">
        <v>367</v>
      </c>
      <c r="X188" s="411">
        <v>-4.6715252100840335E-2</v>
      </c>
      <c r="Y188" s="304"/>
      <c r="Z188" s="305"/>
      <c r="AA188" s="305"/>
      <c r="AB188" s="193" t="e">
        <v>#VALUE!</v>
      </c>
      <c r="AC188" s="306">
        <v>-4.136861344537815E-2</v>
      </c>
      <c r="AD188" s="304">
        <v>238000000000</v>
      </c>
      <c r="AE188" s="304">
        <v>0</v>
      </c>
      <c r="AM188" s="332">
        <v>0</v>
      </c>
      <c r="AN188" s="334" t="e">
        <v>#DIV/0!</v>
      </c>
      <c r="AO188" s="334" t="e">
        <v>#DIV/0!</v>
      </c>
    </row>
    <row r="189" spans="1:48" ht="17.25" customHeight="1">
      <c r="A189" s="403">
        <v>2024</v>
      </c>
      <c r="B189" s="403">
        <v>384</v>
      </c>
      <c r="C189" s="404" t="s">
        <v>42</v>
      </c>
      <c r="D189" s="414">
        <v>45352</v>
      </c>
      <c r="E189" s="406">
        <v>2024</v>
      </c>
      <c r="F189" s="407" t="s">
        <v>6</v>
      </c>
      <c r="G189" s="383">
        <v>45352</v>
      </c>
      <c r="H189" s="408">
        <v>81443092500</v>
      </c>
      <c r="I189" s="409">
        <v>9881327526.8400192</v>
      </c>
      <c r="J189" s="409">
        <v>-2117520405.0000005</v>
      </c>
      <c r="K189" s="408">
        <v>7763807121.8400192</v>
      </c>
      <c r="L189" s="410">
        <v>0</v>
      </c>
      <c r="M189" s="410">
        <v>7763807121.8400192</v>
      </c>
      <c r="N189" s="410">
        <v>0</v>
      </c>
      <c r="O189" s="410">
        <v>7763807121.8400192</v>
      </c>
      <c r="P189" s="411">
        <v>9.5328000000000232E-2</v>
      </c>
      <c r="Q189" s="411">
        <v>9.5328000000000232E-2</v>
      </c>
      <c r="R189" s="412">
        <v>5.3113184391506939E-3</v>
      </c>
      <c r="S189" s="412"/>
      <c r="T189" s="412"/>
      <c r="U189" s="413">
        <v>7763807121.8400192</v>
      </c>
      <c r="V189" s="413">
        <v>7763807121.8400192</v>
      </c>
      <c r="W189" s="413" t="s">
        <v>367</v>
      </c>
      <c r="X189" s="411">
        <v>9.5328000000000232E-2</v>
      </c>
      <c r="Y189" s="304"/>
      <c r="Z189" s="305"/>
      <c r="AA189" s="305"/>
      <c r="AB189" s="193" t="e">
        <v>#VALUE!</v>
      </c>
      <c r="AC189" s="306">
        <v>0.12132800000000024</v>
      </c>
      <c r="AD189" s="304">
        <v>0</v>
      </c>
      <c r="AE189" s="304">
        <v>81443092500</v>
      </c>
      <c r="AM189" s="332">
        <v>0</v>
      </c>
      <c r="AN189" s="334" t="e">
        <v>#DIV/0!</v>
      </c>
      <c r="AO189" s="334" t="e">
        <v>#DIV/0!</v>
      </c>
    </row>
    <row r="190" spans="1:48" ht="17.25" customHeight="1">
      <c r="A190" s="403">
        <v>2024</v>
      </c>
      <c r="B190" s="403">
        <v>385</v>
      </c>
      <c r="C190" s="404" t="s">
        <v>42</v>
      </c>
      <c r="D190" s="414">
        <v>45355</v>
      </c>
      <c r="E190" s="406">
        <v>2024</v>
      </c>
      <c r="F190" s="407" t="s">
        <v>4</v>
      </c>
      <c r="G190" s="383">
        <v>45355</v>
      </c>
      <c r="H190" s="408">
        <v>151000000000</v>
      </c>
      <c r="I190" s="409">
        <v>-6392587999.9999847</v>
      </c>
      <c r="J190" s="409">
        <v>-1227500000</v>
      </c>
      <c r="K190" s="408">
        <v>-7620087999.9999847</v>
      </c>
      <c r="L190" s="410">
        <v>0</v>
      </c>
      <c r="M190" s="410">
        <v>-7620087999.9999847</v>
      </c>
      <c r="N190" s="410">
        <v>0</v>
      </c>
      <c r="O190" s="410">
        <v>-7620087999.9999847</v>
      </c>
      <c r="P190" s="411">
        <v>-5.0464158940397248E-2</v>
      </c>
      <c r="Q190" s="411">
        <v>-5.0464158940397248E-2</v>
      </c>
      <c r="R190" s="412">
        <v>9.847478278305245E-3</v>
      </c>
      <c r="S190" s="412"/>
      <c r="T190" s="412"/>
      <c r="U190" s="413">
        <v>-7620087999.9999847</v>
      </c>
      <c r="V190" s="413">
        <v>-7620087999.9999847</v>
      </c>
      <c r="W190" s="413" t="s">
        <v>367</v>
      </c>
      <c r="X190" s="411">
        <v>-5.0464158940397248E-2</v>
      </c>
      <c r="Y190" s="304"/>
      <c r="Z190" s="305"/>
      <c r="AA190" s="305"/>
      <c r="AB190" s="193" t="e">
        <v>#VALUE!</v>
      </c>
      <c r="AC190" s="306">
        <v>-4.2335019867549568E-2</v>
      </c>
      <c r="AD190" s="304">
        <v>151000000000</v>
      </c>
      <c r="AE190" s="304">
        <v>0</v>
      </c>
      <c r="AM190" s="332">
        <v>0</v>
      </c>
      <c r="AN190" s="334" t="e">
        <v>#DIV/0!</v>
      </c>
      <c r="AO190" s="334" t="e">
        <v>#DIV/0!</v>
      </c>
    </row>
    <row r="191" spans="1:48" ht="17.25" customHeight="1">
      <c r="A191" s="403">
        <v>2024</v>
      </c>
      <c r="B191" s="403">
        <v>386</v>
      </c>
      <c r="C191" s="404" t="s">
        <v>42</v>
      </c>
      <c r="D191" s="414">
        <v>45355</v>
      </c>
      <c r="E191" s="406">
        <v>2024</v>
      </c>
      <c r="F191" s="407" t="s">
        <v>6</v>
      </c>
      <c r="G191" s="383">
        <v>45355</v>
      </c>
      <c r="H191" s="408">
        <v>52535298000</v>
      </c>
      <c r="I191" s="409">
        <v>6544122800.0399895</v>
      </c>
      <c r="J191" s="409">
        <v>-1390373835.0000002</v>
      </c>
      <c r="K191" s="408">
        <v>5153748965.0399895</v>
      </c>
      <c r="L191" s="410">
        <v>-3.814697265625E-6</v>
      </c>
      <c r="M191" s="410">
        <v>5153748965.0399857</v>
      </c>
      <c r="N191" s="410">
        <v>0</v>
      </c>
      <c r="O191" s="410">
        <v>5153748965.0399857</v>
      </c>
      <c r="P191" s="411">
        <v>9.8100689655172213E-2</v>
      </c>
      <c r="Q191" s="411">
        <v>9.8100689655172144E-2</v>
      </c>
      <c r="R191" s="412">
        <v>3.4260940788032644E-3</v>
      </c>
      <c r="S191" s="412"/>
      <c r="T191" s="412"/>
      <c r="U191" s="413">
        <v>5153748965.0399857</v>
      </c>
      <c r="V191" s="413">
        <v>5153748965.0399857</v>
      </c>
      <c r="W191" s="413" t="s">
        <v>367</v>
      </c>
      <c r="X191" s="411">
        <v>9.8100689655172144E-2</v>
      </c>
      <c r="Y191" s="304"/>
      <c r="Z191" s="305"/>
      <c r="AA191" s="305"/>
      <c r="AB191" s="193" t="e">
        <v>#VALUE!</v>
      </c>
      <c r="AC191" s="306">
        <v>0.12456620689655153</v>
      </c>
      <c r="AD191" s="304">
        <v>0</v>
      </c>
      <c r="AE191" s="304">
        <v>52535298000</v>
      </c>
      <c r="AM191" s="332">
        <v>0</v>
      </c>
      <c r="AN191" s="334" t="e">
        <v>#DIV/0!</v>
      </c>
      <c r="AO191" s="334" t="e">
        <v>#DIV/0!</v>
      </c>
    </row>
    <row r="192" spans="1:48" ht="17.25" customHeight="1">
      <c r="A192" s="403">
        <v>2024</v>
      </c>
      <c r="B192" s="403">
        <v>387</v>
      </c>
      <c r="C192" s="404" t="s">
        <v>42</v>
      </c>
      <c r="D192" s="414">
        <v>45356</v>
      </c>
      <c r="E192" s="406">
        <v>2024</v>
      </c>
      <c r="F192" s="407" t="s">
        <v>4</v>
      </c>
      <c r="G192" s="383">
        <v>45356</v>
      </c>
      <c r="H192" s="408">
        <v>163000000000</v>
      </c>
      <c r="I192" s="409">
        <v>-10081000999.999985</v>
      </c>
      <c r="J192" s="409">
        <v>-3511250000</v>
      </c>
      <c r="K192" s="408">
        <v>-13592250999.999985</v>
      </c>
      <c r="L192" s="410">
        <v>0</v>
      </c>
      <c r="M192" s="410">
        <v>-13592250999.999985</v>
      </c>
      <c r="N192" s="410">
        <v>0</v>
      </c>
      <c r="O192" s="410">
        <v>-13592250999.999985</v>
      </c>
      <c r="P192" s="411">
        <v>-8.3388042944785176E-2</v>
      </c>
      <c r="Q192" s="411">
        <v>-8.3388042944785176E-2</v>
      </c>
      <c r="R192" s="412">
        <v>1.0630059333534799E-2</v>
      </c>
      <c r="S192" s="412"/>
      <c r="T192" s="412"/>
      <c r="U192" s="413">
        <v>-13592250999.999985</v>
      </c>
      <c r="V192" s="413">
        <v>-13592250999.999985</v>
      </c>
      <c r="W192" s="413" t="s">
        <v>367</v>
      </c>
      <c r="X192" s="411">
        <v>-8.3388042944785176E-2</v>
      </c>
      <c r="Y192" s="304"/>
      <c r="Z192" s="305"/>
      <c r="AA192" s="305"/>
      <c r="AB192" s="193" t="e">
        <v>#VALUE!</v>
      </c>
      <c r="AC192" s="306">
        <v>-6.18466319018404E-2</v>
      </c>
      <c r="AD192" s="304">
        <v>163000000000</v>
      </c>
      <c r="AE192" s="304">
        <v>0</v>
      </c>
      <c r="AM192" s="332">
        <v>0</v>
      </c>
      <c r="AN192" s="334" t="e">
        <v>#DIV/0!</v>
      </c>
      <c r="AO192" s="334" t="e">
        <v>#DIV/0!</v>
      </c>
    </row>
    <row r="193" spans="1:41" ht="17.25" customHeight="1">
      <c r="A193" s="403">
        <v>2024</v>
      </c>
      <c r="B193" s="403">
        <v>388</v>
      </c>
      <c r="C193" s="404" t="s">
        <v>42</v>
      </c>
      <c r="D193" s="414">
        <v>45356</v>
      </c>
      <c r="E193" s="406">
        <v>2024</v>
      </c>
      <c r="F193" s="407" t="s">
        <v>6</v>
      </c>
      <c r="G193" s="383">
        <v>45356</v>
      </c>
      <c r="H193" s="408">
        <v>85170321500</v>
      </c>
      <c r="I193" s="409">
        <v>10186515422.160011</v>
      </c>
      <c r="J193" s="409">
        <v>-2002408622.5000005</v>
      </c>
      <c r="K193" s="408">
        <v>8184106799.6600113</v>
      </c>
      <c r="L193" s="410">
        <v>0</v>
      </c>
      <c r="M193" s="410">
        <v>8184106799.6600113</v>
      </c>
      <c r="N193" s="410">
        <v>0</v>
      </c>
      <c r="O193" s="410">
        <v>8184106799.6600113</v>
      </c>
      <c r="P193" s="411">
        <v>9.6091063829787368E-2</v>
      </c>
      <c r="Q193" s="411">
        <v>9.6091063829787368E-2</v>
      </c>
      <c r="R193" s="412">
        <v>5.5543900061425441E-3</v>
      </c>
      <c r="S193" s="412"/>
      <c r="T193" s="412"/>
      <c r="U193" s="413">
        <v>8184106799.6600113</v>
      </c>
      <c r="V193" s="413">
        <v>8184106799.6600113</v>
      </c>
      <c r="W193" s="413" t="s">
        <v>367</v>
      </c>
      <c r="X193" s="411">
        <v>9.6091063829787368E-2</v>
      </c>
      <c r="Y193" s="304"/>
      <c r="Z193" s="305"/>
      <c r="AA193" s="305"/>
      <c r="AB193" s="193" t="e">
        <v>#VALUE!</v>
      </c>
      <c r="AC193" s="306">
        <v>0.11960170212765971</v>
      </c>
      <c r="AD193" s="304">
        <v>0</v>
      </c>
      <c r="AE193" s="304">
        <v>85170321500</v>
      </c>
      <c r="AM193" s="332">
        <v>0</v>
      </c>
      <c r="AN193" s="334" t="e">
        <v>#DIV/0!</v>
      </c>
      <c r="AO193" s="334" t="e">
        <v>#DIV/0!</v>
      </c>
    </row>
    <row r="194" spans="1:41" ht="17.25" customHeight="1">
      <c r="A194" s="403">
        <v>2024</v>
      </c>
      <c r="B194" s="403">
        <v>389</v>
      </c>
      <c r="C194" s="404" t="s">
        <v>42</v>
      </c>
      <c r="D194" s="414">
        <v>45357</v>
      </c>
      <c r="E194" s="406">
        <v>2024</v>
      </c>
      <c r="F194" s="407" t="s">
        <v>4</v>
      </c>
      <c r="G194" s="383">
        <v>45357</v>
      </c>
      <c r="H194" s="408">
        <v>223500000000</v>
      </c>
      <c r="I194" s="409">
        <v>-9572400000</v>
      </c>
      <c r="J194" s="409">
        <v>-4688750000</v>
      </c>
      <c r="K194" s="408">
        <v>-14261150000</v>
      </c>
      <c r="L194" s="410">
        <v>0</v>
      </c>
      <c r="M194" s="410">
        <v>-14261150000</v>
      </c>
      <c r="N194" s="410">
        <v>0</v>
      </c>
      <c r="O194" s="410">
        <v>-14261150000</v>
      </c>
      <c r="P194" s="411">
        <v>-6.3808277404921704E-2</v>
      </c>
      <c r="Q194" s="411">
        <v>-6.3808277404921704E-2</v>
      </c>
      <c r="R194" s="412">
        <v>1.4575572153650478E-2</v>
      </c>
      <c r="S194" s="412"/>
      <c r="T194" s="412"/>
      <c r="U194" s="413">
        <v>-14261150000</v>
      </c>
      <c r="V194" s="413">
        <v>-14261150000</v>
      </c>
      <c r="W194" s="413" t="s">
        <v>367</v>
      </c>
      <c r="X194" s="411">
        <v>-6.3808277404921704E-2</v>
      </c>
      <c r="Y194" s="304"/>
      <c r="Z194" s="305"/>
      <c r="AA194" s="305"/>
      <c r="AB194" s="193" t="e">
        <v>#VALUE!</v>
      </c>
      <c r="AC194" s="306">
        <v>-4.2829530201342281E-2</v>
      </c>
      <c r="AD194" s="304">
        <v>223500000000</v>
      </c>
      <c r="AE194" s="304">
        <v>0</v>
      </c>
      <c r="AM194" s="332">
        <v>0</v>
      </c>
      <c r="AN194" s="334" t="e">
        <v>#DIV/0!</v>
      </c>
      <c r="AO194" s="334" t="e">
        <v>#DIV/0!</v>
      </c>
    </row>
    <row r="195" spans="1:41" ht="17.25" customHeight="1">
      <c r="A195" s="403">
        <v>2024</v>
      </c>
      <c r="B195" s="403">
        <v>390</v>
      </c>
      <c r="C195" s="404" t="s">
        <v>42</v>
      </c>
      <c r="D195" s="414">
        <v>45357</v>
      </c>
      <c r="E195" s="406">
        <v>2024</v>
      </c>
      <c r="F195" s="407" t="s">
        <v>6</v>
      </c>
      <c r="G195" s="383">
        <v>45357</v>
      </c>
      <c r="H195" s="408">
        <v>76133673000</v>
      </c>
      <c r="I195" s="409">
        <v>9582945420.5099945</v>
      </c>
      <c r="J195" s="409">
        <v>-1848960630.0000005</v>
      </c>
      <c r="K195" s="408">
        <v>7733984790.5099945</v>
      </c>
      <c r="L195" s="410">
        <v>0</v>
      </c>
      <c r="M195" s="410">
        <v>7733984790.5099945</v>
      </c>
      <c r="N195" s="410">
        <v>0</v>
      </c>
      <c r="O195" s="410">
        <v>7733984790.5099945</v>
      </c>
      <c r="P195" s="411">
        <v>0.10158428571428564</v>
      </c>
      <c r="Q195" s="411">
        <v>0.10158428571428564</v>
      </c>
      <c r="R195" s="412">
        <v>4.9650641795701616E-3</v>
      </c>
      <c r="S195" s="412"/>
      <c r="T195" s="412"/>
      <c r="U195" s="413">
        <v>7733984790.5099945</v>
      </c>
      <c r="V195" s="413">
        <v>7733984790.5099945</v>
      </c>
      <c r="W195" s="413" t="s">
        <v>367</v>
      </c>
      <c r="X195" s="411">
        <v>0.10158428571428564</v>
      </c>
      <c r="Y195" s="304"/>
      <c r="Z195" s="305"/>
      <c r="AA195" s="305"/>
      <c r="AB195" s="193" t="e">
        <v>#VALUE!</v>
      </c>
      <c r="AC195" s="306">
        <v>0.12586999999999993</v>
      </c>
      <c r="AD195" s="304">
        <v>0</v>
      </c>
      <c r="AE195" s="304">
        <v>76133673000</v>
      </c>
      <c r="AM195" s="332">
        <v>0</v>
      </c>
      <c r="AN195" s="334" t="e">
        <v>#DIV/0!</v>
      </c>
      <c r="AO195" s="334" t="e">
        <v>#DIV/0!</v>
      </c>
    </row>
    <row r="196" spans="1:41" ht="17.25" customHeight="1">
      <c r="A196" s="403">
        <v>2024</v>
      </c>
      <c r="B196" s="403">
        <v>391</v>
      </c>
      <c r="C196" s="404" t="s">
        <v>42</v>
      </c>
      <c r="D196" s="414">
        <v>45358</v>
      </c>
      <c r="E196" s="406">
        <v>2024</v>
      </c>
      <c r="F196" s="407" t="s">
        <v>4</v>
      </c>
      <c r="G196" s="383">
        <v>45358</v>
      </c>
      <c r="H196" s="408">
        <v>195000000000</v>
      </c>
      <c r="I196" s="409">
        <v>-21456370000</v>
      </c>
      <c r="J196" s="409">
        <v>-4475000000</v>
      </c>
      <c r="K196" s="408">
        <v>-25931370000</v>
      </c>
      <c r="L196" s="410">
        <v>0</v>
      </c>
      <c r="M196" s="410">
        <v>-25931370000</v>
      </c>
      <c r="N196" s="410">
        <v>0</v>
      </c>
      <c r="O196" s="410">
        <v>-25931370000</v>
      </c>
      <c r="P196" s="411">
        <v>-0.13298138461538461</v>
      </c>
      <c r="Q196" s="411">
        <v>-0.13298138461538461</v>
      </c>
      <c r="R196" s="412">
        <v>1.2716942147480282E-2</v>
      </c>
      <c r="S196" s="412"/>
      <c r="T196" s="412"/>
      <c r="U196" s="413">
        <v>-25931370000</v>
      </c>
      <c r="V196" s="413">
        <v>-25931370000</v>
      </c>
      <c r="W196" s="413" t="s">
        <v>367</v>
      </c>
      <c r="X196" s="411">
        <v>-0.13298138461538461</v>
      </c>
      <c r="Y196" s="304"/>
      <c r="Z196" s="305"/>
      <c r="AA196" s="305"/>
      <c r="AB196" s="193" t="e">
        <v>#VALUE!</v>
      </c>
      <c r="AC196" s="306">
        <v>-0.11003266666666667</v>
      </c>
      <c r="AD196" s="304">
        <v>195000000000</v>
      </c>
      <c r="AE196" s="304">
        <v>0</v>
      </c>
      <c r="AM196" s="332">
        <v>0</v>
      </c>
      <c r="AN196" s="334" t="e">
        <v>#DIV/0!</v>
      </c>
      <c r="AO196" s="334" t="e">
        <v>#DIV/0!</v>
      </c>
    </row>
    <row r="197" spans="1:41" ht="17.25" customHeight="1">
      <c r="A197" s="403">
        <v>2024</v>
      </c>
      <c r="B197" s="403">
        <v>392</v>
      </c>
      <c r="C197" s="404" t="s">
        <v>42</v>
      </c>
      <c r="D197" s="414">
        <v>45358</v>
      </c>
      <c r="E197" s="406">
        <v>2024</v>
      </c>
      <c r="F197" s="407" t="s">
        <v>6</v>
      </c>
      <c r="G197" s="383">
        <v>45358</v>
      </c>
      <c r="H197" s="408">
        <v>195834132000</v>
      </c>
      <c r="I197" s="409">
        <v>21464436303.440014</v>
      </c>
      <c r="J197" s="409">
        <v>-2774316870.000001</v>
      </c>
      <c r="K197" s="408">
        <v>18690119433.440014</v>
      </c>
      <c r="L197" s="410">
        <v>0</v>
      </c>
      <c r="M197" s="410">
        <v>18690119433.440014</v>
      </c>
      <c r="N197" s="410">
        <v>0</v>
      </c>
      <c r="O197" s="410">
        <v>18690119433.440014</v>
      </c>
      <c r="P197" s="411">
        <v>9.5438518518518589E-2</v>
      </c>
      <c r="Q197" s="411">
        <v>9.5438518518518589E-2</v>
      </c>
      <c r="R197" s="412">
        <v>1.2771340139210344E-2</v>
      </c>
      <c r="S197" s="412"/>
      <c r="T197" s="412"/>
      <c r="U197" s="413">
        <v>18690119433.440014</v>
      </c>
      <c r="V197" s="413">
        <v>18690119433.440014</v>
      </c>
      <c r="W197" s="413" t="s">
        <v>367</v>
      </c>
      <c r="X197" s="411">
        <v>9.5438518518518589E-2</v>
      </c>
      <c r="Y197" s="304"/>
      <c r="Z197" s="305"/>
      <c r="AA197" s="305"/>
      <c r="AB197" s="193" t="e">
        <v>#VALUE!</v>
      </c>
      <c r="AC197" s="306">
        <v>0.10960518518518525</v>
      </c>
      <c r="AD197" s="304">
        <v>0</v>
      </c>
      <c r="AE197" s="304">
        <v>195834132000</v>
      </c>
      <c r="AM197" s="332">
        <v>0</v>
      </c>
      <c r="AN197" s="334" t="e">
        <v>#DIV/0!</v>
      </c>
      <c r="AO197" s="334" t="e">
        <v>#DIV/0!</v>
      </c>
    </row>
    <row r="198" spans="1:41" ht="17.25" customHeight="1">
      <c r="A198" s="403">
        <v>2024</v>
      </c>
      <c r="B198" s="403">
        <v>393</v>
      </c>
      <c r="C198" s="404" t="s">
        <v>42</v>
      </c>
      <c r="D198" s="414">
        <v>45364</v>
      </c>
      <c r="E198" s="406">
        <v>2024</v>
      </c>
      <c r="F198" s="407" t="s">
        <v>4</v>
      </c>
      <c r="G198" s="383">
        <v>45364</v>
      </c>
      <c r="H198" s="408">
        <v>244500000000</v>
      </c>
      <c r="I198" s="409">
        <v>-12417177000</v>
      </c>
      <c r="J198" s="409">
        <v>-4515000000</v>
      </c>
      <c r="K198" s="408">
        <v>-16932177000</v>
      </c>
      <c r="L198" s="410">
        <v>0</v>
      </c>
      <c r="M198" s="410">
        <v>-16932177000</v>
      </c>
      <c r="N198" s="410">
        <v>0</v>
      </c>
      <c r="O198" s="410">
        <v>-16932177000</v>
      </c>
      <c r="P198" s="411">
        <v>-6.9252257668711653E-2</v>
      </c>
      <c r="Q198" s="411">
        <v>-6.9252257668711653E-2</v>
      </c>
      <c r="R198" s="412">
        <v>1.5945089000302202E-2</v>
      </c>
      <c r="S198" s="412"/>
      <c r="T198" s="412"/>
      <c r="U198" s="413">
        <v>-16932177000</v>
      </c>
      <c r="V198" s="413">
        <v>-16932177000</v>
      </c>
      <c r="W198" s="413" t="s">
        <v>367</v>
      </c>
      <c r="X198" s="411">
        <v>-6.9252257668711653E-2</v>
      </c>
      <c r="Y198" s="304"/>
      <c r="Z198" s="305"/>
      <c r="AA198" s="305"/>
      <c r="AB198" s="193" t="e">
        <v>#VALUE!</v>
      </c>
      <c r="AC198" s="306">
        <v>-5.0785999999999998E-2</v>
      </c>
      <c r="AD198" s="304">
        <v>244500000000</v>
      </c>
      <c r="AE198" s="304">
        <v>0</v>
      </c>
      <c r="AM198" s="332">
        <v>0</v>
      </c>
      <c r="AN198" s="334" t="e">
        <v>#DIV/0!</v>
      </c>
      <c r="AO198" s="334" t="e">
        <v>#DIV/0!</v>
      </c>
    </row>
    <row r="199" spans="1:41" ht="17.25" customHeight="1">
      <c r="A199" s="403">
        <v>2024</v>
      </c>
      <c r="B199" s="403">
        <v>394</v>
      </c>
      <c r="C199" s="404" t="s">
        <v>42</v>
      </c>
      <c r="D199" s="414">
        <v>45364</v>
      </c>
      <c r="E199" s="406">
        <v>2024</v>
      </c>
      <c r="F199" s="407" t="s">
        <v>6</v>
      </c>
      <c r="G199" s="383">
        <v>45364</v>
      </c>
      <c r="H199" s="408">
        <v>87202464000</v>
      </c>
      <c r="I199" s="409">
        <v>12466355250.359985</v>
      </c>
      <c r="J199" s="409">
        <v>-2970333930.0000005</v>
      </c>
      <c r="K199" s="408">
        <v>9496021320.3599854</v>
      </c>
      <c r="L199" s="410">
        <v>0</v>
      </c>
      <c r="M199" s="410">
        <v>9496021320.3599854</v>
      </c>
      <c r="N199" s="410">
        <v>0</v>
      </c>
      <c r="O199" s="410">
        <v>9496021320.3599854</v>
      </c>
      <c r="P199" s="411">
        <v>0.10889624999999983</v>
      </c>
      <c r="Q199" s="411">
        <v>0.10889624999999983</v>
      </c>
      <c r="R199" s="412">
        <v>5.6869163579781126E-3</v>
      </c>
      <c r="S199" s="412"/>
      <c r="T199" s="412"/>
      <c r="U199" s="413">
        <v>9496021320.3599854</v>
      </c>
      <c r="V199" s="413">
        <v>9496021320.3599854</v>
      </c>
      <c r="W199" s="413" t="s">
        <v>367</v>
      </c>
      <c r="X199" s="411">
        <v>0.10889624999999983</v>
      </c>
      <c r="Y199" s="304"/>
      <c r="Z199" s="305"/>
      <c r="AA199" s="305"/>
      <c r="AB199" s="193" t="e">
        <v>#VALUE!</v>
      </c>
      <c r="AC199" s="306">
        <v>0.14295874999999983</v>
      </c>
      <c r="AD199" s="304">
        <v>0</v>
      </c>
      <c r="AE199" s="304">
        <v>87202464000</v>
      </c>
      <c r="AM199" s="332">
        <v>0</v>
      </c>
      <c r="AN199" s="334" t="e">
        <v>#DIV/0!</v>
      </c>
      <c r="AO199" s="334" t="e">
        <v>#DIV/0!</v>
      </c>
    </row>
    <row r="200" spans="1:41" ht="17.25" customHeight="1">
      <c r="A200" s="403">
        <v>2024</v>
      </c>
      <c r="B200" s="403">
        <v>395</v>
      </c>
      <c r="C200" s="404" t="s">
        <v>42</v>
      </c>
      <c r="D200" s="414">
        <v>45365</v>
      </c>
      <c r="E200" s="406">
        <v>2024</v>
      </c>
      <c r="F200" s="407" t="s">
        <v>4</v>
      </c>
      <c r="G200" s="383">
        <v>45365</v>
      </c>
      <c r="H200" s="408">
        <v>194000000000</v>
      </c>
      <c r="I200" s="409">
        <v>-14273988999.999969</v>
      </c>
      <c r="J200" s="409">
        <v>-3238750000</v>
      </c>
      <c r="K200" s="408">
        <v>-17512738999.999969</v>
      </c>
      <c r="L200" s="410">
        <v>0</v>
      </c>
      <c r="M200" s="410">
        <v>-17512738999.999969</v>
      </c>
      <c r="N200" s="410">
        <v>0</v>
      </c>
      <c r="O200" s="410">
        <v>-17512738999.999969</v>
      </c>
      <c r="P200" s="411">
        <v>-9.0271850515463756E-2</v>
      </c>
      <c r="Q200" s="411">
        <v>-9.0271850515463756E-2</v>
      </c>
      <c r="R200" s="412">
        <v>1.2651727059544485E-2</v>
      </c>
      <c r="S200" s="412"/>
      <c r="T200" s="412"/>
      <c r="U200" s="413">
        <v>-17512738999.999969</v>
      </c>
      <c r="V200" s="413">
        <v>-17512738999.999969</v>
      </c>
      <c r="W200" s="413" t="s">
        <v>367</v>
      </c>
      <c r="X200" s="411">
        <v>-9.0271850515463756E-2</v>
      </c>
      <c r="Y200" s="304"/>
      <c r="Z200" s="305"/>
      <c r="AA200" s="305"/>
      <c r="AB200" s="193" t="e">
        <v>#VALUE!</v>
      </c>
      <c r="AC200" s="306">
        <v>-7.3577262886597786E-2</v>
      </c>
      <c r="AD200" s="304">
        <v>194000000000</v>
      </c>
      <c r="AE200" s="304">
        <v>0</v>
      </c>
      <c r="AM200" s="332">
        <v>0</v>
      </c>
      <c r="AN200" s="334" t="e">
        <v>#DIV/0!</v>
      </c>
      <c r="AO200" s="334" t="e">
        <v>#DIV/0!</v>
      </c>
    </row>
    <row r="201" spans="1:41" ht="17.25" customHeight="1">
      <c r="A201" s="403">
        <v>2024</v>
      </c>
      <c r="B201" s="403">
        <v>396</v>
      </c>
      <c r="C201" s="404" t="s">
        <v>42</v>
      </c>
      <c r="D201" s="414">
        <v>45365</v>
      </c>
      <c r="E201" s="406">
        <v>2024</v>
      </c>
      <c r="F201" s="407" t="s">
        <v>6</v>
      </c>
      <c r="G201" s="383">
        <v>45365</v>
      </c>
      <c r="H201" s="408">
        <v>116306688000</v>
      </c>
      <c r="I201" s="409">
        <v>14404565135.880001</v>
      </c>
      <c r="J201" s="409">
        <v>-1658278950.0000005</v>
      </c>
      <c r="K201" s="408">
        <v>12746286185.880001</v>
      </c>
      <c r="L201" s="410">
        <v>0</v>
      </c>
      <c r="M201" s="410">
        <v>12746286185.880001</v>
      </c>
      <c r="N201" s="410">
        <v>0</v>
      </c>
      <c r="O201" s="410">
        <v>12746286185.880001</v>
      </c>
      <c r="P201" s="411">
        <v>0.10959203125000001</v>
      </c>
      <c r="Q201" s="411">
        <v>0.10959203125000001</v>
      </c>
      <c r="R201" s="412">
        <v>7.5849508854412264E-3</v>
      </c>
      <c r="S201" s="412"/>
      <c r="T201" s="412"/>
      <c r="U201" s="413">
        <v>12746286185.880001</v>
      </c>
      <c r="V201" s="413">
        <v>12746286185.880001</v>
      </c>
      <c r="W201" s="413" t="s">
        <v>367</v>
      </c>
      <c r="X201" s="411">
        <v>0.10959203125000001</v>
      </c>
      <c r="Y201" s="304"/>
      <c r="Z201" s="305"/>
      <c r="AA201" s="305"/>
      <c r="AB201" s="193" t="e">
        <v>#VALUE!</v>
      </c>
      <c r="AC201" s="306">
        <v>0.12384984375000001</v>
      </c>
      <c r="AD201" s="304">
        <v>0</v>
      </c>
      <c r="AE201" s="304">
        <v>116306688000</v>
      </c>
      <c r="AM201" s="332">
        <v>0</v>
      </c>
      <c r="AN201" s="334" t="e">
        <v>#DIV/0!</v>
      </c>
      <c r="AO201" s="334" t="e">
        <v>#DIV/0!</v>
      </c>
    </row>
    <row r="202" spans="1:41" ht="17.25" customHeight="1">
      <c r="A202" s="403">
        <v>2024</v>
      </c>
      <c r="B202" s="403">
        <v>397</v>
      </c>
      <c r="C202" s="404" t="s">
        <v>42</v>
      </c>
      <c r="D202" s="414">
        <v>45366</v>
      </c>
      <c r="E202" s="406">
        <v>2024</v>
      </c>
      <c r="F202" s="407" t="s">
        <v>4</v>
      </c>
      <c r="G202" s="383">
        <v>45366</v>
      </c>
      <c r="H202" s="408">
        <v>202000000000</v>
      </c>
      <c r="I202" s="409">
        <v>-15353900000.000015</v>
      </c>
      <c r="J202" s="409">
        <v>-8377500000</v>
      </c>
      <c r="K202" s="408">
        <v>-23731400000.000015</v>
      </c>
      <c r="L202" s="410">
        <v>0</v>
      </c>
      <c r="M202" s="410">
        <v>-23731400000.000015</v>
      </c>
      <c r="N202" s="410">
        <v>0</v>
      </c>
      <c r="O202" s="410">
        <v>-23731400000.000015</v>
      </c>
      <c r="P202" s="411">
        <v>-0.11748217821782186</v>
      </c>
      <c r="Q202" s="411">
        <v>-0.11748217821782186</v>
      </c>
      <c r="R202" s="412">
        <v>1.3173447763030857E-2</v>
      </c>
      <c r="S202" s="412"/>
      <c r="T202" s="412"/>
      <c r="U202" s="413">
        <v>-23731400000.000015</v>
      </c>
      <c r="V202" s="413">
        <v>-23731400000.000015</v>
      </c>
      <c r="W202" s="413" t="s">
        <v>367</v>
      </c>
      <c r="X202" s="411">
        <v>-0.11748217821782186</v>
      </c>
      <c r="Y202" s="304"/>
      <c r="Z202" s="305"/>
      <c r="AA202" s="305"/>
      <c r="AB202" s="193" t="e">
        <v>#VALUE!</v>
      </c>
      <c r="AC202" s="306">
        <v>-7.6009405940594132E-2</v>
      </c>
      <c r="AD202" s="304">
        <v>202000000000</v>
      </c>
      <c r="AE202" s="304">
        <v>0</v>
      </c>
      <c r="AM202" s="332">
        <v>0</v>
      </c>
      <c r="AN202" s="334" t="e">
        <v>#DIV/0!</v>
      </c>
      <c r="AO202" s="334" t="e">
        <v>#DIV/0!</v>
      </c>
    </row>
    <row r="203" spans="1:41" ht="17.25" customHeight="1">
      <c r="A203" s="403">
        <v>2024</v>
      </c>
      <c r="B203" s="403">
        <v>398</v>
      </c>
      <c r="C203" s="404" t="s">
        <v>42</v>
      </c>
      <c r="D203" s="414">
        <v>45366</v>
      </c>
      <c r="E203" s="406">
        <v>2024</v>
      </c>
      <c r="F203" s="407" t="s">
        <v>6</v>
      </c>
      <c r="G203" s="383">
        <v>45366</v>
      </c>
      <c r="H203" s="408">
        <v>130886352000</v>
      </c>
      <c r="I203" s="409">
        <v>16390025285.280022</v>
      </c>
      <c r="J203" s="409">
        <v>-1799687340</v>
      </c>
      <c r="K203" s="408">
        <v>14590337945.280022</v>
      </c>
      <c r="L203" s="410">
        <v>0</v>
      </c>
      <c r="M203" s="410">
        <v>14590337945.280022</v>
      </c>
      <c r="N203" s="410">
        <v>0</v>
      </c>
      <c r="O203" s="410">
        <v>14590337945.280022</v>
      </c>
      <c r="P203" s="411">
        <v>0.11147333333333349</v>
      </c>
      <c r="Q203" s="411">
        <v>0.11147333333333349</v>
      </c>
      <c r="R203" s="412">
        <v>8.5357649552755908E-3</v>
      </c>
      <c r="S203" s="412"/>
      <c r="T203" s="412"/>
      <c r="U203" s="413">
        <v>14590337945.280022</v>
      </c>
      <c r="V203" s="413">
        <v>14590337945.280022</v>
      </c>
      <c r="W203" s="413" t="s">
        <v>367</v>
      </c>
      <c r="X203" s="411">
        <v>0.11147333333333349</v>
      </c>
      <c r="Y203" s="304"/>
      <c r="Z203" s="305"/>
      <c r="AA203" s="305"/>
      <c r="AB203" s="193" t="e">
        <v>#VALUE!</v>
      </c>
      <c r="AC203" s="306">
        <v>0.12522333333333349</v>
      </c>
      <c r="AD203" s="304">
        <v>0</v>
      </c>
      <c r="AE203" s="304">
        <v>130886352000</v>
      </c>
      <c r="AM203" s="332">
        <v>0</v>
      </c>
      <c r="AN203" s="334" t="e">
        <v>#DIV/0!</v>
      </c>
      <c r="AO203" s="334" t="e">
        <v>#DIV/0!</v>
      </c>
    </row>
    <row r="204" spans="1:41" ht="17.25" customHeight="1">
      <c r="A204" s="403">
        <v>2024</v>
      </c>
      <c r="B204" s="403">
        <v>399</v>
      </c>
      <c r="C204" s="404" t="s">
        <v>42</v>
      </c>
      <c r="D204" s="414">
        <v>45371</v>
      </c>
      <c r="E204" s="406">
        <v>2024</v>
      </c>
      <c r="F204" s="407" t="s">
        <v>4</v>
      </c>
      <c r="G204" s="383">
        <v>45371</v>
      </c>
      <c r="H204" s="408">
        <v>151000000000</v>
      </c>
      <c r="I204" s="409">
        <v>-7622158000</v>
      </c>
      <c r="J204" s="409">
        <v>-4402500000</v>
      </c>
      <c r="K204" s="408">
        <v>-12024658000</v>
      </c>
      <c r="L204" s="410">
        <v>0</v>
      </c>
      <c r="M204" s="410">
        <v>-12024658000</v>
      </c>
      <c r="N204" s="410">
        <v>0</v>
      </c>
      <c r="O204" s="410">
        <v>-12024658000</v>
      </c>
      <c r="P204" s="411">
        <v>-7.9633496688741728E-2</v>
      </c>
      <c r="Q204" s="411">
        <v>-7.9633496688741728E-2</v>
      </c>
      <c r="R204" s="412">
        <v>9.847478278305245E-3</v>
      </c>
      <c r="S204" s="412"/>
      <c r="T204" s="412"/>
      <c r="U204" s="413">
        <v>-12024658000</v>
      </c>
      <c r="V204" s="413">
        <v>-12024658000</v>
      </c>
      <c r="W204" s="413" t="s">
        <v>367</v>
      </c>
      <c r="X204" s="411">
        <v>-7.9633496688741728E-2</v>
      </c>
      <c r="Y204" s="304"/>
      <c r="Z204" s="305"/>
      <c r="AA204" s="305"/>
      <c r="AB204" s="193" t="e">
        <v>#VALUE!</v>
      </c>
      <c r="AC204" s="306">
        <v>-5.0477867549668876E-2</v>
      </c>
      <c r="AD204" s="304">
        <v>151000000000</v>
      </c>
      <c r="AE204" s="304">
        <v>0</v>
      </c>
      <c r="AM204" s="332">
        <v>0</v>
      </c>
      <c r="AN204" s="334" t="e">
        <v>#DIV/0!</v>
      </c>
      <c r="AO204" s="334" t="e">
        <v>#DIV/0!</v>
      </c>
    </row>
    <row r="205" spans="1:41" ht="17.25" customHeight="1">
      <c r="A205" s="403">
        <v>2024</v>
      </c>
      <c r="B205" s="403">
        <v>400</v>
      </c>
      <c r="C205" s="404" t="s">
        <v>42</v>
      </c>
      <c r="D205" s="414">
        <v>45371</v>
      </c>
      <c r="E205" s="406">
        <v>2024</v>
      </c>
      <c r="F205" s="407" t="s">
        <v>6</v>
      </c>
      <c r="G205" s="383">
        <v>45371</v>
      </c>
      <c r="H205" s="408">
        <v>89231327500</v>
      </c>
      <c r="I205" s="409">
        <v>10691460924.87499</v>
      </c>
      <c r="J205" s="409">
        <v>-1197338731.2500005</v>
      </c>
      <c r="K205" s="408">
        <v>9494122193.6249905</v>
      </c>
      <c r="L205" s="410">
        <v>0</v>
      </c>
      <c r="M205" s="410">
        <v>9494122193.6249905</v>
      </c>
      <c r="N205" s="410">
        <v>0</v>
      </c>
      <c r="O205" s="410">
        <v>9494122193.6249905</v>
      </c>
      <c r="P205" s="411">
        <v>0.10639897959183663</v>
      </c>
      <c r="Q205" s="411">
        <v>0.10639897959183663</v>
      </c>
      <c r="R205" s="412">
        <v>5.81922886954034E-3</v>
      </c>
      <c r="S205" s="412"/>
      <c r="T205" s="412"/>
      <c r="U205" s="413">
        <v>9494122193.6249905</v>
      </c>
      <c r="V205" s="413">
        <v>9494122193.6249905</v>
      </c>
      <c r="W205" s="413" t="s">
        <v>367</v>
      </c>
      <c r="X205" s="411">
        <v>0.10639897959183663</v>
      </c>
      <c r="Y205" s="304"/>
      <c r="Z205" s="305"/>
      <c r="AA205" s="305"/>
      <c r="AB205" s="193" t="e">
        <v>#VALUE!</v>
      </c>
      <c r="AC205" s="306">
        <v>0.11981734693877541</v>
      </c>
      <c r="AD205" s="304">
        <v>0</v>
      </c>
      <c r="AE205" s="304">
        <v>89231327500</v>
      </c>
      <c r="AM205" s="332">
        <v>0</v>
      </c>
      <c r="AN205" s="334" t="e">
        <v>#DIV/0!</v>
      </c>
      <c r="AO205" s="334" t="e">
        <v>#DIV/0!</v>
      </c>
    </row>
    <row r="206" spans="1:41" ht="17.25" customHeight="1">
      <c r="A206" s="403">
        <v>2024</v>
      </c>
      <c r="B206" s="403">
        <v>401</v>
      </c>
      <c r="C206" s="404" t="s">
        <v>42</v>
      </c>
      <c r="D206" s="414">
        <v>45372</v>
      </c>
      <c r="E206" s="406">
        <v>2024</v>
      </c>
      <c r="F206" s="407" t="s">
        <v>4</v>
      </c>
      <c r="G206" s="383">
        <v>45372</v>
      </c>
      <c r="H206" s="408">
        <v>275000000000</v>
      </c>
      <c r="I206" s="409">
        <v>-22575512499.999939</v>
      </c>
      <c r="J206" s="409">
        <v>-4753125000</v>
      </c>
      <c r="K206" s="408">
        <v>-27328637499.999939</v>
      </c>
      <c r="L206" s="410">
        <v>0</v>
      </c>
      <c r="M206" s="410">
        <v>-27328637499.999939</v>
      </c>
      <c r="N206" s="410">
        <v>0</v>
      </c>
      <c r="O206" s="410">
        <v>-27328637499.999939</v>
      </c>
      <c r="P206" s="411">
        <v>-9.9376863636363416E-2</v>
      </c>
      <c r="Q206" s="411">
        <v>-9.9376863636363416E-2</v>
      </c>
      <c r="R206" s="412">
        <v>1.7934149182343987E-2</v>
      </c>
      <c r="S206" s="412"/>
      <c r="T206" s="412"/>
      <c r="U206" s="413">
        <v>-27328637499.999939</v>
      </c>
      <c r="V206" s="413">
        <v>-27328637499.999939</v>
      </c>
      <c r="W206" s="413" t="s">
        <v>367</v>
      </c>
      <c r="X206" s="411">
        <v>-9.9376863636363416E-2</v>
      </c>
      <c r="Y206" s="304"/>
      <c r="Z206" s="305"/>
      <c r="AA206" s="305"/>
      <c r="AB206" s="193" t="e">
        <v>#VALUE!</v>
      </c>
      <c r="AC206" s="306">
        <v>-8.2092772727272501E-2</v>
      </c>
      <c r="AD206" s="304">
        <v>275000000000</v>
      </c>
      <c r="AE206" s="304">
        <v>0</v>
      </c>
      <c r="AM206" s="332">
        <v>0</v>
      </c>
      <c r="AN206" s="334" t="e">
        <v>#DIV/0!</v>
      </c>
      <c r="AO206" s="334" t="e">
        <v>#DIV/0!</v>
      </c>
    </row>
    <row r="207" spans="1:41" ht="17.25" customHeight="1">
      <c r="A207" s="403">
        <v>2024</v>
      </c>
      <c r="B207" s="403">
        <v>402</v>
      </c>
      <c r="C207" s="404" t="s">
        <v>42</v>
      </c>
      <c r="D207" s="414">
        <v>45372</v>
      </c>
      <c r="E207" s="406">
        <v>2024</v>
      </c>
      <c r="F207" s="407" t="s">
        <v>6</v>
      </c>
      <c r="G207" s="383">
        <v>45372</v>
      </c>
      <c r="H207" s="408">
        <v>233175616000</v>
      </c>
      <c r="I207" s="409">
        <v>28989667760.27002</v>
      </c>
      <c r="J207" s="409">
        <v>-3816429027.500001</v>
      </c>
      <c r="K207" s="408">
        <v>25173238732.77002</v>
      </c>
      <c r="L207" s="410">
        <v>3.0517578125E-5</v>
      </c>
      <c r="M207" s="410">
        <v>25173238732.77005</v>
      </c>
      <c r="N207" s="410">
        <v>0</v>
      </c>
      <c r="O207" s="410">
        <v>25173238732.77005</v>
      </c>
      <c r="P207" s="411">
        <v>0.10795828125000008</v>
      </c>
      <c r="Q207" s="411">
        <v>0.10795828125000022</v>
      </c>
      <c r="R207" s="412">
        <v>1.5206568301923476E-2</v>
      </c>
      <c r="S207" s="412"/>
      <c r="T207" s="412"/>
      <c r="U207" s="413">
        <v>25173238732.77005</v>
      </c>
      <c r="V207" s="413">
        <v>25173238732.77005</v>
      </c>
      <c r="W207" s="413" t="s">
        <v>367</v>
      </c>
      <c r="X207" s="411">
        <v>0.10795828125000022</v>
      </c>
      <c r="Y207" s="304"/>
      <c r="Z207" s="305"/>
      <c r="AA207" s="305"/>
      <c r="AB207" s="193" t="e">
        <v>#VALUE!</v>
      </c>
      <c r="AC207" s="306">
        <v>0.12432546875000008</v>
      </c>
      <c r="AD207" s="304">
        <v>0</v>
      </c>
      <c r="AE207" s="304">
        <v>233175616000</v>
      </c>
      <c r="AM207" s="332">
        <v>0</v>
      </c>
      <c r="AN207" s="334" t="e">
        <v>#DIV/0!</v>
      </c>
      <c r="AO207" s="334" t="e">
        <v>#DIV/0!</v>
      </c>
    </row>
    <row r="208" spans="1:41" ht="17.25" customHeight="1">
      <c r="A208" s="403">
        <v>2024</v>
      </c>
      <c r="B208" s="403">
        <v>403</v>
      </c>
      <c r="C208" s="404" t="s">
        <v>42</v>
      </c>
      <c r="D208" s="414">
        <v>45373</v>
      </c>
      <c r="E208" s="406">
        <v>2024</v>
      </c>
      <c r="F208" s="407" t="s">
        <v>4</v>
      </c>
      <c r="G208" s="383">
        <v>45373</v>
      </c>
      <c r="H208" s="408">
        <v>173000000000</v>
      </c>
      <c r="I208" s="409">
        <v>-21130100000</v>
      </c>
      <c r="J208" s="409">
        <v>-7575000000</v>
      </c>
      <c r="K208" s="408">
        <v>-28705100000</v>
      </c>
      <c r="L208" s="410">
        <v>0</v>
      </c>
      <c r="M208" s="410">
        <v>-28705100000</v>
      </c>
      <c r="N208" s="410">
        <v>0</v>
      </c>
      <c r="O208" s="410">
        <v>-28705100000</v>
      </c>
      <c r="P208" s="411">
        <v>-0.16592543352601155</v>
      </c>
      <c r="Q208" s="411">
        <v>-0.16592543352601155</v>
      </c>
      <c r="R208" s="412">
        <v>1.1282210212892763E-2</v>
      </c>
      <c r="S208" s="412"/>
      <c r="T208" s="412"/>
      <c r="U208" s="413">
        <v>-28705100000</v>
      </c>
      <c r="V208" s="413">
        <v>-28705100000</v>
      </c>
      <c r="W208" s="413" t="s">
        <v>367</v>
      </c>
      <c r="X208" s="411">
        <v>-0.16592543352601155</v>
      </c>
      <c r="Y208" s="304"/>
      <c r="Z208" s="305"/>
      <c r="AA208" s="305"/>
      <c r="AB208" s="193" t="e">
        <v>#VALUE!</v>
      </c>
      <c r="AC208" s="306">
        <v>-0.12213930635838151</v>
      </c>
      <c r="AD208" s="304">
        <v>173000000000</v>
      </c>
      <c r="AE208" s="304">
        <v>0</v>
      </c>
      <c r="AM208" s="332">
        <v>0</v>
      </c>
      <c r="AN208" s="334" t="e">
        <v>#DIV/0!</v>
      </c>
      <c r="AO208" s="334" t="e">
        <v>#DIV/0!</v>
      </c>
    </row>
    <row r="209" spans="1:41" ht="17.25" customHeight="1">
      <c r="A209" s="403">
        <v>2024</v>
      </c>
      <c r="B209" s="403">
        <v>404</v>
      </c>
      <c r="C209" s="404" t="s">
        <v>42</v>
      </c>
      <c r="D209" s="414">
        <v>45373</v>
      </c>
      <c r="E209" s="406">
        <v>2024</v>
      </c>
      <c r="F209" s="407" t="s">
        <v>6</v>
      </c>
      <c r="G209" s="383">
        <v>45373</v>
      </c>
      <c r="H209" s="408">
        <v>240546438000</v>
      </c>
      <c r="I209" s="409">
        <v>29668195841.460022</v>
      </c>
      <c r="J209" s="409">
        <v>-3170839410.000001</v>
      </c>
      <c r="K209" s="408">
        <v>26497356431.460022</v>
      </c>
      <c r="L209" s="410">
        <v>0</v>
      </c>
      <c r="M209" s="410">
        <v>26497356431.460022</v>
      </c>
      <c r="N209" s="410">
        <v>0</v>
      </c>
      <c r="O209" s="410">
        <v>26497356431.460022</v>
      </c>
      <c r="P209" s="411">
        <v>0.11015484848484858</v>
      </c>
      <c r="Q209" s="411">
        <v>0.11015484848484858</v>
      </c>
      <c r="R209" s="412">
        <v>1.5687257106812576E-2</v>
      </c>
      <c r="S209" s="412"/>
      <c r="T209" s="412"/>
      <c r="U209" s="413">
        <v>26497356431.460022</v>
      </c>
      <c r="V209" s="413">
        <v>26497356431.460022</v>
      </c>
      <c r="W209" s="413" t="s">
        <v>367</v>
      </c>
      <c r="X209" s="411">
        <v>0.11015484848484858</v>
      </c>
      <c r="Y209" s="304"/>
      <c r="Z209" s="305"/>
      <c r="AA209" s="305"/>
      <c r="AB209" s="193" t="e">
        <v>#VALUE!</v>
      </c>
      <c r="AC209" s="306">
        <v>0.12333666666666676</v>
      </c>
      <c r="AD209" s="304">
        <v>0</v>
      </c>
      <c r="AE209" s="304">
        <v>240546438000</v>
      </c>
      <c r="AM209" s="332">
        <v>0</v>
      </c>
      <c r="AN209" s="334" t="e">
        <v>#DIV/0!</v>
      </c>
      <c r="AO209" s="334" t="e">
        <v>#DIV/0!</v>
      </c>
    </row>
    <row r="210" spans="1:41" ht="17.25" customHeight="1">
      <c r="A210" s="403">
        <v>2024</v>
      </c>
      <c r="B210" s="403">
        <v>405</v>
      </c>
      <c r="C210" s="404" t="s">
        <v>42</v>
      </c>
      <c r="D210" s="414">
        <v>45383</v>
      </c>
      <c r="E210" s="406">
        <v>2024</v>
      </c>
      <c r="F210" s="407" t="s">
        <v>4</v>
      </c>
      <c r="G210" s="383">
        <v>45383</v>
      </c>
      <c r="H210" s="408">
        <v>181000000000</v>
      </c>
      <c r="I210" s="409">
        <v>-10806127000</v>
      </c>
      <c r="J210" s="409">
        <v>-9603125000</v>
      </c>
      <c r="K210" s="408">
        <v>-20409252000</v>
      </c>
      <c r="L210" s="410">
        <v>0</v>
      </c>
      <c r="M210" s="410">
        <v>-20409252000</v>
      </c>
      <c r="N210" s="410">
        <v>0</v>
      </c>
      <c r="O210" s="410">
        <v>-20409252000</v>
      </c>
      <c r="P210" s="411">
        <v>-0.11275829834254143</v>
      </c>
      <c r="Q210" s="411">
        <v>-0.11275829834254143</v>
      </c>
      <c r="R210" s="412">
        <v>1.1803930916379135E-2</v>
      </c>
      <c r="S210" s="412"/>
      <c r="T210" s="412"/>
      <c r="U210" s="413">
        <v>-20409252000</v>
      </c>
      <c r="V210" s="413">
        <v>-20409252000</v>
      </c>
      <c r="W210" s="413" t="s">
        <v>367</v>
      </c>
      <c r="X210" s="411">
        <v>-0.11275829834254143</v>
      </c>
      <c r="Y210" s="304"/>
      <c r="Z210" s="305"/>
      <c r="AA210" s="305"/>
      <c r="AB210" s="193" t="e">
        <v>#VALUE!</v>
      </c>
      <c r="AC210" s="306">
        <v>-5.9702359116022098E-2</v>
      </c>
      <c r="AD210" s="304">
        <v>181000000000</v>
      </c>
      <c r="AE210" s="304">
        <v>0</v>
      </c>
      <c r="AM210" s="332">
        <v>0</v>
      </c>
      <c r="AN210" s="334" t="e">
        <v>#DIV/0!</v>
      </c>
      <c r="AO210" s="334" t="e">
        <v>#DIV/0!</v>
      </c>
    </row>
    <row r="211" spans="1:41" ht="17.25" customHeight="1">
      <c r="A211" s="403">
        <v>2024</v>
      </c>
      <c r="B211" s="403">
        <v>406</v>
      </c>
      <c r="C211" s="404" t="s">
        <v>42</v>
      </c>
      <c r="D211" s="414">
        <v>45383</v>
      </c>
      <c r="E211" s="406">
        <v>2024</v>
      </c>
      <c r="F211" s="407" t="s">
        <v>6</v>
      </c>
      <c r="G211" s="383">
        <v>45383</v>
      </c>
      <c r="H211" s="408">
        <v>84120453000</v>
      </c>
      <c r="I211" s="409">
        <v>10945643622.029985</v>
      </c>
      <c r="J211" s="409">
        <v>-1133797410.0000005</v>
      </c>
      <c r="K211" s="408">
        <v>9811846212.0299854</v>
      </c>
      <c r="L211" s="410">
        <v>0</v>
      </c>
      <c r="M211" s="410">
        <v>9811846212.0299854</v>
      </c>
      <c r="N211" s="410">
        <v>0</v>
      </c>
      <c r="O211" s="410">
        <v>9811846212.0299854</v>
      </c>
      <c r="P211" s="411">
        <v>0.11664043478260852</v>
      </c>
      <c r="Q211" s="411">
        <v>0.11664043478260852</v>
      </c>
      <c r="R211" s="412">
        <v>5.4859227395940213E-3</v>
      </c>
      <c r="S211" s="412"/>
      <c r="T211" s="412"/>
      <c r="U211" s="413">
        <v>9811846212.0299854</v>
      </c>
      <c r="V211" s="413">
        <v>9811846212.0299854</v>
      </c>
      <c r="W211" s="413" t="s">
        <v>367</v>
      </c>
      <c r="X211" s="411">
        <v>0.11664043478260852</v>
      </c>
      <c r="Y211" s="304"/>
      <c r="Z211" s="305"/>
      <c r="AA211" s="305"/>
      <c r="AB211" s="193" t="e">
        <v>#VALUE!</v>
      </c>
      <c r="AC211" s="306">
        <v>0.13011869565217374</v>
      </c>
      <c r="AD211" s="304">
        <v>0</v>
      </c>
      <c r="AE211" s="304">
        <v>84120453000</v>
      </c>
      <c r="AM211" s="332">
        <v>0</v>
      </c>
      <c r="AN211" s="334" t="e">
        <v>#DIV/0!</v>
      </c>
      <c r="AO211" s="334" t="e">
        <v>#DIV/0!</v>
      </c>
    </row>
    <row r="212" spans="1:41" ht="17.25" customHeight="1">
      <c r="A212" s="403">
        <v>2024</v>
      </c>
      <c r="B212" s="403">
        <v>407</v>
      </c>
      <c r="C212" s="404" t="s">
        <v>42</v>
      </c>
      <c r="D212" s="414">
        <v>45384</v>
      </c>
      <c r="E212" s="406">
        <v>2024</v>
      </c>
      <c r="F212" s="407" t="s">
        <v>4</v>
      </c>
      <c r="G212" s="383">
        <v>45384</v>
      </c>
      <c r="H212" s="408">
        <v>165000000000</v>
      </c>
      <c r="I212" s="409">
        <v>1594250000</v>
      </c>
      <c r="J212" s="409">
        <v>-12475000000</v>
      </c>
      <c r="K212" s="408">
        <v>-10880750000</v>
      </c>
      <c r="L212" s="410">
        <v>0</v>
      </c>
      <c r="M212" s="410">
        <v>-10880750000</v>
      </c>
      <c r="N212" s="410">
        <v>0</v>
      </c>
      <c r="O212" s="410">
        <v>-10880750000</v>
      </c>
      <c r="P212" s="411">
        <v>-6.5943939393939388E-2</v>
      </c>
      <c r="Q212" s="411">
        <v>-6.5943939393939388E-2</v>
      </c>
      <c r="R212" s="412">
        <v>1.0760489509406394E-2</v>
      </c>
      <c r="S212" s="412"/>
      <c r="T212" s="412"/>
      <c r="U212" s="413">
        <v>-10880750000</v>
      </c>
      <c r="V212" s="413">
        <v>-10880750000</v>
      </c>
      <c r="W212" s="413" t="s">
        <v>367</v>
      </c>
      <c r="X212" s="411">
        <v>-6.5943939393939388E-2</v>
      </c>
      <c r="Y212" s="304"/>
      <c r="Z212" s="305"/>
      <c r="AA212" s="305"/>
      <c r="AB212" s="193" t="e">
        <v>#VALUE!</v>
      </c>
      <c r="AC212" s="306">
        <v>9.6621212121212122E-3</v>
      </c>
      <c r="AD212" s="304">
        <v>165000000000</v>
      </c>
      <c r="AE212" s="304">
        <v>0</v>
      </c>
      <c r="AM212" s="332">
        <v>0</v>
      </c>
      <c r="AN212" s="334" t="e">
        <v>#DIV/0!</v>
      </c>
      <c r="AO212" s="334" t="e">
        <v>#DIV/0!</v>
      </c>
    </row>
    <row r="213" spans="1:41" ht="17.25" customHeight="1">
      <c r="A213" s="403">
        <v>2024</v>
      </c>
      <c r="B213" s="403">
        <v>408</v>
      </c>
      <c r="C213" s="404" t="s">
        <v>42</v>
      </c>
      <c r="D213" s="414">
        <v>45384</v>
      </c>
      <c r="E213" s="406">
        <v>2024</v>
      </c>
      <c r="F213" s="407" t="s">
        <v>6</v>
      </c>
      <c r="G213" s="383">
        <v>45384</v>
      </c>
      <c r="H213" s="408">
        <v>92381922500</v>
      </c>
      <c r="I213" s="409">
        <v>12933441709.825012</v>
      </c>
      <c r="J213" s="409">
        <v>-1360575343.7500005</v>
      </c>
      <c r="K213" s="408">
        <v>11572866366.075012</v>
      </c>
      <c r="L213" s="410">
        <v>0</v>
      </c>
      <c r="M213" s="410">
        <v>11572866366.075012</v>
      </c>
      <c r="N213" s="410">
        <v>0</v>
      </c>
      <c r="O213" s="410">
        <v>11572866366.075012</v>
      </c>
      <c r="P213" s="411">
        <v>0.12527198019801994</v>
      </c>
      <c r="Q213" s="411">
        <v>0.12527198019801994</v>
      </c>
      <c r="R213" s="412">
        <v>6.0246951995154207E-3</v>
      </c>
      <c r="S213" s="412"/>
      <c r="T213" s="412"/>
      <c r="U213" s="413">
        <v>11572866366.075012</v>
      </c>
      <c r="V213" s="413">
        <v>11572866366.075012</v>
      </c>
      <c r="W213" s="413" t="s">
        <v>367</v>
      </c>
      <c r="X213" s="411">
        <v>0.12527198019801994</v>
      </c>
      <c r="Y213" s="304"/>
      <c r="Z213" s="305"/>
      <c r="AA213" s="305"/>
      <c r="AB213" s="193" t="e">
        <v>#VALUE!</v>
      </c>
      <c r="AC213" s="306">
        <v>0.13999970297029715</v>
      </c>
      <c r="AD213" s="304">
        <v>0</v>
      </c>
      <c r="AE213" s="304">
        <v>92381922500</v>
      </c>
      <c r="AM213" s="332">
        <v>0</v>
      </c>
      <c r="AN213" s="334" t="e">
        <v>#DIV/0!</v>
      </c>
      <c r="AO213" s="334" t="e">
        <v>#DIV/0!</v>
      </c>
    </row>
    <row r="214" spans="1:41" ht="17.25" customHeight="1">
      <c r="A214" s="403">
        <v>2024</v>
      </c>
      <c r="B214" s="403">
        <v>409</v>
      </c>
      <c r="C214" s="404" t="s">
        <v>42</v>
      </c>
      <c r="D214" s="414">
        <v>45394</v>
      </c>
      <c r="E214" s="406">
        <v>2024</v>
      </c>
      <c r="F214" s="407" t="s">
        <v>6</v>
      </c>
      <c r="G214" s="383">
        <v>45394</v>
      </c>
      <c r="H214" s="408">
        <v>73430160000</v>
      </c>
      <c r="I214" s="409">
        <v>10084384163.280005</v>
      </c>
      <c r="J214" s="409">
        <v>-1165703790.0000005</v>
      </c>
      <c r="K214" s="408">
        <v>8918680373.2800045</v>
      </c>
      <c r="L214" s="410">
        <v>0</v>
      </c>
      <c r="M214" s="410">
        <v>8918680373.2800045</v>
      </c>
      <c r="N214" s="410">
        <v>0</v>
      </c>
      <c r="O214" s="410">
        <v>8918680373.2800045</v>
      </c>
      <c r="P214" s="411">
        <v>0.12145800000000007</v>
      </c>
      <c r="Q214" s="411">
        <v>0.12145800000000007</v>
      </c>
      <c r="R214" s="412">
        <v>4.7887543415395936E-3</v>
      </c>
      <c r="S214" s="412"/>
      <c r="T214" s="412"/>
      <c r="U214" s="413">
        <v>8918680373.2800045</v>
      </c>
      <c r="V214" s="413">
        <v>8918680373.2800045</v>
      </c>
      <c r="W214" s="413" t="s">
        <v>367</v>
      </c>
      <c r="X214" s="411">
        <v>0.12145800000000007</v>
      </c>
      <c r="Y214" s="304"/>
      <c r="Z214" s="305"/>
      <c r="AA214" s="305"/>
      <c r="AB214" s="193" t="e">
        <v>#VALUE!</v>
      </c>
      <c r="AC214" s="306">
        <v>0.13733300000000007</v>
      </c>
      <c r="AD214" s="304">
        <v>0</v>
      </c>
      <c r="AE214" s="304">
        <v>73430160000</v>
      </c>
      <c r="AM214" s="332">
        <v>0</v>
      </c>
      <c r="AN214" s="334" t="e">
        <v>#DIV/0!</v>
      </c>
      <c r="AO214" s="334" t="e">
        <v>#DIV/0!</v>
      </c>
    </row>
    <row r="215" spans="1:41" ht="17.25" customHeight="1">
      <c r="A215" s="403">
        <v>2024</v>
      </c>
      <c r="B215" s="403">
        <v>410</v>
      </c>
      <c r="C215" s="404" t="s">
        <v>42</v>
      </c>
      <c r="D215" s="414">
        <v>45411</v>
      </c>
      <c r="E215" s="406">
        <v>2024</v>
      </c>
      <c r="F215" s="407" t="s">
        <v>4</v>
      </c>
      <c r="G215" s="383">
        <v>45411</v>
      </c>
      <c r="H215" s="408">
        <v>215000000000</v>
      </c>
      <c r="I215" s="409">
        <v>25720720000</v>
      </c>
      <c r="J215" s="409">
        <v>-13437500000</v>
      </c>
      <c r="K215" s="408">
        <v>12283220000</v>
      </c>
      <c r="L215" s="410">
        <v>0</v>
      </c>
      <c r="M215" s="410">
        <v>12283220000</v>
      </c>
      <c r="N215" s="410">
        <v>0</v>
      </c>
      <c r="O215" s="410">
        <v>12283220000</v>
      </c>
      <c r="P215" s="411">
        <v>5.7131255813953487E-2</v>
      </c>
      <c r="Q215" s="411">
        <v>5.7131255813953487E-2</v>
      </c>
      <c r="R215" s="412">
        <v>1.4021243906196209E-2</v>
      </c>
      <c r="S215" s="412"/>
      <c r="T215" s="412"/>
      <c r="U215" s="413">
        <v>12283220000</v>
      </c>
      <c r="V215" s="413">
        <v>12283220000</v>
      </c>
      <c r="W215" s="413" t="s">
        <v>367</v>
      </c>
      <c r="X215" s="411">
        <v>5.7131255813953487E-2</v>
      </c>
      <c r="Y215" s="304"/>
      <c r="Z215" s="305"/>
      <c r="AA215" s="305"/>
      <c r="AB215" s="193" t="e">
        <v>#VALUE!</v>
      </c>
      <c r="AC215" s="306">
        <v>0.11963125581395349</v>
      </c>
      <c r="AD215" s="304">
        <v>215000000000</v>
      </c>
      <c r="AE215" s="304">
        <v>0</v>
      </c>
      <c r="AM215" s="332">
        <v>0</v>
      </c>
      <c r="AN215" s="334" t="e">
        <v>#DIV/0!</v>
      </c>
      <c r="AO215" s="334" t="e">
        <v>#DIV/0!</v>
      </c>
    </row>
    <row r="216" spans="1:41" ht="17.25" customHeight="1">
      <c r="A216" s="403">
        <v>2024</v>
      </c>
      <c r="B216" s="403">
        <v>411</v>
      </c>
      <c r="C216" s="404" t="s">
        <v>42</v>
      </c>
      <c r="D216" s="414">
        <v>45412</v>
      </c>
      <c r="E216" s="406">
        <v>2024</v>
      </c>
      <c r="F216" s="407" t="s">
        <v>6</v>
      </c>
      <c r="G216" s="383">
        <v>45412</v>
      </c>
      <c r="H216" s="408">
        <v>195474706000</v>
      </c>
      <c r="I216" s="409">
        <v>32524335572.960022</v>
      </c>
      <c r="J216" s="409">
        <v>-6841614710.000001</v>
      </c>
      <c r="K216" s="408">
        <v>25682720862.960022</v>
      </c>
      <c r="L216" s="410">
        <v>0</v>
      </c>
      <c r="M216" s="410">
        <v>25682720862.960022</v>
      </c>
      <c r="N216" s="410">
        <v>0</v>
      </c>
      <c r="O216" s="410">
        <v>25682720862.960022</v>
      </c>
      <c r="P216" s="411">
        <v>0.13138641509433974</v>
      </c>
      <c r="Q216" s="411">
        <v>0.13138641509433974</v>
      </c>
      <c r="R216" s="412">
        <v>1.2747900141013933E-2</v>
      </c>
      <c r="S216" s="412"/>
      <c r="T216" s="412"/>
      <c r="U216" s="413">
        <v>25682720862.960022</v>
      </c>
      <c r="V216" s="413">
        <v>25682720862.960022</v>
      </c>
      <c r="W216" s="413" t="s">
        <v>367</v>
      </c>
      <c r="X216" s="411">
        <v>0.13138641509433974</v>
      </c>
      <c r="Y216" s="304"/>
      <c r="Z216" s="305"/>
      <c r="AA216" s="305"/>
      <c r="AB216" s="193" t="e">
        <v>#VALUE!</v>
      </c>
      <c r="AC216" s="306">
        <v>0.16638641509433974</v>
      </c>
      <c r="AD216" s="304">
        <v>0</v>
      </c>
      <c r="AE216" s="304">
        <v>195474706000</v>
      </c>
      <c r="AM216" s="332">
        <v>0</v>
      </c>
      <c r="AN216" s="334" t="e">
        <v>#DIV/0!</v>
      </c>
      <c r="AO216" s="334" t="e">
        <v>#DIV/0!</v>
      </c>
    </row>
    <row r="217" spans="1:41" ht="17.25" customHeight="1">
      <c r="A217" s="403">
        <v>2024</v>
      </c>
      <c r="B217" s="403">
        <v>412</v>
      </c>
      <c r="C217" s="404" t="s">
        <v>42</v>
      </c>
      <c r="D217" s="405">
        <v>45414</v>
      </c>
      <c r="E217" s="406">
        <v>2024</v>
      </c>
      <c r="F217" s="407" t="s">
        <v>6</v>
      </c>
      <c r="G217" s="383">
        <v>45414</v>
      </c>
      <c r="H217" s="408">
        <v>118077376000</v>
      </c>
      <c r="I217" s="409">
        <v>18860499268.479996</v>
      </c>
      <c r="J217" s="409">
        <v>-4132708160.0000005</v>
      </c>
      <c r="K217" s="408">
        <v>14727791108.479996</v>
      </c>
      <c r="L217" s="410">
        <v>0</v>
      </c>
      <c r="M217" s="410">
        <v>14727791108.479996</v>
      </c>
      <c r="N217" s="410">
        <v>0</v>
      </c>
      <c r="O217" s="410">
        <v>14727791108.479996</v>
      </c>
      <c r="P217" s="411">
        <v>0.12472999999999997</v>
      </c>
      <c r="Q217" s="411">
        <v>0.12472999999999997</v>
      </c>
      <c r="R217" s="412">
        <v>7.7004264590680863E-3</v>
      </c>
      <c r="S217" s="412"/>
      <c r="T217" s="412"/>
      <c r="U217" s="413">
        <v>14727791108.479996</v>
      </c>
      <c r="V217" s="413">
        <v>14727791108.479996</v>
      </c>
      <c r="W217" s="413" t="s">
        <v>367</v>
      </c>
      <c r="X217" s="411">
        <v>0.12472999999999997</v>
      </c>
      <c r="Y217" s="304"/>
      <c r="Z217" s="305"/>
      <c r="AA217" s="305"/>
      <c r="AB217" s="193" t="e">
        <v>#VALUE!</v>
      </c>
      <c r="AC217" s="306">
        <v>0.15972999999999996</v>
      </c>
      <c r="AD217" s="304">
        <v>0</v>
      </c>
      <c r="AE217" s="304">
        <v>118077376000</v>
      </c>
      <c r="AM217" s="332">
        <v>0</v>
      </c>
      <c r="AN217" s="334" t="e">
        <v>#DIV/0!</v>
      </c>
      <c r="AO217" s="334" t="e">
        <v>#DIV/0!</v>
      </c>
    </row>
    <row r="218" spans="1:41" ht="17.25" customHeight="1">
      <c r="A218" s="403">
        <v>2024</v>
      </c>
      <c r="B218" s="403">
        <v>413</v>
      </c>
      <c r="C218" s="404" t="s">
        <v>42</v>
      </c>
      <c r="D218" s="405">
        <v>45415</v>
      </c>
      <c r="E218" s="406">
        <v>2024</v>
      </c>
      <c r="F218" s="407" t="s">
        <v>6</v>
      </c>
      <c r="G218" s="383">
        <v>45415</v>
      </c>
      <c r="H218" s="408">
        <v>227905418000</v>
      </c>
      <c r="I218" s="409">
        <v>36234682407.820007</v>
      </c>
      <c r="J218" s="409">
        <v>-7976689630.000001</v>
      </c>
      <c r="K218" s="408">
        <v>28257992777.820007</v>
      </c>
      <c r="L218" s="410">
        <v>0</v>
      </c>
      <c r="M218" s="410">
        <v>28257992777.820007</v>
      </c>
      <c r="N218" s="410">
        <v>0</v>
      </c>
      <c r="O218" s="410">
        <v>28257992777.820007</v>
      </c>
      <c r="P218" s="411">
        <v>0.12399000000000003</v>
      </c>
      <c r="Q218" s="411">
        <v>0.12399000000000003</v>
      </c>
      <c r="R218" s="412">
        <v>1.4862871875914417E-2</v>
      </c>
      <c r="S218" s="412"/>
      <c r="T218" s="412"/>
      <c r="U218" s="413">
        <v>28257992777.820007</v>
      </c>
      <c r="V218" s="413">
        <v>28257992777.820007</v>
      </c>
      <c r="W218" s="413" t="s">
        <v>367</v>
      </c>
      <c r="X218" s="411">
        <v>0.12399000000000003</v>
      </c>
      <c r="Y218" s="304"/>
      <c r="Z218" s="305"/>
      <c r="AA218" s="305"/>
      <c r="AB218" s="193" t="e">
        <v>#VALUE!</v>
      </c>
      <c r="AC218" s="306">
        <v>0.15899000000000002</v>
      </c>
      <c r="AD218" s="304">
        <v>0</v>
      </c>
      <c r="AE218" s="304">
        <v>227905418000</v>
      </c>
      <c r="AM218" s="332">
        <v>0</v>
      </c>
      <c r="AN218" s="334" t="e">
        <v>#DIV/0!</v>
      </c>
      <c r="AO218" s="334" t="e">
        <v>#DIV/0!</v>
      </c>
    </row>
    <row r="219" spans="1:41" ht="17.25" customHeight="1">
      <c r="A219" s="403">
        <v>2024</v>
      </c>
      <c r="B219" s="403">
        <v>414</v>
      </c>
      <c r="C219" s="404" t="s">
        <v>42</v>
      </c>
      <c r="D219" s="414">
        <v>45418</v>
      </c>
      <c r="E219" s="406">
        <v>2024</v>
      </c>
      <c r="F219" s="407" t="s">
        <v>4</v>
      </c>
      <c r="G219" s="383">
        <v>45418</v>
      </c>
      <c r="H219" s="408">
        <v>205000000000</v>
      </c>
      <c r="I219" s="409">
        <v>28587249999.999969</v>
      </c>
      <c r="J219" s="409">
        <v>-1537500000</v>
      </c>
      <c r="K219" s="408">
        <v>27049749999.999969</v>
      </c>
      <c r="L219" s="410">
        <v>0</v>
      </c>
      <c r="M219" s="410">
        <v>27049749999.999969</v>
      </c>
      <c r="N219" s="410">
        <v>0</v>
      </c>
      <c r="O219" s="410">
        <v>27049749999.999969</v>
      </c>
      <c r="P219" s="411">
        <v>0.13194999999999985</v>
      </c>
      <c r="Q219" s="411">
        <v>0.13194999999999985</v>
      </c>
      <c r="R219" s="412">
        <v>1.3369093026838245E-2</v>
      </c>
      <c r="S219" s="412"/>
      <c r="T219" s="412"/>
      <c r="U219" s="413">
        <v>27049749999.999969</v>
      </c>
      <c r="V219" s="413">
        <v>27049749999.999969</v>
      </c>
      <c r="W219" s="413" t="s">
        <v>367</v>
      </c>
      <c r="X219" s="411">
        <v>0.13194999999999985</v>
      </c>
      <c r="Y219" s="304"/>
      <c r="Z219" s="305"/>
      <c r="AA219" s="305"/>
      <c r="AB219" s="193" t="e">
        <v>#VALUE!</v>
      </c>
      <c r="AC219" s="306">
        <v>0.13944999999999985</v>
      </c>
      <c r="AD219" s="304">
        <v>205000000000</v>
      </c>
      <c r="AE219" s="304">
        <v>0</v>
      </c>
      <c r="AM219" s="332">
        <v>0</v>
      </c>
      <c r="AN219" s="334" t="e">
        <v>#DIV/0!</v>
      </c>
      <c r="AO219" s="334" t="e">
        <v>#DIV/0!</v>
      </c>
    </row>
    <row r="220" spans="1:41" ht="17.25" customHeight="1">
      <c r="A220" s="403">
        <v>2024</v>
      </c>
      <c r="B220" s="403">
        <v>415</v>
      </c>
      <c r="C220" s="404" t="s">
        <v>42</v>
      </c>
      <c r="D220" s="414">
        <v>45418</v>
      </c>
      <c r="E220" s="406">
        <v>2024</v>
      </c>
      <c r="F220" s="407" t="s">
        <v>6</v>
      </c>
      <c r="G220" s="383">
        <v>45418</v>
      </c>
      <c r="H220" s="408">
        <v>55400265000</v>
      </c>
      <c r="I220" s="409">
        <v>8913902638.4999924</v>
      </c>
      <c r="J220" s="409">
        <v>-1939009275.0000002</v>
      </c>
      <c r="K220" s="408">
        <v>6974893363.4999924</v>
      </c>
      <c r="L220" s="410">
        <v>0</v>
      </c>
      <c r="M220" s="410">
        <v>6974893363.4999924</v>
      </c>
      <c r="N220" s="410">
        <v>0</v>
      </c>
      <c r="O220" s="410">
        <v>6974893363.4999924</v>
      </c>
      <c r="P220" s="411">
        <v>0.12589999999999987</v>
      </c>
      <c r="Q220" s="411">
        <v>0.12589999999999987</v>
      </c>
      <c r="R220" s="412">
        <v>3.6129331536414191E-3</v>
      </c>
      <c r="S220" s="412"/>
      <c r="T220" s="412"/>
      <c r="U220" s="413">
        <v>6974893363.4999924</v>
      </c>
      <c r="V220" s="413">
        <v>6974893363.4999924</v>
      </c>
      <c r="W220" s="413" t="s">
        <v>367</v>
      </c>
      <c r="X220" s="411">
        <v>0.12589999999999987</v>
      </c>
      <c r="Y220" s="304"/>
      <c r="Z220" s="305"/>
      <c r="AA220" s="305"/>
      <c r="AB220" s="193" t="e">
        <v>#VALUE!</v>
      </c>
      <c r="AC220" s="306">
        <v>0.16089999999999985</v>
      </c>
      <c r="AD220" s="304">
        <v>0</v>
      </c>
      <c r="AE220" s="304">
        <v>55400265000</v>
      </c>
      <c r="AM220" s="332">
        <v>0</v>
      </c>
      <c r="AN220" s="334" t="e">
        <v>#DIV/0!</v>
      </c>
      <c r="AO220" s="334" t="e">
        <v>#DIV/0!</v>
      </c>
    </row>
    <row r="221" spans="1:41" ht="17.25" customHeight="1">
      <c r="A221" s="403">
        <v>2024</v>
      </c>
      <c r="B221" s="403">
        <v>416</v>
      </c>
      <c r="C221" s="404" t="s">
        <v>42</v>
      </c>
      <c r="D221" s="414">
        <v>45419</v>
      </c>
      <c r="E221" s="406">
        <v>2024</v>
      </c>
      <c r="F221" s="407" t="s">
        <v>4</v>
      </c>
      <c r="G221" s="383">
        <v>45419</v>
      </c>
      <c r="H221" s="408">
        <v>200000000000</v>
      </c>
      <c r="I221" s="409">
        <v>26862000000.000031</v>
      </c>
      <c r="J221" s="409">
        <v>-1500000000</v>
      </c>
      <c r="K221" s="408">
        <v>25362000000.000031</v>
      </c>
      <c r="L221" s="410">
        <v>0</v>
      </c>
      <c r="M221" s="410">
        <v>25362000000.000031</v>
      </c>
      <c r="N221" s="410">
        <v>0</v>
      </c>
      <c r="O221" s="410">
        <v>25362000000.000031</v>
      </c>
      <c r="P221" s="411">
        <v>0.12681000000000014</v>
      </c>
      <c r="Q221" s="411">
        <v>0.12681000000000014</v>
      </c>
      <c r="R221" s="412">
        <v>1.3043017587159264E-2</v>
      </c>
      <c r="S221" s="412"/>
      <c r="T221" s="412"/>
      <c r="U221" s="413">
        <v>25362000000.000031</v>
      </c>
      <c r="V221" s="413">
        <v>25362000000.000031</v>
      </c>
      <c r="W221" s="413" t="s">
        <v>367</v>
      </c>
      <c r="X221" s="411">
        <v>0.12681000000000014</v>
      </c>
      <c r="Y221" s="304"/>
      <c r="Z221" s="305"/>
      <c r="AA221" s="305"/>
      <c r="AB221" s="193" t="e">
        <v>#VALUE!</v>
      </c>
      <c r="AC221" s="306">
        <v>0.13431000000000015</v>
      </c>
      <c r="AD221" s="304">
        <v>200000000000</v>
      </c>
      <c r="AE221" s="304">
        <v>0</v>
      </c>
      <c r="AM221" s="332">
        <v>0</v>
      </c>
      <c r="AN221" s="334" t="e">
        <v>#DIV/0!</v>
      </c>
      <c r="AO221" s="334" t="e">
        <v>#DIV/0!</v>
      </c>
    </row>
    <row r="222" spans="1:41" ht="17.25" customHeight="1">
      <c r="A222" s="403">
        <v>2024</v>
      </c>
      <c r="B222" s="403">
        <v>417</v>
      </c>
      <c r="C222" s="404" t="s">
        <v>42</v>
      </c>
      <c r="D222" s="414">
        <v>45419</v>
      </c>
      <c r="E222" s="406">
        <v>2024</v>
      </c>
      <c r="F222" s="407" t="s">
        <v>6</v>
      </c>
      <c r="G222" s="383">
        <v>45419</v>
      </c>
      <c r="H222" s="408">
        <v>175474975000</v>
      </c>
      <c r="I222" s="409">
        <v>22076506604.75</v>
      </c>
      <c r="J222" s="409">
        <v>0</v>
      </c>
      <c r="K222" s="408">
        <v>22076506604.75</v>
      </c>
      <c r="L222" s="410">
        <v>0</v>
      </c>
      <c r="M222" s="410">
        <v>22076506604.75</v>
      </c>
      <c r="N222" s="410">
        <v>0</v>
      </c>
      <c r="O222" s="410">
        <v>22076506604.75</v>
      </c>
      <c r="P222" s="411">
        <v>0.12581000000000001</v>
      </c>
      <c r="Q222" s="411">
        <v>0.12581000000000001</v>
      </c>
      <c r="R222" s="412">
        <v>1.144361592515666E-2</v>
      </c>
      <c r="S222" s="412"/>
      <c r="T222" s="412"/>
      <c r="U222" s="413">
        <v>22076506604.75</v>
      </c>
      <c r="V222" s="413">
        <v>22076506604.75</v>
      </c>
      <c r="W222" s="413" t="s">
        <v>367</v>
      </c>
      <c r="X222" s="411">
        <v>0.12581000000000001</v>
      </c>
      <c r="Y222" s="304"/>
      <c r="Z222" s="305"/>
      <c r="AA222" s="305"/>
      <c r="AB222" s="193" t="e">
        <v>#VALUE!</v>
      </c>
      <c r="AC222" s="306">
        <v>0.12581000000000001</v>
      </c>
      <c r="AD222" s="304">
        <v>0</v>
      </c>
      <c r="AE222" s="304">
        <v>175474975000</v>
      </c>
      <c r="AM222" s="332">
        <v>0</v>
      </c>
      <c r="AN222" s="334" t="e">
        <v>#DIV/0!</v>
      </c>
      <c r="AO222" s="334" t="e">
        <v>#DIV/0!</v>
      </c>
    </row>
    <row r="223" spans="1:41" ht="17.25" customHeight="1">
      <c r="A223" s="403">
        <v>2024</v>
      </c>
      <c r="B223" s="403">
        <v>418</v>
      </c>
      <c r="C223" s="404" t="s">
        <v>42</v>
      </c>
      <c r="D223" s="414">
        <v>45421</v>
      </c>
      <c r="E223" s="406">
        <v>2024</v>
      </c>
      <c r="F223" s="407" t="s">
        <v>4</v>
      </c>
      <c r="G223" s="383">
        <v>45421</v>
      </c>
      <c r="H223" s="408">
        <v>150000000000</v>
      </c>
      <c r="I223" s="409">
        <v>22095000000</v>
      </c>
      <c r="J223" s="409">
        <v>-1125000000</v>
      </c>
      <c r="K223" s="408">
        <v>20970000000</v>
      </c>
      <c r="L223" s="410">
        <v>0</v>
      </c>
      <c r="M223" s="410">
        <v>20970000000</v>
      </c>
      <c r="N223" s="410">
        <v>0</v>
      </c>
      <c r="O223" s="410">
        <v>20970000000</v>
      </c>
      <c r="P223" s="411">
        <v>0.13980000000000001</v>
      </c>
      <c r="Q223" s="411">
        <v>0.13980000000000001</v>
      </c>
      <c r="R223" s="412">
        <v>9.7822631903694487E-3</v>
      </c>
      <c r="S223" s="412"/>
      <c r="T223" s="412"/>
      <c r="U223" s="413">
        <v>20970000000</v>
      </c>
      <c r="V223" s="413">
        <v>20970000000</v>
      </c>
      <c r="W223" s="413" t="s">
        <v>367</v>
      </c>
      <c r="X223" s="411">
        <v>0.13980000000000001</v>
      </c>
      <c r="Y223" s="304"/>
      <c r="Z223" s="305"/>
      <c r="AA223" s="305"/>
      <c r="AB223" s="193" t="e">
        <v>#VALUE!</v>
      </c>
      <c r="AC223" s="306">
        <v>0.14729999999999999</v>
      </c>
      <c r="AD223" s="304">
        <v>150000000000</v>
      </c>
      <c r="AE223" s="304">
        <v>0</v>
      </c>
      <c r="AM223" s="332">
        <v>0</v>
      </c>
      <c r="AN223" s="334" t="e">
        <v>#DIV/0!</v>
      </c>
      <c r="AO223" s="334" t="e">
        <v>#DIV/0!</v>
      </c>
    </row>
    <row r="224" spans="1:41" ht="17.25" customHeight="1">
      <c r="A224" s="403">
        <v>2024</v>
      </c>
      <c r="B224" s="403">
        <v>419</v>
      </c>
      <c r="C224" s="404" t="s">
        <v>42</v>
      </c>
      <c r="D224" s="414">
        <v>45421</v>
      </c>
      <c r="E224" s="406">
        <v>2024</v>
      </c>
      <c r="F224" s="407" t="s">
        <v>6</v>
      </c>
      <c r="G224" s="383">
        <v>45421</v>
      </c>
      <c r="H224" s="408">
        <v>21251591750</v>
      </c>
      <c r="I224" s="409">
        <v>2730617023.9575043</v>
      </c>
      <c r="J224" s="409">
        <v>0</v>
      </c>
      <c r="K224" s="408">
        <v>2730617023.9575043</v>
      </c>
      <c r="L224" s="410">
        <v>0</v>
      </c>
      <c r="M224" s="410">
        <v>2730617023.9575043</v>
      </c>
      <c r="N224" s="410">
        <v>0</v>
      </c>
      <c r="O224" s="410">
        <v>2730617023.9575043</v>
      </c>
      <c r="P224" s="411">
        <v>0.12849000000000019</v>
      </c>
      <c r="Q224" s="411">
        <v>0.12849000000000019</v>
      </c>
      <c r="R224" s="412">
        <v>1.3859244247518936E-3</v>
      </c>
      <c r="S224" s="412"/>
      <c r="T224" s="412"/>
      <c r="U224" s="413">
        <v>2730617023.9575043</v>
      </c>
      <c r="V224" s="413">
        <v>2730617023.9575043</v>
      </c>
      <c r="W224" s="413" t="s">
        <v>367</v>
      </c>
      <c r="X224" s="411">
        <v>0.12849000000000019</v>
      </c>
      <c r="Y224" s="304"/>
      <c r="Z224" s="305"/>
      <c r="AA224" s="305"/>
      <c r="AB224" s="193" t="e">
        <v>#VALUE!</v>
      </c>
      <c r="AC224" s="306">
        <v>0.12849000000000019</v>
      </c>
      <c r="AD224" s="304">
        <v>0</v>
      </c>
      <c r="AE224" s="304">
        <v>21251591750</v>
      </c>
      <c r="AM224" s="332">
        <v>0</v>
      </c>
      <c r="AN224" s="334" t="e">
        <v>#DIV/0!</v>
      </c>
      <c r="AO224" s="334" t="e">
        <v>#DIV/0!</v>
      </c>
    </row>
    <row r="225" spans="1:41" ht="17.25" customHeight="1">
      <c r="A225" s="403">
        <v>2024</v>
      </c>
      <c r="B225" s="403">
        <v>420</v>
      </c>
      <c r="C225" s="404" t="s">
        <v>42</v>
      </c>
      <c r="D225" s="414">
        <v>45427</v>
      </c>
      <c r="E225" s="406">
        <v>2024</v>
      </c>
      <c r="F225" s="407" t="s">
        <v>6</v>
      </c>
      <c r="G225" s="383">
        <v>45427</v>
      </c>
      <c r="H225" s="408">
        <v>148043560000</v>
      </c>
      <c r="I225" s="409">
        <v>19420354200.800003</v>
      </c>
      <c r="J225" s="409">
        <v>0</v>
      </c>
      <c r="K225" s="408">
        <v>19420354200.800003</v>
      </c>
      <c r="L225" s="410">
        <v>0</v>
      </c>
      <c r="M225" s="410">
        <v>19420354200.800003</v>
      </c>
      <c r="N225" s="410">
        <v>0</v>
      </c>
      <c r="O225" s="410">
        <v>19420354200.800003</v>
      </c>
      <c r="P225" s="411">
        <v>0.13118000000000002</v>
      </c>
      <c r="Q225" s="411">
        <v>0.13118000000000002</v>
      </c>
      <c r="R225" s="412">
        <v>9.6546737837283382E-3</v>
      </c>
      <c r="S225" s="412"/>
      <c r="T225" s="412"/>
      <c r="U225" s="413">
        <v>19420354200.800003</v>
      </c>
      <c r="V225" s="413">
        <v>19420354200.800003</v>
      </c>
      <c r="W225" s="413" t="s">
        <v>367</v>
      </c>
      <c r="X225" s="411">
        <v>0.13118000000000002</v>
      </c>
      <c r="Y225" s="304"/>
      <c r="Z225" s="305"/>
      <c r="AA225" s="305"/>
      <c r="AB225" s="193" t="e">
        <v>#VALUE!</v>
      </c>
      <c r="AC225" s="306">
        <v>0.13118000000000002</v>
      </c>
      <c r="AD225" s="304">
        <v>0</v>
      </c>
      <c r="AE225" s="304">
        <v>148043560000</v>
      </c>
      <c r="AM225" s="332">
        <v>0</v>
      </c>
      <c r="AN225" s="334" t="e">
        <v>#DIV/0!</v>
      </c>
      <c r="AO225" s="334" t="e">
        <v>#DIV/0!</v>
      </c>
    </row>
    <row r="226" spans="1:41" ht="17.25" customHeight="1">
      <c r="A226" s="403">
        <v>2024</v>
      </c>
      <c r="B226" s="403">
        <v>421</v>
      </c>
      <c r="C226" s="404" t="s">
        <v>42</v>
      </c>
      <c r="D226" s="414">
        <v>45427</v>
      </c>
      <c r="E226" s="406">
        <v>2024</v>
      </c>
      <c r="F226" s="407" t="s">
        <v>4</v>
      </c>
      <c r="G226" s="383">
        <v>45427</v>
      </c>
      <c r="H226" s="408">
        <v>130000000000</v>
      </c>
      <c r="I226" s="409">
        <v>12830700000</v>
      </c>
      <c r="J226" s="409">
        <v>-5350000000</v>
      </c>
      <c r="K226" s="408">
        <v>7480700000</v>
      </c>
      <c r="L226" s="410">
        <v>0</v>
      </c>
      <c r="M226" s="410">
        <v>7480700000</v>
      </c>
      <c r="N226" s="410">
        <v>0</v>
      </c>
      <c r="O226" s="410">
        <v>7480700000</v>
      </c>
      <c r="P226" s="411">
        <v>5.7543846153846154E-2</v>
      </c>
      <c r="Q226" s="411">
        <v>5.7543846153846154E-2</v>
      </c>
      <c r="R226" s="412">
        <v>8.4779614316535211E-3</v>
      </c>
      <c r="S226" s="412"/>
      <c r="T226" s="412"/>
      <c r="U226" s="413">
        <v>7480700000</v>
      </c>
      <c r="V226" s="413">
        <v>7480700000</v>
      </c>
      <c r="W226" s="413" t="s">
        <v>367</v>
      </c>
      <c r="X226" s="411">
        <v>5.7543846153846154E-2</v>
      </c>
      <c r="Y226" s="304"/>
      <c r="Z226" s="305"/>
      <c r="AA226" s="305"/>
      <c r="AB226" s="193" t="e">
        <v>#VALUE!</v>
      </c>
      <c r="AC226" s="306">
        <v>9.8697692307692306E-2</v>
      </c>
      <c r="AD226" s="304">
        <v>130000000000</v>
      </c>
      <c r="AE226" s="304">
        <v>0</v>
      </c>
      <c r="AM226" s="332">
        <v>0</v>
      </c>
      <c r="AN226" s="334" t="e">
        <v>#DIV/0!</v>
      </c>
      <c r="AO226" s="334" t="e">
        <v>#DIV/0!</v>
      </c>
    </row>
    <row r="227" spans="1:41" ht="17.25" customHeight="1">
      <c r="A227" s="403">
        <v>2024</v>
      </c>
      <c r="B227" s="403">
        <v>422</v>
      </c>
      <c r="C227" s="404" t="s">
        <v>42</v>
      </c>
      <c r="D227" s="414">
        <v>45428</v>
      </c>
      <c r="E227" s="406">
        <v>2024</v>
      </c>
      <c r="F227" s="407" t="s">
        <v>4</v>
      </c>
      <c r="G227" s="383">
        <v>45428</v>
      </c>
      <c r="H227" s="408">
        <v>474000000000</v>
      </c>
      <c r="I227" s="409">
        <v>34566858000</v>
      </c>
      <c r="J227" s="409">
        <v>4282500000</v>
      </c>
      <c r="K227" s="408">
        <v>38849358000</v>
      </c>
      <c r="L227" s="410">
        <v>0</v>
      </c>
      <c r="M227" s="410">
        <v>38849358000</v>
      </c>
      <c r="N227" s="410">
        <v>0</v>
      </c>
      <c r="O227" s="410">
        <v>38849358000</v>
      </c>
      <c r="P227" s="411">
        <v>8.1960670886075948E-2</v>
      </c>
      <c r="Q227" s="411">
        <v>8.1960670886075948E-2</v>
      </c>
      <c r="R227" s="412">
        <v>3.0911951681567455E-2</v>
      </c>
      <c r="S227" s="412"/>
      <c r="T227" s="412"/>
      <c r="U227" s="413">
        <v>38849358000</v>
      </c>
      <c r="V227" s="413">
        <v>38849358000</v>
      </c>
      <c r="W227" s="413" t="s">
        <v>367</v>
      </c>
      <c r="X227" s="411">
        <v>8.1960670886075948E-2</v>
      </c>
      <c r="Y227" s="304"/>
      <c r="Z227" s="305"/>
      <c r="AA227" s="305"/>
      <c r="AB227" s="193" t="e">
        <v>#VALUE!</v>
      </c>
      <c r="AC227" s="306">
        <v>7.2925860759493671E-2</v>
      </c>
      <c r="AD227" s="304">
        <v>474000000000</v>
      </c>
      <c r="AE227" s="304">
        <v>0</v>
      </c>
      <c r="AM227" s="332">
        <v>0</v>
      </c>
      <c r="AN227" s="334" t="e">
        <v>#DIV/0!</v>
      </c>
      <c r="AO227" s="334" t="e">
        <v>#DIV/0!</v>
      </c>
    </row>
    <row r="228" spans="1:41" ht="17.25" customHeight="1">
      <c r="A228" s="403">
        <v>2024</v>
      </c>
      <c r="B228" s="403">
        <v>423</v>
      </c>
      <c r="C228" s="404" t="s">
        <v>42</v>
      </c>
      <c r="D228" s="414">
        <v>45428</v>
      </c>
      <c r="E228" s="406">
        <v>2024</v>
      </c>
      <c r="F228" s="407" t="s">
        <v>6</v>
      </c>
      <c r="G228" s="383">
        <v>45428</v>
      </c>
      <c r="H228" s="408">
        <v>40719701000</v>
      </c>
      <c r="I228" s="409">
        <v>5153485358.5600052</v>
      </c>
      <c r="J228" s="409">
        <v>0</v>
      </c>
      <c r="K228" s="408">
        <v>5153485358.5600052</v>
      </c>
      <c r="L228" s="410">
        <v>0</v>
      </c>
      <c r="M228" s="410">
        <v>5153485358.5600052</v>
      </c>
      <c r="N228" s="410">
        <v>0</v>
      </c>
      <c r="O228" s="410">
        <v>5153485358.5600052</v>
      </c>
      <c r="P228" s="411">
        <v>0.12656000000000012</v>
      </c>
      <c r="Q228" s="411">
        <v>0.12656000000000012</v>
      </c>
      <c r="R228" s="412">
        <v>2.6555388814343333E-3</v>
      </c>
      <c r="S228" s="412"/>
      <c r="T228" s="412"/>
      <c r="U228" s="413">
        <v>5153485358.5600052</v>
      </c>
      <c r="V228" s="413">
        <v>5153485358.5600052</v>
      </c>
      <c r="W228" s="413" t="s">
        <v>367</v>
      </c>
      <c r="X228" s="411">
        <v>0.12656000000000012</v>
      </c>
      <c r="Y228" s="304"/>
      <c r="Z228" s="305"/>
      <c r="AA228" s="305"/>
      <c r="AB228" s="193" t="e">
        <v>#VALUE!</v>
      </c>
      <c r="AC228" s="306">
        <v>0.12656000000000012</v>
      </c>
      <c r="AD228" s="304">
        <v>0</v>
      </c>
      <c r="AE228" s="304">
        <v>40719701000</v>
      </c>
      <c r="AM228" s="332">
        <v>0</v>
      </c>
      <c r="AN228" s="334" t="e">
        <v>#DIV/0!</v>
      </c>
      <c r="AO228" s="334" t="e">
        <v>#DIV/0!</v>
      </c>
    </row>
    <row r="229" spans="1:41" ht="17.25" customHeight="1">
      <c r="A229" s="403">
        <v>2024</v>
      </c>
      <c r="B229" s="403">
        <v>424</v>
      </c>
      <c r="C229" s="404" t="s">
        <v>42</v>
      </c>
      <c r="D229" s="414">
        <v>45429</v>
      </c>
      <c r="E229" s="406">
        <v>2024</v>
      </c>
      <c r="F229" s="407" t="s">
        <v>4</v>
      </c>
      <c r="G229" s="383">
        <v>45429</v>
      </c>
      <c r="H229" s="408">
        <v>403000000000</v>
      </c>
      <c r="I229" s="409">
        <v>38118725000</v>
      </c>
      <c r="J229" s="409">
        <v>-14226250000</v>
      </c>
      <c r="K229" s="408">
        <v>23892475000</v>
      </c>
      <c r="L229" s="410">
        <v>0</v>
      </c>
      <c r="M229" s="410">
        <v>23892475000</v>
      </c>
      <c r="N229" s="410">
        <v>0</v>
      </c>
      <c r="O229" s="410">
        <v>23892475000</v>
      </c>
      <c r="P229" s="411">
        <v>5.928653846153846E-2</v>
      </c>
      <c r="Q229" s="411">
        <v>5.928653846153846E-2</v>
      </c>
      <c r="R229" s="412">
        <v>2.6281680438125916E-2</v>
      </c>
      <c r="S229" s="412"/>
      <c r="T229" s="412"/>
      <c r="U229" s="413">
        <v>23892475000</v>
      </c>
      <c r="V229" s="413">
        <v>23892475000</v>
      </c>
      <c r="W229" s="413" t="s">
        <v>367</v>
      </c>
      <c r="X229" s="411">
        <v>5.928653846153846E-2</v>
      </c>
      <c r="Y229" s="304"/>
      <c r="Z229" s="305"/>
      <c r="AA229" s="305"/>
      <c r="AB229" s="193" t="e">
        <v>#VALUE!</v>
      </c>
      <c r="AC229" s="306">
        <v>9.458740694789082E-2</v>
      </c>
      <c r="AD229" s="304">
        <v>403000000000</v>
      </c>
      <c r="AE229" s="304">
        <v>0</v>
      </c>
      <c r="AM229" s="332">
        <v>0</v>
      </c>
      <c r="AN229" s="334" t="e">
        <v>#DIV/0!</v>
      </c>
      <c r="AO229" s="334" t="e">
        <v>#DIV/0!</v>
      </c>
    </row>
    <row r="230" spans="1:41" ht="17.25" customHeight="1">
      <c r="A230" s="403">
        <v>2024</v>
      </c>
      <c r="B230" s="403">
        <v>425</v>
      </c>
      <c r="C230" s="404" t="s">
        <v>42</v>
      </c>
      <c r="D230" s="414">
        <v>45429</v>
      </c>
      <c r="E230" s="406">
        <v>2024</v>
      </c>
      <c r="F230" s="407" t="s">
        <v>6</v>
      </c>
      <c r="G230" s="383">
        <v>45429</v>
      </c>
      <c r="H230" s="408">
        <v>55537410000</v>
      </c>
      <c r="I230" s="409">
        <v>6968278832.6999969</v>
      </c>
      <c r="J230" s="409">
        <v>0</v>
      </c>
      <c r="K230" s="408">
        <v>6968278832.6999969</v>
      </c>
      <c r="L230" s="410">
        <v>0</v>
      </c>
      <c r="M230" s="410">
        <v>6968278832.6999969</v>
      </c>
      <c r="N230" s="410">
        <v>0</v>
      </c>
      <c r="O230" s="410">
        <v>6968278832.6999969</v>
      </c>
      <c r="P230" s="411">
        <v>0.12546999999999994</v>
      </c>
      <c r="Q230" s="411">
        <v>0.12546999999999994</v>
      </c>
      <c r="R230" s="412">
        <v>3.6218770768763741E-3</v>
      </c>
      <c r="S230" s="412"/>
      <c r="T230" s="412"/>
      <c r="U230" s="413">
        <v>6968278832.6999969</v>
      </c>
      <c r="V230" s="413">
        <v>6968278832.6999969</v>
      </c>
      <c r="W230" s="413" t="s">
        <v>367</v>
      </c>
      <c r="X230" s="411">
        <v>0.12546999999999994</v>
      </c>
      <c r="Y230" s="304"/>
      <c r="Z230" s="305"/>
      <c r="AA230" s="305"/>
      <c r="AB230" s="193" t="e">
        <v>#VALUE!</v>
      </c>
      <c r="AC230" s="306">
        <v>0.12546999999999994</v>
      </c>
      <c r="AD230" s="304">
        <v>0</v>
      </c>
      <c r="AE230" s="304">
        <v>55537410000</v>
      </c>
      <c r="AM230" s="332">
        <v>0</v>
      </c>
      <c r="AN230" s="334" t="e">
        <v>#DIV/0!</v>
      </c>
      <c r="AO230" s="334" t="e">
        <v>#DIV/0!</v>
      </c>
    </row>
    <row r="231" spans="1:41" ht="17.25" customHeight="1">
      <c r="A231" s="403">
        <v>2024</v>
      </c>
      <c r="B231" s="403">
        <v>426</v>
      </c>
      <c r="C231" s="404" t="s">
        <v>42</v>
      </c>
      <c r="D231" s="414">
        <v>45432</v>
      </c>
      <c r="E231" s="406">
        <v>2024</v>
      </c>
      <c r="F231" s="407" t="s">
        <v>4</v>
      </c>
      <c r="G231" s="383">
        <v>45432</v>
      </c>
      <c r="H231" s="408">
        <v>150500000000</v>
      </c>
      <c r="I231" s="409">
        <v>15792305000</v>
      </c>
      <c r="J231" s="409">
        <v>-4013750000</v>
      </c>
      <c r="K231" s="408">
        <v>11778555000</v>
      </c>
      <c r="L231" s="410">
        <v>0</v>
      </c>
      <c r="M231" s="410">
        <v>11778555000</v>
      </c>
      <c r="N231" s="410">
        <v>0</v>
      </c>
      <c r="O231" s="410">
        <v>11778555000</v>
      </c>
      <c r="P231" s="411">
        <v>7.8262823920265776E-2</v>
      </c>
      <c r="Q231" s="411">
        <v>7.8262823920265776E-2</v>
      </c>
      <c r="R231" s="412">
        <v>9.814870734337346E-3</v>
      </c>
      <c r="S231" s="412"/>
      <c r="T231" s="412"/>
      <c r="U231" s="413">
        <v>11778555000</v>
      </c>
      <c r="V231" s="413">
        <v>11778555000</v>
      </c>
      <c r="W231" s="413" t="s">
        <v>367</v>
      </c>
      <c r="X231" s="411">
        <v>7.8262823920265776E-2</v>
      </c>
      <c r="Y231" s="304"/>
      <c r="Z231" s="305"/>
      <c r="AA231" s="305"/>
      <c r="AB231" s="193" t="e">
        <v>#VALUE!</v>
      </c>
      <c r="AC231" s="306">
        <v>0.10493225913621262</v>
      </c>
      <c r="AD231" s="304">
        <v>150500000000</v>
      </c>
      <c r="AE231" s="304">
        <v>0</v>
      </c>
      <c r="AM231" s="332">
        <v>0</v>
      </c>
      <c r="AN231" s="334" t="e">
        <v>#DIV/0!</v>
      </c>
      <c r="AO231" s="334" t="e">
        <v>#DIV/0!</v>
      </c>
    </row>
    <row r="232" spans="1:41" ht="17.25" customHeight="1">
      <c r="A232" s="403">
        <v>2024</v>
      </c>
      <c r="B232" s="403">
        <v>427</v>
      </c>
      <c r="C232" s="404" t="s">
        <v>42</v>
      </c>
      <c r="D232" s="414">
        <v>45432</v>
      </c>
      <c r="E232" s="406">
        <v>2024</v>
      </c>
      <c r="F232" s="407" t="s">
        <v>6</v>
      </c>
      <c r="G232" s="383">
        <v>45432</v>
      </c>
      <c r="H232" s="408">
        <v>75018190500</v>
      </c>
      <c r="I232" s="409">
        <v>9869393142.1800156</v>
      </c>
      <c r="J232" s="409">
        <v>0</v>
      </c>
      <c r="K232" s="408">
        <v>9869393142.1800156</v>
      </c>
      <c r="L232" s="410">
        <v>0</v>
      </c>
      <c r="M232" s="410">
        <v>9869393142.1800156</v>
      </c>
      <c r="N232" s="410">
        <v>0</v>
      </c>
      <c r="O232" s="410">
        <v>9869393142.1800156</v>
      </c>
      <c r="P232" s="411">
        <v>0.1315600000000002</v>
      </c>
      <c r="Q232" s="411">
        <v>0.1315600000000002</v>
      </c>
      <c r="R232" s="412">
        <v>4.8923178902418197E-3</v>
      </c>
      <c r="S232" s="412"/>
      <c r="T232" s="412"/>
      <c r="U232" s="413">
        <v>9869393142.1800156</v>
      </c>
      <c r="V232" s="413">
        <v>9869393142.1800156</v>
      </c>
      <c r="W232" s="413" t="s">
        <v>367</v>
      </c>
      <c r="X232" s="411">
        <v>0.1315600000000002</v>
      </c>
      <c r="Y232" s="304"/>
      <c r="Z232" s="305"/>
      <c r="AA232" s="305"/>
      <c r="AB232" s="193" t="e">
        <v>#VALUE!</v>
      </c>
      <c r="AC232" s="306">
        <v>0.1315600000000002</v>
      </c>
      <c r="AD232" s="304">
        <v>0</v>
      </c>
      <c r="AE232" s="304">
        <v>75018190500</v>
      </c>
      <c r="AM232" s="332">
        <v>0</v>
      </c>
      <c r="AN232" s="334" t="e">
        <v>#DIV/0!</v>
      </c>
      <c r="AO232" s="334" t="e">
        <v>#DIV/0!</v>
      </c>
    </row>
    <row r="233" spans="1:41" ht="17.25" customHeight="1">
      <c r="A233" s="403">
        <v>2024</v>
      </c>
      <c r="B233" s="403">
        <v>428</v>
      </c>
      <c r="C233" s="404" t="s">
        <v>42</v>
      </c>
      <c r="D233" s="414">
        <v>45433</v>
      </c>
      <c r="E233" s="406">
        <v>2024</v>
      </c>
      <c r="F233" s="407" t="s">
        <v>4</v>
      </c>
      <c r="G233" s="383">
        <v>45433</v>
      </c>
      <c r="H233" s="408">
        <v>528000000000</v>
      </c>
      <c r="I233" s="409">
        <v>34041940000.000061</v>
      </c>
      <c r="J233" s="409">
        <v>11585000000</v>
      </c>
      <c r="K233" s="408">
        <v>45626940000.000061</v>
      </c>
      <c r="L233" s="410">
        <v>0</v>
      </c>
      <c r="M233" s="410">
        <v>45626940000.000061</v>
      </c>
      <c r="N233" s="410">
        <v>0</v>
      </c>
      <c r="O233" s="410">
        <v>45626940000.000061</v>
      </c>
      <c r="P233" s="411">
        <v>8.6414659090909202E-2</v>
      </c>
      <c r="Q233" s="411">
        <v>8.6414659090909202E-2</v>
      </c>
      <c r="R233" s="412">
        <v>3.4433566430100454E-2</v>
      </c>
      <c r="S233" s="412"/>
      <c r="T233" s="412"/>
      <c r="U233" s="413">
        <v>45626940000.000061</v>
      </c>
      <c r="V233" s="413">
        <v>45626940000.000061</v>
      </c>
      <c r="W233" s="413" t="s">
        <v>367</v>
      </c>
      <c r="X233" s="411">
        <v>8.6414659090909202E-2</v>
      </c>
      <c r="Y233" s="304"/>
      <c r="Z233" s="305"/>
      <c r="AA233" s="305"/>
      <c r="AB233" s="193" t="e">
        <v>#VALUE!</v>
      </c>
      <c r="AC233" s="306">
        <v>6.4473371212121322E-2</v>
      </c>
      <c r="AD233" s="304">
        <v>528000000000</v>
      </c>
      <c r="AE233" s="304">
        <v>0</v>
      </c>
      <c r="AM233" s="332">
        <v>0</v>
      </c>
      <c r="AN233" s="334" t="e">
        <v>#DIV/0!</v>
      </c>
      <c r="AO233" s="334" t="e">
        <v>#DIV/0!</v>
      </c>
    </row>
    <row r="234" spans="1:41" ht="17.25" customHeight="1">
      <c r="A234" s="403">
        <v>2024</v>
      </c>
      <c r="B234" s="403">
        <v>429</v>
      </c>
      <c r="C234" s="404" t="s">
        <v>42</v>
      </c>
      <c r="D234" s="414">
        <v>45433</v>
      </c>
      <c r="E234" s="406">
        <v>2024</v>
      </c>
      <c r="F234" s="407" t="s">
        <v>6</v>
      </c>
      <c r="G234" s="383">
        <v>45433</v>
      </c>
      <c r="H234" s="408">
        <v>16673872500</v>
      </c>
      <c r="I234" s="409">
        <v>2162101047.0749989</v>
      </c>
      <c r="J234" s="409">
        <v>0</v>
      </c>
      <c r="K234" s="408">
        <v>2162101047.0749989</v>
      </c>
      <c r="L234" s="410">
        <v>0</v>
      </c>
      <c r="M234" s="410">
        <v>2162101047.0749989</v>
      </c>
      <c r="N234" s="410">
        <v>0</v>
      </c>
      <c r="O234" s="410">
        <v>2162101047.0749989</v>
      </c>
      <c r="P234" s="411">
        <v>0.12966999999999992</v>
      </c>
      <c r="Q234" s="411">
        <v>0.12966999999999992</v>
      </c>
      <c r="R234" s="412">
        <v>1.0873880613177561E-3</v>
      </c>
      <c r="S234" s="412"/>
      <c r="T234" s="412"/>
      <c r="U234" s="413">
        <v>2162101047.0749989</v>
      </c>
      <c r="V234" s="413">
        <v>2162101047.0749989</v>
      </c>
      <c r="W234" s="413" t="s">
        <v>367</v>
      </c>
      <c r="X234" s="411">
        <v>0.12966999999999992</v>
      </c>
      <c r="Y234" s="304"/>
      <c r="Z234" s="305"/>
      <c r="AA234" s="305"/>
      <c r="AB234" s="193" t="e">
        <v>#VALUE!</v>
      </c>
      <c r="AC234" s="306">
        <v>0.12966999999999992</v>
      </c>
      <c r="AD234" s="304">
        <v>0</v>
      </c>
      <c r="AE234" s="304">
        <v>16673872500</v>
      </c>
      <c r="AM234" s="332">
        <v>0</v>
      </c>
      <c r="AN234" s="334" t="e">
        <v>#DIV/0!</v>
      </c>
      <c r="AO234" s="334" t="e">
        <v>#DIV/0!</v>
      </c>
    </row>
    <row r="235" spans="1:41" ht="17.25" customHeight="1">
      <c r="A235" s="403">
        <v>2024</v>
      </c>
      <c r="B235" s="403">
        <v>430</v>
      </c>
      <c r="C235" s="404" t="s">
        <v>42</v>
      </c>
      <c r="D235" s="414">
        <v>45434</v>
      </c>
      <c r="E235" s="406">
        <v>2024</v>
      </c>
      <c r="F235" s="407" t="s">
        <v>4</v>
      </c>
      <c r="G235" s="383">
        <v>45434</v>
      </c>
      <c r="H235" s="408">
        <v>233500000000</v>
      </c>
      <c r="I235" s="409">
        <v>29093500000</v>
      </c>
      <c r="J235" s="409">
        <v>-5235625000</v>
      </c>
      <c r="K235" s="408">
        <v>23857875000</v>
      </c>
      <c r="L235" s="410">
        <v>0</v>
      </c>
      <c r="M235" s="410">
        <v>23857875000</v>
      </c>
      <c r="N235" s="410">
        <v>0</v>
      </c>
      <c r="O235" s="410">
        <v>23857875000</v>
      </c>
      <c r="P235" s="411">
        <v>0.10217505353319058</v>
      </c>
      <c r="Q235" s="411">
        <v>0.10217505353319058</v>
      </c>
      <c r="R235" s="412">
        <v>1.522772303300844E-2</v>
      </c>
      <c r="S235" s="412"/>
      <c r="T235" s="412"/>
      <c r="U235" s="413">
        <v>23857875000</v>
      </c>
      <c r="V235" s="413">
        <v>23857875000</v>
      </c>
      <c r="W235" s="413" t="s">
        <v>367</v>
      </c>
      <c r="X235" s="411">
        <v>0.10217505353319058</v>
      </c>
      <c r="Y235" s="304"/>
      <c r="Z235" s="305"/>
      <c r="AA235" s="305"/>
      <c r="AB235" s="193" t="e">
        <v>#VALUE!</v>
      </c>
      <c r="AC235" s="306">
        <v>0.12459743040685224</v>
      </c>
      <c r="AD235" s="304">
        <v>233500000000</v>
      </c>
      <c r="AE235" s="304">
        <v>0</v>
      </c>
      <c r="AM235" s="332">
        <v>0</v>
      </c>
      <c r="AN235" s="334" t="e">
        <v>#DIV/0!</v>
      </c>
      <c r="AO235" s="334" t="e">
        <v>#DIV/0!</v>
      </c>
    </row>
    <row r="236" spans="1:41" ht="17.25" customHeight="1">
      <c r="A236" s="403">
        <v>2024</v>
      </c>
      <c r="B236" s="403">
        <v>431</v>
      </c>
      <c r="C236" s="404" t="s">
        <v>42</v>
      </c>
      <c r="D236" s="414">
        <v>45434</v>
      </c>
      <c r="E236" s="406">
        <v>2024</v>
      </c>
      <c r="F236" s="407" t="s">
        <v>6</v>
      </c>
      <c r="G236" s="383">
        <v>45434</v>
      </c>
      <c r="H236" s="408">
        <v>55590135000</v>
      </c>
      <c r="I236" s="409">
        <v>7210040509.5</v>
      </c>
      <c r="J236" s="409">
        <v>0</v>
      </c>
      <c r="K236" s="408">
        <v>7210040509.5</v>
      </c>
      <c r="L236" s="410">
        <v>0</v>
      </c>
      <c r="M236" s="410">
        <v>7210040509.5</v>
      </c>
      <c r="N236" s="410">
        <v>0</v>
      </c>
      <c r="O236" s="410">
        <v>7210040509.5</v>
      </c>
      <c r="P236" s="411">
        <v>0.12970000000000001</v>
      </c>
      <c r="Q236" s="411">
        <v>0.12970000000000001</v>
      </c>
      <c r="R236" s="412">
        <v>3.6253155423877888E-3</v>
      </c>
      <c r="S236" s="412"/>
      <c r="T236" s="412"/>
      <c r="U236" s="413">
        <v>7210040509.5</v>
      </c>
      <c r="V236" s="413">
        <v>7210040509.5</v>
      </c>
      <c r="W236" s="413" t="s">
        <v>367</v>
      </c>
      <c r="X236" s="411">
        <v>0.12970000000000001</v>
      </c>
      <c r="Y236" s="304"/>
      <c r="Z236" s="305"/>
      <c r="AA236" s="305"/>
      <c r="AB236" s="193" t="e">
        <v>#VALUE!</v>
      </c>
      <c r="AC236" s="306">
        <v>0.12970000000000001</v>
      </c>
      <c r="AD236" s="304">
        <v>0</v>
      </c>
      <c r="AE236" s="304">
        <v>55590135000</v>
      </c>
      <c r="AM236" s="332">
        <v>0</v>
      </c>
      <c r="AN236" s="334" t="e">
        <v>#DIV/0!</v>
      </c>
      <c r="AO236" s="334" t="e">
        <v>#DIV/0!</v>
      </c>
    </row>
    <row r="237" spans="1:41" ht="17.25" customHeight="1">
      <c r="A237" s="403">
        <v>2024</v>
      </c>
      <c r="B237" s="403">
        <v>432</v>
      </c>
      <c r="C237" s="404" t="s">
        <v>42</v>
      </c>
      <c r="D237" s="414">
        <v>45435</v>
      </c>
      <c r="E237" s="406">
        <v>2024</v>
      </c>
      <c r="F237" s="407" t="s">
        <v>4</v>
      </c>
      <c r="G237" s="383">
        <v>45435</v>
      </c>
      <c r="H237" s="408">
        <v>151500000000</v>
      </c>
      <c r="I237" s="409">
        <v>21007995000</v>
      </c>
      <c r="J237" s="409">
        <v>-5233125000</v>
      </c>
      <c r="K237" s="408">
        <v>15774870000</v>
      </c>
      <c r="L237" s="410">
        <v>0</v>
      </c>
      <c r="M237" s="410">
        <v>15774870000</v>
      </c>
      <c r="N237" s="410">
        <v>0</v>
      </c>
      <c r="O237" s="410">
        <v>15774870000</v>
      </c>
      <c r="P237" s="411">
        <v>0.10412455445544555</v>
      </c>
      <c r="Q237" s="411">
        <v>0.10412455445544555</v>
      </c>
      <c r="R237" s="412">
        <v>9.8800858222731422E-3</v>
      </c>
      <c r="S237" s="412"/>
      <c r="T237" s="412"/>
      <c r="U237" s="413">
        <v>15774870000</v>
      </c>
      <c r="V237" s="413">
        <v>15774870000</v>
      </c>
      <c r="W237" s="413" t="s">
        <v>367</v>
      </c>
      <c r="X237" s="411">
        <v>0.10412455445544555</v>
      </c>
      <c r="Y237" s="304"/>
      <c r="Z237" s="305"/>
      <c r="AA237" s="305"/>
      <c r="AB237" s="193" t="e">
        <v>#VALUE!</v>
      </c>
      <c r="AC237" s="306">
        <v>0.13866663366336635</v>
      </c>
      <c r="AD237" s="304">
        <v>151500000000</v>
      </c>
      <c r="AE237" s="304">
        <v>0</v>
      </c>
      <c r="AM237" s="332">
        <v>0</v>
      </c>
      <c r="AN237" s="334" t="e">
        <v>#DIV/0!</v>
      </c>
      <c r="AO237" s="334" t="e">
        <v>#DIV/0!</v>
      </c>
    </row>
    <row r="238" spans="1:41" ht="17.25" customHeight="1">
      <c r="A238" s="403">
        <v>2024</v>
      </c>
      <c r="B238" s="403">
        <v>433</v>
      </c>
      <c r="C238" s="404" t="s">
        <v>42</v>
      </c>
      <c r="D238" s="414">
        <v>45435</v>
      </c>
      <c r="E238" s="406">
        <v>2024</v>
      </c>
      <c r="F238" s="407" t="s">
        <v>6</v>
      </c>
      <c r="G238" s="383">
        <v>45435</v>
      </c>
      <c r="H238" s="408">
        <v>37067120000</v>
      </c>
      <c r="I238" s="409">
        <v>4800562711.1999969</v>
      </c>
      <c r="J238" s="409">
        <v>0</v>
      </c>
      <c r="K238" s="408">
        <v>4800562711.1999969</v>
      </c>
      <c r="L238" s="410">
        <v>0</v>
      </c>
      <c r="M238" s="410">
        <v>4800562711.1999969</v>
      </c>
      <c r="N238" s="410">
        <v>0</v>
      </c>
      <c r="O238" s="410">
        <v>4800562711.1999969</v>
      </c>
      <c r="P238" s="411">
        <v>0.12950999999999993</v>
      </c>
      <c r="Q238" s="411">
        <v>0.12950999999999993</v>
      </c>
      <c r="R238" s="412">
        <v>2.4173354903267146E-3</v>
      </c>
      <c r="S238" s="412"/>
      <c r="T238" s="412"/>
      <c r="U238" s="413">
        <v>4800562711.1999969</v>
      </c>
      <c r="V238" s="413">
        <v>4800562711.1999969</v>
      </c>
      <c r="W238" s="413" t="s">
        <v>367</v>
      </c>
      <c r="X238" s="411">
        <v>0.12950999999999993</v>
      </c>
      <c r="Y238" s="304"/>
      <c r="Z238" s="305"/>
      <c r="AA238" s="305"/>
      <c r="AB238" s="193" t="e">
        <v>#VALUE!</v>
      </c>
      <c r="AC238" s="306">
        <v>0.12950999999999993</v>
      </c>
      <c r="AD238" s="304">
        <v>0</v>
      </c>
      <c r="AE238" s="304">
        <v>37067120000</v>
      </c>
      <c r="AM238" s="332">
        <v>0</v>
      </c>
      <c r="AN238" s="334" t="e">
        <v>#DIV/0!</v>
      </c>
      <c r="AO238" s="334" t="e">
        <v>#DIV/0!</v>
      </c>
    </row>
    <row r="239" spans="1:41" ht="17.25" customHeight="1">
      <c r="A239" s="403">
        <v>2024</v>
      </c>
      <c r="B239" s="403">
        <v>434</v>
      </c>
      <c r="C239" s="404" t="s">
        <v>42</v>
      </c>
      <c r="D239" s="414">
        <v>45440</v>
      </c>
      <c r="E239" s="406">
        <v>2024</v>
      </c>
      <c r="F239" s="407" t="s">
        <v>4</v>
      </c>
      <c r="G239" s="383">
        <v>45440</v>
      </c>
      <c r="H239" s="408">
        <v>40000000000</v>
      </c>
      <c r="I239" s="409">
        <v>4622000000</v>
      </c>
      <c r="J239" s="409">
        <v>-2500000000</v>
      </c>
      <c r="K239" s="408">
        <v>2122000000</v>
      </c>
      <c r="L239" s="410">
        <v>0</v>
      </c>
      <c r="M239" s="410">
        <v>2122000000</v>
      </c>
      <c r="N239" s="410">
        <v>0</v>
      </c>
      <c r="O239" s="410">
        <v>2122000000</v>
      </c>
      <c r="P239" s="411">
        <v>5.305E-2</v>
      </c>
      <c r="Q239" s="411">
        <v>5.305E-2</v>
      </c>
      <c r="R239" s="412">
        <v>2.6086035174318527E-3</v>
      </c>
      <c r="S239" s="412"/>
      <c r="T239" s="412"/>
      <c r="U239" s="413">
        <v>2122000000</v>
      </c>
      <c r="V239" s="413">
        <v>2122000000</v>
      </c>
      <c r="W239" s="413" t="s">
        <v>367</v>
      </c>
      <c r="X239" s="411">
        <v>5.305E-2</v>
      </c>
      <c r="Y239" s="304"/>
      <c r="Z239" s="305"/>
      <c r="AA239" s="305"/>
      <c r="AB239" s="193" t="e">
        <v>#VALUE!</v>
      </c>
      <c r="AC239" s="306">
        <v>0.11555</v>
      </c>
      <c r="AD239" s="304">
        <v>40000000000</v>
      </c>
      <c r="AE239" s="304">
        <v>0</v>
      </c>
      <c r="AM239" s="332">
        <v>0</v>
      </c>
      <c r="AN239" s="334" t="e">
        <v>#DIV/0!</v>
      </c>
      <c r="AO239" s="334" t="e">
        <v>#DIV/0!</v>
      </c>
    </row>
    <row r="240" spans="1:41" ht="17.25" customHeight="1">
      <c r="A240" s="403">
        <v>2024</v>
      </c>
      <c r="B240" s="403">
        <v>435</v>
      </c>
      <c r="C240" s="404" t="s">
        <v>42</v>
      </c>
      <c r="D240" s="414">
        <v>45440</v>
      </c>
      <c r="E240" s="406">
        <v>2024</v>
      </c>
      <c r="F240" s="407" t="s">
        <v>6</v>
      </c>
      <c r="G240" s="383">
        <v>45440</v>
      </c>
      <c r="H240" s="408">
        <v>148409240000</v>
      </c>
      <c r="I240" s="409">
        <v>19671644762</v>
      </c>
      <c r="J240" s="409">
        <v>0</v>
      </c>
      <c r="K240" s="408">
        <v>19671644762</v>
      </c>
      <c r="L240" s="410">
        <v>0</v>
      </c>
      <c r="M240" s="410">
        <v>19671644762</v>
      </c>
      <c r="N240" s="410">
        <v>0</v>
      </c>
      <c r="O240" s="410">
        <v>19671644762</v>
      </c>
      <c r="P240" s="411">
        <v>0.13255</v>
      </c>
      <c r="Q240" s="411">
        <v>0.13255</v>
      </c>
      <c r="R240" s="412">
        <v>9.6785216370846999E-3</v>
      </c>
      <c r="S240" s="412"/>
      <c r="T240" s="412"/>
      <c r="U240" s="413">
        <v>19671644762</v>
      </c>
      <c r="V240" s="413">
        <v>19671644762</v>
      </c>
      <c r="W240" s="413" t="s">
        <v>367</v>
      </c>
      <c r="X240" s="411">
        <v>0.13255</v>
      </c>
      <c r="Y240" s="304"/>
      <c r="Z240" s="305"/>
      <c r="AA240" s="305"/>
      <c r="AB240" s="193" t="e">
        <v>#VALUE!</v>
      </c>
      <c r="AC240" s="306">
        <v>0.13255</v>
      </c>
      <c r="AD240" s="304">
        <v>0</v>
      </c>
      <c r="AE240" s="304">
        <v>148409240000</v>
      </c>
      <c r="AM240" s="332">
        <v>0</v>
      </c>
      <c r="AN240" s="334" t="e">
        <v>#DIV/0!</v>
      </c>
      <c r="AO240" s="334" t="e">
        <v>#DIV/0!</v>
      </c>
    </row>
    <row r="241" spans="1:41" ht="17.25" customHeight="1">
      <c r="A241" s="403">
        <v>2024</v>
      </c>
      <c r="B241" s="403">
        <v>436</v>
      </c>
      <c r="C241" s="404" t="s">
        <v>42</v>
      </c>
      <c r="D241" s="414">
        <v>45441</v>
      </c>
      <c r="E241" s="406">
        <v>2024</v>
      </c>
      <c r="F241" s="407" t="s">
        <v>4</v>
      </c>
      <c r="G241" s="383">
        <v>45441</v>
      </c>
      <c r="H241" s="408">
        <v>238500000000</v>
      </c>
      <c r="I241" s="409">
        <v>35872695000</v>
      </c>
      <c r="J241" s="409">
        <v>-14906250000</v>
      </c>
      <c r="K241" s="408">
        <v>20966445000</v>
      </c>
      <c r="L241" s="410">
        <v>0</v>
      </c>
      <c r="M241" s="410">
        <v>20966445000</v>
      </c>
      <c r="N241" s="410">
        <v>0</v>
      </c>
      <c r="O241" s="410">
        <v>20966445000</v>
      </c>
      <c r="P241" s="411">
        <v>8.7909622641509436E-2</v>
      </c>
      <c r="Q241" s="411">
        <v>8.7909622641509436E-2</v>
      </c>
      <c r="R241" s="412">
        <v>1.5553798472687423E-2</v>
      </c>
      <c r="S241" s="412"/>
      <c r="T241" s="412"/>
      <c r="U241" s="413">
        <v>20966445000</v>
      </c>
      <c r="V241" s="413">
        <v>20966445000</v>
      </c>
      <c r="W241" s="413" t="s">
        <v>367</v>
      </c>
      <c r="X241" s="411">
        <v>8.7909622641509436E-2</v>
      </c>
      <c r="Y241" s="304"/>
      <c r="Z241" s="305"/>
      <c r="AA241" s="305"/>
      <c r="AB241" s="193" t="e">
        <v>#VALUE!</v>
      </c>
      <c r="AC241" s="306">
        <v>0.15040962264150942</v>
      </c>
      <c r="AD241" s="304">
        <v>238500000000</v>
      </c>
      <c r="AE241" s="304">
        <v>0</v>
      </c>
      <c r="AM241" s="332">
        <v>0</v>
      </c>
      <c r="AN241" s="334" t="e">
        <v>#DIV/0!</v>
      </c>
      <c r="AO241" s="334" t="e">
        <v>#DIV/0!</v>
      </c>
    </row>
    <row r="242" spans="1:41" ht="17.25" customHeight="1">
      <c r="A242" s="403">
        <v>2024</v>
      </c>
      <c r="B242" s="403">
        <v>437</v>
      </c>
      <c r="C242" s="404" t="s">
        <v>42</v>
      </c>
      <c r="D242" s="414">
        <v>45441</v>
      </c>
      <c r="E242" s="406">
        <v>2024</v>
      </c>
      <c r="F242" s="407" t="s">
        <v>6</v>
      </c>
      <c r="G242" s="383">
        <v>45441</v>
      </c>
      <c r="H242" s="408">
        <v>18554675000</v>
      </c>
      <c r="I242" s="409">
        <v>2391140967.25</v>
      </c>
      <c r="J242" s="409">
        <v>0</v>
      </c>
      <c r="K242" s="408">
        <v>2391140967.25</v>
      </c>
      <c r="L242" s="410">
        <v>0</v>
      </c>
      <c r="M242" s="410">
        <v>2391140967.25</v>
      </c>
      <c r="N242" s="410">
        <v>0</v>
      </c>
      <c r="O242" s="410">
        <v>2391140967.25</v>
      </c>
      <c r="P242" s="411">
        <v>0.12887000000000001</v>
      </c>
      <c r="Q242" s="411">
        <v>0.12887000000000001</v>
      </c>
      <c r="R242" s="412">
        <v>1.2100447617451216E-3</v>
      </c>
      <c r="S242" s="412"/>
      <c r="T242" s="412"/>
      <c r="U242" s="413">
        <v>2391140967.25</v>
      </c>
      <c r="V242" s="413">
        <v>2391140967.25</v>
      </c>
      <c r="W242" s="413" t="s">
        <v>367</v>
      </c>
      <c r="X242" s="411">
        <v>0.12887000000000001</v>
      </c>
      <c r="Y242" s="304"/>
      <c r="Z242" s="305"/>
      <c r="AA242" s="305"/>
      <c r="AB242" s="193" t="e">
        <v>#VALUE!</v>
      </c>
      <c r="AC242" s="306">
        <v>0.12887000000000001</v>
      </c>
      <c r="AD242" s="304">
        <v>0</v>
      </c>
      <c r="AE242" s="304">
        <v>18554675000</v>
      </c>
      <c r="AM242" s="332">
        <v>0</v>
      </c>
      <c r="AN242" s="334" t="e">
        <v>#DIV/0!</v>
      </c>
      <c r="AO242" s="334" t="e">
        <v>#DIV/0!</v>
      </c>
    </row>
    <row r="243" spans="1:41" ht="17.25" customHeight="1">
      <c r="A243" s="403">
        <v>2024</v>
      </c>
      <c r="B243" s="403">
        <v>438</v>
      </c>
      <c r="C243" s="404" t="s">
        <v>42</v>
      </c>
      <c r="D243" s="414">
        <v>45442</v>
      </c>
      <c r="E243" s="406">
        <v>2024</v>
      </c>
      <c r="F243" s="407" t="s">
        <v>4</v>
      </c>
      <c r="G243" s="383">
        <v>45442</v>
      </c>
      <c r="H243" s="408">
        <v>513000000000</v>
      </c>
      <c r="I243" s="409">
        <v>79424500000</v>
      </c>
      <c r="J243" s="409">
        <v>-32062500000</v>
      </c>
      <c r="K243" s="408">
        <v>47362000000</v>
      </c>
      <c r="L243" s="410">
        <v>0</v>
      </c>
      <c r="M243" s="410">
        <v>47362000000</v>
      </c>
      <c r="N243" s="410">
        <v>0</v>
      </c>
      <c r="O243" s="410">
        <v>47362000000</v>
      </c>
      <c r="P243" s="411">
        <v>9.2323586744639377E-2</v>
      </c>
      <c r="Q243" s="411">
        <v>9.2323586744639377E-2</v>
      </c>
      <c r="R243" s="412">
        <v>3.3455340111063513E-2</v>
      </c>
      <c r="S243" s="412"/>
      <c r="T243" s="412"/>
      <c r="U243" s="413">
        <v>47362000000</v>
      </c>
      <c r="V243" s="413">
        <v>47362000000</v>
      </c>
      <c r="W243" s="413" t="s">
        <v>367</v>
      </c>
      <c r="X243" s="411">
        <v>9.2323586744639377E-2</v>
      </c>
      <c r="Y243" s="304"/>
      <c r="Z243" s="305"/>
      <c r="AA243" s="305"/>
      <c r="AB243" s="193" t="e">
        <v>#VALUE!</v>
      </c>
      <c r="AC243" s="306">
        <v>0.15482358674463936</v>
      </c>
      <c r="AD243" s="304">
        <v>513000000000</v>
      </c>
      <c r="AE243" s="304">
        <v>0</v>
      </c>
      <c r="AM243" s="332">
        <v>0</v>
      </c>
      <c r="AN243" s="334" t="e">
        <v>#DIV/0!</v>
      </c>
      <c r="AO243" s="334" t="e">
        <v>#DIV/0!</v>
      </c>
    </row>
    <row r="244" spans="1:41" ht="17.25" customHeight="1">
      <c r="A244" s="403">
        <v>2024</v>
      </c>
      <c r="B244" s="403">
        <v>439</v>
      </c>
      <c r="C244" s="404" t="s">
        <v>42</v>
      </c>
      <c r="D244" s="414">
        <v>45443</v>
      </c>
      <c r="E244" s="406">
        <v>2024</v>
      </c>
      <c r="F244" s="407" t="s">
        <v>4</v>
      </c>
      <c r="G244" s="383">
        <v>45443</v>
      </c>
      <c r="H244" s="408">
        <v>156000000000</v>
      </c>
      <c r="I244" s="409">
        <v>21881280000.000008</v>
      </c>
      <c r="J244" s="409">
        <v>-9750000000</v>
      </c>
      <c r="K244" s="408">
        <v>12131280000.000008</v>
      </c>
      <c r="L244" s="410">
        <v>0</v>
      </c>
      <c r="M244" s="410">
        <v>12131280000.000008</v>
      </c>
      <c r="N244" s="410">
        <v>0</v>
      </c>
      <c r="O244" s="410">
        <v>12131280000.000008</v>
      </c>
      <c r="P244" s="411">
        <v>7.7764615384615432E-2</v>
      </c>
      <c r="Q244" s="411">
        <v>7.7764615384615432E-2</v>
      </c>
      <c r="R244" s="412">
        <v>1.0173553717984226E-2</v>
      </c>
      <c r="S244" s="412"/>
      <c r="T244" s="412"/>
      <c r="U244" s="413">
        <v>12131280000.000008</v>
      </c>
      <c r="V244" s="413">
        <v>12131280000.000008</v>
      </c>
      <c r="W244" s="413" t="s">
        <v>367</v>
      </c>
      <c r="X244" s="411">
        <v>7.7764615384615432E-2</v>
      </c>
      <c r="Y244" s="304"/>
      <c r="Z244" s="305"/>
      <c r="AA244" s="305"/>
      <c r="AB244" s="193" t="e">
        <v>#VALUE!</v>
      </c>
      <c r="AC244" s="306">
        <v>0.14026461538461543</v>
      </c>
      <c r="AD244" s="304">
        <v>156000000000</v>
      </c>
      <c r="AE244" s="304">
        <v>0</v>
      </c>
      <c r="AM244" s="332">
        <v>0</v>
      </c>
      <c r="AN244" s="334" t="e">
        <v>#DIV/0!</v>
      </c>
      <c r="AO244" s="334" t="e">
        <v>#DIV/0!</v>
      </c>
    </row>
    <row r="245" spans="1:41" ht="17.25" customHeight="1">
      <c r="A245" s="403">
        <v>2024</v>
      </c>
      <c r="B245" s="403">
        <v>440</v>
      </c>
      <c r="C245" s="404" t="s">
        <v>42</v>
      </c>
      <c r="D245" s="414">
        <v>45447</v>
      </c>
      <c r="E245" s="406">
        <v>2024</v>
      </c>
      <c r="F245" s="407" t="s">
        <v>4</v>
      </c>
      <c r="G245" s="383">
        <v>45447</v>
      </c>
      <c r="H245" s="408">
        <v>300000000000</v>
      </c>
      <c r="I245" s="409">
        <v>37557600000</v>
      </c>
      <c r="J245" s="409">
        <v>-18750000000</v>
      </c>
      <c r="K245" s="408">
        <v>18807600000</v>
      </c>
      <c r="L245" s="410">
        <v>0</v>
      </c>
      <c r="M245" s="410">
        <v>18807600000</v>
      </c>
      <c r="N245" s="410">
        <v>0</v>
      </c>
      <c r="O245" s="410">
        <v>18807600000</v>
      </c>
      <c r="P245" s="411">
        <v>6.2691999999999998E-2</v>
      </c>
      <c r="Q245" s="411">
        <v>6.2691999999999998E-2</v>
      </c>
      <c r="R245" s="412">
        <v>1.9564526380738897E-2</v>
      </c>
      <c r="S245" s="412"/>
      <c r="T245" s="412"/>
      <c r="U245" s="413">
        <v>18807600000</v>
      </c>
      <c r="V245" s="413">
        <v>18807600000</v>
      </c>
      <c r="W245" s="413" t="s">
        <v>367</v>
      </c>
      <c r="X245" s="411">
        <v>6.2691999999999998E-2</v>
      </c>
      <c r="Y245" s="304"/>
      <c r="Z245" s="305"/>
      <c r="AA245" s="305"/>
      <c r="AB245" s="193" t="e">
        <v>#VALUE!</v>
      </c>
      <c r="AC245" s="306">
        <v>0.125192</v>
      </c>
      <c r="AD245" s="304">
        <v>300000000000</v>
      </c>
      <c r="AE245" s="304">
        <v>0</v>
      </c>
      <c r="AM245" s="332">
        <v>0</v>
      </c>
      <c r="AN245" s="334" t="e">
        <v>#DIV/0!</v>
      </c>
      <c r="AO245" s="334" t="e">
        <v>#DIV/0!</v>
      </c>
    </row>
    <row r="246" spans="1:41" ht="17.25" customHeight="1">
      <c r="A246" s="403">
        <v>2024</v>
      </c>
      <c r="B246" s="403">
        <v>441</v>
      </c>
      <c r="C246" s="404" t="s">
        <v>42</v>
      </c>
      <c r="D246" s="414">
        <v>45448</v>
      </c>
      <c r="E246" s="406">
        <v>2024</v>
      </c>
      <c r="F246" s="407" t="s">
        <v>4</v>
      </c>
      <c r="G246" s="383">
        <v>45448</v>
      </c>
      <c r="H246" s="408">
        <v>352000000000</v>
      </c>
      <c r="I246" s="409">
        <v>59771710000</v>
      </c>
      <c r="J246" s="409">
        <v>-28600000000</v>
      </c>
      <c r="K246" s="408">
        <v>31171710000</v>
      </c>
      <c r="L246" s="410">
        <v>0</v>
      </c>
      <c r="M246" s="410">
        <v>31171710000</v>
      </c>
      <c r="N246" s="410">
        <v>0</v>
      </c>
      <c r="O246" s="410">
        <v>31171710000</v>
      </c>
      <c r="P246" s="411">
        <v>8.8555994318181813E-2</v>
      </c>
      <c r="Q246" s="411">
        <v>8.8555994318181813E-2</v>
      </c>
      <c r="R246" s="412">
        <v>2.2955710953400304E-2</v>
      </c>
      <c r="S246" s="412"/>
      <c r="T246" s="412"/>
      <c r="U246" s="413">
        <v>31171710000</v>
      </c>
      <c r="V246" s="413">
        <v>31171710000</v>
      </c>
      <c r="W246" s="413" t="s">
        <v>367</v>
      </c>
      <c r="X246" s="411">
        <v>8.8555994318181813E-2</v>
      </c>
      <c r="Y246" s="304"/>
      <c r="Z246" s="305"/>
      <c r="AA246" s="305"/>
      <c r="AB246" s="193" t="e">
        <v>#VALUE!</v>
      </c>
      <c r="AC246" s="306">
        <v>0.16980599431818183</v>
      </c>
      <c r="AD246" s="304">
        <v>352000000000</v>
      </c>
      <c r="AE246" s="304">
        <v>0</v>
      </c>
      <c r="AM246" s="332">
        <v>0</v>
      </c>
      <c r="AN246" s="334" t="e">
        <v>#DIV/0!</v>
      </c>
      <c r="AO246" s="334" t="e">
        <v>#DIV/0!</v>
      </c>
    </row>
    <row r="247" spans="1:41" ht="17.25" customHeight="1">
      <c r="A247" s="403">
        <v>2024</v>
      </c>
      <c r="B247" s="403">
        <v>442</v>
      </c>
      <c r="C247" s="404" t="s">
        <v>42</v>
      </c>
      <c r="D247" s="414">
        <v>45449</v>
      </c>
      <c r="E247" s="406">
        <v>2024</v>
      </c>
      <c r="F247" s="407" t="s">
        <v>4</v>
      </c>
      <c r="G247" s="383">
        <v>45449</v>
      </c>
      <c r="H247" s="408">
        <v>405000000000</v>
      </c>
      <c r="I247" s="409">
        <v>83109599999.999878</v>
      </c>
      <c r="J247" s="409">
        <v>-38625000000</v>
      </c>
      <c r="K247" s="408">
        <v>44484599999.999878</v>
      </c>
      <c r="L247" s="410">
        <v>0</v>
      </c>
      <c r="M247" s="410">
        <v>44484599999.999878</v>
      </c>
      <c r="N247" s="410">
        <v>0</v>
      </c>
      <c r="O247" s="410">
        <v>44484599999.999878</v>
      </c>
      <c r="P247" s="411">
        <v>0.10983851851851821</v>
      </c>
      <c r="Q247" s="411">
        <v>0.10983851851851821</v>
      </c>
      <c r="R247" s="412">
        <v>2.6412110613997508E-2</v>
      </c>
      <c r="S247" s="412"/>
      <c r="T247" s="412"/>
      <c r="U247" s="413">
        <v>44484599999.999878</v>
      </c>
      <c r="V247" s="413">
        <v>44484599999.999878</v>
      </c>
      <c r="W247" s="413" t="s">
        <v>367</v>
      </c>
      <c r="X247" s="411">
        <v>0.10983851851851821</v>
      </c>
      <c r="Y247" s="304"/>
      <c r="Z247" s="305"/>
      <c r="AA247" s="305"/>
      <c r="AB247" s="193" t="e">
        <v>#VALUE!</v>
      </c>
      <c r="AC247" s="306">
        <v>0.20520888888888858</v>
      </c>
      <c r="AD247" s="304">
        <v>405000000000</v>
      </c>
      <c r="AE247" s="304">
        <v>0</v>
      </c>
      <c r="AM247" s="332">
        <v>0</v>
      </c>
      <c r="AN247" s="334" t="e">
        <v>#DIV/0!</v>
      </c>
      <c r="AO247" s="334" t="e">
        <v>#DIV/0!</v>
      </c>
    </row>
    <row r="248" spans="1:41" ht="17.25" customHeight="1">
      <c r="A248" s="403">
        <v>2024</v>
      </c>
      <c r="B248" s="403">
        <v>443</v>
      </c>
      <c r="C248" s="404" t="s">
        <v>42</v>
      </c>
      <c r="D248" s="414">
        <v>45450</v>
      </c>
      <c r="E248" s="406">
        <v>2024</v>
      </c>
      <c r="F248" s="407" t="s">
        <v>4</v>
      </c>
      <c r="G248" s="383">
        <v>45450</v>
      </c>
      <c r="H248" s="408">
        <v>183000000000</v>
      </c>
      <c r="I248" s="409">
        <v>39460929999.999969</v>
      </c>
      <c r="J248" s="409">
        <v>-18300000000</v>
      </c>
      <c r="K248" s="408">
        <v>21160929999.999969</v>
      </c>
      <c r="L248" s="410">
        <v>0</v>
      </c>
      <c r="M248" s="410">
        <v>21160929999.999969</v>
      </c>
      <c r="N248" s="410">
        <v>0</v>
      </c>
      <c r="O248" s="410">
        <v>21160929999.999969</v>
      </c>
      <c r="P248" s="411">
        <v>0.1156334972677594</v>
      </c>
      <c r="Q248" s="411">
        <v>0.1156334972677594</v>
      </c>
      <c r="R248" s="412">
        <v>1.1934361092250727E-2</v>
      </c>
      <c r="S248" s="412"/>
      <c r="T248" s="412"/>
      <c r="U248" s="413">
        <v>21160929999.999969</v>
      </c>
      <c r="V248" s="413">
        <v>21160929999.999969</v>
      </c>
      <c r="W248" s="413" t="s">
        <v>367</v>
      </c>
      <c r="X248" s="411">
        <v>0.1156334972677594</v>
      </c>
      <c r="Y248" s="304"/>
      <c r="Z248" s="305"/>
      <c r="AA248" s="305"/>
      <c r="AB248" s="193" t="e">
        <v>#VALUE!</v>
      </c>
      <c r="AC248" s="306">
        <v>0.21563349726775941</v>
      </c>
      <c r="AD248" s="304">
        <v>183000000000</v>
      </c>
      <c r="AE248" s="304">
        <v>0</v>
      </c>
      <c r="AM248" s="332">
        <v>0</v>
      </c>
      <c r="AN248" s="334" t="e">
        <v>#DIV/0!</v>
      </c>
      <c r="AO248" s="334" t="e">
        <v>#DIV/0!</v>
      </c>
    </row>
    <row r="249" spans="1:41" ht="17.25" customHeight="1">
      <c r="A249" s="403">
        <v>2024</v>
      </c>
      <c r="B249" s="403">
        <v>444</v>
      </c>
      <c r="C249" s="404" t="s">
        <v>42</v>
      </c>
      <c r="D249" s="414">
        <v>45450</v>
      </c>
      <c r="E249" s="406">
        <v>2024</v>
      </c>
      <c r="F249" s="407" t="s">
        <v>6</v>
      </c>
      <c r="G249" s="383">
        <v>45450</v>
      </c>
      <c r="H249" s="408">
        <v>111518340000</v>
      </c>
      <c r="I249" s="409">
        <v>14079190425</v>
      </c>
      <c r="J249" s="409">
        <v>0</v>
      </c>
      <c r="K249" s="408">
        <v>14079190425</v>
      </c>
      <c r="L249" s="410">
        <v>0</v>
      </c>
      <c r="M249" s="410">
        <v>14079190425</v>
      </c>
      <c r="N249" s="410">
        <v>0</v>
      </c>
      <c r="O249" s="410">
        <v>14079190425</v>
      </c>
      <c r="P249" s="411">
        <v>0.12625</v>
      </c>
      <c r="Q249" s="411">
        <v>0.12625</v>
      </c>
      <c r="R249" s="412">
        <v>7.2726783495540319E-3</v>
      </c>
      <c r="S249" s="412"/>
      <c r="T249" s="412"/>
      <c r="U249" s="413">
        <v>14079190425</v>
      </c>
      <c r="V249" s="413">
        <v>14079190425</v>
      </c>
      <c r="W249" s="413" t="s">
        <v>367</v>
      </c>
      <c r="X249" s="411">
        <v>0.12625</v>
      </c>
      <c r="Y249" s="304"/>
      <c r="Z249" s="305"/>
      <c r="AA249" s="305"/>
      <c r="AB249" s="193" t="e">
        <v>#VALUE!</v>
      </c>
      <c r="AC249" s="306">
        <v>0.12625</v>
      </c>
      <c r="AD249" s="304">
        <v>0</v>
      </c>
      <c r="AE249" s="304">
        <v>111518340000</v>
      </c>
      <c r="AM249" s="332">
        <v>0</v>
      </c>
      <c r="AN249" s="334" t="e">
        <v>#DIV/0!</v>
      </c>
      <c r="AO249" s="334" t="e">
        <v>#DIV/0!</v>
      </c>
    </row>
    <row r="250" spans="1:41" ht="17.25" customHeight="1">
      <c r="A250" s="403">
        <v>2024</v>
      </c>
      <c r="B250" s="403">
        <v>445</v>
      </c>
      <c r="C250" s="404" t="s">
        <v>42</v>
      </c>
      <c r="D250" s="414">
        <v>45454</v>
      </c>
      <c r="E250" s="406">
        <v>2024</v>
      </c>
      <c r="F250" s="407" t="s">
        <v>4</v>
      </c>
      <c r="G250" s="383">
        <v>45454</v>
      </c>
      <c r="H250" s="408">
        <v>102000000000</v>
      </c>
      <c r="I250" s="409">
        <v>22460418000</v>
      </c>
      <c r="J250" s="409">
        <v>-9435000000</v>
      </c>
      <c r="K250" s="408">
        <v>13025418000</v>
      </c>
      <c r="L250" s="410">
        <v>0</v>
      </c>
      <c r="M250" s="410">
        <v>13025418000</v>
      </c>
      <c r="N250" s="410">
        <v>0</v>
      </c>
      <c r="O250" s="410">
        <v>13025418000</v>
      </c>
      <c r="P250" s="411">
        <v>0.12770017647058823</v>
      </c>
      <c r="Q250" s="411">
        <v>0.12770017647058823</v>
      </c>
      <c r="R250" s="412">
        <v>6.6519389694512246E-3</v>
      </c>
      <c r="S250" s="412"/>
      <c r="T250" s="412"/>
      <c r="U250" s="413">
        <v>13025418000</v>
      </c>
      <c r="V250" s="413">
        <v>13025418000</v>
      </c>
      <c r="W250" s="413" t="s">
        <v>367</v>
      </c>
      <c r="X250" s="411">
        <v>0.12770017647058823</v>
      </c>
      <c r="Y250" s="304"/>
      <c r="Z250" s="305"/>
      <c r="AA250" s="305"/>
      <c r="AB250" s="193" t="e">
        <v>#VALUE!</v>
      </c>
      <c r="AC250" s="306">
        <v>0.22020017647058823</v>
      </c>
      <c r="AD250" s="304">
        <v>102000000000</v>
      </c>
      <c r="AE250" s="304">
        <v>0</v>
      </c>
      <c r="AM250" s="332">
        <v>0</v>
      </c>
      <c r="AN250" s="334" t="e">
        <v>#DIV/0!</v>
      </c>
      <c r="AO250" s="334" t="e">
        <v>#DIV/0!</v>
      </c>
    </row>
    <row r="251" spans="1:41" ht="17.25" customHeight="1">
      <c r="A251" s="403">
        <v>2024</v>
      </c>
      <c r="B251" s="403">
        <v>446</v>
      </c>
      <c r="C251" s="404" t="s">
        <v>42</v>
      </c>
      <c r="D251" s="414">
        <v>45454</v>
      </c>
      <c r="E251" s="406">
        <v>2024</v>
      </c>
      <c r="F251" s="407" t="s">
        <v>6</v>
      </c>
      <c r="G251" s="383">
        <v>45454</v>
      </c>
      <c r="H251" s="408">
        <v>39061060500</v>
      </c>
      <c r="I251" s="409">
        <v>4892397827.6250076</v>
      </c>
      <c r="J251" s="409">
        <v>0</v>
      </c>
      <c r="K251" s="408">
        <v>4892397827.6250076</v>
      </c>
      <c r="L251" s="410">
        <v>0</v>
      </c>
      <c r="M251" s="410">
        <v>4892397827.6250076</v>
      </c>
      <c r="N251" s="410">
        <v>0</v>
      </c>
      <c r="O251" s="410">
        <v>4892397827.6250076</v>
      </c>
      <c r="P251" s="411">
        <v>0.12525000000000019</v>
      </c>
      <c r="Q251" s="411">
        <v>0.12525000000000019</v>
      </c>
      <c r="R251" s="412">
        <v>2.5473704953729603E-3</v>
      </c>
      <c r="S251" s="412"/>
      <c r="T251" s="412"/>
      <c r="U251" s="413">
        <v>4892397827.6250076</v>
      </c>
      <c r="V251" s="413">
        <v>4892397827.6250076</v>
      </c>
      <c r="W251" s="413" t="s">
        <v>367</v>
      </c>
      <c r="X251" s="411">
        <v>0.12525000000000019</v>
      </c>
      <c r="Y251" s="304"/>
      <c r="Z251" s="305"/>
      <c r="AA251" s="305"/>
      <c r="AB251" s="193" t="e">
        <v>#VALUE!</v>
      </c>
      <c r="AC251" s="306">
        <v>0.12525000000000019</v>
      </c>
      <c r="AD251" s="304">
        <v>0</v>
      </c>
      <c r="AE251" s="304">
        <v>39061060500</v>
      </c>
      <c r="AM251" s="332">
        <v>0</v>
      </c>
      <c r="AN251" s="334" t="e">
        <v>#DIV/0!</v>
      </c>
      <c r="AO251" s="334" t="e">
        <v>#DIV/0!</v>
      </c>
    </row>
    <row r="252" spans="1:41" ht="17.25" customHeight="1">
      <c r="A252" s="403">
        <v>2024</v>
      </c>
      <c r="B252" s="403">
        <v>447</v>
      </c>
      <c r="C252" s="404" t="s">
        <v>42</v>
      </c>
      <c r="D252" s="414">
        <v>45461</v>
      </c>
      <c r="E252" s="406">
        <v>2024</v>
      </c>
      <c r="F252" s="407" t="s">
        <v>4</v>
      </c>
      <c r="G252" s="383">
        <v>45461</v>
      </c>
      <c r="H252" s="408">
        <v>268000000000</v>
      </c>
      <c r="I252" s="409">
        <v>34638990000.000031</v>
      </c>
      <c r="J252" s="409">
        <v>-16750000000</v>
      </c>
      <c r="K252" s="408">
        <v>17888990000.000031</v>
      </c>
      <c r="L252" s="410">
        <v>0</v>
      </c>
      <c r="M252" s="410">
        <v>17888990000.000031</v>
      </c>
      <c r="N252" s="410">
        <v>0</v>
      </c>
      <c r="O252" s="410">
        <v>17888990000.000031</v>
      </c>
      <c r="P252" s="411">
        <v>6.6749962686567271E-2</v>
      </c>
      <c r="Q252" s="411">
        <v>6.6749962686567271E-2</v>
      </c>
      <c r="R252" s="412">
        <v>1.7477643566793415E-2</v>
      </c>
      <c r="S252" s="412"/>
      <c r="T252" s="412"/>
      <c r="U252" s="413">
        <v>17888990000.000031</v>
      </c>
      <c r="V252" s="413">
        <v>17888990000.000031</v>
      </c>
      <c r="W252" s="413" t="s">
        <v>367</v>
      </c>
      <c r="X252" s="411">
        <v>6.6749962686567271E-2</v>
      </c>
      <c r="Y252" s="304"/>
      <c r="Z252" s="305"/>
      <c r="AA252" s="305"/>
      <c r="AB252" s="193" t="e">
        <v>#VALUE!</v>
      </c>
      <c r="AC252" s="306">
        <v>0.12924996268656727</v>
      </c>
      <c r="AD252" s="304">
        <v>268000000000</v>
      </c>
      <c r="AE252" s="304">
        <v>0</v>
      </c>
      <c r="AM252" s="332">
        <v>0</v>
      </c>
      <c r="AN252" s="334" t="e">
        <v>#DIV/0!</v>
      </c>
      <c r="AO252" s="334" t="e">
        <v>#DIV/0!</v>
      </c>
    </row>
    <row r="253" spans="1:41" ht="17.25" customHeight="1">
      <c r="A253" s="403">
        <v>2024</v>
      </c>
      <c r="B253" s="403">
        <v>448</v>
      </c>
      <c r="C253" s="404" t="s">
        <v>42</v>
      </c>
      <c r="D253" s="414">
        <v>45461</v>
      </c>
      <c r="E253" s="406">
        <v>2024</v>
      </c>
      <c r="F253" s="407" t="s">
        <v>6</v>
      </c>
      <c r="G253" s="383">
        <v>45461</v>
      </c>
      <c r="H253" s="408">
        <v>37245230000</v>
      </c>
      <c r="I253" s="409">
        <v>5062744113.8999977</v>
      </c>
      <c r="J253" s="409">
        <v>0</v>
      </c>
      <c r="K253" s="408">
        <v>5062744113.8999977</v>
      </c>
      <c r="L253" s="410">
        <v>0</v>
      </c>
      <c r="M253" s="410">
        <v>5062744113.8999977</v>
      </c>
      <c r="N253" s="410">
        <v>0</v>
      </c>
      <c r="O253" s="410">
        <v>5062744113.8999977</v>
      </c>
      <c r="P253" s="411">
        <v>0.13592999999999994</v>
      </c>
      <c r="Q253" s="411">
        <v>0.13592999999999994</v>
      </c>
      <c r="R253" s="412">
        <v>2.4289509496389591E-3</v>
      </c>
      <c r="S253" s="412"/>
      <c r="T253" s="412"/>
      <c r="U253" s="413">
        <v>5062744113.8999977</v>
      </c>
      <c r="V253" s="413">
        <v>5062744113.8999977</v>
      </c>
      <c r="W253" s="413" t="s">
        <v>367</v>
      </c>
      <c r="X253" s="411">
        <v>0.13592999999999994</v>
      </c>
      <c r="Y253" s="304"/>
      <c r="Z253" s="305"/>
      <c r="AA253" s="305"/>
      <c r="AB253" s="193" t="e">
        <v>#VALUE!</v>
      </c>
      <c r="AC253" s="306">
        <v>0.13592999999999994</v>
      </c>
      <c r="AD253" s="304">
        <v>0</v>
      </c>
      <c r="AE253" s="304">
        <v>37245230000</v>
      </c>
      <c r="AM253" s="332">
        <v>0</v>
      </c>
      <c r="AN253" s="334" t="e">
        <v>#DIV/0!</v>
      </c>
      <c r="AO253" s="334" t="e">
        <v>#DIV/0!</v>
      </c>
    </row>
    <row r="254" spans="1:41" ht="17.25" customHeight="1">
      <c r="A254" s="403">
        <v>2024</v>
      </c>
      <c r="B254" s="403">
        <v>449</v>
      </c>
      <c r="C254" s="404" t="s">
        <v>42</v>
      </c>
      <c r="D254" s="414">
        <v>45462</v>
      </c>
      <c r="E254" s="406">
        <v>2024</v>
      </c>
      <c r="F254" s="407" t="s">
        <v>4</v>
      </c>
      <c r="G254" s="383">
        <v>45462</v>
      </c>
      <c r="H254" s="408">
        <v>100500000000</v>
      </c>
      <c r="I254" s="409">
        <v>13219755000.000017</v>
      </c>
      <c r="J254" s="409">
        <v>-6281250000</v>
      </c>
      <c r="K254" s="408">
        <v>6938505000.0000172</v>
      </c>
      <c r="L254" s="410">
        <v>0</v>
      </c>
      <c r="M254" s="410">
        <v>6938505000.0000172</v>
      </c>
      <c r="N254" s="410">
        <v>0</v>
      </c>
      <c r="O254" s="410">
        <v>6938505000.0000172</v>
      </c>
      <c r="P254" s="411">
        <v>6.9039850746268824E-2</v>
      </c>
      <c r="Q254" s="411">
        <v>6.9039850746268824E-2</v>
      </c>
      <c r="R254" s="412">
        <v>6.5541163375475303E-3</v>
      </c>
      <c r="S254" s="412"/>
      <c r="T254" s="412"/>
      <c r="U254" s="413">
        <v>6938505000.0000172</v>
      </c>
      <c r="V254" s="413">
        <v>6938505000.0000172</v>
      </c>
      <c r="W254" s="413" t="s">
        <v>367</v>
      </c>
      <c r="X254" s="411">
        <v>6.9039850746268824E-2</v>
      </c>
      <c r="Y254" s="304"/>
      <c r="Z254" s="305"/>
      <c r="AA254" s="305"/>
      <c r="AB254" s="193" t="e">
        <v>#VALUE!</v>
      </c>
      <c r="AC254" s="306">
        <v>0.13153985074626884</v>
      </c>
      <c r="AD254" s="304">
        <v>100500000000</v>
      </c>
      <c r="AE254" s="304">
        <v>0</v>
      </c>
      <c r="AM254" s="332">
        <v>0</v>
      </c>
      <c r="AN254" s="334" t="e">
        <v>#DIV/0!</v>
      </c>
      <c r="AO254" s="334" t="e">
        <v>#DIV/0!</v>
      </c>
    </row>
    <row r="255" spans="1:41" ht="17.25" customHeight="1">
      <c r="A255" s="403">
        <v>2024</v>
      </c>
      <c r="B255" s="403">
        <v>550</v>
      </c>
      <c r="C255" s="404" t="s">
        <v>42</v>
      </c>
      <c r="D255" s="414">
        <v>45469</v>
      </c>
      <c r="E255" s="406">
        <v>2024</v>
      </c>
      <c r="F255" s="407" t="s">
        <v>4</v>
      </c>
      <c r="G255" s="383">
        <v>45469</v>
      </c>
      <c r="H255" s="408">
        <v>170000000000</v>
      </c>
      <c r="I255" s="409">
        <v>22324200000</v>
      </c>
      <c r="J255" s="409">
        <v>-10625000000</v>
      </c>
      <c r="K255" s="408">
        <v>11699200000</v>
      </c>
      <c r="L255" s="410">
        <v>0</v>
      </c>
      <c r="M255" s="410">
        <v>11699200000</v>
      </c>
      <c r="N255" s="410">
        <v>0</v>
      </c>
      <c r="O255" s="410">
        <v>11699200000</v>
      </c>
      <c r="P255" s="411">
        <v>6.8818823529411766E-2</v>
      </c>
      <c r="Q255" s="411">
        <v>6.8818823529411766E-2</v>
      </c>
      <c r="R255" s="412">
        <v>1.1086564949085375E-2</v>
      </c>
      <c r="S255" s="412"/>
      <c r="T255" s="412"/>
      <c r="U255" s="413">
        <v>11699200000</v>
      </c>
      <c r="V255" s="413">
        <v>11699200000</v>
      </c>
      <c r="W255" s="413" t="s">
        <v>367</v>
      </c>
      <c r="X255" s="411">
        <v>6.8818823529411766E-2</v>
      </c>
      <c r="Y255" s="304"/>
      <c r="Z255" s="305"/>
      <c r="AA255" s="305"/>
      <c r="AB255" s="193" t="e">
        <v>#VALUE!</v>
      </c>
      <c r="AC255" s="306">
        <v>0.13131882352941177</v>
      </c>
      <c r="AD255" s="304">
        <v>170000000000</v>
      </c>
      <c r="AE255" s="304">
        <v>0</v>
      </c>
      <c r="AM255" s="332">
        <v>0</v>
      </c>
      <c r="AN255" s="334" t="e">
        <v>#DIV/0!</v>
      </c>
      <c r="AO255" s="334" t="e">
        <v>#DIV/0!</v>
      </c>
    </row>
    <row r="256" spans="1:41" ht="17.25" customHeight="1">
      <c r="A256" s="403">
        <v>2024</v>
      </c>
      <c r="B256" s="403">
        <v>551</v>
      </c>
      <c r="C256" s="404" t="s">
        <v>42</v>
      </c>
      <c r="D256" s="414">
        <v>45470</v>
      </c>
      <c r="E256" s="406">
        <v>2024</v>
      </c>
      <c r="F256" s="407" t="s">
        <v>4</v>
      </c>
      <c r="G256" s="383">
        <v>45470</v>
      </c>
      <c r="H256" s="408">
        <v>200000000000</v>
      </c>
      <c r="I256" s="409">
        <v>26334999999.999969</v>
      </c>
      <c r="J256" s="409">
        <v>-12500000000</v>
      </c>
      <c r="K256" s="408">
        <v>13834999999.999969</v>
      </c>
      <c r="L256" s="410">
        <v>0</v>
      </c>
      <c r="M256" s="410">
        <v>13834999999.999969</v>
      </c>
      <c r="N256" s="410">
        <v>0</v>
      </c>
      <c r="O256" s="410">
        <v>13834999999.999969</v>
      </c>
      <c r="P256" s="411">
        <v>6.9174999999999848E-2</v>
      </c>
      <c r="Q256" s="411">
        <v>6.9174999999999848E-2</v>
      </c>
      <c r="R256" s="412">
        <v>1.3043017587159264E-2</v>
      </c>
      <c r="S256" s="412"/>
      <c r="T256" s="412"/>
      <c r="U256" s="413">
        <v>13834999999.999969</v>
      </c>
      <c r="V256" s="413">
        <v>13834999999.999969</v>
      </c>
      <c r="W256" s="413" t="s">
        <v>367</v>
      </c>
      <c r="X256" s="411">
        <v>6.9174999999999848E-2</v>
      </c>
      <c r="Y256" s="304"/>
      <c r="Z256" s="305"/>
      <c r="AA256" s="305"/>
      <c r="AB256" s="193" t="e">
        <v>#VALUE!</v>
      </c>
      <c r="AC256" s="306">
        <v>0.13167499999999985</v>
      </c>
      <c r="AD256" s="304">
        <v>200000000000</v>
      </c>
      <c r="AE256" s="304">
        <v>0</v>
      </c>
      <c r="AM256" s="332">
        <v>0</v>
      </c>
      <c r="AN256" s="334" t="e">
        <v>#DIV/0!</v>
      </c>
      <c r="AO256" s="334" t="e">
        <v>#DIV/0!</v>
      </c>
    </row>
    <row r="257" spans="1:41" ht="17.25" customHeight="1">
      <c r="A257" s="403">
        <v>2024</v>
      </c>
      <c r="B257" s="403">
        <v>552</v>
      </c>
      <c r="C257" s="404" t="s">
        <v>42</v>
      </c>
      <c r="D257" s="414">
        <v>45470</v>
      </c>
      <c r="E257" s="406">
        <v>2024</v>
      </c>
      <c r="F257" s="407" t="s">
        <v>6</v>
      </c>
      <c r="G257" s="383">
        <v>45470</v>
      </c>
      <c r="H257" s="408">
        <v>89503680000</v>
      </c>
      <c r="I257" s="409">
        <v>12249473644.800003</v>
      </c>
      <c r="J257" s="409">
        <v>0</v>
      </c>
      <c r="K257" s="408">
        <v>12249473644.800003</v>
      </c>
      <c r="L257" s="410">
        <v>0</v>
      </c>
      <c r="M257" s="410">
        <v>12249473644.800003</v>
      </c>
      <c r="N257" s="410">
        <v>0</v>
      </c>
      <c r="O257" s="410">
        <v>12249473644.800003</v>
      </c>
      <c r="P257" s="411">
        <v>0.13686000000000004</v>
      </c>
      <c r="Q257" s="411">
        <v>0.13686000000000004</v>
      </c>
      <c r="R257" s="412">
        <v>5.8369903617773748E-3</v>
      </c>
      <c r="S257" s="412"/>
      <c r="T257" s="412"/>
      <c r="U257" s="413">
        <v>12249473644.800003</v>
      </c>
      <c r="V257" s="413">
        <v>12249473644.800003</v>
      </c>
      <c r="W257" s="413" t="s">
        <v>367</v>
      </c>
      <c r="X257" s="411">
        <v>0.13686000000000004</v>
      </c>
      <c r="Y257" s="304"/>
      <c r="Z257" s="305"/>
      <c r="AA257" s="305"/>
      <c r="AB257" s="193" t="e">
        <v>#VALUE!</v>
      </c>
      <c r="AC257" s="306">
        <v>0.13686000000000004</v>
      </c>
      <c r="AD257" s="304">
        <v>0</v>
      </c>
      <c r="AE257" s="304">
        <v>89503680000</v>
      </c>
      <c r="AM257" s="332">
        <v>0</v>
      </c>
      <c r="AN257" s="334" t="e">
        <v>#DIV/0!</v>
      </c>
      <c r="AO257" s="334" t="e">
        <v>#DIV/0!</v>
      </c>
    </row>
    <row r="258" spans="1:41" ht="17.25" customHeight="1">
      <c r="A258" s="403">
        <v>2024</v>
      </c>
      <c r="B258" s="403">
        <v>553</v>
      </c>
      <c r="C258" s="404" t="s">
        <v>42</v>
      </c>
      <c r="D258" s="414">
        <v>45496</v>
      </c>
      <c r="E258" s="406">
        <v>2024</v>
      </c>
      <c r="F258" s="407" t="s">
        <v>4</v>
      </c>
      <c r="G258" s="383">
        <v>45496</v>
      </c>
      <c r="H258" s="408">
        <v>1104493500000</v>
      </c>
      <c r="I258" s="409">
        <v>10900810248</v>
      </c>
      <c r="J258" s="409">
        <v>10354623750</v>
      </c>
      <c r="K258" s="408">
        <v>21255433998</v>
      </c>
      <c r="L258" s="410">
        <v>0</v>
      </c>
      <c r="M258" s="410">
        <v>21255433998</v>
      </c>
      <c r="N258" s="410">
        <v>0</v>
      </c>
      <c r="O258" s="410">
        <v>21255433998</v>
      </c>
      <c r="P258" s="411">
        <v>1.9244508001178821E-2</v>
      </c>
      <c r="Q258" s="411">
        <v>1.9244508001178821E-2</v>
      </c>
      <c r="R258" s="412">
        <v>7.2029640727015454E-2</v>
      </c>
      <c r="S258" s="412"/>
      <c r="T258" s="412"/>
      <c r="U258" s="413">
        <v>21255433998</v>
      </c>
      <c r="V258" s="413">
        <v>21255433998</v>
      </c>
      <c r="W258" s="413" t="s">
        <v>367</v>
      </c>
      <c r="X258" s="411">
        <v>1.9244508001178821E-2</v>
      </c>
      <c r="Y258" s="304"/>
      <c r="Z258" s="305"/>
      <c r="AA258" s="305"/>
      <c r="AB258" s="193" t="e">
        <v>#VALUE!</v>
      </c>
      <c r="AC258" s="306">
        <v>9.8695105475948928E-3</v>
      </c>
      <c r="AD258" s="304">
        <v>1104493500000</v>
      </c>
      <c r="AE258" s="304">
        <v>0</v>
      </c>
      <c r="AM258" s="332">
        <v>0</v>
      </c>
      <c r="AN258" s="334" t="e">
        <v>#DIV/0!</v>
      </c>
      <c r="AO258" s="334" t="e">
        <v>#DIV/0!</v>
      </c>
    </row>
    <row r="259" spans="1:41" ht="17.25" customHeight="1">
      <c r="A259" s="403">
        <v>2024</v>
      </c>
      <c r="B259" s="403">
        <v>554</v>
      </c>
      <c r="C259" s="404" t="s">
        <v>42</v>
      </c>
      <c r="D259" s="414">
        <v>45513</v>
      </c>
      <c r="E259" s="406">
        <v>2024</v>
      </c>
      <c r="F259" s="407" t="s">
        <v>362</v>
      </c>
      <c r="G259" s="383">
        <v>45513</v>
      </c>
      <c r="H259" s="408">
        <v>400000237888</v>
      </c>
      <c r="I259" s="409">
        <v>8556640823.5379639</v>
      </c>
      <c r="J259" s="409">
        <v>-9400000000</v>
      </c>
      <c r="K259" s="408">
        <v>-843359176.46203613</v>
      </c>
      <c r="L259" s="410">
        <v>-5304414912</v>
      </c>
      <c r="M259" s="410">
        <v>-6147774088.4620361</v>
      </c>
      <c r="N259" s="410">
        <v>-237888</v>
      </c>
      <c r="O259" s="410">
        <v>-6148011976.4620361</v>
      </c>
      <c r="P259" s="411">
        <v>-2.1083966872494126E-3</v>
      </c>
      <c r="Q259" s="411">
        <v>-1.5369426080650011E-2</v>
      </c>
      <c r="R259" s="412">
        <v>2.6086050688205367E-2</v>
      </c>
      <c r="S259" s="412"/>
      <c r="T259" s="412"/>
      <c r="U259" s="413">
        <v>-6148011976.4620361</v>
      </c>
      <c r="V259" s="413">
        <v>-6148011976.4620361</v>
      </c>
      <c r="W259" s="413" t="s">
        <v>367</v>
      </c>
      <c r="X259" s="411">
        <v>-1.537002080029632E-2</v>
      </c>
      <c r="Y259" s="304"/>
      <c r="Z259" s="305"/>
      <c r="AA259" s="305"/>
      <c r="AB259" s="193" t="e">
        <v>#VALUE!</v>
      </c>
      <c r="AC259" s="306">
        <v>2.13915893368389E-2</v>
      </c>
      <c r="AD259" s="304">
        <v>200000000000</v>
      </c>
      <c r="AE259" s="304">
        <v>200000237888</v>
      </c>
      <c r="AM259" s="332">
        <v>0</v>
      </c>
      <c r="AN259" s="334" t="e">
        <v>#DIV/0!</v>
      </c>
      <c r="AO259" s="334" t="e">
        <v>#DIV/0!</v>
      </c>
    </row>
    <row r="260" spans="1:41" ht="17.25" customHeight="1">
      <c r="A260" s="403">
        <v>2024</v>
      </c>
      <c r="B260" s="403">
        <v>555</v>
      </c>
      <c r="C260" s="404" t="s">
        <v>42</v>
      </c>
      <c r="D260" s="414">
        <v>45516</v>
      </c>
      <c r="E260" s="406">
        <v>2024</v>
      </c>
      <c r="F260" s="407" t="s">
        <v>362</v>
      </c>
      <c r="G260" s="383">
        <v>45516</v>
      </c>
      <c r="H260" s="408">
        <v>200000289495</v>
      </c>
      <c r="I260" s="409">
        <v>4302892942.885437</v>
      </c>
      <c r="J260" s="409">
        <v>-4700000000</v>
      </c>
      <c r="K260" s="408">
        <v>-397107057.11456299</v>
      </c>
      <c r="L260" s="410">
        <v>-2596214878.5896149</v>
      </c>
      <c r="M260" s="410">
        <v>-2993321935.7041779</v>
      </c>
      <c r="N260" s="410">
        <v>-289495</v>
      </c>
      <c r="O260" s="410">
        <v>-2993611430.7041779</v>
      </c>
      <c r="P260" s="411">
        <v>-1.9855324115642873E-3</v>
      </c>
      <c r="Q260" s="411">
        <v>-1.4966588014758902E-2</v>
      </c>
      <c r="R260" s="412">
        <v>1.3043036466601146E-2</v>
      </c>
      <c r="S260" s="412"/>
      <c r="T260" s="412"/>
      <c r="U260" s="413">
        <v>-2993611430.7041779</v>
      </c>
      <c r="V260" s="413">
        <v>-2993611430.7041779</v>
      </c>
      <c r="W260" s="413" t="s">
        <v>367</v>
      </c>
      <c r="X260" s="411">
        <v>-1.4968035487663721E-2</v>
      </c>
      <c r="Y260" s="304"/>
      <c r="Z260" s="305"/>
      <c r="AA260" s="305"/>
      <c r="AB260" s="193" t="e">
        <v>#VALUE!</v>
      </c>
      <c r="AC260" s="306">
        <v>2.1514433572822449E-2</v>
      </c>
      <c r="AD260" s="304">
        <v>100000000000</v>
      </c>
      <c r="AE260" s="304">
        <v>100000289495</v>
      </c>
      <c r="AM260" s="332">
        <v>0</v>
      </c>
      <c r="AN260" s="334" t="e">
        <v>#DIV/0!</v>
      </c>
      <c r="AO260" s="334" t="e">
        <v>#DIV/0!</v>
      </c>
    </row>
    <row r="261" spans="1:41" ht="17.25" customHeight="1">
      <c r="A261" s="403">
        <v>2024</v>
      </c>
      <c r="B261" s="403">
        <v>556</v>
      </c>
      <c r="C261" s="404" t="s">
        <v>42</v>
      </c>
      <c r="D261" s="414">
        <v>45517</v>
      </c>
      <c r="E261" s="406">
        <v>2024</v>
      </c>
      <c r="F261" s="407" t="s">
        <v>362</v>
      </c>
      <c r="G261" s="383">
        <v>45517</v>
      </c>
      <c r="H261" s="408">
        <v>900000167294</v>
      </c>
      <c r="I261" s="409">
        <v>13454269445.400879</v>
      </c>
      <c r="J261" s="409">
        <v>-9900000000</v>
      </c>
      <c r="K261" s="408">
        <v>3554269445.4008789</v>
      </c>
      <c r="L261" s="410">
        <v>-16239010681.5896</v>
      </c>
      <c r="M261" s="410">
        <v>-12684741236.188721</v>
      </c>
      <c r="N261" s="410">
        <v>-167294</v>
      </c>
      <c r="O261" s="410">
        <v>-12684908530.188721</v>
      </c>
      <c r="P261" s="411">
        <v>3.9491875385838874E-3</v>
      </c>
      <c r="Q261" s="411">
        <v>-1.4094154309245856E-2</v>
      </c>
      <c r="R261" s="412">
        <v>5.8693590052309612E-2</v>
      </c>
      <c r="S261" s="412"/>
      <c r="T261" s="412"/>
      <c r="U261" s="413">
        <v>-12684908530.188721</v>
      </c>
      <c r="V261" s="413">
        <v>-12684908530.188721</v>
      </c>
      <c r="W261" s="413" t="s">
        <v>367</v>
      </c>
      <c r="X261" s="411">
        <v>-1.4094340191433526E-2</v>
      </c>
      <c r="Y261" s="304"/>
      <c r="Z261" s="305"/>
      <c r="AA261" s="305"/>
      <c r="AB261" s="193" t="e">
        <v>#VALUE!</v>
      </c>
      <c r="AC261" s="306">
        <v>1.4949185493879823E-2</v>
      </c>
      <c r="AD261" s="304">
        <v>270000000000</v>
      </c>
      <c r="AE261" s="304">
        <v>630000167294</v>
      </c>
      <c r="AM261" s="332">
        <v>0</v>
      </c>
      <c r="AN261" s="334" t="e">
        <v>#DIV/0!</v>
      </c>
      <c r="AO261" s="334" t="e">
        <v>#DIV/0!</v>
      </c>
    </row>
    <row r="262" spans="1:41" ht="17.25" customHeight="1">
      <c r="A262" s="403">
        <v>2024</v>
      </c>
      <c r="B262" s="403">
        <v>557</v>
      </c>
      <c r="C262" s="404" t="s">
        <v>42</v>
      </c>
      <c r="D262" s="414">
        <v>45518</v>
      </c>
      <c r="E262" s="406">
        <v>2024</v>
      </c>
      <c r="F262" s="407" t="s">
        <v>362</v>
      </c>
      <c r="G262" s="383">
        <v>45518</v>
      </c>
      <c r="H262" s="408">
        <v>300000168109</v>
      </c>
      <c r="I262" s="409">
        <v>3346070279.2871704</v>
      </c>
      <c r="J262" s="409">
        <v>-3300000000</v>
      </c>
      <c r="K262" s="408">
        <v>46070279.28717041</v>
      </c>
      <c r="L262" s="410">
        <v>-5373478643.2051086</v>
      </c>
      <c r="M262" s="410">
        <v>-5327408363.9179382</v>
      </c>
      <c r="N262" s="410">
        <v>-168109</v>
      </c>
      <c r="O262" s="410">
        <v>-5327576472.9179382</v>
      </c>
      <c r="P262" s="411">
        <v>1.535675115702987E-4</v>
      </c>
      <c r="Q262" s="411">
        <v>-1.7758017928784342E-2</v>
      </c>
      <c r="R262" s="412">
        <v>1.9564537343982114E-2</v>
      </c>
      <c r="S262" s="412"/>
      <c r="T262" s="412"/>
      <c r="U262" s="413">
        <v>-5327576472.9179382</v>
      </c>
      <c r="V262" s="413">
        <v>-5327576472.9179382</v>
      </c>
      <c r="W262" s="413" t="s">
        <v>367</v>
      </c>
      <c r="X262" s="411">
        <v>-1.7758578291803669E-2</v>
      </c>
      <c r="Y262" s="304"/>
      <c r="Z262" s="305"/>
      <c r="AA262" s="305"/>
      <c r="AB262" s="193" t="e">
        <v>#VALUE!</v>
      </c>
      <c r="AC262" s="306">
        <v>1.1153561347577086E-2</v>
      </c>
      <c r="AD262" s="304">
        <v>90000000000</v>
      </c>
      <c r="AE262" s="304">
        <v>210000168109</v>
      </c>
      <c r="AM262" s="332">
        <v>0</v>
      </c>
      <c r="AN262" s="334" t="e">
        <v>#DIV/0!</v>
      </c>
      <c r="AO262" s="334" t="e">
        <v>#DIV/0!</v>
      </c>
    </row>
    <row r="263" spans="1:41" ht="17.25" customHeight="1">
      <c r="A263" s="403">
        <v>2024</v>
      </c>
      <c r="B263" s="403">
        <v>558</v>
      </c>
      <c r="C263" s="404" t="s">
        <v>42</v>
      </c>
      <c r="D263" s="414">
        <v>45519</v>
      </c>
      <c r="E263" s="406">
        <v>2024</v>
      </c>
      <c r="F263" s="407" t="s">
        <v>362</v>
      </c>
      <c r="G263" s="383">
        <v>45519</v>
      </c>
      <c r="H263" s="408">
        <v>400000109271</v>
      </c>
      <c r="I263" s="409">
        <v>3818510733.0459595</v>
      </c>
      <c r="J263" s="409">
        <v>-4400000000</v>
      </c>
      <c r="K263" s="408">
        <v>-581489266.95404053</v>
      </c>
      <c r="L263" s="410">
        <v>-7112612312.7949219</v>
      </c>
      <c r="M263" s="410">
        <v>-7694101579.7489624</v>
      </c>
      <c r="N263" s="410">
        <v>-109271</v>
      </c>
      <c r="O263" s="410">
        <v>-7694210850.7489624</v>
      </c>
      <c r="P263" s="411">
        <v>-1.4537227702607492E-3</v>
      </c>
      <c r="Q263" s="411">
        <v>-1.9235248694735255E-2</v>
      </c>
      <c r="R263" s="412">
        <v>2.6086042300436402E-2</v>
      </c>
      <c r="S263" s="412"/>
      <c r="T263" s="412"/>
      <c r="U263" s="413">
        <v>-7694210850.7489624</v>
      </c>
      <c r="V263" s="413">
        <v>-7694210850.7489624</v>
      </c>
      <c r="W263" s="413" t="s">
        <v>367</v>
      </c>
      <c r="X263" s="411">
        <v>-1.923552187216063E-2</v>
      </c>
      <c r="Y263" s="304"/>
      <c r="Z263" s="305"/>
      <c r="AA263" s="305"/>
      <c r="AB263" s="193" t="e">
        <v>#VALUE!</v>
      </c>
      <c r="AC263" s="306">
        <v>9.5462742247875709E-3</v>
      </c>
      <c r="AD263" s="304">
        <v>120000000000</v>
      </c>
      <c r="AE263" s="304">
        <v>280000109271</v>
      </c>
      <c r="AM263" s="332">
        <v>0</v>
      </c>
      <c r="AN263" s="334" t="e">
        <v>#DIV/0!</v>
      </c>
      <c r="AO263" s="334" t="e">
        <v>#DIV/0!</v>
      </c>
    </row>
    <row r="264" spans="1:41" ht="17.25" customHeight="1">
      <c r="A264" s="403">
        <v>2024</v>
      </c>
      <c r="B264" s="403">
        <v>559</v>
      </c>
      <c r="C264" s="404" t="s">
        <v>42</v>
      </c>
      <c r="D264" s="414">
        <v>45520</v>
      </c>
      <c r="E264" s="406">
        <v>2024</v>
      </c>
      <c r="F264" s="407" t="s">
        <v>362</v>
      </c>
      <c r="G264" s="383">
        <v>45520</v>
      </c>
      <c r="H264" s="408">
        <v>200000084402</v>
      </c>
      <c r="I264" s="409">
        <v>2499685568.4356079</v>
      </c>
      <c r="J264" s="409">
        <v>-2200000000</v>
      </c>
      <c r="K264" s="408">
        <v>299685568.43560791</v>
      </c>
      <c r="L264" s="410">
        <v>-3530250658</v>
      </c>
      <c r="M264" s="410">
        <v>-3230565089.5643921</v>
      </c>
      <c r="N264" s="410">
        <v>-84402</v>
      </c>
      <c r="O264" s="410">
        <v>-3230649491.5643921</v>
      </c>
      <c r="P264" s="411">
        <v>1.4984272098267728E-3</v>
      </c>
      <c r="Q264" s="411">
        <v>-1.6152818631170969E-2</v>
      </c>
      <c r="R264" s="412">
        <v>1.3043023091443116E-2</v>
      </c>
      <c r="S264" s="412"/>
      <c r="T264" s="412"/>
      <c r="U264" s="413">
        <v>-3230649491.5643921</v>
      </c>
      <c r="V264" s="413">
        <v>-3230649491.5643921</v>
      </c>
      <c r="W264" s="413" t="s">
        <v>367</v>
      </c>
      <c r="X264" s="411">
        <v>-1.6153240640992876E-2</v>
      </c>
      <c r="Y264" s="304"/>
      <c r="Z264" s="305"/>
      <c r="AA264" s="305"/>
      <c r="AB264" s="193" t="e">
        <v>#VALUE!</v>
      </c>
      <c r="AC264" s="306">
        <v>1.2498422567718732E-2</v>
      </c>
      <c r="AD264" s="304">
        <v>60000000000</v>
      </c>
      <c r="AE264" s="304">
        <v>140000084402</v>
      </c>
      <c r="AM264" s="332">
        <v>0</v>
      </c>
      <c r="AN264" s="334" t="e">
        <v>#DIV/0!</v>
      </c>
      <c r="AO264" s="334" t="e">
        <v>#DIV/0!</v>
      </c>
    </row>
    <row r="265" spans="1:41" ht="17.25" customHeight="1">
      <c r="A265" s="403">
        <v>2024</v>
      </c>
      <c r="B265" s="403">
        <v>560</v>
      </c>
      <c r="C265" s="404" t="s">
        <v>42</v>
      </c>
      <c r="D265" s="414">
        <v>45524</v>
      </c>
      <c r="E265" s="406">
        <v>2024</v>
      </c>
      <c r="F265" s="407" t="s">
        <v>362</v>
      </c>
      <c r="G265" s="383">
        <v>45524</v>
      </c>
      <c r="H265" s="408">
        <v>250000193174</v>
      </c>
      <c r="I265" s="409">
        <v>2231696044.5656433</v>
      </c>
      <c r="J265" s="409">
        <v>-2750000000</v>
      </c>
      <c r="K265" s="408">
        <v>-518303955.43435669</v>
      </c>
      <c r="L265" s="410">
        <v>-4282623991</v>
      </c>
      <c r="M265" s="410">
        <v>-4800927946.4343567</v>
      </c>
      <c r="N265" s="410">
        <v>-193174</v>
      </c>
      <c r="O265" s="410">
        <v>-4801121120.4343567</v>
      </c>
      <c r="P265" s="411">
        <v>-2.073214219773092E-3</v>
      </c>
      <c r="Q265" s="411">
        <v>-1.9203696947117609E-2</v>
      </c>
      <c r="R265" s="412">
        <v>1.6303784581808478E-2</v>
      </c>
      <c r="S265" s="412"/>
      <c r="T265" s="412"/>
      <c r="U265" s="413">
        <v>-4801121120.4343567</v>
      </c>
      <c r="V265" s="413">
        <v>-4801121120.4343567</v>
      </c>
      <c r="W265" s="413" t="s">
        <v>367</v>
      </c>
      <c r="X265" s="411">
        <v>-1.9204469642520552E-2</v>
      </c>
      <c r="Y265" s="304"/>
      <c r="Z265" s="305"/>
      <c r="AA265" s="305"/>
      <c r="AB265" s="193" t="e">
        <v>#VALUE!</v>
      </c>
      <c r="AC265" s="306">
        <v>8.9267772805774765E-3</v>
      </c>
      <c r="AD265" s="304">
        <v>75000000000</v>
      </c>
      <c r="AE265" s="304">
        <v>175000193174</v>
      </c>
      <c r="AM265" s="332">
        <v>0</v>
      </c>
      <c r="AN265" s="334" t="e">
        <v>#DIV/0!</v>
      </c>
      <c r="AO265" s="334" t="e">
        <v>#DIV/0!</v>
      </c>
    </row>
    <row r="266" spans="1:41" ht="17.25" customHeight="1">
      <c r="A266" s="403">
        <v>2024</v>
      </c>
      <c r="B266" s="403">
        <v>561</v>
      </c>
      <c r="C266" s="404" t="s">
        <v>42</v>
      </c>
      <c r="D266" s="414">
        <v>45525</v>
      </c>
      <c r="E266" s="406">
        <v>2024</v>
      </c>
      <c r="F266" s="407" t="s">
        <v>362</v>
      </c>
      <c r="G266" s="383">
        <v>45525</v>
      </c>
      <c r="H266" s="408">
        <v>300000267750</v>
      </c>
      <c r="I266" s="409">
        <v>2533772325.8475342</v>
      </c>
      <c r="J266" s="409">
        <v>-3300000000</v>
      </c>
      <c r="K266" s="408">
        <v>-766227674.15246582</v>
      </c>
      <c r="L266" s="410">
        <v>-5100090450</v>
      </c>
      <c r="M266" s="410">
        <v>-5866318124.1524658</v>
      </c>
      <c r="N266" s="410">
        <v>-267750</v>
      </c>
      <c r="O266" s="410">
        <v>-5866585874.1524658</v>
      </c>
      <c r="P266" s="411">
        <v>-2.5540899676495901E-3</v>
      </c>
      <c r="Q266" s="411">
        <v>-1.9554376294894042E-2</v>
      </c>
      <c r="R266" s="412">
        <v>1.9564543842078692E-2</v>
      </c>
      <c r="S266" s="412"/>
      <c r="T266" s="412"/>
      <c r="U266" s="413">
        <v>-5866585874.1524658</v>
      </c>
      <c r="V266" s="413">
        <v>-5866585874.1524658</v>
      </c>
      <c r="W266" s="413" t="s">
        <v>367</v>
      </c>
      <c r="X266" s="411">
        <v>-1.9555268794097486E-2</v>
      </c>
      <c r="Y266" s="304"/>
      <c r="Z266" s="305"/>
      <c r="AA266" s="305"/>
      <c r="AB266" s="193" t="e">
        <v>#VALUE!</v>
      </c>
      <c r="AC266" s="306">
        <v>8.4459002148591714E-3</v>
      </c>
      <c r="AD266" s="304">
        <v>90000000000</v>
      </c>
      <c r="AE266" s="304">
        <v>210000267750</v>
      </c>
      <c r="AM266" s="332">
        <v>0</v>
      </c>
      <c r="AN266" s="334" t="e">
        <v>#DIV/0!</v>
      </c>
      <c r="AO266" s="334" t="e">
        <v>#DIV/0!</v>
      </c>
    </row>
    <row r="267" spans="1:41" ht="17.25" customHeight="1">
      <c r="A267" s="403">
        <v>2024</v>
      </c>
      <c r="B267" s="403">
        <v>562</v>
      </c>
      <c r="C267" s="404" t="s">
        <v>42</v>
      </c>
      <c r="D267" s="414">
        <v>45526</v>
      </c>
      <c r="E267" s="406">
        <v>2024</v>
      </c>
      <c r="F267" s="407" t="s">
        <v>362</v>
      </c>
      <c r="G267" s="383">
        <v>45526</v>
      </c>
      <c r="H267" s="408">
        <v>300000301949</v>
      </c>
      <c r="I267" s="409">
        <v>3843307465.6083069</v>
      </c>
      <c r="J267" s="409">
        <v>-3300000000</v>
      </c>
      <c r="K267" s="408">
        <v>543307465.60830688</v>
      </c>
      <c r="L267" s="410">
        <v>-5061037093.204834</v>
      </c>
      <c r="M267" s="410">
        <v>-4517729627.5965271</v>
      </c>
      <c r="N267" s="410">
        <v>-301949</v>
      </c>
      <c r="O267" s="410">
        <v>-4518031576.5965271</v>
      </c>
      <c r="P267" s="411">
        <v>1.8110230625723472E-3</v>
      </c>
      <c r="Q267" s="411">
        <v>-1.5059083601737642E-2</v>
      </c>
      <c r="R267" s="412">
        <v>1.9564546072369484E-2</v>
      </c>
      <c r="S267" s="412"/>
      <c r="T267" s="412"/>
      <c r="U267" s="413">
        <v>-4518031576.5965271</v>
      </c>
      <c r="V267" s="413">
        <v>-4518031576.5965271</v>
      </c>
      <c r="W267" s="413" t="s">
        <v>367</v>
      </c>
      <c r="X267" s="411">
        <v>-1.5060090097391274E-2</v>
      </c>
      <c r="Y267" s="304"/>
      <c r="Z267" s="305"/>
      <c r="AA267" s="305"/>
      <c r="AB267" s="193" t="e">
        <v>#VALUE!</v>
      </c>
      <c r="AC267" s="306">
        <v>1.2811011991120157E-2</v>
      </c>
      <c r="AD267" s="304">
        <v>90000000000</v>
      </c>
      <c r="AE267" s="304">
        <v>210000301949</v>
      </c>
      <c r="AM267" s="332">
        <v>0</v>
      </c>
      <c r="AN267" s="334" t="e">
        <v>#DIV/0!</v>
      </c>
      <c r="AO267" s="334" t="e">
        <v>#DIV/0!</v>
      </c>
    </row>
    <row r="268" spans="1:41" ht="17.25" customHeight="1">
      <c r="A268" s="403">
        <v>2024</v>
      </c>
      <c r="B268" s="403">
        <v>563</v>
      </c>
      <c r="C268" s="404" t="s">
        <v>42</v>
      </c>
      <c r="D268" s="414">
        <v>45530</v>
      </c>
      <c r="E268" s="406">
        <v>2024</v>
      </c>
      <c r="F268" s="407" t="s">
        <v>362</v>
      </c>
      <c r="G268" s="383">
        <v>45530</v>
      </c>
      <c r="H268" s="408">
        <v>200000243582</v>
      </c>
      <c r="I268" s="409">
        <v>1719248212.4938049</v>
      </c>
      <c r="J268" s="409">
        <v>-2200000000</v>
      </c>
      <c r="K268" s="408">
        <v>-480751787.50619507</v>
      </c>
      <c r="L268" s="410">
        <v>-3269579978</v>
      </c>
      <c r="M268" s="410">
        <v>-3750331765.5061951</v>
      </c>
      <c r="N268" s="410">
        <v>-243582</v>
      </c>
      <c r="O268" s="410">
        <v>-3750575347.5061951</v>
      </c>
      <c r="P268" s="411">
        <v>-2.4037560099724933E-3</v>
      </c>
      <c r="Q268" s="411">
        <v>-1.8751635989725988E-2</v>
      </c>
      <c r="R268" s="412">
        <v>1.3043033472380814E-2</v>
      </c>
      <c r="S268" s="412"/>
      <c r="T268" s="412"/>
      <c r="U268" s="413">
        <v>-3750575347.5061951</v>
      </c>
      <c r="V268" s="413">
        <v>-3750575347.5061951</v>
      </c>
      <c r="W268" s="413" t="s">
        <v>367</v>
      </c>
      <c r="X268" s="411">
        <v>-1.8752853898242685E-2</v>
      </c>
      <c r="Y268" s="304"/>
      <c r="Z268" s="305"/>
      <c r="AA268" s="305"/>
      <c r="AB268" s="193" t="e">
        <v>#VALUE!</v>
      </c>
      <c r="AC268" s="306">
        <v>8.5962305930338233E-3</v>
      </c>
      <c r="AD268" s="304">
        <v>60000000000</v>
      </c>
      <c r="AE268" s="304">
        <v>140000243582</v>
      </c>
      <c r="AM268" s="332">
        <v>0</v>
      </c>
      <c r="AN268" s="334" t="e">
        <v>#DIV/0!</v>
      </c>
      <c r="AO268" s="334" t="e">
        <v>#DIV/0!</v>
      </c>
    </row>
    <row r="269" spans="1:41" ht="17.25" customHeight="1">
      <c r="A269" s="403">
        <v>2024</v>
      </c>
      <c r="B269" s="403">
        <v>564</v>
      </c>
      <c r="C269" s="404" t="s">
        <v>42</v>
      </c>
      <c r="D269" s="414">
        <v>45531</v>
      </c>
      <c r="E269" s="406">
        <v>2024</v>
      </c>
      <c r="F269" s="407" t="s">
        <v>362</v>
      </c>
      <c r="G269" s="383">
        <v>45531</v>
      </c>
      <c r="H269" s="408">
        <v>296000055317</v>
      </c>
      <c r="I269" s="409">
        <v>1856184433.8502502</v>
      </c>
      <c r="J269" s="409">
        <v>-3225000000</v>
      </c>
      <c r="K269" s="408">
        <v>-1368815566.1497498</v>
      </c>
      <c r="L269" s="410">
        <v>-4800462680.5907288</v>
      </c>
      <c r="M269" s="410">
        <v>-6169278246.7404785</v>
      </c>
      <c r="N269" s="410">
        <v>-55317</v>
      </c>
      <c r="O269" s="410">
        <v>-6169333563.7404785</v>
      </c>
      <c r="P269" s="411">
        <v>-4.6243760484565534E-3</v>
      </c>
      <c r="Q269" s="411">
        <v>-2.084215234397006E-2</v>
      </c>
      <c r="R269" s="412">
        <v>1.9303669636498731E-2</v>
      </c>
      <c r="S269" s="412"/>
      <c r="T269" s="412"/>
      <c r="U269" s="413">
        <v>-6169333563.7404785</v>
      </c>
      <c r="V269" s="413">
        <v>-6169333563.7404785</v>
      </c>
      <c r="W269" s="413" t="s">
        <v>367</v>
      </c>
      <c r="X269" s="411">
        <v>-2.084233922569189E-2</v>
      </c>
      <c r="Y269" s="304"/>
      <c r="Z269" s="305"/>
      <c r="AA269" s="305"/>
      <c r="AB269" s="193" t="e">
        <v>#VALUE!</v>
      </c>
      <c r="AC269" s="306">
        <v>6.2708921856868488E-3</v>
      </c>
      <c r="AD269" s="304">
        <v>88800000000</v>
      </c>
      <c r="AE269" s="304">
        <v>207200055317</v>
      </c>
      <c r="AM269" s="332">
        <v>0</v>
      </c>
      <c r="AN269" s="334" t="e">
        <v>#DIV/0!</v>
      </c>
      <c r="AO269" s="334" t="e">
        <v>#DIV/0!</v>
      </c>
    </row>
    <row r="270" spans="1:41" ht="17.25" customHeight="1">
      <c r="A270" s="403">
        <v>2024</v>
      </c>
      <c r="B270" s="403">
        <v>565</v>
      </c>
      <c r="C270" s="404" t="s">
        <v>42</v>
      </c>
      <c r="D270" s="414">
        <v>45532</v>
      </c>
      <c r="E270" s="406">
        <v>2024</v>
      </c>
      <c r="F270" s="407" t="s">
        <v>362</v>
      </c>
      <c r="G270" s="383">
        <v>45532</v>
      </c>
      <c r="H270" s="408">
        <v>200000276408</v>
      </c>
      <c r="I270" s="409">
        <v>1547682229.1524658</v>
      </c>
      <c r="J270" s="409">
        <v>-2200000000</v>
      </c>
      <c r="K270" s="408">
        <v>-652317770.84753418</v>
      </c>
      <c r="L270" s="410">
        <v>-3217545416.4092102</v>
      </c>
      <c r="M270" s="410">
        <v>-3869863187.2567444</v>
      </c>
      <c r="N270" s="410">
        <v>-276408</v>
      </c>
      <c r="O270" s="410">
        <v>-3870139595.2567444</v>
      </c>
      <c r="P270" s="411">
        <v>-3.2615843465976404E-3</v>
      </c>
      <c r="Q270" s="411">
        <v>-1.9349289194792084E-2</v>
      </c>
      <c r="R270" s="412">
        <v>1.304303561313129E-2</v>
      </c>
      <c r="S270" s="412"/>
      <c r="T270" s="412"/>
      <c r="U270" s="413">
        <v>-3870139595.2567444</v>
      </c>
      <c r="V270" s="413">
        <v>-3870139595.2567444</v>
      </c>
      <c r="W270" s="413" t="s">
        <v>367</v>
      </c>
      <c r="X270" s="411">
        <v>-1.935067123288205E-2</v>
      </c>
      <c r="Y270" s="304"/>
      <c r="Z270" s="305"/>
      <c r="AA270" s="305"/>
      <c r="AB270" s="193" t="e">
        <v>#VALUE!</v>
      </c>
      <c r="AC270" s="306">
        <v>7.7384004509833699E-3</v>
      </c>
      <c r="AD270" s="304">
        <v>60000000000</v>
      </c>
      <c r="AE270" s="304">
        <v>140000276408</v>
      </c>
      <c r="AM270" s="332">
        <v>0</v>
      </c>
      <c r="AN270" s="334" t="e">
        <v>#DIV/0!</v>
      </c>
      <c r="AO270" s="334" t="e">
        <v>#DIV/0!</v>
      </c>
    </row>
    <row r="271" spans="1:41" ht="17.25" customHeight="1">
      <c r="A271" s="403">
        <v>2024</v>
      </c>
      <c r="B271" s="403">
        <v>566</v>
      </c>
      <c r="C271" s="404" t="s">
        <v>42</v>
      </c>
      <c r="D271" s="414">
        <v>45533</v>
      </c>
      <c r="E271" s="406">
        <v>2024</v>
      </c>
      <c r="F271" s="407" t="s">
        <v>362</v>
      </c>
      <c r="G271" s="383">
        <v>45533</v>
      </c>
      <c r="H271" s="408">
        <v>300000061189</v>
      </c>
      <c r="I271" s="409">
        <v>2455562536.9936829</v>
      </c>
      <c r="J271" s="409">
        <v>-3300000000</v>
      </c>
      <c r="K271" s="408">
        <v>-844437463.00631714</v>
      </c>
      <c r="L271" s="410">
        <v>-4787291118.5114136</v>
      </c>
      <c r="M271" s="410">
        <v>-5631728581.5177307</v>
      </c>
      <c r="N271" s="410">
        <v>-61189</v>
      </c>
      <c r="O271" s="410">
        <v>-5631789770.5177307</v>
      </c>
      <c r="P271" s="411">
        <v>-2.8147909692402416E-3</v>
      </c>
      <c r="Q271" s="411">
        <v>-1.8772424776172771E-2</v>
      </c>
      <c r="R271" s="412">
        <v>1.9564530371184913E-2</v>
      </c>
      <c r="S271" s="412"/>
      <c r="T271" s="412"/>
      <c r="U271" s="413">
        <v>-5631789770.5177307</v>
      </c>
      <c r="V271" s="413">
        <v>-5631789770.5177307</v>
      </c>
      <c r="W271" s="413" t="s">
        <v>367</v>
      </c>
      <c r="X271" s="411">
        <v>-1.8772628739464503E-2</v>
      </c>
      <c r="Y271" s="304"/>
      <c r="Z271" s="305"/>
      <c r="AA271" s="305"/>
      <c r="AB271" s="193" t="e">
        <v>#VALUE!</v>
      </c>
      <c r="AC271" s="306">
        <v>8.18520678716355E-3</v>
      </c>
      <c r="AD271" s="304">
        <v>90000000000</v>
      </c>
      <c r="AE271" s="304">
        <v>210000061189</v>
      </c>
      <c r="AM271" s="332">
        <v>0</v>
      </c>
      <c r="AN271" s="334" t="e">
        <v>#DIV/0!</v>
      </c>
      <c r="AO271" s="334" t="e">
        <v>#DIV/0!</v>
      </c>
    </row>
    <row r="272" spans="1:41" ht="17.25" customHeight="1">
      <c r="A272" s="403">
        <v>2024</v>
      </c>
      <c r="B272" s="403">
        <v>567</v>
      </c>
      <c r="C272" s="404" t="s">
        <v>42</v>
      </c>
      <c r="D272" s="414">
        <v>45534</v>
      </c>
      <c r="E272" s="406">
        <v>2024</v>
      </c>
      <c r="F272" s="407" t="s">
        <v>362</v>
      </c>
      <c r="G272" s="383">
        <v>45534</v>
      </c>
      <c r="H272" s="408">
        <v>98000089175</v>
      </c>
      <c r="I272" s="409">
        <v>472855197.48899841</v>
      </c>
      <c r="J272" s="409">
        <v>-1062500000</v>
      </c>
      <c r="K272" s="408">
        <v>-589644802.51100159</v>
      </c>
      <c r="L272" s="410">
        <v>-1551105470.8977356</v>
      </c>
      <c r="M272" s="410">
        <v>-2140750273.4087372</v>
      </c>
      <c r="N272" s="410">
        <v>-89175</v>
      </c>
      <c r="O272" s="410">
        <v>-2140839448.4087372</v>
      </c>
      <c r="P272" s="411">
        <v>-6.0167782241306476E-3</v>
      </c>
      <c r="Q272" s="411">
        <v>-2.1844370667724315E-2</v>
      </c>
      <c r="R272" s="412">
        <v>6.3910844332635058E-3</v>
      </c>
      <c r="S272" s="412"/>
      <c r="T272" s="412"/>
      <c r="U272" s="413">
        <v>-2140839448.4087372</v>
      </c>
      <c r="V272" s="413">
        <v>-2140839448.4087372</v>
      </c>
      <c r="W272" s="413" t="s">
        <v>367</v>
      </c>
      <c r="X272" s="411">
        <v>-2.1845280615875901E-2</v>
      </c>
      <c r="Y272" s="304"/>
      <c r="Z272" s="305"/>
      <c r="AA272" s="305"/>
      <c r="AB272" s="193" t="e">
        <v>#VALUE!</v>
      </c>
      <c r="AC272" s="306">
        <v>4.8250486450539332E-3</v>
      </c>
      <c r="AD272" s="304">
        <v>29400000000</v>
      </c>
      <c r="AE272" s="304">
        <v>68600089175</v>
      </c>
      <c r="AM272" s="332">
        <v>0</v>
      </c>
      <c r="AN272" s="334" t="e">
        <v>#DIV/0!</v>
      </c>
      <c r="AO272" s="334" t="e">
        <v>#DIV/0!</v>
      </c>
    </row>
    <row r="273" spans="1:41" ht="17.25" customHeight="1">
      <c r="A273" s="403">
        <v>2024</v>
      </c>
      <c r="B273" s="403">
        <v>568</v>
      </c>
      <c r="C273" s="404" t="s">
        <v>42</v>
      </c>
      <c r="D273" s="414">
        <v>45537</v>
      </c>
      <c r="E273" s="406">
        <v>2024</v>
      </c>
      <c r="F273" s="407" t="s">
        <v>362</v>
      </c>
      <c r="G273" s="383">
        <v>45537</v>
      </c>
      <c r="H273" s="408">
        <v>278000214662</v>
      </c>
      <c r="I273" s="409">
        <v>836537895.45959473</v>
      </c>
      <c r="J273" s="409">
        <v>-4592500000</v>
      </c>
      <c r="K273" s="408">
        <v>-3755962104.5404053</v>
      </c>
      <c r="L273" s="410">
        <v>-4291643193.5911865</v>
      </c>
      <c r="M273" s="410">
        <v>-8047605298.1315918</v>
      </c>
      <c r="N273" s="410">
        <v>-214662</v>
      </c>
      <c r="O273" s="410">
        <v>-8047819960.1315918</v>
      </c>
      <c r="P273" s="411">
        <v>-1.3510644619850395E-2</v>
      </c>
      <c r="Q273" s="411">
        <v>-2.8948198144077272E-2</v>
      </c>
      <c r="R273" s="412">
        <v>1.8129808445352582E-2</v>
      </c>
      <c r="S273" s="412"/>
      <c r="T273" s="412"/>
      <c r="U273" s="413">
        <v>-8047819960.1315918</v>
      </c>
      <c r="V273" s="413">
        <v>-8047819960.1315918</v>
      </c>
      <c r="W273" s="413" t="s">
        <v>367</v>
      </c>
      <c r="X273" s="411">
        <v>-2.8948970308948659E-2</v>
      </c>
      <c r="Y273" s="304"/>
      <c r="Z273" s="305"/>
      <c r="AA273" s="305"/>
      <c r="AB273" s="193" t="e">
        <v>#VALUE!</v>
      </c>
      <c r="AC273" s="306">
        <v>3.0091267968144543E-3</v>
      </c>
      <c r="AD273" s="304">
        <v>83400000000</v>
      </c>
      <c r="AE273" s="304">
        <v>194600214662</v>
      </c>
      <c r="AM273" s="332">
        <v>0</v>
      </c>
      <c r="AN273" s="334" t="e">
        <v>#DIV/0!</v>
      </c>
      <c r="AO273" s="334" t="e">
        <v>#DIV/0!</v>
      </c>
    </row>
    <row r="274" spans="1:41" ht="17.25" customHeight="1">
      <c r="A274" s="403">
        <v>2024</v>
      </c>
      <c r="B274" s="403">
        <v>569</v>
      </c>
      <c r="C274" s="404" t="s">
        <v>42</v>
      </c>
      <c r="D274" s="414">
        <v>45538</v>
      </c>
      <c r="E274" s="406">
        <v>2024</v>
      </c>
      <c r="F274" s="407" t="s">
        <v>362</v>
      </c>
      <c r="G274" s="383">
        <v>45538</v>
      </c>
      <c r="H274" s="408">
        <v>100000152795</v>
      </c>
      <c r="I274" s="409">
        <v>153656613.34706116</v>
      </c>
      <c r="J274" s="409">
        <v>-2587500000</v>
      </c>
      <c r="K274" s="408">
        <v>-2433843386.6529388</v>
      </c>
      <c r="L274" s="410">
        <v>-874721587.51093292</v>
      </c>
      <c r="M274" s="410">
        <v>-3308564974.1638718</v>
      </c>
      <c r="N274" s="410">
        <v>-152795</v>
      </c>
      <c r="O274" s="410">
        <v>-3308717769.1638718</v>
      </c>
      <c r="P274" s="411">
        <v>-2.4338396678676183E-2</v>
      </c>
      <c r="Q274" s="411">
        <v>-3.308559918849744E-2</v>
      </c>
      <c r="R274" s="412">
        <v>6.5215187581189934E-3</v>
      </c>
      <c r="S274" s="412"/>
      <c r="T274" s="412"/>
      <c r="U274" s="413">
        <v>-3308717769.1638718</v>
      </c>
      <c r="V274" s="413">
        <v>-3308717769.1638718</v>
      </c>
      <c r="W274" s="413" t="s">
        <v>367</v>
      </c>
      <c r="X274" s="411">
        <v>-3.3087127136162811E-2</v>
      </c>
      <c r="Y274" s="304"/>
      <c r="Z274" s="305"/>
      <c r="AA274" s="305"/>
      <c r="AB274" s="193" t="e">
        <v>#VALUE!</v>
      </c>
      <c r="AC274" s="306">
        <v>1.5365637856779753E-3</v>
      </c>
      <c r="AD274" s="304">
        <v>60000000000</v>
      </c>
      <c r="AE274" s="304">
        <v>40000152795</v>
      </c>
      <c r="AM274" s="332">
        <v>0</v>
      </c>
      <c r="AN274" s="334" t="e">
        <v>#DIV/0!</v>
      </c>
      <c r="AO274" s="334" t="e">
        <v>#DIV/0!</v>
      </c>
    </row>
    <row r="275" spans="1:41" ht="17.25" customHeight="1">
      <c r="A275" s="403">
        <v>2024</v>
      </c>
      <c r="B275" s="403">
        <v>570</v>
      </c>
      <c r="C275" s="404" t="s">
        <v>42</v>
      </c>
      <c r="D275" s="414">
        <v>45539</v>
      </c>
      <c r="E275" s="406">
        <v>2024</v>
      </c>
      <c r="F275" s="407" t="s">
        <v>362</v>
      </c>
      <c r="G275" s="383">
        <v>45539</v>
      </c>
      <c r="H275" s="408">
        <v>265000357314</v>
      </c>
      <c r="I275" s="409">
        <v>4511986236.1305542</v>
      </c>
      <c r="J275" s="409">
        <v>-4968750000</v>
      </c>
      <c r="K275" s="408">
        <v>-456763763.8694458</v>
      </c>
      <c r="L275" s="410">
        <v>-4022073589.5913391</v>
      </c>
      <c r="M275" s="410">
        <v>-4478837353.4607849</v>
      </c>
      <c r="N275" s="410">
        <v>-357314</v>
      </c>
      <c r="O275" s="410">
        <v>-4479194667.4607849</v>
      </c>
      <c r="P275" s="411">
        <v>-1.7236345207196251E-3</v>
      </c>
      <c r="Q275" s="411">
        <v>-1.6901250243047002E-2</v>
      </c>
      <c r="R275" s="412">
        <v>1.7282021605249956E-2</v>
      </c>
      <c r="S275" s="412"/>
      <c r="T275" s="412"/>
      <c r="U275" s="413">
        <v>-4479194667.4607849</v>
      </c>
      <c r="V275" s="413">
        <v>-4479194667.4607849</v>
      </c>
      <c r="W275" s="413" t="s">
        <v>367</v>
      </c>
      <c r="X275" s="411">
        <v>-1.6902598595945926E-2</v>
      </c>
      <c r="Y275" s="304"/>
      <c r="Z275" s="305"/>
      <c r="AA275" s="305"/>
      <c r="AB275" s="193" t="e">
        <v>#VALUE!</v>
      </c>
      <c r="AC275" s="306">
        <v>1.7026340197663518E-2</v>
      </c>
      <c r="AD275" s="304">
        <v>79500000000</v>
      </c>
      <c r="AE275" s="304">
        <v>185500357314</v>
      </c>
      <c r="AM275" s="332">
        <v>0</v>
      </c>
      <c r="AN275" s="334" t="e">
        <v>#DIV/0!</v>
      </c>
      <c r="AO275" s="334" t="e">
        <v>#DIV/0!</v>
      </c>
    </row>
    <row r="276" spans="1:41" ht="17.25" customHeight="1">
      <c r="A276" s="403">
        <v>2024</v>
      </c>
      <c r="B276" s="403">
        <v>571</v>
      </c>
      <c r="C276" s="404" t="s">
        <v>42</v>
      </c>
      <c r="D276" s="414">
        <v>45540</v>
      </c>
      <c r="E276" s="406">
        <v>2024</v>
      </c>
      <c r="F276" s="407" t="s">
        <v>362</v>
      </c>
      <c r="G276" s="383">
        <v>45540</v>
      </c>
      <c r="H276" s="408">
        <v>600000297338</v>
      </c>
      <c r="I276" s="409">
        <v>10593304893.358521</v>
      </c>
      <c r="J276" s="409">
        <v>-22500000000</v>
      </c>
      <c r="K276" s="408">
        <v>-11906695106.641479</v>
      </c>
      <c r="L276" s="410">
        <v>-5159204566.2043152</v>
      </c>
      <c r="M276" s="410">
        <v>-17065899672.845795</v>
      </c>
      <c r="N276" s="410">
        <v>-297338</v>
      </c>
      <c r="O276" s="410">
        <v>-17066197010.845795</v>
      </c>
      <c r="P276" s="411">
        <v>-1.9844482010204813E-2</v>
      </c>
      <c r="Q276" s="411">
        <v>-2.844315202602643E-2</v>
      </c>
      <c r="R276" s="412">
        <v>3.9129072152401606E-2</v>
      </c>
      <c r="S276" s="412"/>
      <c r="T276" s="412"/>
      <c r="U276" s="413">
        <v>-17066197010.845795</v>
      </c>
      <c r="V276" s="413">
        <v>-17066197010.845795</v>
      </c>
      <c r="W276" s="413" t="s">
        <v>367</v>
      </c>
      <c r="X276" s="411">
        <v>-2.844364758911418E-2</v>
      </c>
      <c r="Y276" s="304"/>
      <c r="Z276" s="305"/>
      <c r="AA276" s="305"/>
      <c r="AB276" s="193" t="e">
        <v>#VALUE!</v>
      </c>
      <c r="AC276" s="306">
        <v>1.7655499406179397E-2</v>
      </c>
      <c r="AD276" s="304">
        <v>360000000000</v>
      </c>
      <c r="AE276" s="304">
        <v>240000297338</v>
      </c>
      <c r="AM276" s="332">
        <v>0</v>
      </c>
      <c r="AN276" s="334" t="e">
        <v>#DIV/0!</v>
      </c>
      <c r="AO276" s="334" t="e">
        <v>#DIV/0!</v>
      </c>
    </row>
    <row r="277" spans="1:41" ht="17.25" customHeight="1">
      <c r="A277" s="403">
        <v>2024</v>
      </c>
      <c r="B277" s="403">
        <v>572</v>
      </c>
      <c r="C277" s="404" t="s">
        <v>42</v>
      </c>
      <c r="D277" s="414">
        <v>45541</v>
      </c>
      <c r="E277" s="406">
        <v>2024</v>
      </c>
      <c r="F277" s="407" t="s">
        <v>362</v>
      </c>
      <c r="G277" s="383">
        <v>45541</v>
      </c>
      <c r="H277" s="408">
        <v>510000168142.90002</v>
      </c>
      <c r="I277" s="409">
        <v>4661652412.0482178</v>
      </c>
      <c r="J277" s="409">
        <v>-8875000000</v>
      </c>
      <c r="K277" s="408">
        <v>-4213347587.9517822</v>
      </c>
      <c r="L277" s="410">
        <v>-6521183780.1000366</v>
      </c>
      <c r="M277" s="410">
        <v>-10734531368.051819</v>
      </c>
      <c r="N277" s="410">
        <v>-168142.90002441406</v>
      </c>
      <c r="O277" s="410">
        <v>-10734699510.951843</v>
      </c>
      <c r="P277" s="411">
        <v>-8.2614631349910046E-3</v>
      </c>
      <c r="Q277" s="411">
        <v>-2.1048093782282923E-2</v>
      </c>
      <c r="R277" s="412">
        <v>3.3259705812710136E-2</v>
      </c>
      <c r="S277" s="412"/>
      <c r="T277" s="412"/>
      <c r="U277" s="413">
        <v>-10734699510.951843</v>
      </c>
      <c r="V277" s="413">
        <v>-10734699510.951843</v>
      </c>
      <c r="W277" s="413" t="s">
        <v>367</v>
      </c>
      <c r="X277" s="411">
        <v>-2.1048423474135058E-2</v>
      </c>
      <c r="Y277" s="304"/>
      <c r="Z277" s="305"/>
      <c r="AA277" s="305"/>
      <c r="AB277" s="193" t="e">
        <v>#VALUE!</v>
      </c>
      <c r="AC277" s="306">
        <v>9.1404919120380394E-3</v>
      </c>
      <c r="AD277" s="304">
        <v>204000000000</v>
      </c>
      <c r="AE277" s="304">
        <v>306000168142.90002</v>
      </c>
      <c r="AM277" s="332">
        <v>0</v>
      </c>
      <c r="AN277" s="334" t="e">
        <v>#DIV/0!</v>
      </c>
      <c r="AO277" s="334" t="e">
        <v>#DIV/0!</v>
      </c>
    </row>
    <row r="278" spans="1:41" ht="17.25" customHeight="1">
      <c r="A278" s="403">
        <v>2024</v>
      </c>
      <c r="B278" s="403">
        <v>573</v>
      </c>
      <c r="C278" s="404" t="s">
        <v>42</v>
      </c>
      <c r="D278" s="414">
        <v>45544</v>
      </c>
      <c r="E278" s="406">
        <v>2024</v>
      </c>
      <c r="F278" s="407" t="s">
        <v>362</v>
      </c>
      <c r="G278" s="383">
        <v>45544</v>
      </c>
      <c r="H278" s="408">
        <v>300000262712</v>
      </c>
      <c r="I278" s="409">
        <v>36269114.291442871</v>
      </c>
      <c r="J278" s="409">
        <v>-7500000000</v>
      </c>
      <c r="K278" s="408">
        <v>-7463730885.7085571</v>
      </c>
      <c r="L278" s="410">
        <v>-3340950771.5925903</v>
      </c>
      <c r="M278" s="410">
        <v>-10804681657.301147</v>
      </c>
      <c r="N278" s="410">
        <v>-262712</v>
      </c>
      <c r="O278" s="410">
        <v>-10804944369.301147</v>
      </c>
      <c r="P278" s="411">
        <v>-2.487908116558462E-2</v>
      </c>
      <c r="Q278" s="411">
        <v>-3.6015573985258918E-2</v>
      </c>
      <c r="R278" s="412">
        <v>1.9564543513525077E-2</v>
      </c>
      <c r="S278" s="412"/>
      <c r="T278" s="412"/>
      <c r="U278" s="413">
        <v>-10804944369.301147</v>
      </c>
      <c r="V278" s="413">
        <v>-10804944369.301147</v>
      </c>
      <c r="W278" s="413" t="s">
        <v>367</v>
      </c>
      <c r="X278" s="411">
        <v>-3.601644969115872E-2</v>
      </c>
      <c r="Y278" s="304"/>
      <c r="Z278" s="305"/>
      <c r="AA278" s="305"/>
      <c r="AB278" s="193" t="e">
        <v>#VALUE!</v>
      </c>
      <c r="AC278" s="306">
        <v>1.2089694176788502E-4</v>
      </c>
      <c r="AD278" s="304">
        <v>120000000000</v>
      </c>
      <c r="AE278" s="304">
        <v>180000262712</v>
      </c>
      <c r="AM278" s="332">
        <v>0</v>
      </c>
      <c r="AN278" s="334" t="e">
        <v>#DIV/0!</v>
      </c>
      <c r="AO278" s="334" t="e">
        <v>#DIV/0!</v>
      </c>
    </row>
    <row r="279" spans="1:41" ht="17.25" customHeight="1">
      <c r="A279" s="403">
        <v>2024</v>
      </c>
      <c r="B279" s="403">
        <v>574</v>
      </c>
      <c r="C279" s="404" t="s">
        <v>42</v>
      </c>
      <c r="D279" s="414">
        <v>45545</v>
      </c>
      <c r="E279" s="406">
        <v>2024</v>
      </c>
      <c r="F279" s="407" t="s">
        <v>362</v>
      </c>
      <c r="G279" s="383">
        <v>45545</v>
      </c>
      <c r="H279" s="408">
        <v>200000200505</v>
      </c>
      <c r="I279" s="409">
        <v>15785190.801879883</v>
      </c>
      <c r="J279" s="409">
        <v>-5575000000</v>
      </c>
      <c r="K279" s="408">
        <v>-5559214809.1981201</v>
      </c>
      <c r="L279" s="410">
        <v>-1581893345</v>
      </c>
      <c r="M279" s="410">
        <v>-7141108154.1981201</v>
      </c>
      <c r="N279" s="410">
        <v>-200505</v>
      </c>
      <c r="O279" s="410">
        <v>-7141308659.1981201</v>
      </c>
      <c r="P279" s="411">
        <v>-2.7796046179759403E-2</v>
      </c>
      <c r="Q279" s="411">
        <v>-3.5705504975329226E-2</v>
      </c>
      <c r="R279" s="412">
        <v>1.304303066311047E-2</v>
      </c>
      <c r="S279" s="412"/>
      <c r="T279" s="412"/>
      <c r="U279" s="413">
        <v>-7141308659.1981201</v>
      </c>
      <c r="V279" s="413">
        <v>-7141308659.1981201</v>
      </c>
      <c r="W279" s="413" t="s">
        <v>367</v>
      </c>
      <c r="X279" s="411">
        <v>-3.5706507499324171E-2</v>
      </c>
      <c r="Y279" s="304"/>
      <c r="Z279" s="305"/>
      <c r="AA279" s="305"/>
      <c r="AB279" s="193" t="e">
        <v>#VALUE!</v>
      </c>
      <c r="AC279" s="306">
        <v>7.8925874884236692E-5</v>
      </c>
      <c r="AD279" s="304">
        <v>114000000000</v>
      </c>
      <c r="AE279" s="304">
        <v>86000200505</v>
      </c>
      <c r="AM279" s="332">
        <v>0</v>
      </c>
      <c r="AN279" s="334" t="e">
        <v>#DIV/0!</v>
      </c>
      <c r="AO279" s="334" t="e">
        <v>#DIV/0!</v>
      </c>
    </row>
    <row r="280" spans="1:41" ht="17.25" customHeight="1">
      <c r="A280" s="403">
        <v>2024</v>
      </c>
      <c r="B280" s="403">
        <v>575</v>
      </c>
      <c r="C280" s="404" t="s">
        <v>42</v>
      </c>
      <c r="D280" s="414">
        <v>45546</v>
      </c>
      <c r="E280" s="406">
        <v>2024</v>
      </c>
      <c r="F280" s="407" t="s">
        <v>362</v>
      </c>
      <c r="G280" s="383">
        <v>45546</v>
      </c>
      <c r="H280" s="408">
        <v>200000361260</v>
      </c>
      <c r="I280" s="409">
        <v>5009605.1059875488</v>
      </c>
      <c r="J280" s="409">
        <v>-8075000000</v>
      </c>
      <c r="K280" s="408">
        <v>-8069990394.8940125</v>
      </c>
      <c r="L280" s="410">
        <v>-838464340</v>
      </c>
      <c r="M280" s="410">
        <v>-8908454734.8940125</v>
      </c>
      <c r="N280" s="410">
        <v>-361260</v>
      </c>
      <c r="O280" s="410">
        <v>-8908815994.8940125</v>
      </c>
      <c r="P280" s="411">
        <v>-4.0349879090483459E-2</v>
      </c>
      <c r="Q280" s="411">
        <v>-4.4542193217906451E-2</v>
      </c>
      <c r="R280" s="412">
        <v>1.3043041146761932E-2</v>
      </c>
      <c r="S280" s="412"/>
      <c r="T280" s="412"/>
      <c r="U280" s="413">
        <v>-8908815994.8940125</v>
      </c>
      <c r="V280" s="413">
        <v>-8908815994.8940125</v>
      </c>
      <c r="W280" s="413" t="s">
        <v>367</v>
      </c>
      <c r="X280" s="411">
        <v>-4.4543999514643738E-2</v>
      </c>
      <c r="Y280" s="304"/>
      <c r="Z280" s="305"/>
      <c r="AA280" s="305"/>
      <c r="AB280" s="193" t="e">
        <v>#VALUE!</v>
      </c>
      <c r="AC280" s="306">
        <v>2.5047980285770953E-5</v>
      </c>
      <c r="AD280" s="304">
        <v>154000000000</v>
      </c>
      <c r="AE280" s="304">
        <v>46000361260</v>
      </c>
      <c r="AM280" s="332">
        <v>0</v>
      </c>
      <c r="AN280" s="334" t="e">
        <v>#DIV/0!</v>
      </c>
      <c r="AO280" s="334" t="e">
        <v>#DIV/0!</v>
      </c>
    </row>
    <row r="281" spans="1:41" ht="17.25" customHeight="1">
      <c r="A281" s="403">
        <v>2024</v>
      </c>
      <c r="B281" s="403">
        <v>576</v>
      </c>
      <c r="C281" s="404" t="s">
        <v>42</v>
      </c>
      <c r="D281" s="414">
        <v>45547</v>
      </c>
      <c r="E281" s="406">
        <v>2024</v>
      </c>
      <c r="F281" s="407" t="s">
        <v>362</v>
      </c>
      <c r="G281" s="383">
        <v>45547</v>
      </c>
      <c r="H281" s="408">
        <v>92000259844</v>
      </c>
      <c r="I281" s="409">
        <v>527285825.60887909</v>
      </c>
      <c r="J281" s="409">
        <v>0</v>
      </c>
      <c r="K281" s="408">
        <v>527285825.60887909</v>
      </c>
      <c r="L281" s="410">
        <v>-1661828470.7963867</v>
      </c>
      <c r="M281" s="410">
        <v>-1134542645.1875076</v>
      </c>
      <c r="N281" s="410">
        <v>-259844</v>
      </c>
      <c r="O281" s="410">
        <v>-1134802489.1875076</v>
      </c>
      <c r="P281" s="411">
        <v>5.7313514820824408E-3</v>
      </c>
      <c r="Q281" s="411">
        <v>-1.2331950443523658E-2</v>
      </c>
      <c r="R281" s="412">
        <v>5.9998050358425706E-3</v>
      </c>
      <c r="S281" s="412"/>
      <c r="T281" s="412"/>
      <c r="U281" s="413">
        <v>-1134802489.1875076</v>
      </c>
      <c r="V281" s="413">
        <v>-1134802489.1875076</v>
      </c>
      <c r="W281" s="413" t="s">
        <v>367</v>
      </c>
      <c r="X281" s="411">
        <v>-1.2334774826850843E-2</v>
      </c>
      <c r="Y281" s="304"/>
      <c r="Z281" s="305"/>
      <c r="AA281" s="305"/>
      <c r="AB281" s="193" t="e">
        <v>#VALUE!</v>
      </c>
      <c r="AC281" s="306">
        <v>5.7313514820824408E-3</v>
      </c>
      <c r="AD281" s="304">
        <v>0</v>
      </c>
      <c r="AE281" s="304">
        <v>92000259844</v>
      </c>
      <c r="AM281" s="332">
        <v>0</v>
      </c>
      <c r="AN281" s="334" t="e">
        <v>#DIV/0!</v>
      </c>
      <c r="AO281" s="334" t="e">
        <v>#DIV/0!</v>
      </c>
    </row>
    <row r="282" spans="1:41" ht="17.25" customHeight="1">
      <c r="A282" s="403">
        <v>2024</v>
      </c>
      <c r="B282" s="403">
        <v>577</v>
      </c>
      <c r="C282" s="404" t="s">
        <v>42</v>
      </c>
      <c r="D282" s="414">
        <v>45548</v>
      </c>
      <c r="E282" s="406">
        <v>2024</v>
      </c>
      <c r="F282" s="407" t="s">
        <v>362</v>
      </c>
      <c r="G282" s="383">
        <v>45548</v>
      </c>
      <c r="H282" s="408">
        <v>300000272816</v>
      </c>
      <c r="I282" s="409">
        <v>1734126.2341003418</v>
      </c>
      <c r="J282" s="409">
        <v>-1818750000</v>
      </c>
      <c r="K282" s="408">
        <v>-1817015873.7658997</v>
      </c>
      <c r="L282" s="410">
        <v>-4848199626.5928345</v>
      </c>
      <c r="M282" s="410">
        <v>-6665215500.3587341</v>
      </c>
      <c r="N282" s="410">
        <v>-272816</v>
      </c>
      <c r="O282" s="410">
        <v>-6665488316.3587341</v>
      </c>
      <c r="P282" s="411">
        <v>-6.0567140713246453E-3</v>
      </c>
      <c r="Q282" s="411">
        <v>-2.2217364797020467E-2</v>
      </c>
      <c r="R282" s="412">
        <v>1.9564544172458325E-2</v>
      </c>
      <c r="S282" s="412"/>
      <c r="T282" s="412"/>
      <c r="U282" s="413">
        <v>-6665488316.3587341</v>
      </c>
      <c r="V282" s="413">
        <v>-6665488316.3587341</v>
      </c>
      <c r="W282" s="413" t="s">
        <v>367</v>
      </c>
      <c r="X282" s="411">
        <v>-2.221827418286015E-2</v>
      </c>
      <c r="Y282" s="304"/>
      <c r="Z282" s="305"/>
      <c r="AA282" s="305"/>
      <c r="AB282" s="193" t="e">
        <v>#VALUE!</v>
      </c>
      <c r="AC282" s="306">
        <v>5.780415523701668E-6</v>
      </c>
      <c r="AD282" s="304">
        <v>29100000000</v>
      </c>
      <c r="AE282" s="304">
        <v>270900272816</v>
      </c>
      <c r="AM282" s="332">
        <v>0</v>
      </c>
      <c r="AN282" s="334" t="e">
        <v>#DIV/0!</v>
      </c>
      <c r="AO282" s="334" t="e">
        <v>#DIV/0!</v>
      </c>
    </row>
    <row r="283" spans="1:41" ht="17.25" customHeight="1">
      <c r="A283" s="403">
        <v>2024</v>
      </c>
      <c r="B283" s="403">
        <v>578</v>
      </c>
      <c r="C283" s="404" t="s">
        <v>42</v>
      </c>
      <c r="D283" s="414">
        <v>45551</v>
      </c>
      <c r="E283" s="406">
        <v>2024</v>
      </c>
      <c r="F283" s="407" t="s">
        <v>362</v>
      </c>
      <c r="G283" s="383">
        <v>45551</v>
      </c>
      <c r="H283" s="408">
        <v>100000326636</v>
      </c>
      <c r="I283" s="409">
        <v>339812.69802856445</v>
      </c>
      <c r="J283" s="409">
        <v>-519375000</v>
      </c>
      <c r="K283" s="408">
        <v>-519035187.30197144</v>
      </c>
      <c r="L283" s="410">
        <v>-1595480543.8982544</v>
      </c>
      <c r="M283" s="410">
        <v>-2114515731.2002258</v>
      </c>
      <c r="N283" s="410">
        <v>-326636</v>
      </c>
      <c r="O283" s="410">
        <v>-2114842367.2002258</v>
      </c>
      <c r="P283" s="411">
        <v>-5.1903349195173464E-3</v>
      </c>
      <c r="Q283" s="411">
        <v>-2.1145088244531821E-2</v>
      </c>
      <c r="R283" s="412">
        <v>6.5215300951750946E-3</v>
      </c>
      <c r="S283" s="412"/>
      <c r="T283" s="412"/>
      <c r="U283" s="413">
        <v>-2114842367.2002258</v>
      </c>
      <c r="V283" s="413">
        <v>-2114842367.2002258</v>
      </c>
      <c r="W283" s="413" t="s">
        <v>367</v>
      </c>
      <c r="X283" s="411">
        <v>-2.1148354593862748E-2</v>
      </c>
      <c r="Y283" s="304"/>
      <c r="Z283" s="305"/>
      <c r="AA283" s="305"/>
      <c r="AB283" s="193" t="e">
        <v>#VALUE!</v>
      </c>
      <c r="AC283" s="306">
        <v>3.3981158808158559E-6</v>
      </c>
      <c r="AD283" s="304">
        <v>8310000000</v>
      </c>
      <c r="AE283" s="304">
        <v>91690326636</v>
      </c>
      <c r="AM283" s="332">
        <v>0</v>
      </c>
      <c r="AN283" s="334" t="e">
        <v>#DIV/0!</v>
      </c>
      <c r="AO283" s="334" t="e">
        <v>#DIV/0!</v>
      </c>
    </row>
    <row r="284" spans="1:41" ht="17.25" customHeight="1">
      <c r="A284" s="403">
        <v>2024</v>
      </c>
      <c r="B284" s="403">
        <v>579</v>
      </c>
      <c r="C284" s="404" t="s">
        <v>42</v>
      </c>
      <c r="D284" s="414">
        <v>45552</v>
      </c>
      <c r="E284" s="406">
        <v>2024</v>
      </c>
      <c r="F284" s="407" t="s">
        <v>362</v>
      </c>
      <c r="G284" s="383">
        <v>45552</v>
      </c>
      <c r="H284" s="408">
        <v>400000229148</v>
      </c>
      <c r="I284" s="409">
        <v>214234491.73138428</v>
      </c>
      <c r="J284" s="409">
        <v>0</v>
      </c>
      <c r="K284" s="408">
        <v>214234491.73138428</v>
      </c>
      <c r="L284" s="410">
        <v>-6894318845.6948242</v>
      </c>
      <c r="M284" s="410">
        <v>-6680084353.9634399</v>
      </c>
      <c r="N284" s="410">
        <v>-229148</v>
      </c>
      <c r="O284" s="410">
        <v>-6680313501.9634399</v>
      </c>
      <c r="P284" s="411">
        <v>5.3558592250735327E-4</v>
      </c>
      <c r="Q284" s="411">
        <v>-1.6700201317864271E-2</v>
      </c>
      <c r="R284" s="412">
        <v>2.6086050118225498E-2</v>
      </c>
      <c r="S284" s="412"/>
      <c r="T284" s="412"/>
      <c r="U284" s="413">
        <v>-6680313501.9634399</v>
      </c>
      <c r="V284" s="413">
        <v>-6680313501.9634399</v>
      </c>
      <c r="W284" s="413" t="s">
        <v>367</v>
      </c>
      <c r="X284" s="411">
        <v>-1.6700774187536092E-2</v>
      </c>
      <c r="Y284" s="304"/>
      <c r="Z284" s="305"/>
      <c r="AA284" s="305"/>
      <c r="AB284" s="193" t="e">
        <v>#VALUE!</v>
      </c>
      <c r="AC284" s="306">
        <v>5.3558592250735327E-4</v>
      </c>
      <c r="AD284" s="304">
        <v>0</v>
      </c>
      <c r="AE284" s="304">
        <v>400000229148</v>
      </c>
      <c r="AM284" s="332">
        <v>0</v>
      </c>
      <c r="AN284" s="334" t="e">
        <v>#DIV/0!</v>
      </c>
      <c r="AO284" s="334" t="e">
        <v>#DIV/0!</v>
      </c>
    </row>
    <row r="285" spans="1:41" ht="17.25" customHeight="1">
      <c r="A285" s="403">
        <v>2024</v>
      </c>
      <c r="B285" s="403">
        <v>580</v>
      </c>
      <c r="C285" s="404" t="s">
        <v>42</v>
      </c>
      <c r="D285" s="414">
        <v>45554</v>
      </c>
      <c r="E285" s="406">
        <v>2024</v>
      </c>
      <c r="F285" s="407" t="s">
        <v>362</v>
      </c>
      <c r="G285" s="383">
        <v>45554</v>
      </c>
      <c r="H285" s="408">
        <v>100000176392</v>
      </c>
      <c r="I285" s="409">
        <v>2315606.0048828125</v>
      </c>
      <c r="J285" s="409">
        <v>-5406250000</v>
      </c>
      <c r="K285" s="408">
        <v>-5403934393.9951172</v>
      </c>
      <c r="L285" s="410">
        <v>-228196168</v>
      </c>
      <c r="M285" s="410">
        <v>-5632130561.9951172</v>
      </c>
      <c r="N285" s="410">
        <v>-176392</v>
      </c>
      <c r="O285" s="410">
        <v>-5632306953.9951172</v>
      </c>
      <c r="P285" s="411">
        <v>-5.4039248619039748E-2</v>
      </c>
      <c r="Q285" s="411">
        <v>-5.6321206273849005E-2</v>
      </c>
      <c r="R285" s="412">
        <v>6.5215202969994227E-3</v>
      </c>
      <c r="S285" s="412"/>
      <c r="T285" s="412"/>
      <c r="U285" s="413">
        <v>-5632306953.9951172</v>
      </c>
      <c r="V285" s="413">
        <v>-5632306953.9951172</v>
      </c>
      <c r="W285" s="413" t="s">
        <v>367</v>
      </c>
      <c r="X285" s="411">
        <v>-5.6322970190737592E-2</v>
      </c>
      <c r="Y285" s="304"/>
      <c r="Z285" s="305"/>
      <c r="AA285" s="305"/>
      <c r="AB285" s="193" t="e">
        <v>#VALUE!</v>
      </c>
      <c r="AC285" s="306">
        <v>2.315601920346273E-5</v>
      </c>
      <c r="AD285" s="304">
        <v>86500000000</v>
      </c>
      <c r="AE285" s="304">
        <v>13500176392</v>
      </c>
      <c r="AM285" s="332">
        <v>0</v>
      </c>
      <c r="AN285" s="334" t="e">
        <v>#DIV/0!</v>
      </c>
      <c r="AO285" s="334" t="e">
        <v>#DIV/0!</v>
      </c>
    </row>
    <row r="286" spans="1:41" ht="17.25" customHeight="1">
      <c r="A286" s="403">
        <v>2024</v>
      </c>
      <c r="B286" s="403">
        <v>581</v>
      </c>
      <c r="C286" s="404" t="s">
        <v>42</v>
      </c>
      <c r="D286" s="414">
        <v>45555</v>
      </c>
      <c r="E286" s="406">
        <v>2024</v>
      </c>
      <c r="F286" s="407" t="s">
        <v>362</v>
      </c>
      <c r="G286" s="383">
        <v>45555</v>
      </c>
      <c r="H286" s="408">
        <v>163000018514</v>
      </c>
      <c r="I286" s="409">
        <v>11919769.814666748</v>
      </c>
      <c r="J286" s="409">
        <v>-10085625000</v>
      </c>
      <c r="K286" s="408">
        <v>-10073705230.185333</v>
      </c>
      <c r="L286" s="410">
        <v>-27283633.305021286</v>
      </c>
      <c r="M286" s="410">
        <v>-10100988863.490355</v>
      </c>
      <c r="N286" s="410">
        <v>-18514</v>
      </c>
      <c r="O286" s="410">
        <v>-10101007377.490355</v>
      </c>
      <c r="P286" s="411">
        <v>-6.1801865558193829E-2</v>
      </c>
      <c r="Q286" s="411">
        <v>-6.1969249792586896E-2</v>
      </c>
      <c r="R286" s="412">
        <v>1.0630060540926939E-2</v>
      </c>
      <c r="S286" s="412"/>
      <c r="T286" s="412"/>
      <c r="U286" s="413">
        <v>-10101007377.490355</v>
      </c>
      <c r="V286" s="413">
        <v>-10101007377.490355</v>
      </c>
      <c r="W286" s="413" t="s">
        <v>367</v>
      </c>
      <c r="X286" s="411">
        <v>-6.1969363375396082E-2</v>
      </c>
      <c r="Y286" s="304"/>
      <c r="Z286" s="305"/>
      <c r="AA286" s="305"/>
      <c r="AB286" s="193" t="e">
        <v>#VALUE!</v>
      </c>
      <c r="AC286" s="306">
        <v>7.3127413869851577E-5</v>
      </c>
      <c r="AD286" s="304">
        <v>161370000000</v>
      </c>
      <c r="AE286" s="304">
        <v>1630018514</v>
      </c>
      <c r="AM286" s="332">
        <v>0</v>
      </c>
      <c r="AN286" s="334" t="e">
        <v>#DIV/0!</v>
      </c>
      <c r="AO286" s="334" t="e">
        <v>#DIV/0!</v>
      </c>
    </row>
    <row r="287" spans="1:41" ht="17.25" customHeight="1">
      <c r="A287" s="403">
        <v>2024</v>
      </c>
      <c r="B287" s="403">
        <v>582</v>
      </c>
      <c r="C287" s="404" t="s">
        <v>42</v>
      </c>
      <c r="D287" s="414">
        <v>45559</v>
      </c>
      <c r="E287" s="406">
        <v>2024</v>
      </c>
      <c r="F287" s="407" t="s">
        <v>362</v>
      </c>
      <c r="G287" s="383">
        <v>45559</v>
      </c>
      <c r="H287" s="408">
        <v>200000220415</v>
      </c>
      <c r="I287" s="409">
        <v>1995786.5135192871</v>
      </c>
      <c r="J287" s="409">
        <v>-11312500000</v>
      </c>
      <c r="K287" s="408">
        <v>-11310504213.486481</v>
      </c>
      <c r="L287" s="410">
        <v>-305442212.59356689</v>
      </c>
      <c r="M287" s="410">
        <v>-11615946426.080048</v>
      </c>
      <c r="N287" s="410">
        <v>-220415</v>
      </c>
      <c r="O287" s="410">
        <v>-11616166841.080048</v>
      </c>
      <c r="P287" s="411">
        <v>-5.6552458742381434E-2</v>
      </c>
      <c r="Q287" s="411">
        <v>-5.8079668122249989E-2</v>
      </c>
      <c r="R287" s="412">
        <v>1.3043031961542871E-2</v>
      </c>
      <c r="S287" s="412"/>
      <c r="T287" s="412"/>
      <c r="U287" s="413">
        <v>-11616166841.080048</v>
      </c>
      <c r="V287" s="413">
        <v>-11616166841.080048</v>
      </c>
      <c r="W287" s="413" t="s">
        <v>367</v>
      </c>
      <c r="X287" s="411">
        <v>-5.8080770196035421E-2</v>
      </c>
      <c r="Y287" s="304"/>
      <c r="Z287" s="305"/>
      <c r="AA287" s="305"/>
      <c r="AB287" s="193" t="e">
        <v>#VALUE!</v>
      </c>
      <c r="AC287" s="306">
        <v>9.978921570076446E-6</v>
      </c>
      <c r="AD287" s="304">
        <v>181000000000</v>
      </c>
      <c r="AE287" s="304">
        <v>19000220415</v>
      </c>
      <c r="AM287" s="332">
        <v>0</v>
      </c>
      <c r="AN287" s="334" t="e">
        <v>#DIV/0!</v>
      </c>
      <c r="AO287" s="334" t="e">
        <v>#DIV/0!</v>
      </c>
    </row>
    <row r="288" spans="1:41" ht="17.25" customHeight="1">
      <c r="A288" s="403">
        <v>2024</v>
      </c>
      <c r="B288" s="403">
        <v>583</v>
      </c>
      <c r="C288" s="404" t="s">
        <v>42</v>
      </c>
      <c r="D288" s="414">
        <v>45560</v>
      </c>
      <c r="E288" s="406">
        <v>2024</v>
      </c>
      <c r="F288" s="407" t="s">
        <v>362</v>
      </c>
      <c r="G288" s="383">
        <v>45560</v>
      </c>
      <c r="H288" s="408">
        <v>77000264961</v>
      </c>
      <c r="I288" s="409">
        <v>1443994.9382553101</v>
      </c>
      <c r="J288" s="409">
        <v>-4210937500</v>
      </c>
      <c r="K288" s="408">
        <v>-4209493505.0617447</v>
      </c>
      <c r="L288" s="410">
        <v>-153145239</v>
      </c>
      <c r="M288" s="410">
        <v>-4362638744.0617447</v>
      </c>
      <c r="N288" s="410">
        <v>-264961</v>
      </c>
      <c r="O288" s="410">
        <v>-4362903705.0617447</v>
      </c>
      <c r="P288" s="411">
        <v>-5.4668558701633278E-2</v>
      </c>
      <c r="Q288" s="411">
        <v>-5.6657451065543547E-2</v>
      </c>
      <c r="R288" s="412">
        <v>5.0215790505112315E-3</v>
      </c>
      <c r="S288" s="412"/>
      <c r="T288" s="412"/>
      <c r="U288" s="413">
        <v>-4362903705.0617447</v>
      </c>
      <c r="V288" s="413">
        <v>-4362903705.0617447</v>
      </c>
      <c r="W288" s="413" t="s">
        <v>367</v>
      </c>
      <c r="X288" s="411">
        <v>-5.6660892105650798E-2</v>
      </c>
      <c r="Y288" s="304"/>
      <c r="Z288" s="305"/>
      <c r="AA288" s="305"/>
      <c r="AB288" s="193" t="e">
        <v>#VALUE!</v>
      </c>
      <c r="AC288" s="306">
        <v>1.8753116485854713E-5</v>
      </c>
      <c r="AD288" s="304">
        <v>67375000000</v>
      </c>
      <c r="AE288" s="304">
        <v>9625264961</v>
      </c>
      <c r="AM288" s="332">
        <v>0</v>
      </c>
      <c r="AN288" s="334" t="e">
        <v>#DIV/0!</v>
      </c>
      <c r="AO288" s="334" t="e">
        <v>#DIV/0!</v>
      </c>
    </row>
    <row r="289" spans="1:41" ht="17.25" customHeight="1">
      <c r="A289" s="403">
        <v>2024</v>
      </c>
      <c r="B289" s="403">
        <v>584</v>
      </c>
      <c r="C289" s="404" t="s">
        <v>42</v>
      </c>
      <c r="D289" s="414">
        <v>45569</v>
      </c>
      <c r="E289" s="406">
        <v>2024</v>
      </c>
      <c r="F289" s="407" t="s">
        <v>362</v>
      </c>
      <c r="G289" s="383">
        <v>45569</v>
      </c>
      <c r="H289" s="408">
        <v>241500190289</v>
      </c>
      <c r="I289" s="409">
        <v>33795083.101318359</v>
      </c>
      <c r="J289" s="409">
        <v>-12225937500</v>
      </c>
      <c r="K289" s="408">
        <v>-12192142416.898682</v>
      </c>
      <c r="L289" s="410">
        <v>-661821418.30432892</v>
      </c>
      <c r="M289" s="410">
        <v>-12853963835.203011</v>
      </c>
      <c r="N289" s="410">
        <v>-190289</v>
      </c>
      <c r="O289" s="410">
        <v>-12854154124.203011</v>
      </c>
      <c r="P289" s="411">
        <v>-5.0485021988216701E-2</v>
      </c>
      <c r="Q289" s="411">
        <v>-5.3225481188320579E-2</v>
      </c>
      <c r="R289" s="412">
        <v>1.5749456146208679E-2</v>
      </c>
      <c r="S289" s="412"/>
      <c r="T289" s="412"/>
      <c r="U289" s="413">
        <v>-12854154124.203011</v>
      </c>
      <c r="V289" s="413">
        <v>-12854154124.203011</v>
      </c>
      <c r="W289" s="413" t="s">
        <v>367</v>
      </c>
      <c r="X289" s="411">
        <v>-5.3226269133869498E-2</v>
      </c>
      <c r="Y289" s="304"/>
      <c r="Z289" s="305"/>
      <c r="AA289" s="305"/>
      <c r="AB289" s="193" t="e">
        <v>#VALUE!</v>
      </c>
      <c r="AC289" s="306">
        <v>1.3993812203988844E-4</v>
      </c>
      <c r="AD289" s="304">
        <v>195615000000</v>
      </c>
      <c r="AE289" s="304">
        <v>45885190289</v>
      </c>
      <c r="AM289" s="332">
        <v>0</v>
      </c>
      <c r="AN289" s="334" t="e">
        <v>#DIV/0!</v>
      </c>
      <c r="AO289" s="334" t="e">
        <v>#DIV/0!</v>
      </c>
    </row>
    <row r="290" spans="1:41" ht="17.25" customHeight="1">
      <c r="A290" s="403">
        <v>2024</v>
      </c>
      <c r="B290" s="403">
        <v>585</v>
      </c>
      <c r="C290" s="404" t="s">
        <v>42</v>
      </c>
      <c r="D290" s="414">
        <v>45574</v>
      </c>
      <c r="E290" s="406">
        <v>2024</v>
      </c>
      <c r="F290" s="407" t="s">
        <v>362</v>
      </c>
      <c r="G290" s="383">
        <v>45574</v>
      </c>
      <c r="H290" s="408">
        <v>80000122430</v>
      </c>
      <c r="I290" s="409">
        <v>20629172.432006836</v>
      </c>
      <c r="J290" s="409">
        <v>-2550000000</v>
      </c>
      <c r="K290" s="408">
        <v>-2529370827.5679932</v>
      </c>
      <c r="L290" s="410">
        <v>-506678970</v>
      </c>
      <c r="M290" s="410">
        <v>-3036049797.5679932</v>
      </c>
      <c r="N290" s="410">
        <v>-122430</v>
      </c>
      <c r="O290" s="410">
        <v>-3036172227.5679932</v>
      </c>
      <c r="P290" s="411">
        <v>-3.1617086958600459E-2</v>
      </c>
      <c r="Q290" s="411">
        <v>-3.7950564391004936E-2</v>
      </c>
      <c r="R290" s="412">
        <v>5.2172150191469218E-3</v>
      </c>
      <c r="S290" s="412"/>
      <c r="T290" s="412"/>
      <c r="U290" s="413">
        <v>-3036172227.5679932</v>
      </c>
      <c r="V290" s="413">
        <v>-3036172227.5679932</v>
      </c>
      <c r="W290" s="413" t="s">
        <v>367</v>
      </c>
      <c r="X290" s="411">
        <v>-3.7952094763662889E-2</v>
      </c>
      <c r="Y290" s="304"/>
      <c r="Z290" s="305"/>
      <c r="AA290" s="305"/>
      <c r="AB290" s="193" t="e">
        <v>#VALUE!</v>
      </c>
      <c r="AC290" s="306">
        <v>2.5786426077106735E-4</v>
      </c>
      <c r="AD290" s="304">
        <v>40800000000</v>
      </c>
      <c r="AE290" s="304">
        <v>39200122430</v>
      </c>
      <c r="AM290" s="332">
        <v>0</v>
      </c>
      <c r="AN290" s="334" t="e">
        <v>#DIV/0!</v>
      </c>
      <c r="AO290" s="334" t="e">
        <v>#DIV/0!</v>
      </c>
    </row>
    <row r="291" spans="1:41" ht="17.25" customHeight="1">
      <c r="A291" s="403">
        <v>2024</v>
      </c>
      <c r="B291" s="403">
        <v>586</v>
      </c>
      <c r="C291" s="404" t="s">
        <v>42</v>
      </c>
      <c r="D291" s="414">
        <v>45575</v>
      </c>
      <c r="E291" s="406">
        <v>2024</v>
      </c>
      <c r="F291" s="407" t="s">
        <v>362</v>
      </c>
      <c r="G291" s="383">
        <v>45575</v>
      </c>
      <c r="H291" s="408">
        <v>63000299589</v>
      </c>
      <c r="I291" s="409">
        <v>2189796.0730819702</v>
      </c>
      <c r="J291" s="409">
        <v>-3583125000</v>
      </c>
      <c r="K291" s="408">
        <v>-3580935203.926918</v>
      </c>
      <c r="L291" s="410">
        <v>-72401004.3038311</v>
      </c>
      <c r="M291" s="410">
        <v>-3653336208.2307491</v>
      </c>
      <c r="N291" s="410">
        <v>-299589</v>
      </c>
      <c r="O291" s="410">
        <v>-3653635797.2307491</v>
      </c>
      <c r="P291" s="411">
        <v>-5.6839971036457701E-2</v>
      </c>
      <c r="Q291" s="411">
        <v>-5.7989187862030903E-2</v>
      </c>
      <c r="R291" s="412">
        <v>4.1085700776781475E-3</v>
      </c>
      <c r="S291" s="412"/>
      <c r="T291" s="412"/>
      <c r="U291" s="413">
        <v>-3653635797.2307491</v>
      </c>
      <c r="V291" s="413">
        <v>-3653635797.2307491</v>
      </c>
      <c r="W291" s="413" t="s">
        <v>367</v>
      </c>
      <c r="X291" s="411">
        <v>-5.7993943220369742E-2</v>
      </c>
      <c r="Y291" s="304"/>
      <c r="Z291" s="305"/>
      <c r="AA291" s="305"/>
      <c r="AB291" s="193" t="e">
        <v>#VALUE!</v>
      </c>
      <c r="AC291" s="306">
        <v>3.4758502536777045E-5</v>
      </c>
      <c r="AD291" s="304">
        <v>57330000000</v>
      </c>
      <c r="AE291" s="304">
        <v>5670299589</v>
      </c>
      <c r="AM291" s="332">
        <v>0</v>
      </c>
      <c r="AN291" s="334" t="e">
        <v>#DIV/0!</v>
      </c>
      <c r="AO291" s="334" t="e">
        <v>#DIV/0!</v>
      </c>
    </row>
    <row r="292" spans="1:41" ht="17.25" customHeight="1">
      <c r="A292" s="403">
        <v>2024</v>
      </c>
      <c r="B292" s="403">
        <v>587</v>
      </c>
      <c r="C292" s="404" t="s">
        <v>42</v>
      </c>
      <c r="D292" s="414">
        <v>45576</v>
      </c>
      <c r="E292" s="406">
        <v>2024</v>
      </c>
      <c r="F292" s="407" t="s">
        <v>362</v>
      </c>
      <c r="G292" s="383">
        <v>45576</v>
      </c>
      <c r="H292" s="408">
        <v>499000001260</v>
      </c>
      <c r="I292" s="409">
        <v>21573886.094604492</v>
      </c>
      <c r="J292" s="409">
        <v>-27133125000</v>
      </c>
      <c r="K292" s="408">
        <v>-27111551113.905396</v>
      </c>
      <c r="L292" s="410">
        <v>-818106740</v>
      </c>
      <c r="M292" s="410">
        <v>-27929657853.905396</v>
      </c>
      <c r="N292" s="410">
        <v>-1260</v>
      </c>
      <c r="O292" s="410">
        <v>-27929659113.905396</v>
      </c>
      <c r="P292" s="411">
        <v>-5.4331765622139018E-2</v>
      </c>
      <c r="Q292" s="411">
        <v>-5.5971258082929076E-2</v>
      </c>
      <c r="R292" s="412">
        <v>3.2542328962133375E-2</v>
      </c>
      <c r="S292" s="412"/>
      <c r="T292" s="412"/>
      <c r="U292" s="413">
        <v>-27929659113.905396</v>
      </c>
      <c r="V292" s="413">
        <v>-27929659113.905396</v>
      </c>
      <c r="W292" s="413" t="s">
        <v>367</v>
      </c>
      <c r="X292" s="411">
        <v>-5.5971260607979176E-2</v>
      </c>
      <c r="Y292" s="304"/>
      <c r="Z292" s="305"/>
      <c r="AA292" s="305"/>
      <c r="AB292" s="193" t="e">
        <v>#VALUE!</v>
      </c>
      <c r="AC292" s="306">
        <v>4.3234240561381463E-5</v>
      </c>
      <c r="AD292" s="304">
        <v>434130000000</v>
      </c>
      <c r="AE292" s="304">
        <v>64870001260</v>
      </c>
      <c r="AM292" s="332">
        <v>0</v>
      </c>
      <c r="AN292" s="334" t="e">
        <v>#DIV/0!</v>
      </c>
      <c r="AO292" s="334" t="e">
        <v>#DIV/0!</v>
      </c>
    </row>
    <row r="293" spans="1:41" ht="17.25" customHeight="1">
      <c r="A293" s="403">
        <v>2024</v>
      </c>
      <c r="B293" s="403">
        <v>588</v>
      </c>
      <c r="C293" s="404" t="s">
        <v>42</v>
      </c>
      <c r="D293" s="414">
        <v>45580</v>
      </c>
      <c r="E293" s="406">
        <v>2024</v>
      </c>
      <c r="F293" s="407" t="s">
        <v>362</v>
      </c>
      <c r="G293" s="383">
        <v>45580</v>
      </c>
      <c r="H293" s="408">
        <v>55000176094</v>
      </c>
      <c r="I293" s="409">
        <v>12549804.300590515</v>
      </c>
      <c r="J293" s="409">
        <v>-2062500000</v>
      </c>
      <c r="K293" s="408">
        <v>-2049950195.6994095</v>
      </c>
      <c r="L293" s="410">
        <v>-263698826.40479279</v>
      </c>
      <c r="M293" s="410">
        <v>-2313649022.1042023</v>
      </c>
      <c r="N293" s="410">
        <v>-176094</v>
      </c>
      <c r="O293" s="410">
        <v>-2313825116.1042023</v>
      </c>
      <c r="P293" s="411">
        <v>-3.7271702406840836E-2</v>
      </c>
      <c r="Q293" s="411">
        <v>-4.2066211172669309E-2</v>
      </c>
      <c r="R293" s="412">
        <v>3.5868413204544927E-3</v>
      </c>
      <c r="S293" s="412"/>
      <c r="T293" s="412"/>
      <c r="U293" s="413">
        <v>-2313825116.1042023</v>
      </c>
      <c r="V293" s="413">
        <v>-2313825116.1042023</v>
      </c>
      <c r="W293" s="413" t="s">
        <v>367</v>
      </c>
      <c r="X293" s="411">
        <v>-4.206941287150931E-2</v>
      </c>
      <c r="Y293" s="304"/>
      <c r="Z293" s="305"/>
      <c r="AA293" s="305"/>
      <c r="AB293" s="193" t="e">
        <v>#VALUE!</v>
      </c>
      <c r="AC293" s="306">
        <v>2.2817752945266626E-4</v>
      </c>
      <c r="AD293" s="304">
        <v>33000000000</v>
      </c>
      <c r="AE293" s="304">
        <v>22000176094</v>
      </c>
      <c r="AM293" s="332">
        <v>0</v>
      </c>
      <c r="AN293" s="334" t="e">
        <v>#DIV/0!</v>
      </c>
      <c r="AO293" s="334" t="e">
        <v>#DIV/0!</v>
      </c>
    </row>
    <row r="294" spans="1:41" ht="17.25" customHeight="1">
      <c r="A294" s="403">
        <v>2024</v>
      </c>
      <c r="B294" s="403">
        <v>589</v>
      </c>
      <c r="C294" s="404" t="s">
        <v>42</v>
      </c>
      <c r="D294" s="414">
        <v>45581</v>
      </c>
      <c r="E294" s="406">
        <v>2024</v>
      </c>
      <c r="F294" s="407" t="s">
        <v>362</v>
      </c>
      <c r="G294" s="383">
        <v>45581</v>
      </c>
      <c r="H294" s="408">
        <v>110000357156</v>
      </c>
      <c r="I294" s="409">
        <v>26688009.860427856</v>
      </c>
      <c r="J294" s="409">
        <v>-6118750000</v>
      </c>
      <c r="K294" s="408">
        <v>-6092061990.1395721</v>
      </c>
      <c r="L294" s="410">
        <v>-143123639.40473175</v>
      </c>
      <c r="M294" s="410">
        <v>-6235185629.5443039</v>
      </c>
      <c r="N294" s="410">
        <v>-357156</v>
      </c>
      <c r="O294" s="410">
        <v>-6235542785.5443039</v>
      </c>
      <c r="P294" s="411">
        <v>-5.5382201909580611E-2</v>
      </c>
      <c r="Q294" s="411">
        <v>-5.6683321679598782E-2</v>
      </c>
      <c r="R294" s="412">
        <v>7.1736829648975419E-3</v>
      </c>
      <c r="S294" s="412"/>
      <c r="T294" s="412"/>
      <c r="U294" s="413">
        <v>-6235542785.5443039</v>
      </c>
      <c r="V294" s="413">
        <v>-6235542785.5443039</v>
      </c>
      <c r="W294" s="413" t="s">
        <v>367</v>
      </c>
      <c r="X294" s="411">
        <v>-5.6686568541783909E-2</v>
      </c>
      <c r="Y294" s="304"/>
      <c r="Z294" s="305"/>
      <c r="AA294" s="305"/>
      <c r="AB294" s="193" t="e">
        <v>#VALUE!</v>
      </c>
      <c r="AC294" s="306">
        <v>2.4261748371034403E-4</v>
      </c>
      <c r="AD294" s="304">
        <v>97900000000</v>
      </c>
      <c r="AE294" s="304">
        <v>12100357156</v>
      </c>
      <c r="AM294" s="332">
        <v>0</v>
      </c>
      <c r="AN294" s="334" t="e">
        <v>#DIV/0!</v>
      </c>
      <c r="AO294" s="334" t="e">
        <v>#DIV/0!</v>
      </c>
    </row>
    <row r="295" spans="1:41" ht="17.25" customHeight="1">
      <c r="A295" s="403">
        <v>2024</v>
      </c>
      <c r="B295" s="403">
        <v>590</v>
      </c>
      <c r="C295" s="404" t="s">
        <v>42</v>
      </c>
      <c r="D295" s="414">
        <v>45582</v>
      </c>
      <c r="E295" s="406">
        <v>2024</v>
      </c>
      <c r="F295" s="407" t="s">
        <v>362</v>
      </c>
      <c r="G295" s="383">
        <v>45582</v>
      </c>
      <c r="H295" s="408">
        <v>194000066729</v>
      </c>
      <c r="I295" s="409">
        <v>3473089.3762817383</v>
      </c>
      <c r="J295" s="409">
        <v>-5027693750</v>
      </c>
      <c r="K295" s="408">
        <v>-5024220660.6237183</v>
      </c>
      <c r="L295" s="410">
        <v>-1325532441</v>
      </c>
      <c r="M295" s="410">
        <v>-6349753101.6237183</v>
      </c>
      <c r="N295" s="410">
        <v>-66729</v>
      </c>
      <c r="O295" s="410">
        <v>-6349819830.6237183</v>
      </c>
      <c r="P295" s="411">
        <v>-2.5898035734400474E-2</v>
      </c>
      <c r="Q295" s="411">
        <v>-3.2730674832672772E-2</v>
      </c>
      <c r="R295" s="412">
        <v>1.2651731411282089E-2</v>
      </c>
      <c r="S295" s="412"/>
      <c r="T295" s="412"/>
      <c r="U295" s="413">
        <v>-6349819830.6237183</v>
      </c>
      <c r="V295" s="413">
        <v>-6349819830.6237183</v>
      </c>
      <c r="W295" s="413" t="s">
        <v>367</v>
      </c>
      <c r="X295" s="411">
        <v>-3.2731018796471986E-2</v>
      </c>
      <c r="Y295" s="304"/>
      <c r="Z295" s="305"/>
      <c r="AA295" s="305"/>
      <c r="AB295" s="193" t="e">
        <v>#VALUE!</v>
      </c>
      <c r="AC295" s="306">
        <v>1.7902516400333616E-5</v>
      </c>
      <c r="AD295" s="304">
        <v>80443100000</v>
      </c>
      <c r="AE295" s="304">
        <v>113556966729</v>
      </c>
      <c r="AM295" s="332">
        <v>0</v>
      </c>
      <c r="AN295" s="334" t="e">
        <v>#DIV/0!</v>
      </c>
      <c r="AO295" s="334" t="e">
        <v>#DIV/0!</v>
      </c>
    </row>
    <row r="296" spans="1:41" ht="17.25" customHeight="1">
      <c r="A296" s="403">
        <v>2024</v>
      </c>
      <c r="B296" s="403">
        <v>591</v>
      </c>
      <c r="C296" s="404" t="s">
        <v>42</v>
      </c>
      <c r="D296" s="414">
        <v>45583</v>
      </c>
      <c r="E296" s="406">
        <v>2024</v>
      </c>
      <c r="F296" s="407" t="s">
        <v>362</v>
      </c>
      <c r="G296" s="383">
        <v>45583</v>
      </c>
      <c r="H296" s="408">
        <v>15000265767</v>
      </c>
      <c r="I296" s="409">
        <v>9847791.9378910065</v>
      </c>
      <c r="J296" s="409">
        <v>-731250000</v>
      </c>
      <c r="K296" s="408">
        <v>-721402208.06210899</v>
      </c>
      <c r="L296" s="410">
        <v>-38001657.303453922</v>
      </c>
      <c r="M296" s="410">
        <v>-759403865.36556292</v>
      </c>
      <c r="N296" s="410">
        <v>-265767</v>
      </c>
      <c r="O296" s="410">
        <v>-759669632.36556292</v>
      </c>
      <c r="P296" s="411">
        <v>-4.8092628441901722E-2</v>
      </c>
      <c r="Q296" s="411">
        <v>-5.0626027375876355E-2</v>
      </c>
      <c r="R296" s="412">
        <v>9.7824365105522032E-4</v>
      </c>
      <c r="S296" s="412"/>
      <c r="T296" s="412"/>
      <c r="U296" s="413">
        <v>-759669632.36556292</v>
      </c>
      <c r="V296" s="413">
        <v>-759669632.36556292</v>
      </c>
      <c r="W296" s="413" t="s">
        <v>367</v>
      </c>
      <c r="X296" s="411">
        <v>-5.0643744861961479E-2</v>
      </c>
      <c r="Y296" s="304"/>
      <c r="Z296" s="305"/>
      <c r="AA296" s="305"/>
      <c r="AB296" s="193" t="e">
        <v>#VALUE!</v>
      </c>
      <c r="AC296" s="306">
        <v>6.5650783065162514E-4</v>
      </c>
      <c r="AD296" s="304">
        <v>11700000000</v>
      </c>
      <c r="AE296" s="304">
        <v>3300265767</v>
      </c>
      <c r="AM296" s="332">
        <v>0</v>
      </c>
      <c r="AN296" s="334" t="e">
        <v>#DIV/0!</v>
      </c>
      <c r="AO296" s="334" t="e">
        <v>#DIV/0!</v>
      </c>
    </row>
    <row r="297" spans="1:41" ht="17.25" customHeight="1">
      <c r="A297" s="403">
        <v>2024</v>
      </c>
      <c r="B297" s="403">
        <v>592</v>
      </c>
      <c r="C297" s="404" t="s">
        <v>42</v>
      </c>
      <c r="D297" s="414">
        <v>45604</v>
      </c>
      <c r="E297" s="406">
        <v>2024</v>
      </c>
      <c r="F297" s="407" t="s">
        <v>362</v>
      </c>
      <c r="G297" s="383">
        <v>45604</v>
      </c>
      <c r="H297" s="408">
        <v>191000331175</v>
      </c>
      <c r="I297" s="409">
        <v>335750719.46350098</v>
      </c>
      <c r="J297" s="409">
        <v>-2387500000</v>
      </c>
      <c r="K297" s="408">
        <v>-2051749280.536499</v>
      </c>
      <c r="L297" s="410">
        <v>-1258313942.4032898</v>
      </c>
      <c r="M297" s="410">
        <v>-3310063222.9397888</v>
      </c>
      <c r="N297" s="410">
        <v>-331175</v>
      </c>
      <c r="O297" s="410">
        <v>-3310394397.9397888</v>
      </c>
      <c r="P297" s="411">
        <v>-1.0742124204259244E-2</v>
      </c>
      <c r="Q297" s="411">
        <v>-1.7330143893347565E-2</v>
      </c>
      <c r="R297" s="412">
        <v>1.2456103393343845E-2</v>
      </c>
      <c r="S297" s="412"/>
      <c r="T297" s="412"/>
      <c r="U297" s="413">
        <v>-3310394397.9397888</v>
      </c>
      <c r="V297" s="413">
        <v>-3310394397.9397888</v>
      </c>
      <c r="W297" s="413" t="s">
        <v>367</v>
      </c>
      <c r="X297" s="411">
        <v>-1.733187779086472E-2</v>
      </c>
      <c r="Y297" s="304"/>
      <c r="Z297" s="305"/>
      <c r="AA297" s="305"/>
      <c r="AB297" s="193" t="e">
        <v>#VALUE!</v>
      </c>
      <c r="AC297" s="306">
        <v>1.7578541220217912E-3</v>
      </c>
      <c r="AD297" s="304">
        <v>38200000000</v>
      </c>
      <c r="AE297" s="304">
        <v>152800331175</v>
      </c>
      <c r="AM297" s="332">
        <v>0</v>
      </c>
      <c r="AN297" s="334" t="e">
        <v>#DIV/0!</v>
      </c>
      <c r="AO297" s="334" t="e">
        <v>#DIV/0!</v>
      </c>
    </row>
    <row r="298" spans="1:41" ht="17.25" customHeight="1">
      <c r="A298" s="403">
        <v>2024</v>
      </c>
      <c r="B298" s="403">
        <v>593</v>
      </c>
      <c r="C298" s="404" t="s">
        <v>42</v>
      </c>
      <c r="D298" s="414">
        <v>45610</v>
      </c>
      <c r="E298" s="406">
        <v>2024</v>
      </c>
      <c r="F298" s="407" t="s">
        <v>6</v>
      </c>
      <c r="G298" s="383">
        <v>45610</v>
      </c>
      <c r="H298" s="408">
        <v>477000028008</v>
      </c>
      <c r="I298" s="409">
        <v>226398721.9239502</v>
      </c>
      <c r="J298" s="409">
        <v>0</v>
      </c>
      <c r="K298" s="408">
        <v>226398721.9239502</v>
      </c>
      <c r="L298" s="410">
        <v>-3246577824</v>
      </c>
      <c r="M298" s="410">
        <v>-3020179102.0760498</v>
      </c>
      <c r="N298" s="410">
        <v>-28008</v>
      </c>
      <c r="O298" s="410">
        <v>-3020207110.0760498</v>
      </c>
      <c r="P298" s="411">
        <v>4.7463041641614568E-4</v>
      </c>
      <c r="Q298" s="411">
        <v>-6.33161200155191E-3</v>
      </c>
      <c r="R298" s="412">
        <v>3.1107598771919029E-2</v>
      </c>
      <c r="S298" s="412"/>
      <c r="T298" s="412"/>
      <c r="U298" s="413">
        <v>-3020207110.0760498</v>
      </c>
      <c r="V298" s="413">
        <v>-3020207110.0760498</v>
      </c>
      <c r="W298" s="413" t="s">
        <v>367</v>
      </c>
      <c r="X298" s="411">
        <v>-6.3316707185295936E-3</v>
      </c>
      <c r="Y298" s="304"/>
      <c r="Z298" s="305"/>
      <c r="AA298" s="305"/>
      <c r="AB298" s="193" t="e">
        <v>#VALUE!</v>
      </c>
      <c r="AC298" s="306">
        <v>4.7463041641614568E-4</v>
      </c>
      <c r="AD298" s="304">
        <v>0</v>
      </c>
      <c r="AE298" s="304">
        <v>477000028008</v>
      </c>
      <c r="AM298" s="332">
        <v>0</v>
      </c>
      <c r="AN298" s="334" t="e">
        <v>#DIV/0!</v>
      </c>
      <c r="AO298" s="334" t="e">
        <v>#DIV/0!</v>
      </c>
    </row>
    <row r="299" spans="1:41" ht="17.25" customHeight="1">
      <c r="A299" s="403">
        <v>2024</v>
      </c>
      <c r="B299" s="403">
        <v>594</v>
      </c>
      <c r="C299" s="404" t="s">
        <v>42</v>
      </c>
      <c r="D299" s="414">
        <v>45611</v>
      </c>
      <c r="E299" s="406">
        <v>2024</v>
      </c>
      <c r="F299" s="407" t="s">
        <v>6</v>
      </c>
      <c r="G299" s="383">
        <v>45611</v>
      </c>
      <c r="H299" s="408">
        <v>175000096129</v>
      </c>
      <c r="I299" s="409">
        <v>1131498608.1669006</v>
      </c>
      <c r="J299" s="409">
        <v>0</v>
      </c>
      <c r="K299" s="408">
        <v>1131498608.1669006</v>
      </c>
      <c r="L299" s="410">
        <v>-1165871139.1006775</v>
      </c>
      <c r="M299" s="410">
        <v>-34372530.933776855</v>
      </c>
      <c r="N299" s="410">
        <v>-96129</v>
      </c>
      <c r="O299" s="410">
        <v>-34468659.933776855</v>
      </c>
      <c r="P299" s="411">
        <v>6.4657027807163312E-3</v>
      </c>
      <c r="Q299" s="411">
        <v>-1.9641435458663637E-4</v>
      </c>
      <c r="R299" s="412">
        <v>1.1412646657825544E-2</v>
      </c>
      <c r="S299" s="412"/>
      <c r="T299" s="412"/>
      <c r="U299" s="413">
        <v>-34468659.933776855</v>
      </c>
      <c r="V299" s="413">
        <v>-34468659.933776855</v>
      </c>
      <c r="W299" s="413" t="s">
        <v>367</v>
      </c>
      <c r="X299" s="411">
        <v>-1.969636628563252E-4</v>
      </c>
      <c r="Y299" s="304"/>
      <c r="Z299" s="305"/>
      <c r="AA299" s="305"/>
      <c r="AB299" s="193" t="e">
        <v>#VALUE!</v>
      </c>
      <c r="AC299" s="306">
        <v>6.4657027807163312E-3</v>
      </c>
      <c r="AD299" s="304">
        <v>0</v>
      </c>
      <c r="AE299" s="304">
        <v>175000096129</v>
      </c>
      <c r="AM299" s="332">
        <v>0</v>
      </c>
      <c r="AN299" s="334" t="e">
        <v>#DIV/0!</v>
      </c>
      <c r="AO299" s="334" t="e">
        <v>#DIV/0!</v>
      </c>
    </row>
    <row r="300" spans="1:41" ht="17.25" customHeight="1">
      <c r="A300" s="403">
        <v>2024</v>
      </c>
      <c r="B300" s="403">
        <v>595</v>
      </c>
      <c r="C300" s="404" t="s">
        <v>42</v>
      </c>
      <c r="D300" s="414">
        <v>45614</v>
      </c>
      <c r="E300" s="406">
        <v>2024</v>
      </c>
      <c r="F300" s="407" t="s">
        <v>362</v>
      </c>
      <c r="G300" s="383">
        <v>45614</v>
      </c>
      <c r="H300" s="408">
        <v>260000191374</v>
      </c>
      <c r="I300" s="409">
        <v>17905980.372192383</v>
      </c>
      <c r="J300" s="409">
        <v>-2437500000</v>
      </c>
      <c r="K300" s="408">
        <v>-2419594019.6278076</v>
      </c>
      <c r="L300" s="410">
        <v>-1376304341.5030823</v>
      </c>
      <c r="M300" s="410">
        <v>-3795898361.1308899</v>
      </c>
      <c r="N300" s="410">
        <v>-191374</v>
      </c>
      <c r="O300" s="410">
        <v>-3796089735.1308899</v>
      </c>
      <c r="P300" s="411">
        <v>-9.3061239949139771E-3</v>
      </c>
      <c r="Q300" s="411">
        <v>-1.4599598335182146E-2</v>
      </c>
      <c r="R300" s="412">
        <v>1.6955935343779281E-2</v>
      </c>
      <c r="S300" s="412"/>
      <c r="T300" s="412"/>
      <c r="U300" s="413">
        <v>-3796089735.1308899</v>
      </c>
      <c r="V300" s="413">
        <v>-3796089735.1308899</v>
      </c>
      <c r="W300" s="413" t="s">
        <v>367</v>
      </c>
      <c r="X300" s="411">
        <v>-1.4600334388486525E-2</v>
      </c>
      <c r="Y300" s="304"/>
      <c r="Z300" s="305"/>
      <c r="AA300" s="305"/>
      <c r="AB300" s="193" t="e">
        <v>#VALUE!</v>
      </c>
      <c r="AC300" s="306">
        <v>6.8869104586293694E-5</v>
      </c>
      <c r="AD300" s="304">
        <v>39000000000</v>
      </c>
      <c r="AE300" s="304">
        <v>221000191374</v>
      </c>
      <c r="AM300" s="332">
        <v>0</v>
      </c>
      <c r="AN300" s="334" t="e">
        <v>#DIV/0!</v>
      </c>
      <c r="AO300" s="334" t="e">
        <v>#DIV/0!</v>
      </c>
    </row>
    <row r="301" spans="1:41" ht="17.25" customHeight="1">
      <c r="A301" s="403">
        <v>2024</v>
      </c>
      <c r="B301" s="403">
        <v>596</v>
      </c>
      <c r="C301" s="404" t="s">
        <v>42</v>
      </c>
      <c r="D301" s="414">
        <v>45615</v>
      </c>
      <c r="E301" s="406">
        <v>2024</v>
      </c>
      <c r="F301" s="407" t="s">
        <v>362</v>
      </c>
      <c r="G301" s="383">
        <v>45615</v>
      </c>
      <c r="H301" s="408">
        <v>779500093651</v>
      </c>
      <c r="I301" s="409">
        <v>16977711.735229492</v>
      </c>
      <c r="J301" s="409">
        <v>-5846250000</v>
      </c>
      <c r="K301" s="408">
        <v>-5829272288.2647705</v>
      </c>
      <c r="L301" s="410">
        <v>-4170646576.7987061</v>
      </c>
      <c r="M301" s="410">
        <v>-9999918865.0634766</v>
      </c>
      <c r="N301" s="410">
        <v>-93651</v>
      </c>
      <c r="O301" s="410">
        <v>-10000012516.063477</v>
      </c>
      <c r="P301" s="411">
        <v>-7.4782188427480406E-3</v>
      </c>
      <c r="Q301" s="411">
        <v>-1.2828630742334033E-2</v>
      </c>
      <c r="R301" s="412">
        <v>5.083516715341143E-2</v>
      </c>
      <c r="S301" s="412"/>
      <c r="T301" s="412"/>
      <c r="U301" s="413">
        <v>-10000012516.063477</v>
      </c>
      <c r="V301" s="413">
        <v>-10000012516.063477</v>
      </c>
      <c r="W301" s="413" t="s">
        <v>367</v>
      </c>
      <c r="X301" s="411">
        <v>-1.2828750884718573E-2</v>
      </c>
      <c r="Y301" s="304"/>
      <c r="Z301" s="305"/>
      <c r="AA301" s="305"/>
      <c r="AB301" s="193" t="e">
        <v>#VALUE!</v>
      </c>
      <c r="AC301" s="306">
        <v>2.1780256184075332E-5</v>
      </c>
      <c r="AD301" s="304">
        <v>93540000000</v>
      </c>
      <c r="AE301" s="304">
        <v>685960093651</v>
      </c>
      <c r="AM301" s="332">
        <v>0</v>
      </c>
      <c r="AN301" s="334" t="e">
        <v>#DIV/0!</v>
      </c>
      <c r="AO301" s="334" t="e">
        <v>#DIV/0!</v>
      </c>
    </row>
    <row r="302" spans="1:41" ht="17.25" customHeight="1">
      <c r="A302" s="403">
        <v>2024</v>
      </c>
      <c r="B302" s="403">
        <v>597</v>
      </c>
      <c r="C302" s="404" t="s">
        <v>42</v>
      </c>
      <c r="D302" s="414">
        <v>45616</v>
      </c>
      <c r="E302" s="406">
        <v>2024</v>
      </c>
      <c r="F302" s="407" t="s">
        <v>362</v>
      </c>
      <c r="G302" s="383">
        <v>45616</v>
      </c>
      <c r="H302" s="408">
        <v>803000065872</v>
      </c>
      <c r="I302" s="409">
        <v>4777100940.5703125</v>
      </c>
      <c r="J302" s="409">
        <v>-16087237500</v>
      </c>
      <c r="K302" s="408">
        <v>-11310136559.429688</v>
      </c>
      <c r="L302" s="410">
        <v>-3238335903.5976563</v>
      </c>
      <c r="M302" s="410">
        <v>-14548472463.027344</v>
      </c>
      <c r="N302" s="410">
        <v>-65872</v>
      </c>
      <c r="O302" s="410">
        <v>-14548538335.027344</v>
      </c>
      <c r="P302" s="411">
        <v>-1.408485134698924E-2</v>
      </c>
      <c r="Q302" s="411">
        <v>-1.8117647907324584E-2</v>
      </c>
      <c r="R302" s="412">
        <v>5.2367719908292719E-2</v>
      </c>
      <c r="S302" s="412"/>
      <c r="T302" s="412"/>
      <c r="U302" s="413">
        <v>-14548538335.027344</v>
      </c>
      <c r="V302" s="413">
        <v>-14548538335.027344</v>
      </c>
      <c r="W302" s="413" t="s">
        <v>367</v>
      </c>
      <c r="X302" s="411">
        <v>-1.8117729939696434E-2</v>
      </c>
      <c r="Y302" s="304"/>
      <c r="Z302" s="305"/>
      <c r="AA302" s="305"/>
      <c r="AB302" s="193" t="e">
        <v>#VALUE!</v>
      </c>
      <c r="AC302" s="306">
        <v>5.9490666857950087E-3</v>
      </c>
      <c r="AD302" s="304">
        <v>257395800000</v>
      </c>
      <c r="AE302" s="304">
        <v>545604265872</v>
      </c>
      <c r="AM302" s="332">
        <v>0</v>
      </c>
      <c r="AN302" s="334" t="e">
        <v>#DIV/0!</v>
      </c>
      <c r="AO302" s="334" t="e">
        <v>#DIV/0!</v>
      </c>
    </row>
    <row r="303" spans="1:41" ht="17.25" customHeight="1">
      <c r="A303" s="403">
        <v>2024</v>
      </c>
      <c r="B303" s="403">
        <v>598</v>
      </c>
      <c r="C303" s="404" t="s">
        <v>42</v>
      </c>
      <c r="D303" s="414">
        <v>45618</v>
      </c>
      <c r="E303" s="406">
        <v>2024</v>
      </c>
      <c r="F303" s="407" t="s">
        <v>6</v>
      </c>
      <c r="G303" s="383">
        <v>45618</v>
      </c>
      <c r="H303" s="408">
        <v>119000072944</v>
      </c>
      <c r="I303" s="409">
        <v>3928194817.2019196</v>
      </c>
      <c r="J303" s="409">
        <v>0</v>
      </c>
      <c r="K303" s="408">
        <v>3928194817.2019196</v>
      </c>
      <c r="L303" s="410">
        <v>-671798404.40228271</v>
      </c>
      <c r="M303" s="410">
        <v>3256396412.7996368</v>
      </c>
      <c r="N303" s="410">
        <v>-72944</v>
      </c>
      <c r="O303" s="410">
        <v>3256323468.7996368</v>
      </c>
      <c r="P303" s="411">
        <v>3.3010020246378176E-2</v>
      </c>
      <c r="Q303" s="411">
        <v>2.7364658963965994E-2</v>
      </c>
      <c r="R303" s="412">
        <v>7.7606002214091361E-3</v>
      </c>
      <c r="S303" s="412"/>
      <c r="T303" s="412"/>
      <c r="U303" s="413">
        <v>3256323468.7996368</v>
      </c>
      <c r="V303" s="413">
        <v>3256323468.7996368</v>
      </c>
      <c r="W303" s="413" t="s">
        <v>367</v>
      </c>
      <c r="X303" s="411">
        <v>2.7364045989551816E-2</v>
      </c>
      <c r="Y303" s="304"/>
      <c r="Z303" s="305"/>
      <c r="AA303" s="305"/>
      <c r="AB303" s="193" t="e">
        <v>#VALUE!</v>
      </c>
      <c r="AC303" s="306">
        <v>3.3010020246378176E-2</v>
      </c>
      <c r="AD303" s="304">
        <v>0</v>
      </c>
      <c r="AE303" s="304">
        <v>119000072944</v>
      </c>
      <c r="AM303" s="332">
        <v>0</v>
      </c>
      <c r="AN303" s="334" t="e">
        <v>#DIV/0!</v>
      </c>
      <c r="AO303" s="334" t="e">
        <v>#DIV/0!</v>
      </c>
    </row>
    <row r="304" spans="1:41" ht="17.25" customHeight="1">
      <c r="A304" s="403">
        <v>2024</v>
      </c>
      <c r="B304" s="403">
        <v>599</v>
      </c>
      <c r="C304" s="404" t="s">
        <v>42</v>
      </c>
      <c r="D304" s="414">
        <v>45621</v>
      </c>
      <c r="E304" s="406">
        <v>2024</v>
      </c>
      <c r="F304" s="407" t="s">
        <v>6</v>
      </c>
      <c r="G304" s="383">
        <v>45621</v>
      </c>
      <c r="H304" s="408">
        <v>82000033700</v>
      </c>
      <c r="I304" s="409">
        <v>627654572.49299622</v>
      </c>
      <c r="J304" s="409">
        <v>0</v>
      </c>
      <c r="K304" s="408">
        <v>627654572.49299622</v>
      </c>
      <c r="L304" s="410">
        <v>-427269050</v>
      </c>
      <c r="M304" s="410">
        <v>200385522.49299622</v>
      </c>
      <c r="N304" s="410">
        <v>-33700</v>
      </c>
      <c r="O304" s="410">
        <v>200351822.49299622</v>
      </c>
      <c r="P304" s="411">
        <v>7.6543209090534341E-3</v>
      </c>
      <c r="Q304" s="411">
        <v>2.4437248797496069E-3</v>
      </c>
      <c r="R304" s="412">
        <v>5.347639408483762E-3</v>
      </c>
      <c r="S304" s="412"/>
      <c r="T304" s="412"/>
      <c r="U304" s="413">
        <v>200351822.49299622</v>
      </c>
      <c r="V304" s="413">
        <v>200351822.49299622</v>
      </c>
      <c r="W304" s="413" t="s">
        <v>367</v>
      </c>
      <c r="X304" s="411">
        <v>2.4433139043087519E-3</v>
      </c>
      <c r="Y304" s="304"/>
      <c r="Z304" s="305"/>
      <c r="AA304" s="305"/>
      <c r="AB304" s="193" t="e">
        <v>#VALUE!</v>
      </c>
      <c r="AC304" s="306">
        <v>7.6543209090534341E-3</v>
      </c>
      <c r="AD304" s="304">
        <v>0</v>
      </c>
      <c r="AE304" s="304">
        <v>82000033700</v>
      </c>
      <c r="AM304" s="332">
        <v>0</v>
      </c>
      <c r="AN304" s="334" t="e">
        <v>#DIV/0!</v>
      </c>
      <c r="AO304" s="334" t="e">
        <v>#DIV/0!</v>
      </c>
    </row>
    <row r="305" spans="1:41" ht="17.25" customHeight="1">
      <c r="A305" s="403">
        <v>2024</v>
      </c>
      <c r="B305" s="403">
        <v>600</v>
      </c>
      <c r="C305" s="404" t="s">
        <v>42</v>
      </c>
      <c r="D305" s="414">
        <v>45622</v>
      </c>
      <c r="E305" s="406">
        <v>2024</v>
      </c>
      <c r="F305" s="407" t="s">
        <v>6</v>
      </c>
      <c r="G305" s="383">
        <v>45622</v>
      </c>
      <c r="H305" s="408">
        <v>212000112451</v>
      </c>
      <c r="I305" s="409">
        <v>776035357.8583374</v>
      </c>
      <c r="J305" s="409">
        <v>0</v>
      </c>
      <c r="K305" s="408">
        <v>776035357.8583374</v>
      </c>
      <c r="L305" s="410">
        <v>-1073955908.7989807</v>
      </c>
      <c r="M305" s="410">
        <v>-297920550.94064331</v>
      </c>
      <c r="N305" s="410">
        <v>-112451</v>
      </c>
      <c r="O305" s="410">
        <v>-298033001.94064331</v>
      </c>
      <c r="P305" s="411">
        <v>3.6605421991825781E-3</v>
      </c>
      <c r="Q305" s="411">
        <v>-1.4052848722403497E-3</v>
      </c>
      <c r="R305" s="412">
        <v>1.3825605975890673E-2</v>
      </c>
      <c r="S305" s="412"/>
      <c r="T305" s="412"/>
      <c r="U305" s="413">
        <v>-298033001.94064331</v>
      </c>
      <c r="V305" s="413">
        <v>-298033001.94064331</v>
      </c>
      <c r="W305" s="413" t="s">
        <v>367</v>
      </c>
      <c r="X305" s="411">
        <v>-1.4058153012042778E-3</v>
      </c>
      <c r="Y305" s="304"/>
      <c r="Z305" s="305"/>
      <c r="AA305" s="305"/>
      <c r="AB305" s="193" t="e">
        <v>#VALUE!</v>
      </c>
      <c r="AC305" s="306">
        <v>3.6605421991825781E-3</v>
      </c>
      <c r="AD305" s="304">
        <v>0</v>
      </c>
      <c r="AE305" s="304">
        <v>212000112451</v>
      </c>
      <c r="AM305" s="332">
        <v>0</v>
      </c>
      <c r="AN305" s="334" t="e">
        <v>#DIV/0!</v>
      </c>
      <c r="AO305" s="334" t="e">
        <v>#DIV/0!</v>
      </c>
    </row>
    <row r="306" spans="1:41" ht="17.25" customHeight="1">
      <c r="A306" s="403">
        <v>2024</v>
      </c>
      <c r="B306" s="403">
        <v>601</v>
      </c>
      <c r="C306" s="404" t="s">
        <v>42</v>
      </c>
      <c r="D306" s="414">
        <v>45623</v>
      </c>
      <c r="E306" s="406">
        <v>2024</v>
      </c>
      <c r="F306" s="407" t="s">
        <v>362</v>
      </c>
      <c r="G306" s="383">
        <v>45623</v>
      </c>
      <c r="H306" s="408">
        <v>544000296118</v>
      </c>
      <c r="I306" s="409">
        <v>187768557.84442139</v>
      </c>
      <c r="J306" s="409">
        <v>0</v>
      </c>
      <c r="K306" s="408">
        <v>187768557.84442139</v>
      </c>
      <c r="L306" s="410">
        <v>-1365222278.6984863</v>
      </c>
      <c r="M306" s="410">
        <v>-1177453720.8540649</v>
      </c>
      <c r="N306" s="410">
        <v>-296118</v>
      </c>
      <c r="O306" s="410">
        <v>-1177749838.8540649</v>
      </c>
      <c r="P306" s="411">
        <v>3.4516260227125353E-4</v>
      </c>
      <c r="Q306" s="411">
        <v>-2.1644358086868789E-3</v>
      </c>
      <c r="R306" s="412">
        <v>3.5477027148434606E-2</v>
      </c>
      <c r="S306" s="412"/>
      <c r="T306" s="412"/>
      <c r="U306" s="413">
        <v>-1177749838.8540649</v>
      </c>
      <c r="V306" s="413">
        <v>-1177749838.8540649</v>
      </c>
      <c r="W306" s="413" t="s">
        <v>367</v>
      </c>
      <c r="X306" s="411">
        <v>-2.1649801429494027E-3</v>
      </c>
      <c r="Y306" s="304"/>
      <c r="Z306" s="305"/>
      <c r="AA306" s="305"/>
      <c r="AB306" s="193" t="e">
        <v>#VALUE!</v>
      </c>
      <c r="AC306" s="306">
        <v>3.4516260227125353E-4</v>
      </c>
      <c r="AD306" s="304">
        <v>266560000000</v>
      </c>
      <c r="AE306" s="304">
        <v>277440296118</v>
      </c>
      <c r="AM306" s="332">
        <v>0</v>
      </c>
      <c r="AN306" s="334" t="e">
        <v>#DIV/0!</v>
      </c>
      <c r="AO306" s="334" t="e">
        <v>#DIV/0!</v>
      </c>
    </row>
    <row r="307" spans="1:41" s="352" customFormat="1" ht="17.25" customHeight="1">
      <c r="A307" s="415">
        <v>2024</v>
      </c>
      <c r="B307" s="415">
        <v>602</v>
      </c>
      <c r="C307" s="340" t="s">
        <v>42</v>
      </c>
      <c r="D307" s="416">
        <v>45625</v>
      </c>
      <c r="E307" s="417">
        <v>2024</v>
      </c>
      <c r="F307" s="344" t="s">
        <v>362</v>
      </c>
      <c r="G307" s="371">
        <v>45625</v>
      </c>
      <c r="H307" s="372">
        <v>250500047886</v>
      </c>
      <c r="I307" s="364">
        <v>3659300132.951416</v>
      </c>
      <c r="J307" s="364">
        <v>0</v>
      </c>
      <c r="K307" s="372">
        <v>3659300132.951416</v>
      </c>
      <c r="L307" s="346">
        <v>-502888166</v>
      </c>
      <c r="M307" s="346">
        <v>3156411966.951416</v>
      </c>
      <c r="N307" s="346">
        <v>-47886</v>
      </c>
      <c r="O307" s="346">
        <v>3156364080.951416</v>
      </c>
      <c r="P307" s="348">
        <v>1.4607981770194015E-2</v>
      </c>
      <c r="Q307" s="348">
        <v>1.2600444565135838E-2</v>
      </c>
      <c r="R307" s="373">
        <v>1.6126050293220784E-2</v>
      </c>
      <c r="S307" s="373"/>
      <c r="T307" s="373"/>
      <c r="U307" s="349">
        <v>3156364080.951416</v>
      </c>
      <c r="V307" s="349">
        <v>3156364080.951416</v>
      </c>
      <c r="W307" s="349" t="s">
        <v>367</v>
      </c>
      <c r="X307" s="348">
        <v>1.2600253403495734E-2</v>
      </c>
      <c r="Y307" s="374"/>
      <c r="Z307" s="351"/>
      <c r="AA307" s="351"/>
      <c r="AB307" s="193" t="e">
        <v>#VALUE!</v>
      </c>
      <c r="AC307" s="418">
        <f t="shared" ref="AC307:AC317" si="0">I307/H307</f>
        <v>1.4607981770194015E-2</v>
      </c>
      <c r="AD307" s="374">
        <v>141900000000</v>
      </c>
      <c r="AE307" s="374">
        <v>108600047886</v>
      </c>
      <c r="AM307" s="313">
        <f t="shared" ref="AM307:AM317" si="1">AL307+AK307</f>
        <v>0</v>
      </c>
      <c r="AN307" s="315" t="e">
        <f t="shared" ref="AN307:AN317" si="2">+AI307/AF307</f>
        <v>#DIV/0!</v>
      </c>
      <c r="AO307" s="315" t="e">
        <f t="shared" ref="AO307:AO317" si="3">AK307/AF307</f>
        <v>#DIV/0!</v>
      </c>
    </row>
    <row r="308" spans="1:41" ht="17.25" customHeight="1">
      <c r="A308" s="403">
        <f t="shared" ref="A308:A317" si="4">IF(D308="","",YEAR(D308))</f>
        <v>2025</v>
      </c>
      <c r="B308" s="403">
        <v>603</v>
      </c>
      <c r="C308" s="404" t="s">
        <v>42</v>
      </c>
      <c r="D308" s="414">
        <v>45700</v>
      </c>
      <c r="E308" s="406">
        <f t="shared" ref="E308:E317" si="5">IF(D308="","",YEAR(D308))</f>
        <v>2025</v>
      </c>
      <c r="F308" s="407" t="s">
        <v>4</v>
      </c>
      <c r="G308" s="383">
        <f t="shared" ref="G308:G317" si="6">IF(D308="","",D308)</f>
        <v>45700</v>
      </c>
      <c r="H308" s="408">
        <f>IF(B308="","",-SUMIFS('Canjes desagregado'!$S$2:$S$854,'Canjes desagregado'!$B$2:$B$854,B308,'Canjes desagregado'!$E$2:$E$854,"Títulos Recogidos por la Nación"))</f>
        <v>85000000000</v>
      </c>
      <c r="I308" s="409">
        <f>IF(B308="","",-SUMIFS('Canjes desagregado'!$U$2:$U$854,'Canjes desagregado'!$B$2:$B$854,HISTORICO!B308))</f>
        <v>2706400000.0000153</v>
      </c>
      <c r="J308" s="409">
        <f>IF(B308="","",SUMIFS('Canjes desagregado'!$X$2:$X$854,'Canjes desagregado'!$B$2:$B$854,HISTORICO!B308))</f>
        <v>3400000000</v>
      </c>
      <c r="K308" s="408">
        <f t="shared" ref="K308:K317" si="7">IF(B308="","",J308+I308)</f>
        <v>6106400000.0000153</v>
      </c>
      <c r="L308" s="410">
        <f>IF(B308="","",SUMIFS('Canjes desagregado'!$AD$2:$AD$854,'Canjes desagregado'!$B$2:$B$854,HISTORICO!B308))</f>
        <v>0</v>
      </c>
      <c r="M308" s="410">
        <f t="shared" ref="M308:M317" si="8">IF(B308="","",L308+J308+I308)</f>
        <v>6106400000.0000153</v>
      </c>
      <c r="N308" s="410">
        <f>IF(B308="","",SUMIFS('Canjes desagregado'!$S$2:$S$854,'Canjes desagregado'!$B$2:$B$854,HISTORICO!B308))</f>
        <v>0</v>
      </c>
      <c r="O308" s="410">
        <f t="shared" ref="O308:O317" si="9">IF(B308="","",N308+M308)</f>
        <v>6106400000.0000153</v>
      </c>
      <c r="P308" s="411">
        <f t="shared" ref="P308:P317" si="10">IF(B308="","",K308/H308)</f>
        <v>7.1840000000000181E-2</v>
      </c>
      <c r="Q308" s="411">
        <f t="shared" ref="Q308:Q317" si="11">IF(B308="","",M308/H308)</f>
        <v>7.1840000000000181E-2</v>
      </c>
      <c r="R308" s="412">
        <f>IF(B308="","",H308/$H$363)</f>
        <v>5.4719122271288537E-3</v>
      </c>
      <c r="S308" s="412"/>
      <c r="T308" s="412"/>
      <c r="U308" s="413">
        <f t="shared" ref="U308:U317" si="12">IF(B308="","",I308+J308+L308+N308)</f>
        <v>6106400000.0000153</v>
      </c>
      <c r="V308" s="413">
        <f t="shared" ref="V308:V317" si="13">IF(B308="","",IF(C308="Tesorería",U308,""))</f>
        <v>6106400000.0000153</v>
      </c>
      <c r="W308" s="413" t="str">
        <f t="shared" ref="W308:W317" si="14">IF(B308="","",IF(C308="Tesorería","",U308))</f>
        <v/>
      </c>
      <c r="X308" s="411">
        <f t="shared" ref="X308:X317" si="15">IF(B308="","",(I308+J308+L308+N308)/H308)</f>
        <v>7.1840000000000181E-2</v>
      </c>
      <c r="Y308" s="304"/>
      <c r="Z308" s="305"/>
      <c r="AA308" s="305"/>
      <c r="AB308" s="193" t="e">
        <v>#VALUE!</v>
      </c>
      <c r="AC308" s="306">
        <f t="shared" si="0"/>
        <v>3.1840000000000181E-2</v>
      </c>
      <c r="AD308" s="304">
        <f>IF(B308="","",-SUMIFS('Canjes desagregado'!$S$2:$S$854,'Canjes desagregado'!$B$2:$B$854,B308,'Canjes desagregado'!$E$2:$E$854,"Títulos Recogidos por la Nación",'Canjes desagregado'!$G$2:$G$854,"COP"))</f>
        <v>85000000000</v>
      </c>
      <c r="AE308" s="304">
        <f>IF(B308="","",-SUMIFS('Canjes desagregado'!$S$2:$S$854,'Canjes desagregado'!$B$2:$B$854,B308,'Canjes desagregado'!$E$2:$E$854,"Títulos Recogidos por la Nación",'Canjes desagregado'!$G$2:$G$854,"UVR"))</f>
        <v>0</v>
      </c>
      <c r="AM308" s="300">
        <f t="shared" si="1"/>
        <v>0</v>
      </c>
      <c r="AN308" s="302" t="e">
        <f t="shared" si="2"/>
        <v>#DIV/0!</v>
      </c>
      <c r="AO308" s="302" t="e">
        <f t="shared" si="3"/>
        <v>#DIV/0!</v>
      </c>
    </row>
    <row r="309" spans="1:41" ht="17.25" customHeight="1">
      <c r="A309" s="403">
        <f t="shared" si="4"/>
        <v>2025</v>
      </c>
      <c r="B309" s="403">
        <v>604</v>
      </c>
      <c r="C309" s="404" t="s">
        <v>42</v>
      </c>
      <c r="D309" s="414">
        <v>45701</v>
      </c>
      <c r="E309" s="406">
        <f t="shared" si="5"/>
        <v>2025</v>
      </c>
      <c r="F309" s="407" t="s">
        <v>4</v>
      </c>
      <c r="G309" s="383">
        <f t="shared" si="6"/>
        <v>45701</v>
      </c>
      <c r="H309" s="408">
        <f>IF(B309="","",-SUMIFS('Canjes desagregado'!$S$2:$S$854,'Canjes desagregado'!$B$2:$B$854,B309,'Canjes desagregado'!$E$2:$E$854,"Títulos Recogidos por la Nación"))</f>
        <v>435000000000</v>
      </c>
      <c r="I309" s="409">
        <f>IF(B309="","",-SUMIFS('Canjes desagregado'!$U$2:$U$854,'Canjes desagregado'!$B$2:$B$854,HISTORICO!B309))</f>
        <v>19892050000</v>
      </c>
      <c r="J309" s="409">
        <f>IF(B309="","",SUMIFS('Canjes desagregado'!$X$2:$X$854,'Canjes desagregado'!$B$2:$B$854,HISTORICO!B309))</f>
        <v>14962500000</v>
      </c>
      <c r="K309" s="408">
        <f t="shared" si="7"/>
        <v>34854550000</v>
      </c>
      <c r="L309" s="410">
        <f>IF(B309="","",SUMIFS('Canjes desagregado'!$AD$2:$AD$854,'Canjes desagregado'!$B$2:$B$854,HISTORICO!B309))</f>
        <v>0</v>
      </c>
      <c r="M309" s="410">
        <f t="shared" si="8"/>
        <v>34854550000</v>
      </c>
      <c r="N309" s="410">
        <f>IF(B309="","",SUMIFS('Canjes desagregado'!$S$2:$S$854,'Canjes desagregado'!$B$2:$B$854,HISTORICO!B309))</f>
        <v>0</v>
      </c>
      <c r="O309" s="410">
        <f t="shared" si="9"/>
        <v>34854550000</v>
      </c>
      <c r="P309" s="411">
        <f t="shared" si="10"/>
        <v>8.0125402298850582E-2</v>
      </c>
      <c r="Q309" s="411">
        <f t="shared" si="11"/>
        <v>8.0125402298850582E-2</v>
      </c>
      <c r="R309" s="412">
        <f>IF(B309="","",H309/$H$363)</f>
        <v>2.8003315515306486E-2</v>
      </c>
      <c r="S309" s="412"/>
      <c r="T309" s="412"/>
      <c r="U309" s="413">
        <f t="shared" si="12"/>
        <v>34854550000</v>
      </c>
      <c r="V309" s="413">
        <f t="shared" si="13"/>
        <v>34854550000</v>
      </c>
      <c r="W309" s="413" t="str">
        <f t="shared" si="14"/>
        <v/>
      </c>
      <c r="X309" s="411">
        <f t="shared" si="15"/>
        <v>8.0125402298850582E-2</v>
      </c>
      <c r="Y309" s="304"/>
      <c r="Z309" s="305"/>
      <c r="AA309" s="305"/>
      <c r="AB309" s="193" t="e">
        <v>#VALUE!</v>
      </c>
      <c r="AC309" s="306">
        <f t="shared" si="0"/>
        <v>4.5728850574712647E-2</v>
      </c>
      <c r="AD309" s="304">
        <f>IF(B309="","",-SUMIFS('Canjes desagregado'!$S$2:$S$854,'Canjes desagregado'!$B$2:$B$854,B309,'Canjes desagregado'!$E$2:$E$854,"Títulos Recogidos por la Nación",'Canjes desagregado'!$G$2:$G$854,"COP"))</f>
        <v>435000000000</v>
      </c>
      <c r="AE309" s="304">
        <f>IF(B309="","",-SUMIFS('Canjes desagregado'!$S$2:$S$854,'Canjes desagregado'!$B$2:$B$854,B309,'Canjes desagregado'!$E$2:$E$854,"Títulos Recogidos por la Nación",'Canjes desagregado'!$G$2:$G$854,"UVR"))</f>
        <v>0</v>
      </c>
      <c r="AM309" s="332">
        <f t="shared" si="1"/>
        <v>0</v>
      </c>
      <c r="AN309" s="334" t="e">
        <f t="shared" si="2"/>
        <v>#DIV/0!</v>
      </c>
      <c r="AO309" s="334" t="e">
        <f t="shared" si="3"/>
        <v>#DIV/0!</v>
      </c>
    </row>
    <row r="310" spans="1:41" ht="17.25" customHeight="1">
      <c r="A310" s="403">
        <f t="shared" si="4"/>
        <v>2025</v>
      </c>
      <c r="B310" s="403">
        <v>605</v>
      </c>
      <c r="C310" s="404" t="s">
        <v>42</v>
      </c>
      <c r="D310" s="414">
        <v>45702</v>
      </c>
      <c r="E310" s="406">
        <f t="shared" si="5"/>
        <v>2025</v>
      </c>
      <c r="F310" s="407" t="s">
        <v>4</v>
      </c>
      <c r="G310" s="383">
        <f t="shared" si="6"/>
        <v>45702</v>
      </c>
      <c r="H310" s="408">
        <f>IF(B310="","",-SUMIFS('Canjes desagregado'!$S$2:$S$854,'Canjes desagregado'!$B$2:$B$854,B310,'Canjes desagregado'!$E$2:$E$854,"Títulos Recogidos por la Nación"))</f>
        <v>85000000000</v>
      </c>
      <c r="I310" s="409">
        <f>IF(B310="","",-SUMIFS('Canjes desagregado'!$U$2:$U$854,'Canjes desagregado'!$B$2:$B$854,HISTORICO!B310))</f>
        <v>3720350000</v>
      </c>
      <c r="J310" s="409">
        <f>IF(B310="","",SUMIFS('Canjes desagregado'!$X$2:$X$854,'Canjes desagregado'!$B$2:$B$854,HISTORICO!B310))</f>
        <v>2837500000</v>
      </c>
      <c r="K310" s="408">
        <f t="shared" si="7"/>
        <v>6557850000</v>
      </c>
      <c r="L310" s="410">
        <f>IF(B310="","",SUMIFS('Canjes desagregado'!$AD$2:$AD$854,'Canjes desagregado'!$B$2:$B$854,HISTORICO!B310))</f>
        <v>0</v>
      </c>
      <c r="M310" s="410">
        <f t="shared" si="8"/>
        <v>6557850000</v>
      </c>
      <c r="N310" s="410">
        <f>IF(B310="","",SUMIFS('Canjes desagregado'!$S$2:$S$854,'Canjes desagregado'!$B$2:$B$854,HISTORICO!B310))</f>
        <v>0</v>
      </c>
      <c r="O310" s="410">
        <f t="shared" si="9"/>
        <v>6557850000</v>
      </c>
      <c r="P310" s="411">
        <f t="shared" si="10"/>
        <v>7.7151176470588237E-2</v>
      </c>
      <c r="Q310" s="411">
        <f t="shared" si="11"/>
        <v>7.7151176470588237E-2</v>
      </c>
      <c r="R310" s="412">
        <f>IF(B310="","",H310/$H$363)</f>
        <v>5.4719122271288537E-3</v>
      </c>
      <c r="S310" s="412"/>
      <c r="T310" s="412"/>
      <c r="U310" s="413">
        <f t="shared" si="12"/>
        <v>6557850000</v>
      </c>
      <c r="V310" s="413">
        <f t="shared" si="13"/>
        <v>6557850000</v>
      </c>
      <c r="W310" s="413" t="str">
        <f t="shared" si="14"/>
        <v/>
      </c>
      <c r="X310" s="411">
        <f t="shared" si="15"/>
        <v>7.7151176470588237E-2</v>
      </c>
      <c r="Y310" s="304"/>
      <c r="Z310" s="305"/>
      <c r="AA310" s="305"/>
      <c r="AB310" s="193" t="e">
        <v>#VALUE!</v>
      </c>
      <c r="AC310" s="306">
        <f t="shared" si="0"/>
        <v>4.3768823529411763E-2</v>
      </c>
      <c r="AD310" s="304">
        <f>IF(B310="","",-SUMIFS('Canjes desagregado'!$S$2:$S$854,'Canjes desagregado'!$B$2:$B$854,B310,'Canjes desagregado'!$E$2:$E$854,"Títulos Recogidos por la Nación",'Canjes desagregado'!$G$2:$G$854,"COP"))</f>
        <v>85000000000</v>
      </c>
      <c r="AE310" s="304">
        <f>IF(B310="","",-SUMIFS('Canjes desagregado'!$S$2:$S$854,'Canjes desagregado'!$B$2:$B$854,B310,'Canjes desagregado'!$E$2:$E$854,"Títulos Recogidos por la Nación",'Canjes desagregado'!$G$2:$G$854,"UVR"))</f>
        <v>0</v>
      </c>
      <c r="AM310" s="332">
        <f t="shared" si="1"/>
        <v>0</v>
      </c>
      <c r="AN310" s="334" t="e">
        <f t="shared" si="2"/>
        <v>#DIV/0!</v>
      </c>
      <c r="AO310" s="334" t="e">
        <f t="shared" si="3"/>
        <v>#DIV/0!</v>
      </c>
    </row>
    <row r="311" spans="1:41" ht="17.25" customHeight="1">
      <c r="A311" s="403">
        <f t="shared" si="4"/>
        <v>2025</v>
      </c>
      <c r="B311" s="403">
        <v>606</v>
      </c>
      <c r="C311" s="404" t="s">
        <v>42</v>
      </c>
      <c r="D311" s="414">
        <v>45706</v>
      </c>
      <c r="E311" s="406">
        <f t="shared" si="5"/>
        <v>2025</v>
      </c>
      <c r="F311" s="407" t="s">
        <v>4</v>
      </c>
      <c r="G311" s="383">
        <f t="shared" si="6"/>
        <v>45706</v>
      </c>
      <c r="H311" s="408">
        <f>IF(B311="","",-SUMIFS('Canjes desagregado'!$S$2:$S$854,'Canjes desagregado'!$B$2:$B$854,B311,'Canjes desagregado'!$E$2:$E$854,"Títulos Recogidos por la Nación"))</f>
        <v>594000000000</v>
      </c>
      <c r="I311" s="409">
        <f>IF(B311="","",-SUMIFS('Canjes desagregado'!$U$2:$U$854,'Canjes desagregado'!$B$2:$B$854,HISTORICO!B311))</f>
        <v>24140160000</v>
      </c>
      <c r="J311" s="409">
        <f>IF(B311="","",SUMIFS('Canjes desagregado'!$X$2:$X$854,'Canjes desagregado'!$B$2:$B$854,HISTORICO!B311))</f>
        <v>23760000000</v>
      </c>
      <c r="K311" s="408">
        <f t="shared" si="7"/>
        <v>47900160000</v>
      </c>
      <c r="L311" s="410">
        <f>IF(B311="","",SUMIFS('Canjes desagregado'!$AD$2:$AD$854,'Canjes desagregado'!$B$2:$B$854,HISTORICO!B311))</f>
        <v>0</v>
      </c>
      <c r="M311" s="410">
        <f t="shared" si="8"/>
        <v>47900160000</v>
      </c>
      <c r="N311" s="410">
        <f>IF(B311="","",SUMIFS('Canjes desagregado'!$S$2:$S$854,'Canjes desagregado'!$B$2:$B$854,HISTORICO!B311))</f>
        <v>0</v>
      </c>
      <c r="O311" s="410">
        <f t="shared" si="9"/>
        <v>47900160000</v>
      </c>
      <c r="P311" s="411">
        <f t="shared" si="10"/>
        <v>8.0640000000000003E-2</v>
      </c>
      <c r="Q311" s="411">
        <f t="shared" si="11"/>
        <v>8.0640000000000003E-2</v>
      </c>
      <c r="R311" s="412">
        <f>IF(B311="","",H311/$H$363)</f>
        <v>3.8239010151935753E-2</v>
      </c>
      <c r="S311" s="412"/>
      <c r="T311" s="412"/>
      <c r="U311" s="413">
        <f t="shared" si="12"/>
        <v>47900160000</v>
      </c>
      <c r="V311" s="413">
        <f t="shared" si="13"/>
        <v>47900160000</v>
      </c>
      <c r="W311" s="413" t="str">
        <f t="shared" si="14"/>
        <v/>
      </c>
      <c r="X311" s="411">
        <f t="shared" si="15"/>
        <v>8.0640000000000003E-2</v>
      </c>
      <c r="Y311" s="304"/>
      <c r="Z311" s="305"/>
      <c r="AA311" s="305"/>
      <c r="AB311" s="193" t="e">
        <v>#VALUE!</v>
      </c>
      <c r="AC311" s="306">
        <f t="shared" si="0"/>
        <v>4.0640000000000003E-2</v>
      </c>
      <c r="AD311" s="304">
        <f>IF(B311="","",-SUMIFS('Canjes desagregado'!$S$2:$S$854,'Canjes desagregado'!$B$2:$B$854,B311,'Canjes desagregado'!$E$2:$E$854,"Títulos Recogidos por la Nación",'Canjes desagregado'!$G$2:$G$854,"COP"))</f>
        <v>594000000000</v>
      </c>
      <c r="AE311" s="304">
        <f>IF(B311="","",-SUMIFS('Canjes desagregado'!$S$2:$S$854,'Canjes desagregado'!$B$2:$B$854,B311,'Canjes desagregado'!$E$2:$E$854,"Títulos Recogidos por la Nación",'Canjes desagregado'!$G$2:$G$854,"UVR"))</f>
        <v>0</v>
      </c>
      <c r="AM311" s="332">
        <f t="shared" si="1"/>
        <v>0</v>
      </c>
      <c r="AN311" s="334" t="e">
        <f t="shared" si="2"/>
        <v>#DIV/0!</v>
      </c>
      <c r="AO311" s="334" t="e">
        <f t="shared" si="3"/>
        <v>#DIV/0!</v>
      </c>
    </row>
    <row r="312" spans="1:41" ht="17.25" customHeight="1">
      <c r="A312" s="403">
        <f t="shared" si="4"/>
        <v>2025</v>
      </c>
      <c r="B312" s="403">
        <v>607</v>
      </c>
      <c r="C312" s="404" t="s">
        <v>42</v>
      </c>
      <c r="D312" s="414">
        <v>45707</v>
      </c>
      <c r="E312" s="406">
        <f t="shared" si="5"/>
        <v>2025</v>
      </c>
      <c r="F312" s="407" t="s">
        <v>4</v>
      </c>
      <c r="G312" s="383">
        <f t="shared" si="6"/>
        <v>45707</v>
      </c>
      <c r="H312" s="408">
        <f>IF(B312="","",-SUMIFS('Canjes desagregado'!$S$2:$S$854,'Canjes desagregado'!$B$2:$B$854,B312,'Canjes desagregado'!$E$2:$E$854,"Títulos Recogidos por la Nación"))</f>
        <v>456000000000</v>
      </c>
      <c r="I312" s="409">
        <f>IF(B312="","",-SUMIFS('Canjes desagregado'!$U$2:$U$854,'Canjes desagregado'!$B$2:$B$854,HISTORICO!B312))</f>
        <v>18180720000</v>
      </c>
      <c r="J312" s="409">
        <f>IF(B312="","",SUMIFS('Canjes desagregado'!$X$2:$X$854,'Canjes desagregado'!$B$2:$B$854,HISTORICO!B312))</f>
        <v>18240000000</v>
      </c>
      <c r="K312" s="408">
        <f t="shared" si="7"/>
        <v>36420720000</v>
      </c>
      <c r="L312" s="410">
        <f>IF(B312="","",SUMIFS('Canjes desagregado'!$AD$2:$AD$854,'Canjes desagregado'!$B$2:$B$854,HISTORICO!B312))</f>
        <v>0</v>
      </c>
      <c r="M312" s="410">
        <f t="shared" si="8"/>
        <v>36420720000</v>
      </c>
      <c r="N312" s="410">
        <f>IF(B312="","",SUMIFS('Canjes desagregado'!$S$2:$S$854,'Canjes desagregado'!$B$2:$B$854,HISTORICO!B312))</f>
        <v>0</v>
      </c>
      <c r="O312" s="410">
        <f t="shared" si="9"/>
        <v>36420720000</v>
      </c>
      <c r="P312" s="411">
        <f t="shared" si="10"/>
        <v>7.9869999999999997E-2</v>
      </c>
      <c r="Q312" s="411">
        <f t="shared" si="11"/>
        <v>7.9869999999999997E-2</v>
      </c>
      <c r="R312" s="412">
        <f>IF(B312="","",H312/$H$363)</f>
        <v>2.9355199712597143E-2</v>
      </c>
      <c r="S312" s="412"/>
      <c r="T312" s="412"/>
      <c r="U312" s="413">
        <f t="shared" si="12"/>
        <v>36420720000</v>
      </c>
      <c r="V312" s="413">
        <f t="shared" si="13"/>
        <v>36420720000</v>
      </c>
      <c r="W312" s="413" t="str">
        <f t="shared" si="14"/>
        <v/>
      </c>
      <c r="X312" s="411">
        <f t="shared" si="15"/>
        <v>7.9869999999999997E-2</v>
      </c>
      <c r="Y312" s="304"/>
      <c r="Z312" s="305"/>
      <c r="AA312" s="305"/>
      <c r="AB312" s="193" t="e">
        <v>#VALUE!</v>
      </c>
      <c r="AC312" s="306">
        <f t="shared" si="0"/>
        <v>3.9870000000000003E-2</v>
      </c>
      <c r="AD312" s="304">
        <f>IF(B312="","",-SUMIFS('Canjes desagregado'!$S$2:$S$854,'Canjes desagregado'!$B$2:$B$854,B312,'Canjes desagregado'!$E$2:$E$854,"Títulos Recogidos por la Nación",'Canjes desagregado'!$G$2:$G$854,"COP"))</f>
        <v>456000000000</v>
      </c>
      <c r="AE312" s="304">
        <f>IF(B312="","",-SUMIFS('Canjes desagregado'!$S$2:$S$854,'Canjes desagregado'!$B$2:$B$854,B312,'Canjes desagregado'!$E$2:$E$854,"Títulos Recogidos por la Nación",'Canjes desagregado'!$G$2:$G$854,"UVR"))</f>
        <v>0</v>
      </c>
      <c r="AM312" s="332">
        <f t="shared" si="1"/>
        <v>0</v>
      </c>
      <c r="AN312" s="334" t="e">
        <f t="shared" si="2"/>
        <v>#DIV/0!</v>
      </c>
      <c r="AO312" s="334" t="e">
        <f t="shared" si="3"/>
        <v>#DIV/0!</v>
      </c>
    </row>
    <row r="313" spans="1:41" ht="17.25" customHeight="1">
      <c r="A313" s="403">
        <f t="shared" si="4"/>
        <v>2025</v>
      </c>
      <c r="B313" s="403">
        <v>608</v>
      </c>
      <c r="C313" s="404" t="s">
        <v>42</v>
      </c>
      <c r="D313" s="414">
        <v>45708</v>
      </c>
      <c r="E313" s="406">
        <f t="shared" si="5"/>
        <v>2025</v>
      </c>
      <c r="F313" s="407" t="s">
        <v>4</v>
      </c>
      <c r="G313" s="383">
        <f t="shared" si="6"/>
        <v>45708</v>
      </c>
      <c r="H313" s="408">
        <f>IF(B313="","",-SUMIFS('Canjes desagregado'!$S$2:$S$854,'Canjes desagregado'!$B$2:$B$854,B313,'Canjes desagregado'!$E$2:$E$854,"Títulos Recogidos por la Nación"))</f>
        <v>602000000000</v>
      </c>
      <c r="I313" s="409">
        <f>IF(B313="","",-SUMIFS('Canjes desagregado'!$U$2:$U$854,'Canjes desagregado'!$B$2:$B$854,HISTORICO!B313))</f>
        <v>21473340000</v>
      </c>
      <c r="J313" s="409">
        <f>IF(B313="","",SUMIFS('Canjes desagregado'!$X$2:$X$854,'Canjes desagregado'!$B$2:$B$854,HISTORICO!B313))</f>
        <v>24080000000</v>
      </c>
      <c r="K313" s="408">
        <f t="shared" si="7"/>
        <v>45553340000</v>
      </c>
      <c r="L313" s="410">
        <f>IF(B313="","",SUMIFS('Canjes desagregado'!$AD$2:$AD$854,'Canjes desagregado'!$B$2:$B$854,HISTORICO!B313))</f>
        <v>0</v>
      </c>
      <c r="M313" s="410">
        <f t="shared" si="8"/>
        <v>45553340000</v>
      </c>
      <c r="N313" s="410">
        <f>IF(B313="","",SUMIFS('Canjes desagregado'!$S$2:$S$854,'Canjes desagregado'!$B$2:$B$854,HISTORICO!B313))</f>
        <v>0</v>
      </c>
      <c r="O313" s="410">
        <f t="shared" si="9"/>
        <v>45553340000</v>
      </c>
      <c r="P313" s="411">
        <f t="shared" si="10"/>
        <v>7.5670000000000001E-2</v>
      </c>
      <c r="Q313" s="411">
        <f t="shared" si="11"/>
        <v>7.5670000000000001E-2</v>
      </c>
      <c r="R313" s="412">
        <f>IF(B313="","",H313/$H$363)</f>
        <v>3.8754013655665526E-2</v>
      </c>
      <c r="S313" s="412"/>
      <c r="T313" s="412"/>
      <c r="U313" s="413">
        <f t="shared" si="12"/>
        <v>45553340000</v>
      </c>
      <c r="V313" s="413">
        <f t="shared" si="13"/>
        <v>45553340000</v>
      </c>
      <c r="W313" s="413" t="str">
        <f t="shared" si="14"/>
        <v/>
      </c>
      <c r="X313" s="411">
        <f t="shared" si="15"/>
        <v>7.5670000000000001E-2</v>
      </c>
      <c r="Y313" s="304"/>
      <c r="Z313" s="305"/>
      <c r="AA313" s="305"/>
      <c r="AB313" s="193" t="e">
        <v>#VALUE!</v>
      </c>
      <c r="AC313" s="306">
        <f t="shared" si="0"/>
        <v>3.567E-2</v>
      </c>
      <c r="AD313" s="304">
        <f>IF(B313="","",-SUMIFS('Canjes desagregado'!$S$2:$S$854,'Canjes desagregado'!$B$2:$B$854,B313,'Canjes desagregado'!$E$2:$E$854,"Títulos Recogidos por la Nación",'Canjes desagregado'!$G$2:$G$854,"COP"))</f>
        <v>602000000000</v>
      </c>
      <c r="AE313" s="304">
        <f>IF(B313="","",-SUMIFS('Canjes desagregado'!$S$2:$S$854,'Canjes desagregado'!$B$2:$B$854,B313,'Canjes desagregado'!$E$2:$E$854,"Títulos Recogidos por la Nación",'Canjes desagregado'!$G$2:$G$854,"UVR"))</f>
        <v>0</v>
      </c>
      <c r="AM313" s="332">
        <f t="shared" si="1"/>
        <v>0</v>
      </c>
      <c r="AN313" s="334" t="e">
        <f t="shared" si="2"/>
        <v>#DIV/0!</v>
      </c>
      <c r="AO313" s="334" t="e">
        <f t="shared" si="3"/>
        <v>#DIV/0!</v>
      </c>
    </row>
    <row r="314" spans="1:41" ht="17.25" customHeight="1">
      <c r="A314" s="403">
        <f t="shared" si="4"/>
        <v>2025</v>
      </c>
      <c r="B314" s="403">
        <v>609</v>
      </c>
      <c r="C314" s="404" t="s">
        <v>42</v>
      </c>
      <c r="D314" s="414">
        <v>45709</v>
      </c>
      <c r="E314" s="406">
        <f t="shared" si="5"/>
        <v>2025</v>
      </c>
      <c r="F314" s="407" t="s">
        <v>4</v>
      </c>
      <c r="G314" s="383">
        <f t="shared" si="6"/>
        <v>45709</v>
      </c>
      <c r="H314" s="408">
        <f>IF(B314="","",-SUMIFS('Canjes desagregado'!$S$2:$S$854,'Canjes desagregado'!$B$2:$B$854,B314,'Canjes desagregado'!$E$2:$E$854,"Títulos Recogidos por la Nación"))</f>
        <v>508000000000</v>
      </c>
      <c r="I314" s="409">
        <f>IF(B314="","",-SUMIFS('Canjes desagregado'!$U$2:$U$854,'Canjes desagregado'!$B$2:$B$854,HISTORICO!B314))</f>
        <v>16128999999.999939</v>
      </c>
      <c r="J314" s="409">
        <f>IF(B314="","",SUMIFS('Canjes desagregado'!$X$2:$X$854,'Canjes desagregado'!$B$2:$B$854,HISTORICO!B314))</f>
        <v>20320000000</v>
      </c>
      <c r="K314" s="408">
        <f t="shared" si="7"/>
        <v>36448999999.999939</v>
      </c>
      <c r="L314" s="410">
        <f>IF(B314="","",SUMIFS('Canjes desagregado'!$AD$2:$AD$854,'Canjes desagregado'!$B$2:$B$854,HISTORICO!B314))</f>
        <v>0</v>
      </c>
      <c r="M314" s="410">
        <f t="shared" si="8"/>
        <v>36448999999.999939</v>
      </c>
      <c r="N314" s="410">
        <f>IF(B314="","",SUMIFS('Canjes desagregado'!$S$2:$S$854,'Canjes desagregado'!$B$2:$B$854,HISTORICO!B314))</f>
        <v>0</v>
      </c>
      <c r="O314" s="410">
        <f t="shared" si="9"/>
        <v>36448999999.999939</v>
      </c>
      <c r="P314" s="411">
        <f t="shared" si="10"/>
        <v>7.1749999999999883E-2</v>
      </c>
      <c r="Q314" s="411">
        <f t="shared" si="11"/>
        <v>7.1749999999999883E-2</v>
      </c>
      <c r="R314" s="412">
        <f>IF(B314="","",H314/$H$363)</f>
        <v>3.2702722486840675E-2</v>
      </c>
      <c r="S314" s="412"/>
      <c r="T314" s="412"/>
      <c r="U314" s="413">
        <f t="shared" si="12"/>
        <v>36448999999.999939</v>
      </c>
      <c r="V314" s="413">
        <f t="shared" si="13"/>
        <v>36448999999.999939</v>
      </c>
      <c r="W314" s="413" t="str">
        <f t="shared" si="14"/>
        <v/>
      </c>
      <c r="X314" s="411">
        <f t="shared" si="15"/>
        <v>7.1749999999999883E-2</v>
      </c>
      <c r="Y314" s="304"/>
      <c r="Z314" s="305"/>
      <c r="AA314" s="305"/>
      <c r="AB314" s="193" t="e">
        <f>SUMIFS('Canjes desagregado'!#REF!,'Canjes desagregado'!$B$2:$B$854,B314)</f>
        <v>#REF!</v>
      </c>
      <c r="AC314" s="306">
        <f t="shared" si="0"/>
        <v>3.1749999999999882E-2</v>
      </c>
      <c r="AD314" s="304">
        <f>IF(B314="","",-SUMIFS('Canjes desagregado'!$S$2:$S$854,'Canjes desagregado'!$B$2:$B$854,B314,'Canjes desagregado'!$E$2:$E$854,"Títulos Recogidos por la Nación",'Canjes desagregado'!$G$2:$G$854,"COP"))</f>
        <v>508000000000</v>
      </c>
      <c r="AE314" s="304">
        <f>IF(B314="","",-SUMIFS('Canjes desagregado'!$S$2:$S$854,'Canjes desagregado'!$B$2:$B$854,B314,'Canjes desagregado'!$E$2:$E$854,"Títulos Recogidos por la Nación",'Canjes desagregado'!$G$2:$G$854,"UVR"))</f>
        <v>0</v>
      </c>
      <c r="AM314" s="332">
        <f t="shared" si="1"/>
        <v>0</v>
      </c>
      <c r="AN314" s="334" t="e">
        <f t="shared" si="2"/>
        <v>#DIV/0!</v>
      </c>
      <c r="AO314" s="334" t="e">
        <f t="shared" si="3"/>
        <v>#DIV/0!</v>
      </c>
    </row>
    <row r="315" spans="1:41" ht="17.25" customHeight="1">
      <c r="A315" s="403">
        <f t="shared" si="4"/>
        <v>2025</v>
      </c>
      <c r="B315" s="403">
        <v>610</v>
      </c>
      <c r="C315" s="404" t="s">
        <v>42</v>
      </c>
      <c r="D315" s="414">
        <v>45712</v>
      </c>
      <c r="E315" s="406">
        <f t="shared" si="5"/>
        <v>2025</v>
      </c>
      <c r="F315" s="407" t="s">
        <v>4</v>
      </c>
      <c r="G315" s="383">
        <f t="shared" si="6"/>
        <v>45712</v>
      </c>
      <c r="H315" s="408">
        <f>IF(B315="","",-SUMIFS('Canjes desagregado'!$S$2:$S$854,'Canjes desagregado'!$B$2:$B$854,B315,'Canjes desagregado'!$E$2:$E$854,"Títulos Recogidos por la Nación"))</f>
        <v>250000000000</v>
      </c>
      <c r="I315" s="409">
        <f>IF(B315="","",-SUMIFS('Canjes desagregado'!$U$2:$U$854,'Canjes desagregado'!$B$2:$B$854,HISTORICO!B315))</f>
        <v>6010000000.0000305</v>
      </c>
      <c r="J315" s="409">
        <f>IF(B315="","",SUMIFS('Canjes desagregado'!$X$2:$X$854,'Canjes desagregado'!$B$2:$B$854,HISTORICO!B315))</f>
        <v>10000000000</v>
      </c>
      <c r="K315" s="408">
        <f t="shared" si="7"/>
        <v>16010000000.000031</v>
      </c>
      <c r="L315" s="410">
        <f>IF(B315="","",SUMIFS('Canjes desagregado'!$AD$2:$AD$854,'Canjes desagregado'!$B$2:$B$854,HISTORICO!B315))</f>
        <v>0</v>
      </c>
      <c r="M315" s="410">
        <f t="shared" si="8"/>
        <v>16010000000.000031</v>
      </c>
      <c r="N315" s="410">
        <f>IF(B315="","",SUMIFS('Canjes desagregado'!$S$2:$S$854,'Canjes desagregado'!$B$2:$B$854,HISTORICO!B315))</f>
        <v>0</v>
      </c>
      <c r="O315" s="410">
        <f t="shared" si="9"/>
        <v>16010000000.000031</v>
      </c>
      <c r="P315" s="411">
        <f t="shared" si="10"/>
        <v>6.4040000000000125E-2</v>
      </c>
      <c r="Q315" s="411">
        <f t="shared" si="11"/>
        <v>6.4040000000000125E-2</v>
      </c>
      <c r="R315" s="412">
        <f>IF(B315="","",H315/$H$363)</f>
        <v>1.6093859491555451E-2</v>
      </c>
      <c r="S315" s="412"/>
      <c r="T315" s="412"/>
      <c r="U315" s="413">
        <f t="shared" si="12"/>
        <v>16010000000.000031</v>
      </c>
      <c r="V315" s="413">
        <f t="shared" si="13"/>
        <v>16010000000.000031</v>
      </c>
      <c r="W315" s="413" t="str">
        <f t="shared" si="14"/>
        <v/>
      </c>
      <c r="X315" s="411">
        <f t="shared" si="15"/>
        <v>6.4040000000000125E-2</v>
      </c>
      <c r="Y315" s="304"/>
      <c r="Z315" s="305"/>
      <c r="AA315" s="305"/>
      <c r="AB315" s="193" t="e">
        <f>SUMIFS('Canjes desagregado'!#REF!,'Canjes desagregado'!$B$2:$B$854,B315)</f>
        <v>#REF!</v>
      </c>
      <c r="AC315" s="306">
        <f t="shared" si="0"/>
        <v>2.4040000000000124E-2</v>
      </c>
      <c r="AD315" s="304">
        <f>IF(B315="","",-SUMIFS('Canjes desagregado'!$S$2:$S$854,'Canjes desagregado'!$B$2:$B$854,B315,'Canjes desagregado'!$E$2:$E$854,"Títulos Recogidos por la Nación",'Canjes desagregado'!$G$2:$G$854,"COP"))</f>
        <v>250000000000</v>
      </c>
      <c r="AE315" s="304">
        <f>IF(B315="","",-SUMIFS('Canjes desagregado'!$S$2:$S$854,'Canjes desagregado'!$B$2:$B$854,B315,'Canjes desagregado'!$E$2:$E$854,"Títulos Recogidos por la Nación",'Canjes desagregado'!$G$2:$G$854,"UVR"))</f>
        <v>0</v>
      </c>
      <c r="AM315" s="332">
        <f t="shared" si="1"/>
        <v>0</v>
      </c>
      <c r="AN315" s="334" t="e">
        <f t="shared" si="2"/>
        <v>#DIV/0!</v>
      </c>
      <c r="AO315" s="334" t="e">
        <f t="shared" si="3"/>
        <v>#DIV/0!</v>
      </c>
    </row>
    <row r="316" spans="1:41" ht="17.25" customHeight="1">
      <c r="A316" s="403">
        <f t="shared" si="4"/>
        <v>2025</v>
      </c>
      <c r="B316" s="403">
        <v>611</v>
      </c>
      <c r="C316" s="404" t="s">
        <v>42</v>
      </c>
      <c r="D316" s="414">
        <v>45713</v>
      </c>
      <c r="E316" s="406">
        <f t="shared" si="5"/>
        <v>2025</v>
      </c>
      <c r="F316" s="407" t="s">
        <v>4</v>
      </c>
      <c r="G316" s="383">
        <f t="shared" si="6"/>
        <v>45713</v>
      </c>
      <c r="H316" s="408">
        <f>IF(B316="","",-SUMIFS('Canjes desagregado'!$S$2:$S$854,'Canjes desagregado'!$B$2:$B$854,B316,'Canjes desagregado'!$E$2:$E$854,"Títulos Recogidos por la Nación"))</f>
        <v>432000000000</v>
      </c>
      <c r="I316" s="409">
        <f>IF(B316="","",-SUMIFS('Canjes desagregado'!$U$2:$U$854,'Canjes desagregado'!$B$2:$B$854,HISTORICO!B316))</f>
        <v>9966240000</v>
      </c>
      <c r="J316" s="409">
        <f>IF(B316="","",SUMIFS('Canjes desagregado'!$X$2:$X$854,'Canjes desagregado'!$B$2:$B$854,HISTORICO!B316))</f>
        <v>17280000000</v>
      </c>
      <c r="K316" s="408">
        <f t="shared" si="7"/>
        <v>27246240000</v>
      </c>
      <c r="L316" s="410">
        <f>IF(B316="","",SUMIFS('Canjes desagregado'!$AD$2:$AD$854,'Canjes desagregado'!$B$2:$B$854,HISTORICO!B316))</f>
        <v>0</v>
      </c>
      <c r="M316" s="410">
        <f t="shared" si="8"/>
        <v>27246240000</v>
      </c>
      <c r="N316" s="410">
        <f>IF(B316="","",SUMIFS('Canjes desagregado'!$S$2:$S$854,'Canjes desagregado'!$B$2:$B$854,HISTORICO!B316))</f>
        <v>0</v>
      </c>
      <c r="O316" s="410">
        <f t="shared" si="9"/>
        <v>27246240000</v>
      </c>
      <c r="P316" s="411">
        <f t="shared" si="10"/>
        <v>6.3070000000000001E-2</v>
      </c>
      <c r="Q316" s="411">
        <f t="shared" si="11"/>
        <v>6.3070000000000001E-2</v>
      </c>
      <c r="R316" s="412">
        <f>IF(B316="","",H316/$H$363)</f>
        <v>2.781018920140782E-2</v>
      </c>
      <c r="S316" s="412"/>
      <c r="T316" s="412"/>
      <c r="U316" s="413">
        <f t="shared" si="12"/>
        <v>27246240000</v>
      </c>
      <c r="V316" s="413">
        <f t="shared" si="13"/>
        <v>27246240000</v>
      </c>
      <c r="W316" s="413" t="str">
        <f t="shared" si="14"/>
        <v/>
      </c>
      <c r="X316" s="411">
        <f t="shared" si="15"/>
        <v>6.3070000000000001E-2</v>
      </c>
      <c r="Y316" s="304"/>
      <c r="Z316" s="305"/>
      <c r="AA316" s="305"/>
      <c r="AB316" s="193" t="e">
        <f>SUMIFS('Canjes desagregado'!#REF!,'Canjes desagregado'!$B$2:$B$854,B316)</f>
        <v>#REF!</v>
      </c>
      <c r="AC316" s="306">
        <f t="shared" si="0"/>
        <v>2.307E-2</v>
      </c>
      <c r="AD316" s="304">
        <f>IF(B316="","",-SUMIFS('Canjes desagregado'!$S$2:$S$854,'Canjes desagregado'!$B$2:$B$854,B316,'Canjes desagregado'!$E$2:$E$854,"Títulos Recogidos por la Nación",'Canjes desagregado'!$G$2:$G$854,"COP"))</f>
        <v>432000000000</v>
      </c>
      <c r="AE316" s="304">
        <f>IF(B316="","",-SUMIFS('Canjes desagregado'!$S$2:$S$854,'Canjes desagregado'!$B$2:$B$854,B316,'Canjes desagregado'!$E$2:$E$854,"Títulos Recogidos por la Nación",'Canjes desagregado'!$G$2:$G$854,"UVR"))</f>
        <v>0</v>
      </c>
      <c r="AM316" s="332">
        <f t="shared" si="1"/>
        <v>0</v>
      </c>
      <c r="AN316" s="334" t="e">
        <f t="shared" si="2"/>
        <v>#DIV/0!</v>
      </c>
      <c r="AO316" s="334" t="e">
        <f t="shared" si="3"/>
        <v>#DIV/0!</v>
      </c>
    </row>
    <row r="317" spans="1:41" ht="17.25" customHeight="1">
      <c r="A317" s="403">
        <f t="shared" si="4"/>
        <v>2025</v>
      </c>
      <c r="B317" s="403">
        <v>612</v>
      </c>
      <c r="C317" s="404" t="s">
        <v>42</v>
      </c>
      <c r="D317" s="414">
        <v>45715</v>
      </c>
      <c r="E317" s="406">
        <f t="shared" si="5"/>
        <v>2025</v>
      </c>
      <c r="F317" s="407" t="s">
        <v>4</v>
      </c>
      <c r="G317" s="383">
        <f t="shared" si="6"/>
        <v>45715</v>
      </c>
      <c r="H317" s="408">
        <f>IF(B317="","",-SUMIFS('Canjes desagregado'!$S$2:$S$854,'Canjes desagregado'!$B$2:$B$854,B317,'Canjes desagregado'!$E$2:$E$854,"Títulos Recogidos por la Nación"))</f>
        <v>266500000000</v>
      </c>
      <c r="I317" s="409">
        <f>IF(B317="","",-SUMIFS('Canjes desagregado'!$U$2:$U$854,'Canjes desagregado'!$B$2:$B$854,HISTORICO!B317))</f>
        <v>6827730000</v>
      </c>
      <c r="J317" s="409">
        <f>IF(B317="","",SUMIFS('Canjes desagregado'!$X$2:$X$854,'Canjes desagregado'!$B$2:$B$854,HISTORICO!B317))</f>
        <v>10660000000</v>
      </c>
      <c r="K317" s="408">
        <f t="shared" si="7"/>
        <v>17487730000</v>
      </c>
      <c r="L317" s="410">
        <f>IF(B317="","",SUMIFS('Canjes desagregado'!$AD$2:$AD$854,'Canjes desagregado'!$B$2:$B$854,HISTORICO!B317))</f>
        <v>0</v>
      </c>
      <c r="M317" s="410">
        <f t="shared" si="8"/>
        <v>17487730000</v>
      </c>
      <c r="N317" s="410">
        <f>IF(B317="","",SUMIFS('Canjes desagregado'!$S$2:$S$854,'Canjes desagregado'!$B$2:$B$854,HISTORICO!B317))</f>
        <v>0</v>
      </c>
      <c r="O317" s="410">
        <f t="shared" si="9"/>
        <v>17487730000</v>
      </c>
      <c r="P317" s="411">
        <f t="shared" si="10"/>
        <v>6.5619999999999998E-2</v>
      </c>
      <c r="Q317" s="411">
        <f t="shared" si="11"/>
        <v>6.5619999999999998E-2</v>
      </c>
      <c r="R317" s="412">
        <f>IF(B317="","",H317/$H$363)</f>
        <v>1.7156054217998113E-2</v>
      </c>
      <c r="S317" s="412"/>
      <c r="T317" s="412"/>
      <c r="U317" s="413">
        <f t="shared" si="12"/>
        <v>17487730000</v>
      </c>
      <c r="V317" s="413">
        <f t="shared" si="13"/>
        <v>17487730000</v>
      </c>
      <c r="W317" s="413" t="str">
        <f t="shared" si="14"/>
        <v/>
      </c>
      <c r="X317" s="411">
        <f t="shared" si="15"/>
        <v>6.5619999999999998E-2</v>
      </c>
      <c r="Y317" s="304"/>
      <c r="Z317" s="305"/>
      <c r="AA317" s="305"/>
      <c r="AB317" s="193" t="e">
        <f>SUMIFS('Canjes desagregado'!#REF!,'Canjes desagregado'!$B$2:$B$854,B317)</f>
        <v>#REF!</v>
      </c>
      <c r="AC317" s="306">
        <f t="shared" si="0"/>
        <v>2.562E-2</v>
      </c>
      <c r="AD317" s="304">
        <f>IF(B317="","",-SUMIFS('Canjes desagregado'!$S$2:$S$854,'Canjes desagregado'!$B$2:$B$854,B317,'Canjes desagregado'!$E$2:$E$854,"Títulos Recogidos por la Nación",'Canjes desagregado'!$G$2:$G$854,"COP"))</f>
        <v>266500000000</v>
      </c>
      <c r="AE317" s="304">
        <f>IF(B317="","",-SUMIFS('Canjes desagregado'!$S$2:$S$854,'Canjes desagregado'!$B$2:$B$854,B317,'Canjes desagregado'!$E$2:$E$854,"Títulos Recogidos por la Nación",'Canjes desagregado'!$G$2:$G$854,"UVR"))</f>
        <v>0</v>
      </c>
      <c r="AM317" s="332">
        <f t="shared" si="1"/>
        <v>0</v>
      </c>
      <c r="AN317" s="334" t="e">
        <f t="shared" si="2"/>
        <v>#DIV/0!</v>
      </c>
      <c r="AO317" s="334" t="e">
        <f t="shared" si="3"/>
        <v>#DIV/0!</v>
      </c>
    </row>
    <row r="318" spans="1:41" ht="17.25" customHeight="1">
      <c r="A318" s="403">
        <f t="shared" ref="A318:A327" si="16">IF(D318="","",YEAR(D318))</f>
        <v>2025</v>
      </c>
      <c r="B318" s="403">
        <v>613</v>
      </c>
      <c r="C318" s="404" t="s">
        <v>42</v>
      </c>
      <c r="D318" s="414">
        <v>45716</v>
      </c>
      <c r="E318" s="406">
        <f t="shared" ref="E318:E327" si="17">IF(D318="","",YEAR(D318))</f>
        <v>2025</v>
      </c>
      <c r="F318" s="407" t="s">
        <v>4</v>
      </c>
      <c r="G318" s="383">
        <f t="shared" ref="G318:G327" si="18">IF(D318="","",D318)</f>
        <v>45716</v>
      </c>
      <c r="H318" s="408">
        <f>IF(B318="","",-SUMIFS('Canjes desagregado'!$S$2:$S$854,'Canjes desagregado'!$B$2:$B$854,B318,'Canjes desagregado'!$E$2:$E$854,"Títulos Recogidos por la Nación"))</f>
        <v>100000000000</v>
      </c>
      <c r="I318" s="409">
        <f>IF(B318="","",-SUMIFS('Canjes desagregado'!$U$2:$U$854,'Canjes desagregado'!$B$2:$B$854,HISTORICO!B318))</f>
        <v>838600000</v>
      </c>
      <c r="J318" s="409">
        <f>IF(B318="","",SUMIFS('Canjes desagregado'!$X$2:$X$854,'Canjes desagregado'!$B$2:$B$854,HISTORICO!B318))</f>
        <v>4687500000</v>
      </c>
      <c r="K318" s="408">
        <f t="shared" ref="K318:K327" si="19">IF(B318="","",J318+I318)</f>
        <v>5526100000</v>
      </c>
      <c r="L318" s="410">
        <f>IF(B318="","",SUMIFS('Canjes desagregado'!$AD$2:$AD$854,'Canjes desagregado'!$B$2:$B$854,HISTORICO!B318))</f>
        <v>0</v>
      </c>
      <c r="M318" s="410">
        <f t="shared" ref="M318:M327" si="20">IF(B318="","",L318+J318+I318)</f>
        <v>5526100000</v>
      </c>
      <c r="N318" s="410">
        <f>IF(B318="","",SUMIFS('Canjes desagregado'!$S$2:$S$854,'Canjes desagregado'!$B$2:$B$854,HISTORICO!B318))</f>
        <v>0</v>
      </c>
      <c r="O318" s="410">
        <f t="shared" ref="O318:O327" si="21">IF(B318="","",N318+M318)</f>
        <v>5526100000</v>
      </c>
      <c r="P318" s="411">
        <f t="shared" ref="P318:P327" si="22">IF(B318="","",K318/H318)</f>
        <v>5.5260999999999998E-2</v>
      </c>
      <c r="Q318" s="411">
        <f t="shared" ref="Q318:Q327" si="23">IF(B318="","",M318/H318)</f>
        <v>5.5260999999999998E-2</v>
      </c>
      <c r="R318" s="412">
        <f>IF(B318="","",H318/$H$363)</f>
        <v>6.437543796622181E-3</v>
      </c>
      <c r="S318" s="412"/>
      <c r="T318" s="412"/>
      <c r="U318" s="413">
        <f t="shared" ref="U318:U327" si="24">IF(B318="","",I318+J318+L318+N318)</f>
        <v>5526100000</v>
      </c>
      <c r="V318" s="413">
        <f t="shared" ref="V318:V327" si="25">IF(B318="","",IF(C318="Tesorería",U318,""))</f>
        <v>5526100000</v>
      </c>
      <c r="W318" s="413" t="str">
        <f t="shared" ref="W318:W327" si="26">IF(B318="","",IF(C318="Tesorería","",U318))</f>
        <v/>
      </c>
      <c r="X318" s="411">
        <f t="shared" ref="X318:X327" si="27">IF(B318="","",(I318+J318+L318+N318)/H318)</f>
        <v>5.5260999999999998E-2</v>
      </c>
      <c r="Y318" s="304"/>
      <c r="Z318" s="305"/>
      <c r="AA318" s="305"/>
      <c r="AB318" s="193" t="e">
        <f>SUMIFS('Canjes desagregado'!#REF!,'Canjes desagregado'!$B$2:$B$854,B318)</f>
        <v>#REF!</v>
      </c>
      <c r="AC318" s="306">
        <f t="shared" ref="AC318:AC327" si="28">I318/H318</f>
        <v>8.3859999999999994E-3</v>
      </c>
      <c r="AD318" s="304">
        <f>IF(B318="","",-SUMIFS('Canjes desagregado'!$S$2:$S$854,'Canjes desagregado'!$B$2:$B$854,B318,'Canjes desagregado'!$E$2:$E$854,"Títulos Recogidos por la Nación",'Canjes desagregado'!$G$2:$G$854,"COP"))</f>
        <v>100000000000</v>
      </c>
      <c r="AE318" s="304">
        <f>IF(B318="","",-SUMIFS('Canjes desagregado'!$S$2:$S$854,'Canjes desagregado'!$B$2:$B$854,B318,'Canjes desagregado'!$E$2:$E$854,"Títulos Recogidos por la Nación",'Canjes desagregado'!$G$2:$G$854,"UVR"))</f>
        <v>0</v>
      </c>
      <c r="AM318" s="332">
        <f t="shared" ref="AM318:AM327" si="29">AL318+AK318</f>
        <v>0</v>
      </c>
      <c r="AN318" s="334" t="e">
        <f t="shared" ref="AN318:AN327" si="30">+AI318/AF318</f>
        <v>#DIV/0!</v>
      </c>
      <c r="AO318" s="334" t="e">
        <f t="shared" ref="AO318:AO327" si="31">AK318/AF318</f>
        <v>#DIV/0!</v>
      </c>
    </row>
    <row r="319" spans="1:41" ht="17.25" customHeight="1">
      <c r="A319" s="403">
        <f t="shared" si="16"/>
        <v>2025</v>
      </c>
      <c r="B319" s="403">
        <v>614</v>
      </c>
      <c r="C319" s="404" t="s">
        <v>42</v>
      </c>
      <c r="D319" s="414">
        <v>45719</v>
      </c>
      <c r="E319" s="406">
        <f t="shared" si="17"/>
        <v>2025</v>
      </c>
      <c r="F319" s="407" t="s">
        <v>4</v>
      </c>
      <c r="G319" s="383">
        <f t="shared" si="18"/>
        <v>45719</v>
      </c>
      <c r="H319" s="408">
        <f>IF(B319="","",-SUMIFS('Canjes desagregado'!$S$2:$S$854,'Canjes desagregado'!$B$2:$B$854,B319,'Canjes desagregado'!$E$2:$E$854,"Títulos Recogidos por la Nación"))</f>
        <v>64000000000</v>
      </c>
      <c r="I319" s="409">
        <f>IF(B319="","",-SUMIFS('Canjes desagregado'!$U$2:$U$854,'Canjes desagregado'!$B$2:$B$854,HISTORICO!B319))</f>
        <v>1100160000.0000076</v>
      </c>
      <c r="J319" s="409">
        <f>IF(B319="","",SUMIFS('Canjes desagregado'!$X$2:$X$854,'Canjes desagregado'!$B$2:$B$854,HISTORICO!B319))</f>
        <v>2560000000</v>
      </c>
      <c r="K319" s="408">
        <f t="shared" si="19"/>
        <v>3660160000.0000076</v>
      </c>
      <c r="L319" s="410">
        <f>IF(B319="","",SUMIFS('Canjes desagregado'!$AD$2:$AD$854,'Canjes desagregado'!$B$2:$B$854,HISTORICO!B319))</f>
        <v>0</v>
      </c>
      <c r="M319" s="410">
        <f t="shared" si="20"/>
        <v>3660160000.0000076</v>
      </c>
      <c r="N319" s="410">
        <f>IF(B319="","",SUMIFS('Canjes desagregado'!$S$2:$S$854,'Canjes desagregado'!$B$2:$B$854,HISTORICO!B319))</f>
        <v>0</v>
      </c>
      <c r="O319" s="410">
        <f t="shared" si="21"/>
        <v>3660160000.0000076</v>
      </c>
      <c r="P319" s="411">
        <f t="shared" si="22"/>
        <v>5.7190000000000116E-2</v>
      </c>
      <c r="Q319" s="411">
        <f t="shared" si="23"/>
        <v>5.7190000000000116E-2</v>
      </c>
      <c r="R319" s="412">
        <f>IF(B319="","",H319/$H$363)</f>
        <v>4.1200280298381957E-3</v>
      </c>
      <c r="S319" s="412"/>
      <c r="T319" s="412"/>
      <c r="U319" s="413">
        <f t="shared" si="24"/>
        <v>3660160000.0000076</v>
      </c>
      <c r="V319" s="413">
        <f t="shared" si="25"/>
        <v>3660160000.0000076</v>
      </c>
      <c r="W319" s="413" t="str">
        <f t="shared" si="26"/>
        <v/>
      </c>
      <c r="X319" s="411">
        <f t="shared" si="27"/>
        <v>5.7190000000000116E-2</v>
      </c>
      <c r="Y319" s="304"/>
      <c r="Z319" s="305"/>
      <c r="AA319" s="305"/>
      <c r="AB319" s="193" t="e">
        <f>SUMIFS('Canjes desagregado'!#REF!,'Canjes desagregado'!$B$2:$B$854,B319)</f>
        <v>#REF!</v>
      </c>
      <c r="AC319" s="306">
        <f t="shared" si="28"/>
        <v>1.7190000000000118E-2</v>
      </c>
      <c r="AD319" s="304">
        <f>IF(B319="","",-SUMIFS('Canjes desagregado'!$S$2:$S$854,'Canjes desagregado'!$B$2:$B$854,B319,'Canjes desagregado'!$E$2:$E$854,"Títulos Recogidos por la Nación",'Canjes desagregado'!$G$2:$G$854,"COP"))</f>
        <v>64000000000</v>
      </c>
      <c r="AE319" s="304">
        <f>IF(B319="","",-SUMIFS('Canjes desagregado'!$S$2:$S$854,'Canjes desagregado'!$B$2:$B$854,B319,'Canjes desagregado'!$E$2:$E$854,"Títulos Recogidos por la Nación",'Canjes desagregado'!$G$2:$G$854,"UVR"))</f>
        <v>0</v>
      </c>
      <c r="AM319" s="332">
        <f t="shared" si="29"/>
        <v>0</v>
      </c>
      <c r="AN319" s="334" t="e">
        <f t="shared" si="30"/>
        <v>#DIV/0!</v>
      </c>
      <c r="AO319" s="334" t="e">
        <f t="shared" si="31"/>
        <v>#DIV/0!</v>
      </c>
    </row>
    <row r="320" spans="1:41" ht="17.25" customHeight="1">
      <c r="A320" s="403">
        <f t="shared" si="16"/>
        <v>2025</v>
      </c>
      <c r="B320" s="403">
        <v>615</v>
      </c>
      <c r="C320" s="404" t="s">
        <v>42</v>
      </c>
      <c r="D320" s="414">
        <v>45720</v>
      </c>
      <c r="E320" s="406">
        <f t="shared" si="17"/>
        <v>2025</v>
      </c>
      <c r="F320" s="407" t="s">
        <v>4</v>
      </c>
      <c r="G320" s="383">
        <f t="shared" si="18"/>
        <v>45720</v>
      </c>
      <c r="H320" s="408">
        <f>IF(B320="","",-SUMIFS('Canjes desagregado'!$S$2:$S$854,'Canjes desagregado'!$B$2:$B$854,B320,'Canjes desagregado'!$E$2:$E$854,"Títulos Recogidos por la Nación"))</f>
        <v>223000000000</v>
      </c>
      <c r="I320" s="409">
        <f>IF(B320="","",-SUMIFS('Canjes desagregado'!$U$2:$U$854,'Canjes desagregado'!$B$2:$B$854,HISTORICO!B320))</f>
        <v>126217999.99996948</v>
      </c>
      <c r="J320" s="409">
        <f>IF(B320="","",SUMIFS('Canjes desagregado'!$X$2:$X$854,'Canjes desagregado'!$B$2:$B$854,HISTORICO!B320))</f>
        <v>11150000000</v>
      </c>
      <c r="K320" s="408">
        <f t="shared" si="19"/>
        <v>11276217999.999969</v>
      </c>
      <c r="L320" s="410">
        <f>IF(B320="","",SUMIFS('Canjes desagregado'!$AD$2:$AD$854,'Canjes desagregado'!$B$2:$B$854,HISTORICO!B320))</f>
        <v>0</v>
      </c>
      <c r="M320" s="410">
        <f t="shared" si="20"/>
        <v>11276217999.999969</v>
      </c>
      <c r="N320" s="410">
        <f>IF(B320="","",SUMIFS('Canjes desagregado'!$S$2:$S$854,'Canjes desagregado'!$B$2:$B$854,HISTORICO!B320))</f>
        <v>0</v>
      </c>
      <c r="O320" s="410">
        <f t="shared" si="21"/>
        <v>11276217999.999969</v>
      </c>
      <c r="P320" s="411">
        <f t="shared" si="22"/>
        <v>5.0565999999999861E-2</v>
      </c>
      <c r="Q320" s="411">
        <f t="shared" si="23"/>
        <v>5.0565999999999861E-2</v>
      </c>
      <c r="R320" s="412">
        <f>IF(B320="","",H320/$H$363)</f>
        <v>1.4355722666467464E-2</v>
      </c>
      <c r="S320" s="412"/>
      <c r="T320" s="412"/>
      <c r="U320" s="413">
        <f t="shared" si="24"/>
        <v>11276217999.999969</v>
      </c>
      <c r="V320" s="413">
        <f t="shared" si="25"/>
        <v>11276217999.999969</v>
      </c>
      <c r="W320" s="413" t="str">
        <f t="shared" si="26"/>
        <v/>
      </c>
      <c r="X320" s="411">
        <f t="shared" si="27"/>
        <v>5.0565999999999861E-2</v>
      </c>
      <c r="Y320" s="304"/>
      <c r="Z320" s="305"/>
      <c r="AA320" s="305"/>
      <c r="AB320" s="193" t="e">
        <f>SUMIFS('Canjes desagregado'!#REF!,'Canjes desagregado'!$B$2:$B$854,B320)</f>
        <v>#REF!</v>
      </c>
      <c r="AC320" s="306">
        <f t="shared" si="28"/>
        <v>5.6599999999986316E-4</v>
      </c>
      <c r="AD320" s="304">
        <f>IF(B320="","",-SUMIFS('Canjes desagregado'!$S$2:$S$854,'Canjes desagregado'!$B$2:$B$854,B320,'Canjes desagregado'!$E$2:$E$854,"Títulos Recogidos por la Nación",'Canjes desagregado'!$G$2:$G$854,"COP"))</f>
        <v>223000000000</v>
      </c>
      <c r="AE320" s="304">
        <f>IF(B320="","",-SUMIFS('Canjes desagregado'!$S$2:$S$854,'Canjes desagregado'!$B$2:$B$854,B320,'Canjes desagregado'!$E$2:$E$854,"Títulos Recogidos por la Nación",'Canjes desagregado'!$G$2:$G$854,"UVR"))</f>
        <v>0</v>
      </c>
      <c r="AM320" s="332">
        <f t="shared" si="29"/>
        <v>0</v>
      </c>
      <c r="AN320" s="334" t="e">
        <f t="shared" si="30"/>
        <v>#DIV/0!</v>
      </c>
      <c r="AO320" s="334" t="e">
        <f t="shared" si="31"/>
        <v>#DIV/0!</v>
      </c>
    </row>
    <row r="321" spans="1:41" ht="17.25" customHeight="1">
      <c r="A321" s="403">
        <f t="shared" si="16"/>
        <v>2025</v>
      </c>
      <c r="B321" s="403">
        <v>616</v>
      </c>
      <c r="C321" s="404" t="s">
        <v>42</v>
      </c>
      <c r="D321" s="414">
        <v>45721</v>
      </c>
      <c r="E321" s="406">
        <f t="shared" si="17"/>
        <v>2025</v>
      </c>
      <c r="F321" s="407" t="s">
        <v>4</v>
      </c>
      <c r="G321" s="383">
        <f t="shared" si="18"/>
        <v>45721</v>
      </c>
      <c r="H321" s="408">
        <f>IF(B321="","",-SUMIFS('Canjes desagregado'!$S$2:$S$854,'Canjes desagregado'!$B$2:$B$854,B321,'Canjes desagregado'!$E$2:$E$854,"Títulos Recogidos por la Nación"))</f>
        <v>243000000000</v>
      </c>
      <c r="I321" s="409">
        <f>IF(B321="","",-SUMIFS('Canjes desagregado'!$U$2:$U$854,'Canjes desagregado'!$B$2:$B$854,HISTORICO!B321))</f>
        <v>28285200</v>
      </c>
      <c r="J321" s="409">
        <f>IF(B321="","",SUMIFS('Canjes desagregado'!$X$2:$X$854,'Canjes desagregado'!$B$2:$B$854,HISTORICO!B321))</f>
        <v>12271500000</v>
      </c>
      <c r="K321" s="408">
        <f t="shared" si="19"/>
        <v>12299785200</v>
      </c>
      <c r="L321" s="410">
        <f>IF(B321="","",SUMIFS('Canjes desagregado'!$AD$2:$AD$854,'Canjes desagregado'!$B$2:$B$854,HISTORICO!B321))</f>
        <v>0</v>
      </c>
      <c r="M321" s="410">
        <f t="shared" si="20"/>
        <v>12299785200</v>
      </c>
      <c r="N321" s="410">
        <f>IF(B321="","",SUMIFS('Canjes desagregado'!$S$2:$S$854,'Canjes desagregado'!$B$2:$B$854,HISTORICO!B321))</f>
        <v>0</v>
      </c>
      <c r="O321" s="410">
        <f t="shared" si="21"/>
        <v>12299785200</v>
      </c>
      <c r="P321" s="411">
        <f t="shared" si="22"/>
        <v>5.0616399999999999E-2</v>
      </c>
      <c r="Q321" s="411">
        <f t="shared" si="23"/>
        <v>5.0616399999999999E-2</v>
      </c>
      <c r="R321" s="412">
        <f>IF(B321="","",H321/$H$363)</f>
        <v>1.5643231425791899E-2</v>
      </c>
      <c r="S321" s="412"/>
      <c r="T321" s="412"/>
      <c r="U321" s="413">
        <f t="shared" si="24"/>
        <v>12299785200</v>
      </c>
      <c r="V321" s="413">
        <f t="shared" si="25"/>
        <v>12299785200</v>
      </c>
      <c r="W321" s="413" t="str">
        <f t="shared" si="26"/>
        <v/>
      </c>
      <c r="X321" s="411">
        <f t="shared" si="27"/>
        <v>5.0616399999999999E-2</v>
      </c>
      <c r="Y321" s="304"/>
      <c r="Z321" s="305"/>
      <c r="AA321" s="305"/>
      <c r="AB321" s="193" t="e">
        <f>SUMIFS('Canjes desagregado'!#REF!,'Canjes desagregado'!$B$2:$B$854,B321)</f>
        <v>#REF!</v>
      </c>
      <c r="AC321" s="306">
        <f t="shared" si="28"/>
        <v>1.164E-4</v>
      </c>
      <c r="AD321" s="304">
        <f>IF(B321="","",-SUMIFS('Canjes desagregado'!$S$2:$S$854,'Canjes desagregado'!$B$2:$B$854,B321,'Canjes desagregado'!$E$2:$E$854,"Títulos Recogidos por la Nación",'Canjes desagregado'!$G$2:$G$854,"COP"))</f>
        <v>243000000000</v>
      </c>
      <c r="AE321" s="304">
        <f>IF(B321="","",-SUMIFS('Canjes desagregado'!$S$2:$S$854,'Canjes desagregado'!$B$2:$B$854,B321,'Canjes desagregado'!$E$2:$E$854,"Títulos Recogidos por la Nación",'Canjes desagregado'!$G$2:$G$854,"UVR"))</f>
        <v>0</v>
      </c>
      <c r="AM321" s="332">
        <f t="shared" si="29"/>
        <v>0</v>
      </c>
      <c r="AN321" s="334" t="e">
        <f t="shared" si="30"/>
        <v>#DIV/0!</v>
      </c>
      <c r="AO321" s="334" t="e">
        <f t="shared" si="31"/>
        <v>#DIV/0!</v>
      </c>
    </row>
    <row r="322" spans="1:41" ht="17.25" customHeight="1">
      <c r="A322" s="403">
        <f t="shared" si="16"/>
        <v>2025</v>
      </c>
      <c r="B322" s="403">
        <v>617</v>
      </c>
      <c r="C322" s="404" t="s">
        <v>42</v>
      </c>
      <c r="D322" s="414">
        <v>45722</v>
      </c>
      <c r="E322" s="406">
        <f t="shared" si="17"/>
        <v>2025</v>
      </c>
      <c r="F322" s="407" t="s">
        <v>4</v>
      </c>
      <c r="G322" s="383">
        <f t="shared" si="18"/>
        <v>45722</v>
      </c>
      <c r="H322" s="408">
        <f>IF(B322="","",-SUMIFS('Canjes desagregado'!$S$2:$S$854,'Canjes desagregado'!$B$2:$B$854,B322,'Canjes desagregado'!$E$2:$E$854,"Títulos Recogidos por la Nación"))</f>
        <v>200000000000</v>
      </c>
      <c r="I322" s="409">
        <f>IF(B322="","",-SUMIFS('Canjes desagregado'!$U$2:$U$854,'Canjes desagregado'!$B$2:$B$854,HISTORICO!B322))</f>
        <v>2136800000</v>
      </c>
      <c r="J322" s="409">
        <f>IF(B322="","",SUMIFS('Canjes desagregado'!$X$2:$X$854,'Canjes desagregado'!$B$2:$B$854,HISTORICO!B322))</f>
        <v>9375000000</v>
      </c>
      <c r="K322" s="408">
        <f t="shared" si="19"/>
        <v>11511800000</v>
      </c>
      <c r="L322" s="410">
        <f>IF(B322="","",SUMIFS('Canjes desagregado'!$AD$2:$AD$854,'Canjes desagregado'!$B$2:$B$854,HISTORICO!B322))</f>
        <v>0</v>
      </c>
      <c r="M322" s="410">
        <f t="shared" si="20"/>
        <v>11511800000</v>
      </c>
      <c r="N322" s="410">
        <f>IF(B322="","",SUMIFS('Canjes desagregado'!$S$2:$S$854,'Canjes desagregado'!$B$2:$B$854,HISTORICO!B322))</f>
        <v>0</v>
      </c>
      <c r="O322" s="410">
        <f t="shared" si="21"/>
        <v>11511800000</v>
      </c>
      <c r="P322" s="411">
        <f t="shared" si="22"/>
        <v>5.7558999999999999E-2</v>
      </c>
      <c r="Q322" s="411">
        <f t="shared" si="23"/>
        <v>5.7558999999999999E-2</v>
      </c>
      <c r="R322" s="412">
        <f>IF(B322="","",H322/$H$363)</f>
        <v>1.2875087593244362E-2</v>
      </c>
      <c r="S322" s="412"/>
      <c r="T322" s="412"/>
      <c r="U322" s="413">
        <f t="shared" si="24"/>
        <v>11511800000</v>
      </c>
      <c r="V322" s="413">
        <f t="shared" si="25"/>
        <v>11511800000</v>
      </c>
      <c r="W322" s="413" t="str">
        <f t="shared" si="26"/>
        <v/>
      </c>
      <c r="X322" s="411">
        <f t="shared" si="27"/>
        <v>5.7558999999999999E-2</v>
      </c>
      <c r="Y322" s="304"/>
      <c r="Z322" s="305"/>
      <c r="AA322" s="305"/>
      <c r="AB322" s="193" t="e">
        <f>SUMIFS('Canjes desagregado'!#REF!,'Canjes desagregado'!$B$2:$B$854,B322)</f>
        <v>#REF!</v>
      </c>
      <c r="AC322" s="306">
        <f t="shared" si="28"/>
        <v>1.0684000000000001E-2</v>
      </c>
      <c r="AD322" s="304">
        <f>IF(B322="","",-SUMIFS('Canjes desagregado'!$S$2:$S$854,'Canjes desagregado'!$B$2:$B$854,B322,'Canjes desagregado'!$E$2:$E$854,"Títulos Recogidos por la Nación",'Canjes desagregado'!$G$2:$G$854,"COP"))</f>
        <v>200000000000</v>
      </c>
      <c r="AE322" s="304">
        <f>IF(B322="","",-SUMIFS('Canjes desagregado'!$S$2:$S$854,'Canjes desagregado'!$B$2:$B$854,B322,'Canjes desagregado'!$E$2:$E$854,"Títulos Recogidos por la Nación",'Canjes desagregado'!$G$2:$G$854,"UVR"))</f>
        <v>0</v>
      </c>
      <c r="AM322" s="332">
        <f t="shared" si="29"/>
        <v>0</v>
      </c>
      <c r="AN322" s="334" t="e">
        <f t="shared" si="30"/>
        <v>#DIV/0!</v>
      </c>
      <c r="AO322" s="334" t="e">
        <f t="shared" si="31"/>
        <v>#DIV/0!</v>
      </c>
    </row>
    <row r="323" spans="1:41" ht="17.25" customHeight="1">
      <c r="A323" s="403">
        <f t="shared" si="16"/>
        <v>2025</v>
      </c>
      <c r="B323" s="403">
        <v>618</v>
      </c>
      <c r="C323" s="404" t="s">
        <v>42</v>
      </c>
      <c r="D323" s="414">
        <v>45723</v>
      </c>
      <c r="E323" s="406">
        <f t="shared" si="17"/>
        <v>2025</v>
      </c>
      <c r="F323" s="407" t="s">
        <v>4</v>
      </c>
      <c r="G323" s="383">
        <f t="shared" si="18"/>
        <v>45723</v>
      </c>
      <c r="H323" s="408">
        <f>IF(B323="","",-SUMIFS('Canjes desagregado'!$S$2:$S$854,'Canjes desagregado'!$B$2:$B$854,B323,'Canjes desagregado'!$E$2:$E$854,"Títulos Recogidos por la Nación"))</f>
        <v>51508561500</v>
      </c>
      <c r="I323" s="409">
        <f>IF(B323="","",-SUMIFS('Canjes desagregado'!$U$2:$U$854,'Canjes desagregado'!$B$2:$B$854,HISTORICO!B323))</f>
        <v>438337858.36499023</v>
      </c>
      <c r="J323" s="409">
        <f>IF(B323="","",SUMIFS('Canjes desagregado'!$X$2:$X$854,'Canjes desagregado'!$B$2:$B$854,HISTORICO!B323))</f>
        <v>901399826.24999976</v>
      </c>
      <c r="K323" s="408">
        <f t="shared" si="19"/>
        <v>1339737684.61499</v>
      </c>
      <c r="L323" s="410">
        <f>IF(B323="","",SUMIFS('Canjes desagregado'!$AD$2:$AD$854,'Canjes desagregado'!$B$2:$B$854,HISTORICO!B323))</f>
        <v>0</v>
      </c>
      <c r="M323" s="410">
        <f t="shared" si="20"/>
        <v>1339737684.61499</v>
      </c>
      <c r="N323" s="410">
        <f>IF(B323="","",SUMIFS('Canjes desagregado'!$S$2:$S$854,'Canjes desagregado'!$B$2:$B$854,HISTORICO!B323))</f>
        <v>0</v>
      </c>
      <c r="O323" s="410">
        <f t="shared" si="21"/>
        <v>1339737684.61499</v>
      </c>
      <c r="P323" s="411">
        <f t="shared" si="22"/>
        <v>2.6009999999999804E-2</v>
      </c>
      <c r="Q323" s="411">
        <f t="shared" si="23"/>
        <v>2.6009999999999804E-2</v>
      </c>
      <c r="R323" s="412">
        <f>IF(B323="","",H323/$H$363)</f>
        <v>3.3158862055725708E-3</v>
      </c>
      <c r="S323" s="412"/>
      <c r="T323" s="412"/>
      <c r="U323" s="413">
        <f t="shared" si="24"/>
        <v>1339737684.61499</v>
      </c>
      <c r="V323" s="413">
        <f t="shared" si="25"/>
        <v>1339737684.61499</v>
      </c>
      <c r="W323" s="413" t="str">
        <f t="shared" si="26"/>
        <v/>
      </c>
      <c r="X323" s="411">
        <f t="shared" si="27"/>
        <v>2.6009999999999804E-2</v>
      </c>
      <c r="Y323" s="304"/>
      <c r="Z323" s="305"/>
      <c r="AA323" s="305"/>
      <c r="AB323" s="193" t="e">
        <f>SUMIFS('Canjes desagregado'!#REF!,'Canjes desagregado'!$B$2:$B$854,B323)</f>
        <v>#REF!</v>
      </c>
      <c r="AC323" s="306">
        <f t="shared" si="28"/>
        <v>8.5099999999998111E-3</v>
      </c>
      <c r="AD323" s="304">
        <f>IF(B323="","",-SUMIFS('Canjes desagregado'!$S$2:$S$854,'Canjes desagregado'!$B$2:$B$854,B323,'Canjes desagregado'!$E$2:$E$854,"Títulos Recogidos por la Nación",'Canjes desagregado'!$G$2:$G$854,"COP"))</f>
        <v>0</v>
      </c>
      <c r="AE323" s="304">
        <f>IF(B323="","",-SUMIFS('Canjes desagregado'!$S$2:$S$854,'Canjes desagregado'!$B$2:$B$854,B323,'Canjes desagregado'!$E$2:$E$854,"Títulos Recogidos por la Nación",'Canjes desagregado'!$G$2:$G$854,"UVR"))</f>
        <v>51508561500</v>
      </c>
      <c r="AM323" s="332">
        <f t="shared" si="29"/>
        <v>0</v>
      </c>
      <c r="AN323" s="334" t="e">
        <f t="shared" si="30"/>
        <v>#DIV/0!</v>
      </c>
      <c r="AO323" s="334" t="e">
        <f t="shared" si="31"/>
        <v>#DIV/0!</v>
      </c>
    </row>
    <row r="324" spans="1:41" ht="17.25" customHeight="1">
      <c r="A324" s="403">
        <f t="shared" si="16"/>
        <v>2025</v>
      </c>
      <c r="B324" s="403">
        <v>619</v>
      </c>
      <c r="C324" s="404" t="s">
        <v>42</v>
      </c>
      <c r="D324" s="414">
        <v>45726</v>
      </c>
      <c r="E324" s="406">
        <f t="shared" si="17"/>
        <v>2025</v>
      </c>
      <c r="F324" s="407" t="s">
        <v>4</v>
      </c>
      <c r="G324" s="383">
        <f t="shared" si="18"/>
        <v>45726</v>
      </c>
      <c r="H324" s="408">
        <f>IF(B324="","",-SUMIFS('Canjes desagregado'!$S$2:$S$854,'Canjes desagregado'!$B$2:$B$854,B324,'Canjes desagregado'!$E$2:$E$854,"Títulos Recogidos por la Nación"))</f>
        <v>78295158000</v>
      </c>
      <c r="I324" s="409">
        <f>IF(B324="","",-SUMIFS('Canjes desagregado'!$U$2:$U$854,'Canjes desagregado'!$B$2:$B$854,HISTORICO!B324))</f>
        <v>1129016178.3600159</v>
      </c>
      <c r="J324" s="409">
        <f>IF(B324="","",SUMIFS('Canjes desagregado'!$X$2:$X$854,'Canjes desagregado'!$B$2:$B$854,HISTORICO!B324))</f>
        <v>1370165264.9999995</v>
      </c>
      <c r="K324" s="408">
        <f t="shared" si="19"/>
        <v>2499181443.3600154</v>
      </c>
      <c r="L324" s="410">
        <f>IF(B324="","",SUMIFS('Canjes desagregado'!$AD$2:$AD$854,'Canjes desagregado'!$B$2:$B$854,HISTORICO!B324))</f>
        <v>0</v>
      </c>
      <c r="M324" s="410">
        <f t="shared" si="20"/>
        <v>2499181443.3600154</v>
      </c>
      <c r="N324" s="410">
        <f>IF(B324="","",SUMIFS('Canjes desagregado'!$S$2:$S$854,'Canjes desagregado'!$B$2:$B$854,HISTORICO!B324))</f>
        <v>0</v>
      </c>
      <c r="O324" s="410">
        <f t="shared" si="21"/>
        <v>2499181443.3600154</v>
      </c>
      <c r="P324" s="411">
        <f t="shared" si="22"/>
        <v>3.1920000000000198E-2</v>
      </c>
      <c r="Q324" s="411">
        <f t="shared" si="23"/>
        <v>3.1920000000000198E-2</v>
      </c>
      <c r="R324" s="412">
        <f>IF(B324="","",H324/$H$363)</f>
        <v>5.0402850868845354E-3</v>
      </c>
      <c r="S324" s="412"/>
      <c r="T324" s="412"/>
      <c r="U324" s="413">
        <f t="shared" si="24"/>
        <v>2499181443.3600154</v>
      </c>
      <c r="V324" s="413">
        <f t="shared" si="25"/>
        <v>2499181443.3600154</v>
      </c>
      <c r="W324" s="413" t="str">
        <f t="shared" si="26"/>
        <v/>
      </c>
      <c r="X324" s="411">
        <f t="shared" si="27"/>
        <v>3.1920000000000198E-2</v>
      </c>
      <c r="Y324" s="304"/>
      <c r="Z324" s="305"/>
      <c r="AA324" s="305"/>
      <c r="AB324" s="193" t="e">
        <f>SUMIFS('Canjes desagregado'!#REF!,'Canjes desagregado'!$B$2:$B$854,B324)</f>
        <v>#REF!</v>
      </c>
      <c r="AC324" s="306">
        <f t="shared" si="28"/>
        <v>1.4420000000000203E-2</v>
      </c>
      <c r="AD324" s="304">
        <f>IF(B324="","",-SUMIFS('Canjes desagregado'!$S$2:$S$854,'Canjes desagregado'!$B$2:$B$854,B324,'Canjes desagregado'!$E$2:$E$854,"Títulos Recogidos por la Nación",'Canjes desagregado'!$G$2:$G$854,"COP"))</f>
        <v>0</v>
      </c>
      <c r="AE324" s="304">
        <f>IF(B324="","",-SUMIFS('Canjes desagregado'!$S$2:$S$854,'Canjes desagregado'!$B$2:$B$854,B324,'Canjes desagregado'!$E$2:$E$854,"Títulos Recogidos por la Nación",'Canjes desagregado'!$G$2:$G$854,"UVR"))</f>
        <v>78295158000</v>
      </c>
      <c r="AM324" s="332">
        <f t="shared" si="29"/>
        <v>0</v>
      </c>
      <c r="AN324" s="334" t="e">
        <f t="shared" si="30"/>
        <v>#DIV/0!</v>
      </c>
      <c r="AO324" s="334" t="e">
        <f t="shared" si="31"/>
        <v>#DIV/0!</v>
      </c>
    </row>
    <row r="325" spans="1:41" ht="17.25" customHeight="1">
      <c r="A325" s="403">
        <f t="shared" si="16"/>
        <v>2025</v>
      </c>
      <c r="B325" s="403">
        <v>620</v>
      </c>
      <c r="C325" s="404" t="s">
        <v>42</v>
      </c>
      <c r="D325" s="414">
        <v>45727</v>
      </c>
      <c r="E325" s="406">
        <f t="shared" si="17"/>
        <v>2025</v>
      </c>
      <c r="F325" s="407" t="s">
        <v>4</v>
      </c>
      <c r="G325" s="383">
        <v>45727</v>
      </c>
      <c r="H325" s="408">
        <f>IF(B325="","",-SUMIFS('Canjes desagregado'!$S$2:$S$854,'Canjes desagregado'!$B$2:$B$854,B325,'Canjes desagregado'!$E$2:$E$854,"Títulos Recogidos por la Nación"))</f>
        <v>177655668000</v>
      </c>
      <c r="I325" s="409">
        <f>IF(B325="","",-SUMIFS('Canjes desagregado'!$U$2:$U$854,'Canjes desagregado'!$B$2:$B$854,HISTORICO!B325))</f>
        <v>2703919266.9599609</v>
      </c>
      <c r="J325" s="409">
        <f>IF(B325="","",SUMIFS('Canjes desagregado'!$X$2:$X$854,'Canjes desagregado'!$B$2:$B$854,HISTORICO!B325))</f>
        <v>3108974189.999999</v>
      </c>
      <c r="K325" s="408">
        <f t="shared" si="19"/>
        <v>5812893456.95996</v>
      </c>
      <c r="L325" s="410">
        <f>IF(B325="","",SUMIFS('Canjes desagregado'!$AD$2:$AD$854,'Canjes desagregado'!$B$2:$B$854,HISTORICO!B325))</f>
        <v>0</v>
      </c>
      <c r="M325" s="410">
        <f t="shared" si="20"/>
        <v>5812893456.95996</v>
      </c>
      <c r="N325" s="410">
        <f>IF(B325="","",SUMIFS('Canjes desagregado'!$S$2:$S$854,'Canjes desagregado'!$B$2:$B$854,HISTORICO!B325))</f>
        <v>0</v>
      </c>
      <c r="O325" s="410">
        <f t="shared" si="21"/>
        <v>5812893456.95996</v>
      </c>
      <c r="P325" s="411">
        <f t="shared" si="22"/>
        <v>3.2719999999999777E-2</v>
      </c>
      <c r="Q325" s="411">
        <f t="shared" si="23"/>
        <v>3.2719999999999777E-2</v>
      </c>
      <c r="R325" s="412">
        <f>IF(B325="","",H325/$H$363)</f>
        <v>1.1436661434681698E-2</v>
      </c>
      <c r="S325" s="412"/>
      <c r="T325" s="412"/>
      <c r="U325" s="413">
        <f t="shared" si="24"/>
        <v>5812893456.95996</v>
      </c>
      <c r="V325" s="413">
        <f t="shared" si="25"/>
        <v>5812893456.95996</v>
      </c>
      <c r="W325" s="413" t="str">
        <f t="shared" si="26"/>
        <v/>
      </c>
      <c r="X325" s="411">
        <f t="shared" si="27"/>
        <v>3.2719999999999777E-2</v>
      </c>
      <c r="Y325" s="304"/>
      <c r="Z325" s="305"/>
      <c r="AA325" s="305"/>
      <c r="AB325" s="193" t="e">
        <f>SUMIFS('Canjes desagregado'!#REF!,'Canjes desagregado'!$B$2:$B$854,B325)</f>
        <v>#REF!</v>
      </c>
      <c r="AC325" s="306">
        <f t="shared" si="28"/>
        <v>1.5219999999999781E-2</v>
      </c>
      <c r="AD325" s="304">
        <f>IF(B325="","",-SUMIFS('Canjes desagregado'!$S$2:$S$854,'Canjes desagregado'!$B$2:$B$854,B325,'Canjes desagregado'!$E$2:$E$854,"Títulos Recogidos por la Nación",'Canjes desagregado'!$G$2:$G$854,"COP"))</f>
        <v>0</v>
      </c>
      <c r="AE325" s="304">
        <f>IF(B325="","",-SUMIFS('Canjes desagregado'!$S$2:$S$854,'Canjes desagregado'!$B$2:$B$854,B325,'Canjes desagregado'!$E$2:$E$854,"Títulos Recogidos por la Nación",'Canjes desagregado'!$G$2:$G$854,"UVR"))</f>
        <v>177655668000</v>
      </c>
      <c r="AM325" s="332">
        <f t="shared" si="29"/>
        <v>0</v>
      </c>
      <c r="AN325" s="334" t="e">
        <f t="shared" si="30"/>
        <v>#DIV/0!</v>
      </c>
      <c r="AO325" s="334" t="e">
        <f t="shared" si="31"/>
        <v>#DIV/0!</v>
      </c>
    </row>
    <row r="326" spans="1:41" ht="17.25" customHeight="1">
      <c r="A326" s="403">
        <f t="shared" si="16"/>
        <v>2025</v>
      </c>
      <c r="B326" s="403">
        <v>621</v>
      </c>
      <c r="C326" s="404" t="s">
        <v>42</v>
      </c>
      <c r="D326" s="414">
        <v>45728</v>
      </c>
      <c r="E326" s="406">
        <f t="shared" si="17"/>
        <v>2025</v>
      </c>
      <c r="F326" s="407" t="s">
        <v>4</v>
      </c>
      <c r="G326" s="383">
        <f t="shared" si="18"/>
        <v>45728</v>
      </c>
      <c r="H326" s="408">
        <f>IF(B326="","",-SUMIFS('Canjes desagregado'!$S$2:$S$854,'Canjes desagregado'!$B$2:$B$854,B326,'Canjes desagregado'!$E$2:$E$854,"Títulos Recogidos por la Nación"))</f>
        <v>150000000000</v>
      </c>
      <c r="I326" s="409">
        <f>IF(B326="","",-SUMIFS('Canjes desagregado'!$U$2:$U$854,'Canjes desagregado'!$B$2:$B$854,HISTORICO!B326))</f>
        <v>1602600000</v>
      </c>
      <c r="J326" s="409">
        <f>IF(B326="","",SUMIFS('Canjes desagregado'!$X$2:$X$854,'Canjes desagregado'!$B$2:$B$854,HISTORICO!B326))</f>
        <v>7125000000</v>
      </c>
      <c r="K326" s="408">
        <f t="shared" si="19"/>
        <v>8727600000</v>
      </c>
      <c r="L326" s="410">
        <f>IF(B326="","",SUMIFS('Canjes desagregado'!$AD$2:$AD$854,'Canjes desagregado'!$B$2:$B$854,HISTORICO!B326))</f>
        <v>0</v>
      </c>
      <c r="M326" s="410">
        <f t="shared" si="20"/>
        <v>8727600000</v>
      </c>
      <c r="N326" s="410">
        <f>IF(B326="","",SUMIFS('Canjes desagregado'!$S$2:$S$854,'Canjes desagregado'!$B$2:$B$854,HISTORICO!B326))</f>
        <v>0</v>
      </c>
      <c r="O326" s="410">
        <f t="shared" si="21"/>
        <v>8727600000</v>
      </c>
      <c r="P326" s="411">
        <f t="shared" si="22"/>
        <v>5.8184E-2</v>
      </c>
      <c r="Q326" s="411">
        <f t="shared" si="23"/>
        <v>5.8184E-2</v>
      </c>
      <c r="R326" s="412">
        <f>IF(B326="","",H326/$H$363)</f>
        <v>9.656315694933271E-3</v>
      </c>
      <c r="S326" s="412"/>
      <c r="T326" s="412"/>
      <c r="U326" s="413">
        <f t="shared" si="24"/>
        <v>8727600000</v>
      </c>
      <c r="V326" s="413">
        <f t="shared" si="25"/>
        <v>8727600000</v>
      </c>
      <c r="W326" s="413" t="str">
        <f t="shared" si="26"/>
        <v/>
      </c>
      <c r="X326" s="411">
        <f t="shared" si="27"/>
        <v>5.8184E-2</v>
      </c>
      <c r="Y326" s="304"/>
      <c r="Z326" s="305"/>
      <c r="AA326" s="305"/>
      <c r="AB326" s="193" t="e">
        <f>SUMIFS('Canjes desagregado'!#REF!,'Canjes desagregado'!$B$2:$B$854,B326)</f>
        <v>#REF!</v>
      </c>
      <c r="AC326" s="306">
        <f t="shared" si="28"/>
        <v>1.0684000000000001E-2</v>
      </c>
      <c r="AD326" s="304">
        <f>IF(B326="","",-SUMIFS('Canjes desagregado'!$S$2:$S$854,'Canjes desagregado'!$B$2:$B$854,B326,'Canjes desagregado'!$E$2:$E$854,"Títulos Recogidos por la Nación",'Canjes desagregado'!$G$2:$G$854,"COP"))</f>
        <v>150000000000</v>
      </c>
      <c r="AE326" s="304">
        <f>IF(B326="","",-SUMIFS('Canjes desagregado'!$S$2:$S$854,'Canjes desagregado'!$B$2:$B$854,B326,'Canjes desagregado'!$E$2:$E$854,"Títulos Recogidos por la Nación",'Canjes desagregado'!$G$2:$G$854,"UVR"))</f>
        <v>0</v>
      </c>
      <c r="AM326" s="332">
        <f t="shared" si="29"/>
        <v>0</v>
      </c>
      <c r="AN326" s="334" t="e">
        <f t="shared" si="30"/>
        <v>#DIV/0!</v>
      </c>
      <c r="AO326" s="334" t="e">
        <f t="shared" si="31"/>
        <v>#DIV/0!</v>
      </c>
    </row>
    <row r="327" spans="1:41" ht="17.25" customHeight="1">
      <c r="A327" s="403">
        <f t="shared" si="16"/>
        <v>2025</v>
      </c>
      <c r="B327" s="403">
        <v>622</v>
      </c>
      <c r="C327" s="404" t="s">
        <v>42</v>
      </c>
      <c r="D327" s="414">
        <v>45729</v>
      </c>
      <c r="E327" s="406">
        <f t="shared" si="17"/>
        <v>2025</v>
      </c>
      <c r="F327" s="407" t="s">
        <v>4</v>
      </c>
      <c r="G327" s="383">
        <f t="shared" si="18"/>
        <v>45729</v>
      </c>
      <c r="H327" s="408">
        <f>IF(B327="","",-SUMIFS('Canjes desagregado'!$S$2:$S$854,'Canjes desagregado'!$B$2:$B$854,B327,'Canjes desagregado'!$E$2:$E$854,"Títulos Recogidos por la Nación"))</f>
        <v>181000000000</v>
      </c>
      <c r="I327" s="409">
        <f>IF(B327="","",-SUMIFS('Canjes desagregado'!$U$2:$U$854,'Canjes desagregado'!$B$2:$B$854,HISTORICO!B327))</f>
        <v>2408990000</v>
      </c>
      <c r="J327" s="409">
        <f>IF(B327="","",SUMIFS('Canjes desagregado'!$X$2:$X$854,'Canjes desagregado'!$B$2:$B$854,HISTORICO!B327))</f>
        <v>8377500000</v>
      </c>
      <c r="K327" s="408">
        <f t="shared" si="19"/>
        <v>10786490000</v>
      </c>
      <c r="L327" s="410">
        <f>IF(B327="","",SUMIFS('Canjes desagregado'!$AD$2:$AD$854,'Canjes desagregado'!$B$2:$B$854,HISTORICO!B327))</f>
        <v>0</v>
      </c>
      <c r="M327" s="410">
        <f t="shared" si="20"/>
        <v>10786490000</v>
      </c>
      <c r="N327" s="410">
        <f>IF(B327="","",SUMIFS('Canjes desagregado'!$S$2:$S$854,'Canjes desagregado'!$B$2:$B$854,HISTORICO!B327))</f>
        <v>0</v>
      </c>
      <c r="O327" s="410">
        <f t="shared" si="21"/>
        <v>10786490000</v>
      </c>
      <c r="P327" s="411">
        <f t="shared" si="22"/>
        <v>5.9593867403314918E-2</v>
      </c>
      <c r="Q327" s="411">
        <f t="shared" si="23"/>
        <v>5.9593867403314918E-2</v>
      </c>
      <c r="R327" s="412">
        <f>IF(B327="","",H327/$H$363)</f>
        <v>1.1651954271886148E-2</v>
      </c>
      <c r="S327" s="412"/>
      <c r="T327" s="412"/>
      <c r="U327" s="413">
        <f t="shared" si="24"/>
        <v>10786490000</v>
      </c>
      <c r="V327" s="413">
        <f t="shared" si="25"/>
        <v>10786490000</v>
      </c>
      <c r="W327" s="413" t="str">
        <f t="shared" si="26"/>
        <v/>
      </c>
      <c r="X327" s="411">
        <f t="shared" si="27"/>
        <v>5.9593867403314918E-2</v>
      </c>
      <c r="Y327" s="304"/>
      <c r="Z327" s="305"/>
      <c r="AA327" s="305"/>
      <c r="AB327" s="193" t="e">
        <f>SUMIFS('Canjes desagregado'!#REF!,'Canjes desagregado'!$B$2:$B$854,B327)</f>
        <v>#REF!</v>
      </c>
      <c r="AC327" s="306">
        <f t="shared" si="28"/>
        <v>1.3309337016574586E-2</v>
      </c>
      <c r="AD327" s="304">
        <f>IF(B327="","",-SUMIFS('Canjes desagregado'!$S$2:$S$854,'Canjes desagregado'!$B$2:$B$854,B327,'Canjes desagregado'!$E$2:$E$854,"Títulos Recogidos por la Nación",'Canjes desagregado'!$G$2:$G$854,"COP"))</f>
        <v>181000000000</v>
      </c>
      <c r="AE327" s="304">
        <f>IF(B327="","",-SUMIFS('Canjes desagregado'!$S$2:$S$854,'Canjes desagregado'!$B$2:$B$854,B327,'Canjes desagregado'!$E$2:$E$854,"Títulos Recogidos por la Nación",'Canjes desagregado'!$G$2:$G$854,"UVR"))</f>
        <v>0</v>
      </c>
      <c r="AM327" s="332">
        <f t="shared" si="29"/>
        <v>0</v>
      </c>
      <c r="AN327" s="334" t="e">
        <f t="shared" si="30"/>
        <v>#DIV/0!</v>
      </c>
      <c r="AO327" s="334" t="e">
        <f t="shared" si="31"/>
        <v>#DIV/0!</v>
      </c>
    </row>
    <row r="328" spans="1:41" ht="17.25" customHeight="1">
      <c r="A328" s="403">
        <f t="shared" ref="A328:A334" si="32">IF(D328="","",YEAR(D328))</f>
        <v>2025</v>
      </c>
      <c r="B328" s="403">
        <v>623</v>
      </c>
      <c r="C328" s="404" t="s">
        <v>42</v>
      </c>
      <c r="D328" s="414">
        <v>45785</v>
      </c>
      <c r="E328" s="406">
        <f t="shared" ref="E328:E336" si="33">IF(D328="","",YEAR(D328))</f>
        <v>2025</v>
      </c>
      <c r="F328" s="407" t="s">
        <v>4</v>
      </c>
      <c r="G328" s="383">
        <f t="shared" ref="G328:G336" si="34">IF(D328="","",D328)</f>
        <v>45785</v>
      </c>
      <c r="H328" s="408">
        <f>IF(B328="","",-SUMIFS('Canjes desagregado'!$S$2:$S$854,'Canjes desagregado'!$B$2:$B$854,B328,'Canjes desagregado'!$E$2:$E$854,"Títulos Recogidos por la Nación"))</f>
        <v>147500000000</v>
      </c>
      <c r="I328" s="409">
        <f>IF(B328="","",-SUMIFS('Canjes desagregado'!$U$2:$U$854,'Canjes desagregado'!$B$2:$B$854,HISTORICO!B328))</f>
        <v>263734999.99996948</v>
      </c>
      <c r="J328" s="409">
        <f>IF(B328="","",SUMIFS('Canjes desagregado'!$X$2:$X$854,'Canjes desagregado'!$B$2:$B$854,HISTORICO!B328))</f>
        <v>1697500000</v>
      </c>
      <c r="K328" s="408">
        <f t="shared" ref="K328:K335" si="35">IF(B328="","",J328+I328)</f>
        <v>1961234999.9999695</v>
      </c>
      <c r="L328" s="410">
        <f>IF(B328="","",SUMIFS('Canjes desagregado'!$AD$2:$AD$854,'Canjes desagregado'!$B$2:$B$854,HISTORICO!B328))</f>
        <v>0</v>
      </c>
      <c r="M328" s="410">
        <f t="shared" ref="M328:M335" si="36">IF(B328="","",L328+J328+I328)</f>
        <v>1961234999.9999695</v>
      </c>
      <c r="N328" s="410">
        <f>IF(B328="","",SUMIFS('Canjes desagregado'!$S$2:$S$854,'Canjes desagregado'!$B$2:$B$854,HISTORICO!B328))</f>
        <v>0</v>
      </c>
      <c r="O328" s="410">
        <f t="shared" ref="O328:O335" si="37">IF(B328="","",N328+M328)</f>
        <v>1961234999.9999695</v>
      </c>
      <c r="P328" s="411">
        <f t="shared" ref="P328:P335" si="38">IF(B328="","",K328/H328)</f>
        <v>1.3296508474576064E-2</v>
      </c>
      <c r="Q328" s="411">
        <f t="shared" ref="Q328:Q335" si="39">IF(B328="","",M328/H328)</f>
        <v>1.3296508474576064E-2</v>
      </c>
      <c r="R328" s="412">
        <f>IF(B328="","",H328/$H$363)</f>
        <v>9.4953771000177174E-3</v>
      </c>
      <c r="S328" s="412"/>
      <c r="T328" s="412"/>
      <c r="U328" s="413">
        <f t="shared" ref="U328:U335" si="40">IF(B328="","",I328+J328+L328+N328)</f>
        <v>1961234999.9999695</v>
      </c>
      <c r="V328" s="413">
        <f t="shared" ref="V328:V335" si="41">IF(B328="","",IF(C328="Tesorería",U328,""))</f>
        <v>1961234999.9999695</v>
      </c>
      <c r="W328" s="413" t="str">
        <f t="shared" ref="W328:W335" si="42">IF(B328="","",IF(C328="Tesorería","",U328))</f>
        <v/>
      </c>
      <c r="X328" s="411">
        <f t="shared" ref="X328:X335" si="43">IF(B328="","",(I328+J328+L328+N328)/H328)</f>
        <v>1.3296508474576064E-2</v>
      </c>
      <c r="Y328" s="304"/>
      <c r="Z328" s="305"/>
      <c r="AA328" s="305"/>
      <c r="AB328" s="193" t="e">
        <f>SUMIFS('Canjes desagregado'!#REF!,'Canjes desagregado'!$B$2:$B$854,B328)</f>
        <v>#REF!</v>
      </c>
      <c r="AC328" s="306">
        <f t="shared" ref="AC328:AC336" si="44">I328/H328</f>
        <v>1.7880338983048778E-3</v>
      </c>
      <c r="AD328" s="304">
        <f>IF(B328="","",-SUMIFS('Canjes desagregado'!$S$2:$S$854,'Canjes desagregado'!$B$2:$B$854,B328,'Canjes desagregado'!$E$2:$E$854,"Títulos Recogidos por la Nación",'Canjes desagregado'!$G$2:$G$854,"COP"))</f>
        <v>147500000000</v>
      </c>
      <c r="AE328" s="304">
        <f>IF(B328="","",-SUMIFS('Canjes desagregado'!$S$2:$S$854,'Canjes desagregado'!$B$2:$B$854,B328,'Canjes desagregado'!$E$2:$E$854,"Títulos Recogidos por la Nación",'Canjes desagregado'!$G$2:$G$854,"UVR"))</f>
        <v>0</v>
      </c>
      <c r="AM328" s="332">
        <f t="shared" ref="AM328:AM336" si="45">AL328+AK328</f>
        <v>0</v>
      </c>
      <c r="AN328" s="334" t="e">
        <f t="shared" ref="AN328:AN336" si="46">+AI328/AF328</f>
        <v>#DIV/0!</v>
      </c>
      <c r="AO328" s="334" t="e">
        <f t="shared" ref="AO328:AO336" si="47">AK328/AF328</f>
        <v>#DIV/0!</v>
      </c>
    </row>
    <row r="329" spans="1:41" ht="17.25" customHeight="1">
      <c r="A329" s="403">
        <f t="shared" si="32"/>
        <v>2025</v>
      </c>
      <c r="B329" s="403">
        <v>624</v>
      </c>
      <c r="C329" s="404" t="s">
        <v>42</v>
      </c>
      <c r="D329" s="414">
        <v>45786</v>
      </c>
      <c r="E329" s="406">
        <f t="shared" si="33"/>
        <v>2025</v>
      </c>
      <c r="F329" s="407" t="s">
        <v>4</v>
      </c>
      <c r="G329" s="383">
        <f t="shared" si="34"/>
        <v>45786</v>
      </c>
      <c r="H329" s="408">
        <f>IF(B329="","",-SUMIFS('Canjes desagregado'!$S$2:$S$854,'Canjes desagregado'!$B$2:$B$854,B329,'Canjes desagregado'!$E$2:$E$854,"Títulos Recogidos por la Nación"))</f>
        <v>21500000000</v>
      </c>
      <c r="I329" s="409">
        <f>IF(B329="","",-SUMIFS('Canjes desagregado'!$U$2:$U$854,'Canjes desagregado'!$B$2:$B$854,HISTORICO!B329))</f>
        <v>536904999.99999809</v>
      </c>
      <c r="J329" s="409">
        <f>IF(B329="","",SUMIFS('Canjes desagregado'!$X$2:$X$854,'Canjes desagregado'!$B$2:$B$854,HISTORICO!B329))</f>
        <v>37500000</v>
      </c>
      <c r="K329" s="408">
        <f t="shared" si="35"/>
        <v>574404999.99999809</v>
      </c>
      <c r="L329" s="410">
        <f>IF(B329="","",SUMIFS('Canjes desagregado'!$AD$2:$AD$854,'Canjes desagregado'!$B$2:$B$854,HISTORICO!B329))</f>
        <v>0</v>
      </c>
      <c r="M329" s="410">
        <f t="shared" si="36"/>
        <v>574404999.99999809</v>
      </c>
      <c r="N329" s="410">
        <f>IF(B329="","",SUMIFS('Canjes desagregado'!$S$2:$S$854,'Canjes desagregado'!$B$2:$B$854,HISTORICO!B329))</f>
        <v>0</v>
      </c>
      <c r="O329" s="410">
        <f t="shared" si="37"/>
        <v>574404999.99999809</v>
      </c>
      <c r="P329" s="411">
        <f t="shared" si="38"/>
        <v>2.6716511627906888E-2</v>
      </c>
      <c r="Q329" s="411">
        <f t="shared" si="39"/>
        <v>2.6716511627906888E-2</v>
      </c>
      <c r="R329" s="412">
        <f>IF(B329="","",H329/$H$363)</f>
        <v>1.3840719162737688E-3</v>
      </c>
      <c r="S329" s="412"/>
      <c r="T329" s="412"/>
      <c r="U329" s="413">
        <f t="shared" si="40"/>
        <v>574404999.99999809</v>
      </c>
      <c r="V329" s="413">
        <f t="shared" si="41"/>
        <v>574404999.99999809</v>
      </c>
      <c r="W329" s="413" t="str">
        <f t="shared" si="42"/>
        <v/>
      </c>
      <c r="X329" s="411">
        <f t="shared" si="43"/>
        <v>2.6716511627906888E-2</v>
      </c>
      <c r="Y329" s="304"/>
      <c r="Z329" s="305"/>
      <c r="AA329" s="305"/>
      <c r="AB329" s="193" t="e">
        <f>SUMIFS('Canjes desagregado'!#REF!,'Canjes desagregado'!$B$2:$B$854,B329)</f>
        <v>#REF!</v>
      </c>
      <c r="AC329" s="306">
        <f t="shared" si="44"/>
        <v>2.4972325581395258E-2</v>
      </c>
      <c r="AD329" s="304">
        <f>IF(B329="","",-SUMIFS('Canjes desagregado'!$S$2:$S$854,'Canjes desagregado'!$B$2:$B$854,B329,'Canjes desagregado'!$E$2:$E$854,"Títulos Recogidos por la Nación",'Canjes desagregado'!$G$2:$G$854,"COP"))</f>
        <v>21500000000</v>
      </c>
      <c r="AE329" s="304">
        <f>IF(B329="","",-SUMIFS('Canjes desagregado'!$S$2:$S$854,'Canjes desagregado'!$B$2:$B$854,B329,'Canjes desagregado'!$E$2:$E$854,"Títulos Recogidos por la Nación",'Canjes desagregado'!$G$2:$G$854,"UVR"))</f>
        <v>0</v>
      </c>
      <c r="AM329" s="332">
        <f t="shared" si="45"/>
        <v>0</v>
      </c>
      <c r="AN329" s="334" t="e">
        <f t="shared" si="46"/>
        <v>#DIV/0!</v>
      </c>
      <c r="AO329" s="334" t="e">
        <f t="shared" si="47"/>
        <v>#DIV/0!</v>
      </c>
    </row>
    <row r="330" spans="1:41" ht="17.25" customHeight="1">
      <c r="A330" s="403">
        <f t="shared" si="32"/>
        <v>2025</v>
      </c>
      <c r="B330" s="403">
        <v>625</v>
      </c>
      <c r="C330" s="404" t="s">
        <v>42</v>
      </c>
      <c r="D330" s="414">
        <v>45797</v>
      </c>
      <c r="E330" s="406">
        <f t="shared" si="33"/>
        <v>2025</v>
      </c>
      <c r="F330" s="407" t="s">
        <v>4</v>
      </c>
      <c r="G330" s="383">
        <f t="shared" si="34"/>
        <v>45797</v>
      </c>
      <c r="H330" s="408">
        <f>IF(B330="","",-SUMIFS('Canjes desagregado'!$S$2:$S$854,'Canjes desagregado'!$B$2:$B$854,B330,'Canjes desagregado'!$E$2:$E$854,"Títulos Recogidos por la Nación"))</f>
        <v>394363800000</v>
      </c>
      <c r="I330" s="409">
        <f>IF(B330="","",-SUMIFS('Canjes desagregado'!$U$2:$U$854,'Canjes desagregado'!$B$2:$B$854,HISTORICO!B330))</f>
        <v>46151.999938964844</v>
      </c>
      <c r="J330" s="409">
        <f>IF(B330="","",SUMIFS('Canjes desagregado'!$X$2:$X$854,'Canjes desagregado'!$B$2:$B$854,HISTORICO!B330))</f>
        <v>12237939000</v>
      </c>
      <c r="K330" s="408">
        <f t="shared" si="35"/>
        <v>12237985151.999939</v>
      </c>
      <c r="L330" s="410">
        <f>IF(B330="","",SUMIFS('Canjes desagregado'!$AD$2:$AD$854,'Canjes desagregado'!$B$2:$B$854,HISTORICO!B330))</f>
        <v>0</v>
      </c>
      <c r="M330" s="410">
        <f t="shared" si="36"/>
        <v>12237985151.999939</v>
      </c>
      <c r="N330" s="410">
        <f>IF(B330="","",SUMIFS('Canjes desagregado'!$S$2:$S$854,'Canjes desagregado'!$B$2:$B$854,HISTORICO!B330))</f>
        <v>-14225400000</v>
      </c>
      <c r="O330" s="410">
        <f t="shared" si="37"/>
        <v>-1987414848.000061</v>
      </c>
      <c r="P330" s="411">
        <f t="shared" si="38"/>
        <v>3.1032222409866066E-2</v>
      </c>
      <c r="Q330" s="411">
        <f t="shared" si="39"/>
        <v>3.1032222409866066E-2</v>
      </c>
      <c r="R330" s="412">
        <f>IF(B330="","",H330/$H$363)</f>
        <v>2.5387342343023506E-2</v>
      </c>
      <c r="S330" s="412"/>
      <c r="T330" s="412"/>
      <c r="U330" s="413">
        <f t="shared" si="40"/>
        <v>-1987414848.000061</v>
      </c>
      <c r="V330" s="413">
        <f t="shared" si="41"/>
        <v>-1987414848.000061</v>
      </c>
      <c r="W330" s="413" t="str">
        <f t="shared" si="42"/>
        <v/>
      </c>
      <c r="X330" s="411">
        <f t="shared" si="43"/>
        <v>-5.0395468549599663E-3</v>
      </c>
      <c r="Y330" s="304"/>
      <c r="Z330" s="305"/>
      <c r="AA330" s="305"/>
      <c r="AB330" s="193" t="e">
        <f>SUMIFS('Canjes desagregado'!#REF!,'Canjes desagregado'!$B$2:$B$854,B330)</f>
        <v>#REF!</v>
      </c>
      <c r="AC330" s="306">
        <f t="shared" si="44"/>
        <v>1.1702899692863504E-7</v>
      </c>
      <c r="AD330" s="304">
        <f>IF(B330="","",-SUMIFS('Canjes desagregado'!$S$2:$S$854,'Canjes desagregado'!$B$2:$B$854,B330,'Canjes desagregado'!$E$2:$E$854,"Títulos Recogidos por la Nación",'Canjes desagregado'!$G$2:$G$854,"COP"))</f>
        <v>394363800000</v>
      </c>
      <c r="AE330" s="304">
        <f>IF(B330="","",-SUMIFS('Canjes desagregado'!$S$2:$S$854,'Canjes desagregado'!$B$2:$B$854,B330,'Canjes desagregado'!$E$2:$E$854,"Títulos Recogidos por la Nación",'Canjes desagregado'!$G$2:$G$854,"UVR"))</f>
        <v>0</v>
      </c>
      <c r="AM330" s="332">
        <f t="shared" si="45"/>
        <v>0</v>
      </c>
      <c r="AN330" s="334" t="e">
        <f t="shared" si="46"/>
        <v>#DIV/0!</v>
      </c>
      <c r="AO330" s="334" t="e">
        <f t="shared" si="47"/>
        <v>#DIV/0!</v>
      </c>
    </row>
    <row r="331" spans="1:41" ht="17.25" customHeight="1">
      <c r="A331" s="403">
        <f t="shared" si="32"/>
        <v>2025</v>
      </c>
      <c r="B331" s="403">
        <v>626</v>
      </c>
      <c r="C331" s="404" t="s">
        <v>12</v>
      </c>
      <c r="D331" s="414">
        <v>45797</v>
      </c>
      <c r="E331" s="406">
        <f t="shared" si="33"/>
        <v>2025</v>
      </c>
      <c r="F331" s="407" t="s">
        <v>4</v>
      </c>
      <c r="G331" s="383">
        <f t="shared" si="34"/>
        <v>45797</v>
      </c>
      <c r="H331" s="408">
        <f>IF(B331="","",-SUMIFS('Canjes desagregado'!$S$2:$S$854,'Canjes desagregado'!$B$2:$B$854,B331,'Canjes desagregado'!$E$2:$E$854,"Títulos Recogidos por la Nación"))</f>
        <v>2801412400000</v>
      </c>
      <c r="I331" s="409">
        <f>IF(B331="","",-SUMIFS('Canjes desagregado'!$U$2:$U$854,'Canjes desagregado'!$B$2:$B$854,HISTORICO!B331))</f>
        <v>3819837.9921875</v>
      </c>
      <c r="J331" s="409">
        <f>IF(B331="","",SUMIFS('Canjes desagregado'!$X$2:$X$854,'Canjes desagregado'!$B$2:$B$854,HISTORICO!B331))</f>
        <v>95453974000</v>
      </c>
      <c r="K331" s="408">
        <f t="shared" si="35"/>
        <v>95457793837.992188</v>
      </c>
      <c r="L331" s="410">
        <f>IF(B331="","",SUMIFS('Canjes desagregado'!$AD$2:$AD$854,'Canjes desagregado'!$B$2:$B$854,HISTORICO!B331))</f>
        <v>0</v>
      </c>
      <c r="M331" s="410">
        <f t="shared" si="36"/>
        <v>95457793837.992188</v>
      </c>
      <c r="N331" s="410">
        <f>IF(B331="","",SUMIFS('Canjes desagregado'!$S$2:$S$854,'Canjes desagregado'!$B$2:$B$854,HISTORICO!B331))</f>
        <v>-122846500000</v>
      </c>
      <c r="O331" s="410">
        <f t="shared" si="37"/>
        <v>-27388706162.007813</v>
      </c>
      <c r="P331" s="411">
        <f t="shared" si="38"/>
        <v>3.4074880884368254E-2</v>
      </c>
      <c r="Q331" s="411">
        <f t="shared" si="39"/>
        <v>3.4074880884368254E-2</v>
      </c>
      <c r="R331" s="412">
        <f>IF(B331="","",H331/$H$363)</f>
        <v>0.18034215017400457</v>
      </c>
      <c r="S331" s="412"/>
      <c r="T331" s="412"/>
      <c r="U331" s="413">
        <f t="shared" si="40"/>
        <v>-27388706162.007813</v>
      </c>
      <c r="V331" s="413" t="str">
        <f t="shared" si="41"/>
        <v/>
      </c>
      <c r="W331" s="413">
        <f t="shared" si="42"/>
        <v>-27388706162.007813</v>
      </c>
      <c r="X331" s="411">
        <f t="shared" si="43"/>
        <v>-9.7767491005636351E-3</v>
      </c>
      <c r="Y331" s="304"/>
      <c r="Z331" s="305"/>
      <c r="AA331" s="305"/>
      <c r="AB331" s="193" t="e">
        <f>SUMIFS('Canjes desagregado'!#REF!,'Canjes desagregado'!$B$2:$B$854,B331)</f>
        <v>#REF!</v>
      </c>
      <c r="AC331" s="306">
        <f t="shared" si="44"/>
        <v>1.3635400457952924E-6</v>
      </c>
      <c r="AD331" s="304">
        <f>IF(B331="","",-SUMIFS('Canjes desagregado'!$S$2:$S$854,'Canjes desagregado'!$B$2:$B$854,B331,'Canjes desagregado'!$E$2:$E$854,"Títulos Recogidos por la Nación",'Canjes desagregado'!$G$2:$G$854,"COP"))</f>
        <v>2801412400000</v>
      </c>
      <c r="AE331" s="304">
        <f>IF(B331="","",-SUMIFS('Canjes desagregado'!$S$2:$S$854,'Canjes desagregado'!$B$2:$B$854,B331,'Canjes desagregado'!$E$2:$E$854,"Títulos Recogidos por la Nación",'Canjes desagregado'!$G$2:$G$854,"UVR"))</f>
        <v>0</v>
      </c>
      <c r="AM331" s="332">
        <f t="shared" si="45"/>
        <v>0</v>
      </c>
      <c r="AN331" s="334" t="e">
        <f t="shared" si="46"/>
        <v>#DIV/0!</v>
      </c>
      <c r="AO331" s="334" t="e">
        <f t="shared" si="47"/>
        <v>#DIV/0!</v>
      </c>
    </row>
    <row r="332" spans="1:41" ht="17.25" customHeight="1">
      <c r="A332" s="403">
        <f t="shared" si="32"/>
        <v>2025</v>
      </c>
      <c r="B332" s="403">
        <v>627</v>
      </c>
      <c r="C332" s="404" t="s">
        <v>12</v>
      </c>
      <c r="D332" s="414">
        <v>45811</v>
      </c>
      <c r="E332" s="406">
        <f t="shared" si="33"/>
        <v>2025</v>
      </c>
      <c r="F332" s="407" t="s">
        <v>4</v>
      </c>
      <c r="G332" s="383">
        <f t="shared" si="34"/>
        <v>45811</v>
      </c>
      <c r="H332" s="408">
        <f>IF(B332="","",-SUMIFS('Canjes desagregado'!$S$2:$S$854,'Canjes desagregado'!$B$2:$B$854,B332,'Canjes desagregado'!$E$2:$E$854,"Títulos Recogidos por la Nación"))</f>
        <v>3840025500000</v>
      </c>
      <c r="I332" s="409">
        <f>IF(B332="","",-SUMIFS('Canjes desagregado'!$U$2:$U$854,'Canjes desagregado'!$B$2:$B$854,HISTORICO!B332))</f>
        <v>18959371779.997684</v>
      </c>
      <c r="J332" s="409">
        <f>IF(B332="","",SUMIFS('Canjes desagregado'!$X$2:$X$854,'Canjes desagregado'!$B$2:$B$854,HISTORICO!B332))</f>
        <v>46685240500</v>
      </c>
      <c r="K332" s="408">
        <f t="shared" si="35"/>
        <v>65644612279.997681</v>
      </c>
      <c r="L332" s="410">
        <f>IF(B332="","",SUMIFS('Canjes desagregado'!$AD$2:$AD$854,'Canjes desagregado'!$B$2:$B$854,HISTORICO!B332))</f>
        <v>0</v>
      </c>
      <c r="M332" s="410">
        <f t="shared" si="36"/>
        <v>65644612279.997681</v>
      </c>
      <c r="N332" s="410">
        <f>IF(B332="","",SUMIFS('Canjes desagregado'!$S$2:$S$854,'Canjes desagregado'!$B$2:$B$854,HISTORICO!B332))</f>
        <v>-151574400000</v>
      </c>
      <c r="O332" s="410">
        <f t="shared" si="37"/>
        <v>-85929787720.002319</v>
      </c>
      <c r="P332" s="411">
        <f t="shared" si="38"/>
        <v>1.7094837594176831E-2</v>
      </c>
      <c r="Q332" s="411">
        <f t="shared" si="39"/>
        <v>1.7094837594176831E-2</v>
      </c>
      <c r="R332" s="412">
        <f>IF(B332="","",H332/$H$363)</f>
        <v>0.24720332336395989</v>
      </c>
      <c r="S332" s="412"/>
      <c r="T332" s="412"/>
      <c r="U332" s="413">
        <f t="shared" si="40"/>
        <v>-85929787720.002319</v>
      </c>
      <c r="V332" s="413" t="str">
        <f t="shared" si="41"/>
        <v/>
      </c>
      <c r="W332" s="413">
        <f t="shared" si="42"/>
        <v>-85929787720.002319</v>
      </c>
      <c r="X332" s="411">
        <f t="shared" si="43"/>
        <v>-2.2377400285493499E-2</v>
      </c>
      <c r="Y332" s="304"/>
      <c r="Z332" s="305"/>
      <c r="AA332" s="305"/>
      <c r="AB332" s="193" t="e">
        <f>SUMIFS('Canjes desagregado'!#REF!,'Canjes desagregado'!$B$2:$B$854,B332)</f>
        <v>#REF!</v>
      </c>
      <c r="AC332" s="306">
        <f t="shared" si="44"/>
        <v>4.9373036142592499E-3</v>
      </c>
      <c r="AD332" s="304">
        <f>IF(B332="","",-SUMIFS('Canjes desagregado'!$S$2:$S$854,'Canjes desagregado'!$B$2:$B$854,B332,'Canjes desagregado'!$E$2:$E$854,"Títulos Recogidos por la Nación",'Canjes desagregado'!$G$2:$G$854,"COP"))</f>
        <v>3840025500000</v>
      </c>
      <c r="AE332" s="304">
        <f>IF(B332="","",-SUMIFS('Canjes desagregado'!$S$2:$S$854,'Canjes desagregado'!$B$2:$B$854,B332,'Canjes desagregado'!$E$2:$E$854,"Títulos Recogidos por la Nación",'Canjes desagregado'!$G$2:$G$854,"UVR"))</f>
        <v>0</v>
      </c>
      <c r="AM332" s="332">
        <f t="shared" si="45"/>
        <v>0</v>
      </c>
      <c r="AN332" s="334" t="e">
        <f t="shared" si="46"/>
        <v>#DIV/0!</v>
      </c>
      <c r="AO332" s="334" t="e">
        <f t="shared" si="47"/>
        <v>#DIV/0!</v>
      </c>
    </row>
    <row r="333" spans="1:41" ht="17.25" customHeight="1">
      <c r="A333" s="403">
        <f t="shared" si="32"/>
        <v>2025</v>
      </c>
      <c r="B333" s="403">
        <v>628</v>
      </c>
      <c r="C333" s="404" t="s">
        <v>42</v>
      </c>
      <c r="D333" s="414">
        <v>45821</v>
      </c>
      <c r="E333" s="406">
        <f t="shared" si="33"/>
        <v>2025</v>
      </c>
      <c r="F333" s="407" t="s">
        <v>4</v>
      </c>
      <c r="G333" s="383">
        <f t="shared" si="34"/>
        <v>45821</v>
      </c>
      <c r="H333" s="408">
        <f>IF(B333="","",-SUMIFS('Canjes desagregado'!$S$2:$S$854,'Canjes desagregado'!$B$2:$B$854,B333,'Canjes desagregado'!$E$2:$E$854,"Títulos Recogidos por la Nación"))</f>
        <v>2106640800000</v>
      </c>
      <c r="I333" s="409">
        <f>IF(B333="","",-SUMIFS('Canjes desagregado'!$U$2:$U$854,'Canjes desagregado'!$B$2:$B$854,HISTORICO!B333))</f>
        <v>284871273336.00049</v>
      </c>
      <c r="J333" s="409">
        <f>IF(B333="","",SUMIFS('Canjes desagregado'!$X$2:$X$854,'Canjes desagregado'!$B$2:$B$854,HISTORICO!B333))</f>
        <v>-154983800000</v>
      </c>
      <c r="K333" s="408">
        <f t="shared" si="35"/>
        <v>129887473336.00049</v>
      </c>
      <c r="L333" s="410">
        <f>IF(B333="","",SUMIFS('Canjes desagregado'!$AD$2:$AD$854,'Canjes desagregado'!$B$2:$B$854,HISTORICO!B333))</f>
        <v>0</v>
      </c>
      <c r="M333" s="410">
        <f t="shared" si="36"/>
        <v>129887473336.00049</v>
      </c>
      <c r="N333" s="410">
        <f>IF(B333="","",SUMIFS('Canjes desagregado'!$S$2:$S$854,'Canjes desagregado'!$B$2:$B$854,HISTORICO!B333))</f>
        <v>0</v>
      </c>
      <c r="O333" s="410">
        <f t="shared" si="37"/>
        <v>129887473336.00049</v>
      </c>
      <c r="P333" s="411">
        <f t="shared" si="38"/>
        <v>6.1656203248318595E-2</v>
      </c>
      <c r="Q333" s="411">
        <f t="shared" si="39"/>
        <v>6.1656203248318595E-2</v>
      </c>
      <c r="R333" s="412">
        <f>IF(B333="","",H333/$H$363)</f>
        <v>0.13561592413751189</v>
      </c>
      <c r="S333" s="412"/>
      <c r="T333" s="412"/>
      <c r="U333" s="413">
        <f t="shared" si="40"/>
        <v>129887473336.00049</v>
      </c>
      <c r="V333" s="413">
        <f t="shared" si="41"/>
        <v>129887473336.00049</v>
      </c>
      <c r="W333" s="413" t="str">
        <f t="shared" si="42"/>
        <v/>
      </c>
      <c r="X333" s="411">
        <f t="shared" si="43"/>
        <v>6.1656203248318595E-2</v>
      </c>
      <c r="Y333" s="304"/>
      <c r="Z333" s="305"/>
      <c r="AA333" s="305"/>
      <c r="AB333" s="193" t="e">
        <f>SUMIFS('Canjes desagregado'!#REF!,'Canjes desagregado'!$B$2:$B$854,B333)</f>
        <v>#REF!</v>
      </c>
      <c r="AC333" s="306">
        <f t="shared" si="44"/>
        <v>0.13522536605955818</v>
      </c>
      <c r="AD333" s="304">
        <f>IF(B333="","",-SUMIFS('Canjes desagregado'!$S$2:$S$854,'Canjes desagregado'!$B$2:$B$854,B333,'Canjes desagregado'!$E$2:$E$854,"Títulos Recogidos por la Nación",'Canjes desagregado'!$G$2:$G$854,"COP"))</f>
        <v>2106640800000</v>
      </c>
      <c r="AE333" s="304">
        <f>IF(B333="","",-SUMIFS('Canjes desagregado'!$S$2:$S$854,'Canjes desagregado'!$B$2:$B$854,B333,'Canjes desagregado'!$E$2:$E$854,"Títulos Recogidos por la Nación",'Canjes desagregado'!$G$2:$G$854,"UVR"))</f>
        <v>0</v>
      </c>
      <c r="AM333" s="332">
        <f t="shared" si="45"/>
        <v>0</v>
      </c>
      <c r="AN333" s="334" t="e">
        <f t="shared" si="46"/>
        <v>#DIV/0!</v>
      </c>
      <c r="AO333" s="334" t="e">
        <f t="shared" si="47"/>
        <v>#DIV/0!</v>
      </c>
    </row>
    <row r="334" spans="1:41" ht="17.25" customHeight="1">
      <c r="A334" s="403">
        <f t="shared" si="32"/>
        <v>2025</v>
      </c>
      <c r="B334" s="403">
        <v>629</v>
      </c>
      <c r="C334" s="404" t="s">
        <v>42</v>
      </c>
      <c r="D334" s="414">
        <v>45860</v>
      </c>
      <c r="E334" s="406">
        <f t="shared" si="33"/>
        <v>2025</v>
      </c>
      <c r="F334" s="407" t="str">
        <f>_xlfn.XLOOKUP(B334,'Canjes desagregado'!B:B,'Canjes desagregado'!G:G,0)</f>
        <v>COP</v>
      </c>
      <c r="G334" s="383">
        <f t="shared" si="34"/>
        <v>45860</v>
      </c>
      <c r="H334" s="408">
        <f>IF(B334="","",-SUMIFS('Canjes desagregado'!$S$2:$S$854,'Canjes desagregado'!$B$2:$B$854,B334,'Canjes desagregado'!$E$2:$E$854,"Títulos Recogidos por la Nación"))</f>
        <v>20966458700000</v>
      </c>
      <c r="I334" s="409">
        <f>IF(B334="","",-SUMIFS('Canjes desagregado'!$U$2:$U$854,'Canjes desagregado'!$B$2:$B$854,HISTORICO!B334))</f>
        <v>75637</v>
      </c>
      <c r="J334" s="409">
        <f>IF(B334="","",SUMIFS('Canjes desagregado'!$X$2:$X$854,'Canjes desagregado'!$B$2:$B$854,HISTORICO!B334))</f>
        <v>-1214193229750</v>
      </c>
      <c r="K334" s="408">
        <f>IF(B334="","",J334+I334)</f>
        <v>-1214193154113</v>
      </c>
      <c r="L334" s="410">
        <f>IF(B334="","",SUMIFS('Canjes desagregado'!$AD$2:$AD$854,'Canjes desagregado'!$B$2:$B$854,HISTORICO!B334))</f>
        <v>0</v>
      </c>
      <c r="M334" s="410">
        <f t="shared" si="36"/>
        <v>-1214193154113</v>
      </c>
      <c r="N334" s="410">
        <f>IF(B334="","",SUMIFS('Canjes desagregado'!$S$2:$S$854,'Canjes desagregado'!$B$2:$B$854,HISTORICO!B334))</f>
        <v>-5270677400000</v>
      </c>
      <c r="O334" s="410">
        <f t="shared" si="37"/>
        <v>-6484870554113</v>
      </c>
      <c r="P334" s="411">
        <f t="shared" si="38"/>
        <v>-5.7911217697102085E-2</v>
      </c>
      <c r="Q334" s="411">
        <f>IF(B334="","",M334/H334)</f>
        <v>-5.7911217697102085E-2</v>
      </c>
      <c r="R334" s="412">
        <f>IF(B334="","",H334/$H$363)</f>
        <v>1.3497249614132016</v>
      </c>
      <c r="S334" s="412"/>
      <c r="T334" s="412"/>
      <c r="U334" s="413">
        <f>IF(B334="","",I334+J334+L334+N334)</f>
        <v>-6484870554113</v>
      </c>
      <c r="V334" s="413">
        <f t="shared" si="41"/>
        <v>-6484870554113</v>
      </c>
      <c r="W334" s="413" t="str">
        <f t="shared" si="42"/>
        <v/>
      </c>
      <c r="X334" s="411">
        <f>IF(B334="","",(I334+J334+L334+N334)/H334)</f>
        <v>-0.30929737095339804</v>
      </c>
      <c r="Y334" s="304"/>
      <c r="Z334" s="305"/>
      <c r="AA334" s="305"/>
      <c r="AB334" s="193" t="e">
        <f>SUMIFS('Canjes desagregado'!#REF!,'Canjes desagregado'!$B$2:$B$854,B334)</f>
        <v>#REF!</v>
      </c>
      <c r="AC334" s="306">
        <f t="shared" si="44"/>
        <v>3.6075238590482615E-9</v>
      </c>
      <c r="AD334" s="304">
        <f>IF(B334="","",-SUMIFS('Canjes desagregado'!$S$2:$S$854,'Canjes desagregado'!$B$2:$B$854,B334,'Canjes desagregado'!$E$2:$E$854,"Títulos Recogidos por la Nación",'Canjes desagregado'!$G$2:$G$854,"COP"))</f>
        <v>20966458700000</v>
      </c>
      <c r="AE334" s="304">
        <f>IF(B334="","",-SUMIFS('Canjes desagregado'!$S$2:$S$854,'Canjes desagregado'!$B$2:$B$854,B334,'Canjes desagregado'!$E$2:$E$854,"Títulos Recogidos por la Nación",'Canjes desagregado'!$G$2:$G$854,"UVR"))</f>
        <v>0</v>
      </c>
      <c r="AM334" s="332">
        <f t="shared" si="45"/>
        <v>0</v>
      </c>
      <c r="AN334" s="334" t="e">
        <f t="shared" si="46"/>
        <v>#DIV/0!</v>
      </c>
      <c r="AO334" s="334" t="e">
        <f t="shared" si="47"/>
        <v>#DIV/0!</v>
      </c>
    </row>
    <row r="335" spans="1:41" ht="17.25" customHeight="1">
      <c r="A335" s="403">
        <f>_xlfn.XLOOKUP(B335,Tabla6[Operación],Tabla6[Año],0)</f>
        <v>2025</v>
      </c>
      <c r="B335" s="403">
        <v>630</v>
      </c>
      <c r="C335" s="404" t="str">
        <f>_xlfn.XLOOKUP(B335,Tabla6[Operación],Tabla6[Canje],0)</f>
        <v>Mercado</v>
      </c>
      <c r="D335" s="414">
        <f>_xlfn.XLOOKUP(B335,Tabla6[Operación],Tabla6[Fecha Cumplimiento y/ liquidacion],0)</f>
        <v>45863</v>
      </c>
      <c r="E335" s="406">
        <f t="shared" si="33"/>
        <v>2025</v>
      </c>
      <c r="F335" s="407" t="str">
        <f>_xlfn.XLOOKUP(B335,'Canjes desagregado'!B:B,'Canjes desagregado'!G:G,0)</f>
        <v>UVR</v>
      </c>
      <c r="G335" s="383">
        <f t="shared" si="34"/>
        <v>45863</v>
      </c>
      <c r="H335" s="408">
        <f>IF(B335="","",-SUMIFS('Canjes desagregado'!$S$2:$S$854,'Canjes desagregado'!$B$2:$B$854,B335,'Canjes desagregado'!$E$2:$E$854,"Títulos Recogidos por la Nación"))</f>
        <v>4818751504632</v>
      </c>
      <c r="I335" s="409">
        <f>IF(B335="","",-SUMIFS('Canjes desagregado'!$U$2:$U$854,'Canjes desagregado'!$B$2:$B$854,HISTORICO!B335))</f>
        <v>28922652.557617188</v>
      </c>
      <c r="J335" s="409">
        <f>IF(B335="","",SUMIFS('Canjes desagregado'!$X$2:$X$854,'Canjes desagregado'!$B$2:$B$854,HISTORICO!B335))</f>
        <v>0</v>
      </c>
      <c r="K335" s="408">
        <f t="shared" si="35"/>
        <v>28922652.557617188</v>
      </c>
      <c r="L335" s="410">
        <f>IF(B335="","",SUMIFS('Canjes desagregado'!$AD$2:$AD$854,'Canjes desagregado'!$B$2:$B$854,HISTORICO!B335))</f>
        <v>-12196565374</v>
      </c>
      <c r="M335" s="410">
        <f t="shared" si="36"/>
        <v>-12167642721.442383</v>
      </c>
      <c r="N335" s="410">
        <f>IF(B335="","",SUMIFS('Canjes desagregado'!$S$2:$S$854,'Canjes desagregado'!$B$2:$B$854,HISTORICO!B335))</f>
        <v>-544158503694</v>
      </c>
      <c r="O335" s="410">
        <f t="shared" si="37"/>
        <v>-556326146415.44238</v>
      </c>
      <c r="P335" s="411">
        <f t="shared" si="38"/>
        <v>6.002105012017208E-6</v>
      </c>
      <c r="Q335" s="411">
        <f t="shared" si="39"/>
        <v>-2.5250612549217984E-3</v>
      </c>
      <c r="R335" s="412">
        <f>IF(B335="","",H335/$H$363)</f>
        <v>0.3102092385610753</v>
      </c>
      <c r="S335" s="412"/>
      <c r="T335" s="412"/>
      <c r="U335" s="413">
        <f t="shared" si="40"/>
        <v>-556326146415.44238</v>
      </c>
      <c r="V335" s="413" t="str">
        <f t="shared" si="41"/>
        <v/>
      </c>
      <c r="W335" s="413">
        <f t="shared" si="42"/>
        <v>-556326146415.44238</v>
      </c>
      <c r="X335" s="411">
        <f t="shared" si="43"/>
        <v>-0.11545026670926624</v>
      </c>
      <c r="Y335" s="304"/>
      <c r="Z335" s="305"/>
      <c r="AA335" s="305"/>
      <c r="AB335" s="193" t="e">
        <f>SUMIFS('Canjes desagregado'!#REF!,'Canjes desagregado'!$B$2:$B$854,B335)</f>
        <v>#REF!</v>
      </c>
      <c r="AC335" s="306">
        <f t="shared" si="44"/>
        <v>6.002105012017208E-6</v>
      </c>
      <c r="AD335" s="304">
        <f>IF(B335="","",-SUMIFS('Canjes desagregado'!$S$2:$S$854,'Canjes desagregado'!$B$2:$B$854,B335,'Canjes desagregado'!$E$2:$E$854,"Títulos Recogidos por la Nación",'Canjes desagregado'!$G$2:$G$854,"COP"))</f>
        <v>0</v>
      </c>
      <c r="AE335" s="304">
        <f>IF(B335="","",-SUMIFS('Canjes desagregado'!$S$2:$S$854,'Canjes desagregado'!$B$2:$B$854,B335,'Canjes desagregado'!$E$2:$E$854,"Títulos Recogidos por la Nación",'Canjes desagregado'!$G$2:$G$854,"UVR"))</f>
        <v>4818751504632</v>
      </c>
      <c r="AM335" s="332">
        <f t="shared" si="45"/>
        <v>0</v>
      </c>
      <c r="AN335" s="334" t="e">
        <f t="shared" si="46"/>
        <v>#DIV/0!</v>
      </c>
      <c r="AO335" s="334" t="e">
        <f t="shared" si="47"/>
        <v>#DIV/0!</v>
      </c>
    </row>
    <row r="336" spans="1:41" ht="17.25" customHeight="1">
      <c r="A336" s="403">
        <f>_xlfn.XLOOKUP(B336,Tabla6[Operación],Tabla6[Año],0)</f>
        <v>2025</v>
      </c>
      <c r="B336" s="403">
        <v>631</v>
      </c>
      <c r="C336" s="404" t="str">
        <f>_xlfn.XLOOKUP(B336,Tabla6[Operación],Tabla6[Canje],0)</f>
        <v>Tesorería</v>
      </c>
      <c r="D336" s="414">
        <f>_xlfn.XLOOKUP(B336,Tabla6[Operación],Tabla6[Fecha Cumplimiento y/ liquidacion],0)</f>
        <v>45869</v>
      </c>
      <c r="E336" s="406">
        <f t="shared" si="33"/>
        <v>2025</v>
      </c>
      <c r="F336" s="407" t="str">
        <f>_xlfn.XLOOKUP(B336,'Canjes desagregado'!B:B,'Canjes desagregado'!G:G,0)</f>
        <v>COP</v>
      </c>
      <c r="G336" s="383">
        <f t="shared" si="34"/>
        <v>45869</v>
      </c>
      <c r="H336" s="408">
        <f>IF(B336="","",-SUMIFS('Canjes desagregado'!$S$2:$S$854,'Canjes desagregado'!$B$2:$B$854,B336,'Canjes desagregado'!$E$2:$E$854,"Títulos Recogidos por la Nación"))</f>
        <v>1266012700000</v>
      </c>
      <c r="I336" s="409">
        <f>IF(B336="","",-SUMIFS('Canjes desagregado'!$U$2:$U$854,'Canjes desagregado'!$B$2:$B$854,HISTORICO!B336))</f>
        <v>13872</v>
      </c>
      <c r="J336" s="409">
        <f>IF(B336="","",SUMIFS('Canjes desagregado'!$X$2:$X$854,'Canjes desagregado'!$B$2:$B$854,HISTORICO!B336))</f>
        <v>40049047500</v>
      </c>
      <c r="K336" s="408">
        <f>IF(B336="","",J336+I336)</f>
        <v>40049061372</v>
      </c>
      <c r="L336" s="410">
        <f>IF(B336="","",SUMIFS('Canjes desagregado'!$AD$2:$AD$854,'Canjes desagregado'!$B$2:$B$854,HISTORICO!B336))</f>
        <v>0</v>
      </c>
      <c r="M336" s="410">
        <f>IF(B336="","",L336+J336+I336)</f>
        <v>40049061372</v>
      </c>
      <c r="N336" s="410">
        <f>IF(B336="","",SUMIFS('Canjes desagregado'!$S$2:$S$854,'Canjes desagregado'!$B$2:$B$854,HISTORICO!B336))</f>
        <v>-66012700000</v>
      </c>
      <c r="O336" s="410">
        <f>IF(B336="","",N336+M336)</f>
        <v>-25963638628</v>
      </c>
      <c r="P336" s="411">
        <f>IF(B336="","",K336/H336)</f>
        <v>3.1634012338106879E-2</v>
      </c>
      <c r="Q336" s="411">
        <f>IF(B336="","",M336/H336)</f>
        <v>3.1634012338106879E-2</v>
      </c>
      <c r="R336" s="412">
        <f>IF(B336="","",H336/$H$363)</f>
        <v>8.1500122033298983E-2</v>
      </c>
      <c r="S336" s="412"/>
      <c r="T336" s="412"/>
      <c r="U336" s="413">
        <f>IF(B336="","",I336+J336+L336+N336)</f>
        <v>-25963638628</v>
      </c>
      <c r="V336" s="413">
        <f>IF(B336="","",IF(C336="Tesorería",U336,""))</f>
        <v>-25963638628</v>
      </c>
      <c r="W336" s="413" t="str">
        <f>IF(B336="","",IF(C336="Tesorería","",U336))</f>
        <v/>
      </c>
      <c r="X336" s="411">
        <f>IF(B336="","",(I336+J336+L336+N336)/H336)</f>
        <v>-2.0508197609708022E-2</v>
      </c>
      <c r="Y336" s="304"/>
      <c r="Z336" s="305"/>
      <c r="AA336" s="305"/>
      <c r="AB336" s="193" t="e">
        <f>SUMIFS('Canjes desagregado'!#REF!,'Canjes desagregado'!$B$2:$B$854,B336)</f>
        <v>#REF!</v>
      </c>
      <c r="AC336" s="306">
        <f t="shared" si="44"/>
        <v>1.095723605300326E-8</v>
      </c>
      <c r="AD336" s="304">
        <f>IF(B336="","",-SUMIFS('Canjes desagregado'!$S$2:$S$854,'Canjes desagregado'!$B$2:$B$854,B336,'Canjes desagregado'!$E$2:$E$854,"Títulos Recogidos por la Nación",'Canjes desagregado'!$G$2:$G$854,"COP"))</f>
        <v>1266012700000</v>
      </c>
      <c r="AE336" s="304">
        <f>IF(B336="","",-SUMIFS('Canjes desagregado'!$S$2:$S$854,'Canjes desagregado'!$B$2:$B$854,B336,'Canjes desagregado'!$E$2:$E$854,"Títulos Recogidos por la Nación",'Canjes desagregado'!$G$2:$G$854,"UVR"))</f>
        <v>0</v>
      </c>
      <c r="AM336" s="332">
        <f t="shared" si="45"/>
        <v>0</v>
      </c>
      <c r="AN336" s="334" t="e">
        <f t="shared" si="46"/>
        <v>#DIV/0!</v>
      </c>
      <c r="AO336" s="334" t="e">
        <f t="shared" si="47"/>
        <v>#DIV/0!</v>
      </c>
    </row>
    <row r="337" spans="1:41" ht="17.25" customHeight="1">
      <c r="A337" s="403">
        <f>_xlfn.XLOOKUP(B337,Tabla6[Operación],Tabla6[Año],0)</f>
        <v>2025</v>
      </c>
      <c r="B337" s="403">
        <v>632</v>
      </c>
      <c r="C337" s="404" t="str">
        <f>_xlfn.XLOOKUP(B337,Tabla6[Operación],Tabla6[Canje],0)</f>
        <v>Tesorería</v>
      </c>
      <c r="D337" s="414">
        <f>_xlfn.XLOOKUP(B337,Tabla6[Operación],Tabla6[Fecha Cumplimiento y/ liquidacion],0)</f>
        <v>45881</v>
      </c>
      <c r="E337" s="406">
        <f t="shared" ref="E337" si="48">IF(D337="","",YEAR(D337))</f>
        <v>2025</v>
      </c>
      <c r="F337" s="407" t="str">
        <f>_xlfn.XLOOKUP(B337,'Canjes desagregado'!B:B,'Canjes desagregado'!G:G,0)</f>
        <v>COP</v>
      </c>
      <c r="G337" s="383">
        <f t="shared" ref="G337" si="49">IF(D337="","",D337)</f>
        <v>45881</v>
      </c>
      <c r="H337" s="408">
        <f>IF(B337="","",-SUMIFS('Canjes desagregado'!$S$2:$S$854,'Canjes desagregado'!$B$2:$B$854,B337,'Canjes desagregado'!$E$2:$E$854,"Títulos Recogidos por la Nación"))</f>
        <v>1953875100000</v>
      </c>
      <c r="I337" s="409">
        <f>IF(B337="","",-SUMIFS('Canjes desagregado'!$U$2:$U$854,'Canjes desagregado'!$B$2:$B$854,HISTORICO!B337))</f>
        <v>49436</v>
      </c>
      <c r="J337" s="409">
        <f>IF(B337="","",SUMIFS('Canjes desagregado'!$X$2:$X$854,'Canjes desagregado'!$B$2:$B$854,HISTORICO!B337))</f>
        <v>-18182689500</v>
      </c>
      <c r="K337" s="408">
        <f>IF(B337="","",J337+I337)</f>
        <v>-18182640064</v>
      </c>
      <c r="L337" s="410">
        <f>IF(B337="","",SUMIFS('Canjes desagregado'!$AD$2:$AD$854,'Canjes desagregado'!$B$2:$B$854,HISTORICO!B337))</f>
        <v>0</v>
      </c>
      <c r="M337" s="410">
        <f>IF(B337="","",L337+J337+I337)</f>
        <v>-18182640064</v>
      </c>
      <c r="N337" s="410">
        <f>IF(B337="","",SUMIFS('Canjes desagregado'!$S$2:$S$854,'Canjes desagregado'!$B$2:$B$854,HISTORICO!B337))</f>
        <v>-428424500000</v>
      </c>
      <c r="O337" s="410">
        <f>IF(B337="","",N337+M337)</f>
        <v>-446607140064</v>
      </c>
      <c r="P337" s="411">
        <f>IF(B337="","",K337/H337)</f>
        <v>-9.3059377562056036E-3</v>
      </c>
      <c r="Q337" s="411">
        <f>IF(B337="","",M337/H337)</f>
        <v>-9.3059377562056036E-3</v>
      </c>
      <c r="R337" s="412">
        <f>IF(B337="","",H337/$H$363)</f>
        <v>0.12578156529379544</v>
      </c>
      <c r="S337" s="412"/>
      <c r="T337" s="412"/>
      <c r="U337" s="413">
        <f>IF(B337="","",I337+J337+L337+N337)</f>
        <v>-446607140064</v>
      </c>
      <c r="V337" s="413">
        <f>IF(B337="","",IF(C337="Tesorería",U337,""))</f>
        <v>-446607140064</v>
      </c>
      <c r="W337" s="413" t="str">
        <f>IF(B337="","",IF(C337="Tesorería","",U337))</f>
        <v/>
      </c>
      <c r="X337" s="411">
        <f>IF(B337="","",(I337+J337+L337+N337)/H337)</f>
        <v>-0.22857507118239032</v>
      </c>
      <c r="Y337" s="304"/>
      <c r="Z337" s="305"/>
      <c r="AA337" s="305"/>
      <c r="AB337" s="193" t="e">
        <f>SUMIFS('Canjes desagregado'!#REF!,'Canjes desagregado'!$B$2:$B$854,B337)</f>
        <v>#REF!</v>
      </c>
      <c r="AC337" s="306">
        <f t="shared" ref="AC337" si="50">I337/H337</f>
        <v>2.5301514922832067E-8</v>
      </c>
      <c r="AD337" s="304">
        <f>IF(B337="","",-SUMIFS('Canjes desagregado'!$S$2:$S$854,'Canjes desagregado'!$B$2:$B$854,B337,'Canjes desagregado'!$E$2:$E$854,"Títulos Recogidos por la Nación",'Canjes desagregado'!$G$2:$G$854,"COP"))</f>
        <v>1953875100000</v>
      </c>
      <c r="AE337" s="304">
        <f>IF(B337="","",-SUMIFS('Canjes desagregado'!$S$2:$S$854,'Canjes desagregado'!$B$2:$B$854,B337,'Canjes desagregado'!$E$2:$E$854,"Títulos Recogidos por la Nación",'Canjes desagregado'!$G$2:$G$854,"UVR"))</f>
        <v>0</v>
      </c>
      <c r="AM337" s="332">
        <f t="shared" ref="AM337" si="51">AL337+AK337</f>
        <v>0</v>
      </c>
      <c r="AN337" s="334" t="e">
        <f t="shared" ref="AN337" si="52">+AI337/AF337</f>
        <v>#DIV/0!</v>
      </c>
      <c r="AO337" s="334" t="e">
        <f t="shared" ref="AO337" si="53">AK337/AF337</f>
        <v>#DIV/0!</v>
      </c>
    </row>
    <row r="338" spans="1:41" ht="17.25" customHeight="1">
      <c r="A338" s="403">
        <f>_xlfn.XLOOKUP(B338,Tabla6[Operación],Tabla6[Año],0)</f>
        <v>2025</v>
      </c>
      <c r="B338" s="403">
        <v>633</v>
      </c>
      <c r="C338" s="404" t="str">
        <f>_xlfn.XLOOKUP(B338,Tabla6[Operación],Tabla6[Canje],0)</f>
        <v>Tesorería</v>
      </c>
      <c r="D338" s="414">
        <f>_xlfn.XLOOKUP(B338,Tabla6[Operación],Tabla6[Fecha Cumplimiento y/ liquidacion],0)</f>
        <v>45904</v>
      </c>
      <c r="E338" s="406">
        <f t="shared" ref="E338:E339" si="54">IF(D338="","",YEAR(D338))</f>
        <v>2025</v>
      </c>
      <c r="F338" s="407" t="str">
        <f>_xlfn.XLOOKUP(B338,'Canjes desagregado'!B:B,'Canjes desagregado'!G:G,0)</f>
        <v>COP</v>
      </c>
      <c r="G338" s="383">
        <f t="shared" ref="G338" si="55">IF(D338="","",D338)</f>
        <v>45904</v>
      </c>
      <c r="H338" s="408">
        <f>IF(B338="","",-SUMIFS('Canjes desagregado'!$S$2:$S$854,'Canjes desagregado'!$B$2:$B$854,B338,'Canjes desagregado'!$E$2:$E$854,"Títulos Recogidos por la Nación"))</f>
        <v>546000000000</v>
      </c>
      <c r="I338" s="409">
        <f>IF(B338="","",-SUMIFS('Canjes desagregado'!$U$2:$U$854,'Canjes desagregado'!$B$2:$B$854,HISTORICO!B338))</f>
        <v>20180160000</v>
      </c>
      <c r="J338" s="409">
        <f>IF(B338="","",SUMIFS('Canjes desagregado'!$X$2:$X$854,'Canjes desagregado'!$B$2:$B$854,HISTORICO!B338))</f>
        <v>69615000000</v>
      </c>
      <c r="K338" s="408">
        <f>IF(B338="","",J338+I338)</f>
        <v>89795160000</v>
      </c>
      <c r="L338" s="410">
        <f>IF(B338="","",SUMIFS('Canjes desagregado'!$AD$2:$AD$854,'Canjes desagregado'!$B$2:$B$854,HISTORICO!B338))</f>
        <v>0</v>
      </c>
      <c r="M338" s="410">
        <f>IF(B338="","",L338+J338+I338)</f>
        <v>89795160000</v>
      </c>
      <c r="N338" s="410">
        <f>IF(B338="","",SUMIFS('Canjes desagregado'!$S$2:$S$854,'Canjes desagregado'!$B$2:$B$854,HISTORICO!B338))</f>
        <v>0</v>
      </c>
      <c r="O338" s="410">
        <f>IF(B338="","",N338+M338)</f>
        <v>89795160000</v>
      </c>
      <c r="P338" s="411">
        <f>IF(B338="","",K338/H338)</f>
        <v>0.16446</v>
      </c>
      <c r="Q338" s="411">
        <f>IF(B338="","",M338/H338)</f>
        <v>0.16446</v>
      </c>
      <c r="R338" s="412">
        <f t="shared" ref="R338" si="56">IF(B338="","",H338/$H$363)</f>
        <v>3.5148989129557107E-2</v>
      </c>
      <c r="S338" s="412"/>
      <c r="T338" s="412"/>
      <c r="U338" s="413">
        <f>IF(B338="","",I338+J338+L338+N338)</f>
        <v>89795160000</v>
      </c>
      <c r="V338" s="413">
        <f>IF(B338="","",IF(C338="Tesorería",U338,""))</f>
        <v>89795160000</v>
      </c>
      <c r="W338" s="413" t="str">
        <f>IF(B338="","",IF(C338="Tesorería","",U338))</f>
        <v/>
      </c>
      <c r="X338" s="411">
        <f>IF(B338="","",(I338+J338+L338+N338)/H338)</f>
        <v>0.16446</v>
      </c>
      <c r="Y338" s="304"/>
      <c r="Z338" s="305"/>
      <c r="AA338" s="305"/>
      <c r="AB338" s="193" t="e">
        <f>SUMIFS('Canjes desagregado'!#REF!,'Canjes desagregado'!$B$2:$B$854,B338)</f>
        <v>#REF!</v>
      </c>
      <c r="AC338" s="306">
        <f t="shared" ref="AC338:AC344" si="57">I338/H338</f>
        <v>3.696E-2</v>
      </c>
      <c r="AD338" s="304">
        <f>IF(B338="","",-SUMIFS('Canjes desagregado'!$S$2:$S$854,'Canjes desagregado'!$B$2:$B$854,B338,'Canjes desagregado'!$E$2:$E$854,"Títulos Recogidos por la Nación",'Canjes desagregado'!$G$2:$G$854,"COP"))</f>
        <v>546000000000</v>
      </c>
      <c r="AE338" s="304">
        <f>IF(B338="","",-SUMIFS('Canjes desagregado'!$S$2:$S$854,'Canjes desagregado'!$B$2:$B$854,B338,'Canjes desagregado'!$E$2:$E$854,"Títulos Recogidos por la Nación",'Canjes desagregado'!$G$2:$G$854,"UVR"))</f>
        <v>0</v>
      </c>
      <c r="AM338" s="332">
        <f t="shared" ref="AM338:AM344" si="58">AL338+AK338</f>
        <v>0</v>
      </c>
      <c r="AN338" s="334" t="e">
        <f t="shared" ref="AN338:AN344" si="59">+AI338/AF338</f>
        <v>#DIV/0!</v>
      </c>
      <c r="AO338" s="334" t="e">
        <f t="shared" ref="AO338:AO344" si="60">AK338/AF338</f>
        <v>#DIV/0!</v>
      </c>
    </row>
    <row r="339" spans="1:41" ht="17.25" customHeight="1">
      <c r="A339" s="403">
        <f>_xlfn.XLOOKUP(B339,Tabla6[Operación],Tabla6[Año],0)</f>
        <v>2025</v>
      </c>
      <c r="B339" s="403">
        <v>634</v>
      </c>
      <c r="C339" s="404" t="str">
        <f>_xlfn.XLOOKUP(B339,Tabla6[Operación],Tabla6[Canje],0)</f>
        <v>Tesorería</v>
      </c>
      <c r="D339" s="414">
        <f>_xlfn.XLOOKUP(B339,Tabla6[Operación],Tabla6[Fecha Cumplimiento y/ liquidacion],0)</f>
        <v>45905</v>
      </c>
      <c r="E339" s="406">
        <f t="shared" si="54"/>
        <v>2025</v>
      </c>
      <c r="F339" s="407" t="str">
        <f>_xlfn.XLOOKUP(B339,'Canjes desagregado'!B:B,'Canjes desagregado'!G:G,0)</f>
        <v>COP</v>
      </c>
      <c r="G339" s="383">
        <f t="shared" ref="G339" si="61">IF(D339="","",D339)</f>
        <v>45905</v>
      </c>
      <c r="H339" s="408">
        <f>IF(B339="","",-SUMIFS('Canjes desagregado'!$S$2:$S$854,'Canjes desagregado'!$B$2:$B$854,B339,'Canjes desagregado'!$E$2:$E$854,"Títulos Recogidos por la Nación"))</f>
        <v>1304000000000</v>
      </c>
      <c r="I339" s="409">
        <f>IF(B339="","",-SUMIFS('Canjes desagregado'!$U$2:$U$854,'Canjes desagregado'!$B$2:$B$854,HISTORICO!B339))</f>
        <v>58184480000</v>
      </c>
      <c r="J339" s="409">
        <f>IF(B339="","",SUMIFS('Canjes desagregado'!$X$2:$X$854,'Canjes desagregado'!$B$2:$B$854,HISTORICO!B339))</f>
        <v>166260000000</v>
      </c>
      <c r="K339" s="408">
        <f>IF(B339="","",J339+I339)</f>
        <v>224444480000</v>
      </c>
      <c r="L339" s="410">
        <f>IF(B339="","",SUMIFS('Canjes desagregado'!$AD$2:$AD$854,'Canjes desagregado'!$B$2:$B$854,HISTORICO!B339))</f>
        <v>0</v>
      </c>
      <c r="M339" s="410">
        <f>IF(B339="","",L339+J339+I339)</f>
        <v>224444480000</v>
      </c>
      <c r="N339" s="410">
        <f>IF(B339="","",SUMIFS('Canjes desagregado'!$S$2:$S$854,'Canjes desagregado'!$B$2:$B$854,HISTORICO!B339))</f>
        <v>0</v>
      </c>
      <c r="O339" s="410">
        <f>IF(B339="","",N339+M339)</f>
        <v>224444480000</v>
      </c>
      <c r="P339" s="411">
        <f>IF(B339="","",K339/H339)</f>
        <v>0.17212</v>
      </c>
      <c r="Q339" s="411">
        <f>IF(B339="","",M339/H339)</f>
        <v>0.17212</v>
      </c>
      <c r="R339" s="412">
        <f t="shared" ref="R339" si="62">IF(B339="","",H339/$H$363)</f>
        <v>8.394557110795324E-2</v>
      </c>
      <c r="S339" s="412"/>
      <c r="T339" s="412"/>
      <c r="U339" s="413">
        <f>IF(B339="","",I339+J339+L339+N339)</f>
        <v>224444480000</v>
      </c>
      <c r="V339" s="413">
        <f>IF(B339="","",IF(C339="Tesorería",U339,""))</f>
        <v>224444480000</v>
      </c>
      <c r="W339" s="413" t="str">
        <f>IF(B339="","",IF(C339="Tesorería","",U339))</f>
        <v/>
      </c>
      <c r="X339" s="411">
        <f>IF(B339="","",(I339+J339+L339+N339)/H339)</f>
        <v>0.17212</v>
      </c>
      <c r="Y339" s="304"/>
      <c r="Z339" s="305"/>
      <c r="AA339" s="305"/>
      <c r="AB339" s="193" t="e">
        <f>SUMIFS('Canjes desagregado'!#REF!,'Canjes desagregado'!$B$2:$B$854,B339)</f>
        <v>#REF!</v>
      </c>
      <c r="AC339" s="306">
        <f t="shared" si="57"/>
        <v>4.462E-2</v>
      </c>
      <c r="AD339" s="304">
        <f>IF(B339="","",-SUMIFS('Canjes desagregado'!$S$2:$S$854,'Canjes desagregado'!$B$2:$B$854,B339,'Canjes desagregado'!$E$2:$E$854,"Títulos Recogidos por la Nación",'Canjes desagregado'!$G$2:$G$854,"COP"))</f>
        <v>1304000000000</v>
      </c>
      <c r="AE339" s="304">
        <f>IF(B339="","",-SUMIFS('Canjes desagregado'!$S$2:$S$854,'Canjes desagregado'!$B$2:$B$854,B339,'Canjes desagregado'!$E$2:$E$854,"Títulos Recogidos por la Nación",'Canjes desagregado'!$G$2:$G$854,"UVR"))</f>
        <v>0</v>
      </c>
      <c r="AM339" s="332">
        <f t="shared" si="58"/>
        <v>0</v>
      </c>
      <c r="AN339" s="334" t="e">
        <f t="shared" si="59"/>
        <v>#DIV/0!</v>
      </c>
      <c r="AO339" s="334" t="e">
        <f t="shared" si="60"/>
        <v>#DIV/0!</v>
      </c>
    </row>
    <row r="340" spans="1:41" ht="17.25" customHeight="1">
      <c r="A340" s="403">
        <f>_xlfn.XLOOKUP(B340,Tabla6[Operación],Tabla6[Año],0)</f>
        <v>2025</v>
      </c>
      <c r="B340" s="403">
        <v>635</v>
      </c>
      <c r="C340" s="404" t="str">
        <f>_xlfn.XLOOKUP(B340,Tabla6[Operación],Tabla6[Canje],0)</f>
        <v>Tesorería</v>
      </c>
      <c r="D340" s="414">
        <f>_xlfn.XLOOKUP(B340,Tabla6[Operación],Tabla6[Fecha Cumplimiento y/ liquidacion],0)</f>
        <v>45908</v>
      </c>
      <c r="E340" s="406">
        <f t="shared" ref="E340" si="63">IF(D340="","",YEAR(D340))</f>
        <v>2025</v>
      </c>
      <c r="F340" s="407" t="str">
        <f>_xlfn.XLOOKUP(B340,'Canjes desagregado'!B:B,'Canjes desagregado'!G:G,0)</f>
        <v>COP</v>
      </c>
      <c r="G340" s="383">
        <f t="shared" ref="G340" si="64">IF(D340="","",D340)</f>
        <v>45908</v>
      </c>
      <c r="H340" s="408">
        <f>IF(B340="","",-SUMIFS('Canjes desagregado'!$S$2:$S$854,'Canjes desagregado'!$B$2:$B$854,B340,'Canjes desagregado'!$E$2:$E$854,"Títulos Recogidos por la Nación"))</f>
        <v>494000000000</v>
      </c>
      <c r="I340" s="409">
        <f>IF(B340="","",-SUMIFS('Canjes desagregado'!$U$2:$U$854,'Canjes desagregado'!$B$2:$B$854,HISTORICO!B340))</f>
        <v>128348800000</v>
      </c>
      <c r="J340" s="409">
        <f>IF(B340="","",SUMIFS('Canjes desagregado'!$X$2:$X$854,'Canjes desagregado'!$B$2:$B$854,HISTORICO!B340))</f>
        <v>24277500000</v>
      </c>
      <c r="K340" s="408">
        <f>IF(B340="","",J340+I340)</f>
        <v>152626300000</v>
      </c>
      <c r="L340" s="410">
        <f>IF(B340="","",SUMIFS('Canjes desagregado'!$AD$2:$AD$854,'Canjes desagregado'!$B$2:$B$854,HISTORICO!B340))</f>
        <v>0</v>
      </c>
      <c r="M340" s="410">
        <f>IF(B340="","",L340+J340+I340)</f>
        <v>152626300000</v>
      </c>
      <c r="N340" s="410">
        <f>IF(B340="","",SUMIFS('Canjes desagregado'!$S$2:$S$854,'Canjes desagregado'!$B$2:$B$854,HISTORICO!B340))</f>
        <v>0</v>
      </c>
      <c r="O340" s="410">
        <f>IF(B340="","",N340+M340)</f>
        <v>152626300000</v>
      </c>
      <c r="P340" s="411">
        <f>IF(B340="","",K340/H340)</f>
        <v>0.30896012145748986</v>
      </c>
      <c r="Q340" s="411">
        <f>IF(B340="","",M340/H340)</f>
        <v>0.30896012145748986</v>
      </c>
      <c r="R340" s="412">
        <f t="shared" ref="R340" si="65">IF(B340="","",H340/$H$363)</f>
        <v>3.1801466355313571E-2</v>
      </c>
      <c r="S340" s="412"/>
      <c r="T340" s="412"/>
      <c r="U340" s="413">
        <f>IF(B340="","",I340+J340+L340+N340)</f>
        <v>152626300000</v>
      </c>
      <c r="V340" s="413">
        <f>IF(B340="","",IF(C340="Tesorería",U340,""))</f>
        <v>152626300000</v>
      </c>
      <c r="W340" s="413" t="str">
        <f>IF(B340="","",IF(C340="Tesorería","",U340))</f>
        <v/>
      </c>
      <c r="X340" s="411">
        <f>IF(B340="","",(I340+J340+L340+N340)/H340)</f>
        <v>0.30896012145748986</v>
      </c>
      <c r="Y340" s="304"/>
      <c r="Z340" s="305"/>
      <c r="AA340" s="305"/>
      <c r="AB340" s="193" t="e">
        <f>SUMIFS('Canjes desagregado'!#REF!,'Canjes desagregado'!$B$2:$B$854,B340)</f>
        <v>#REF!</v>
      </c>
      <c r="AC340" s="306">
        <f t="shared" si="57"/>
        <v>0.25981538461538461</v>
      </c>
      <c r="AD340" s="304">
        <f>IF(B340="","",-SUMIFS('Canjes desagregado'!$S$2:$S$854,'Canjes desagregado'!$B$2:$B$854,B340,'Canjes desagregado'!$E$2:$E$854,"Títulos Recogidos por la Nación",'Canjes desagregado'!$G$2:$G$854,"COP"))</f>
        <v>494000000000</v>
      </c>
      <c r="AE340" s="304">
        <f>IF(B340="","",-SUMIFS('Canjes desagregado'!$S$2:$S$854,'Canjes desagregado'!$B$2:$B$854,B340,'Canjes desagregado'!$E$2:$E$854,"Títulos Recogidos por la Nación",'Canjes desagregado'!$G$2:$G$854,"UVR"))</f>
        <v>0</v>
      </c>
      <c r="AM340" s="332">
        <f t="shared" si="58"/>
        <v>0</v>
      </c>
      <c r="AN340" s="334" t="e">
        <f t="shared" si="59"/>
        <v>#DIV/0!</v>
      </c>
      <c r="AO340" s="334" t="e">
        <f t="shared" si="60"/>
        <v>#DIV/0!</v>
      </c>
    </row>
    <row r="341" spans="1:41" ht="17.25" customHeight="1">
      <c r="A341" s="403">
        <f>_xlfn.XLOOKUP(B341,Tabla6[Operación],Tabla6[Año],0)</f>
        <v>2025</v>
      </c>
      <c r="B341" s="403">
        <v>636</v>
      </c>
      <c r="C341" s="404" t="str">
        <f>_xlfn.XLOOKUP(B341,Tabla6[Operación],Tabla6[Canje],0)</f>
        <v>Tesorería</v>
      </c>
      <c r="D341" s="414">
        <f>_xlfn.XLOOKUP(B341,Tabla6[Operación],Tabla6[Fecha Cumplimiento y/ liquidacion],0)</f>
        <v>45951</v>
      </c>
      <c r="E341" s="406">
        <f t="shared" ref="E341:E344" si="66">IF(D341="","",YEAR(D341))</f>
        <v>2025</v>
      </c>
      <c r="F341" s="407" t="str">
        <f>_xlfn.XLOOKUP(B341,'Canjes desagregado'!B:B,'Canjes desagregado'!G:G,0)</f>
        <v>COP</v>
      </c>
      <c r="G341" s="383">
        <f t="shared" ref="G341:G344" si="67">IF(D341="","",D341)</f>
        <v>45951</v>
      </c>
      <c r="H341" s="408">
        <f>IF(B341="","",-SUMIFS('Canjes desagregado'!$S$2:$S$854,'Canjes desagregado'!$B$2:$B$854,B341,'Canjes desagregado'!$E$2:$E$854,"Títulos Recogidos por la Nación"))</f>
        <v>313318900000</v>
      </c>
      <c r="I341" s="409">
        <f>IF(B341="","",-SUMIFS('Canjes desagregado'!$U$2:$U$854,'Canjes desagregado'!$B$2:$B$854,HISTORICO!B341))</f>
        <v>68430</v>
      </c>
      <c r="J341" s="409">
        <f>IF(B341="","",SUMIFS('Canjes desagregado'!$X$2:$X$854,'Canjes desagregado'!$B$2:$B$854,HISTORICO!B341))</f>
        <v>1912500000</v>
      </c>
      <c r="K341" s="408">
        <f t="shared" ref="K341:K343" si="68">IF(B341="","",J341+I341)</f>
        <v>1912568430</v>
      </c>
      <c r="L341" s="410">
        <f>IF(B341="","",SUMIFS('Canjes desagregado'!$AD$2:$AD$854,'Canjes desagregado'!$B$2:$B$854,HISTORICO!B341))</f>
        <v>0</v>
      </c>
      <c r="M341" s="410">
        <f t="shared" ref="M341:M343" si="69">IF(B341="","",L341+J341+I341)</f>
        <v>1912568430</v>
      </c>
      <c r="N341" s="410">
        <f>IF(B341="","",SUMIFS('Canjes desagregado'!$S$2:$S$854,'Canjes desagregado'!$B$2:$B$854,HISTORICO!B341))</f>
        <v>-7318900000</v>
      </c>
      <c r="O341" s="410">
        <f t="shared" ref="O341:O343" si="70">IF(B341="","",N341+M341)</f>
        <v>-5406331570</v>
      </c>
      <c r="P341" s="411">
        <f t="shared" ref="P341:P343" si="71">IF(B341="","",K341/H341)</f>
        <v>6.1042229817607555E-3</v>
      </c>
      <c r="Q341" s="411">
        <f t="shared" ref="Q341:Q343" si="72">IF(B341="","",M341/H341)</f>
        <v>6.1042229817607555E-3</v>
      </c>
      <c r="R341" s="412">
        <f>IF(B341="","",H341/$H$363)</f>
        <v>2.0170041410594853E-2</v>
      </c>
      <c r="S341" s="412"/>
      <c r="T341" s="412"/>
      <c r="U341" s="413">
        <f t="shared" ref="U341:U343" si="73">IF(B341="","",I341+J341+L341+N341)</f>
        <v>-5406331570</v>
      </c>
      <c r="V341" s="413">
        <f t="shared" ref="V341:V343" si="74">IF(B341="","",IF(C341="Tesorería",U341,""))</f>
        <v>-5406331570</v>
      </c>
      <c r="W341" s="413" t="str">
        <f t="shared" ref="W341:W343" si="75">IF(B341="","",IF(C341="Tesorería","",U341))</f>
        <v/>
      </c>
      <c r="X341" s="411">
        <f t="shared" ref="X341:X343" si="76">IF(B341="","",(I341+J341+L341+N341)/H341)</f>
        <v>-1.7255044524923328E-2</v>
      </c>
      <c r="Y341" s="304"/>
      <c r="Z341" s="305"/>
      <c r="AA341" s="305"/>
      <c r="AB341" s="193" t="e">
        <f>SUMIFS('Canjes desagregado'!#REF!,'Canjes desagregado'!$B$2:$B$854,B341)</f>
        <v>#REF!</v>
      </c>
      <c r="AC341" s="306">
        <f t="shared" si="57"/>
        <v>2.1840367753110328E-7</v>
      </c>
      <c r="AD341" s="304">
        <f>IF(B341="","",-SUMIFS('Canjes desagregado'!$S$2:$S$854,'Canjes desagregado'!$B$2:$B$854,B341,'Canjes desagregado'!$E$2:$E$854,"Títulos Recogidos por la Nación",'Canjes desagregado'!$G$2:$G$854,"COP"))</f>
        <v>313318900000</v>
      </c>
      <c r="AE341" s="304">
        <f>IF(B341="","",-SUMIFS('Canjes desagregado'!$S$2:$S$854,'Canjes desagregado'!$B$2:$B$854,B341,'Canjes desagregado'!$E$2:$E$854,"Títulos Recogidos por la Nación",'Canjes desagregado'!$G$2:$G$854,"UVR"))</f>
        <v>0</v>
      </c>
      <c r="AM341" s="332">
        <f t="shared" si="58"/>
        <v>0</v>
      </c>
      <c r="AN341" s="334" t="e">
        <f t="shared" si="59"/>
        <v>#DIV/0!</v>
      </c>
      <c r="AO341" s="334" t="e">
        <f t="shared" si="60"/>
        <v>#DIV/0!</v>
      </c>
    </row>
    <row r="342" spans="1:41" ht="17.25" customHeight="1">
      <c r="A342" s="403">
        <f>_xlfn.XLOOKUP(B342,Tabla6[Operación],Tabla6[Año],0)</f>
        <v>2025</v>
      </c>
      <c r="B342" s="403">
        <v>637</v>
      </c>
      <c r="C342" s="404" t="str">
        <f>_xlfn.XLOOKUP(B342,Tabla6[Operación],Tabla6[Canje],0)</f>
        <v>Tesorería</v>
      </c>
      <c r="D342" s="414">
        <f>_xlfn.XLOOKUP(B342,Tabla6[Operación],Tabla6[Fecha Cumplimiento y/ liquidacion],0)</f>
        <v>45952</v>
      </c>
      <c r="E342" s="406">
        <f t="shared" si="66"/>
        <v>2025</v>
      </c>
      <c r="F342" s="407" t="str">
        <f>_xlfn.XLOOKUP(B342,'Canjes desagregado'!B:B,'Canjes desagregado'!G:G,0)</f>
        <v>COP</v>
      </c>
      <c r="G342" s="383">
        <f t="shared" si="67"/>
        <v>45952</v>
      </c>
      <c r="H342" s="408">
        <f>IF(B342="","",-SUMIFS('Canjes desagregado'!$S$2:$S$854,'Canjes desagregado'!$B$2:$B$854,B342,'Canjes desagregado'!$E$2:$E$854,"Títulos Recogidos por la Nación"))</f>
        <v>397613400000</v>
      </c>
      <c r="I342" s="409">
        <f>IF(B342="","",-SUMIFS('Canjes desagregado'!$U$2:$U$854,'Canjes desagregado'!$B$2:$B$854,HISTORICO!B342))</f>
        <v>93612</v>
      </c>
      <c r="J342" s="409">
        <f>IF(B342="","",SUMIFS('Canjes desagregado'!$X$2:$X$854,'Canjes desagregado'!$B$2:$B$854,HISTORICO!B342))</f>
        <v>4462500000</v>
      </c>
      <c r="K342" s="408">
        <f t="shared" si="68"/>
        <v>4462593612</v>
      </c>
      <c r="L342" s="410">
        <f>IF(B342="","",SUMIFS('Canjes desagregado'!$AD$2:$AD$854,'Canjes desagregado'!$B$2:$B$854,HISTORICO!B342))</f>
        <v>0</v>
      </c>
      <c r="M342" s="410">
        <f t="shared" si="69"/>
        <v>4462593612</v>
      </c>
      <c r="N342" s="410">
        <f>IF(B342="","",SUMIFS('Canjes desagregado'!$S$2:$S$854,'Canjes desagregado'!$B$2:$B$854,HISTORICO!B342))</f>
        <v>-38613400000</v>
      </c>
      <c r="O342" s="410">
        <f t="shared" si="70"/>
        <v>-34150806388</v>
      </c>
      <c r="P342" s="411">
        <f t="shared" si="71"/>
        <v>1.1223448736888646E-2</v>
      </c>
      <c r="Q342" s="411">
        <f t="shared" si="72"/>
        <v>1.1223448736888646E-2</v>
      </c>
      <c r="R342" s="412">
        <f>IF(B342="","",H342/$H$363)</f>
        <v>2.5596536766238537E-2</v>
      </c>
      <c r="S342" s="412"/>
      <c r="T342" s="412"/>
      <c r="U342" s="413">
        <f t="shared" si="73"/>
        <v>-34150806388</v>
      </c>
      <c r="V342" s="413">
        <f t="shared" si="74"/>
        <v>-34150806388</v>
      </c>
      <c r="W342" s="413" t="str">
        <f t="shared" si="75"/>
        <v/>
      </c>
      <c r="X342" s="411">
        <f t="shared" si="76"/>
        <v>-8.5889475525724235E-2</v>
      </c>
      <c r="Y342" s="304"/>
      <c r="Z342" s="305"/>
      <c r="AA342" s="305"/>
      <c r="AB342" s="193" t="e">
        <f>SUMIFS('Canjes desagregado'!#REF!,'Canjes desagregado'!$B$2:$B$854,B342)</f>
        <v>#REF!</v>
      </c>
      <c r="AC342" s="306">
        <f t="shared" si="57"/>
        <v>2.3543472126442419E-7</v>
      </c>
      <c r="AD342" s="304">
        <f>IF(B342="","",-SUMIFS('Canjes desagregado'!$S$2:$S$854,'Canjes desagregado'!$B$2:$B$854,B342,'Canjes desagregado'!$E$2:$E$854,"Títulos Recogidos por la Nación",'Canjes desagregado'!$G$2:$G$854,"COP"))</f>
        <v>397613400000</v>
      </c>
      <c r="AE342" s="304">
        <f>IF(B342="","",-SUMIFS('Canjes desagregado'!$S$2:$S$854,'Canjes desagregado'!$B$2:$B$854,B342,'Canjes desagregado'!$E$2:$E$854,"Títulos Recogidos por la Nación",'Canjes desagregado'!$G$2:$G$854,"UVR"))</f>
        <v>0</v>
      </c>
      <c r="AM342" s="332">
        <f t="shared" si="58"/>
        <v>0</v>
      </c>
      <c r="AN342" s="334" t="e">
        <f t="shared" si="59"/>
        <v>#DIV/0!</v>
      </c>
      <c r="AO342" s="334" t="e">
        <f t="shared" si="60"/>
        <v>#DIV/0!</v>
      </c>
    </row>
    <row r="343" spans="1:41" ht="17.25" customHeight="1">
      <c r="A343" s="403">
        <f>_xlfn.XLOOKUP(B343,Tabla6[Operación],Tabla6[Año],0)</f>
        <v>2025</v>
      </c>
      <c r="B343" s="403">
        <v>638</v>
      </c>
      <c r="C343" s="404" t="str">
        <f>_xlfn.XLOOKUP(B343,Tabla6[Operación],Tabla6[Canje],0)</f>
        <v>Tesorería</v>
      </c>
      <c r="D343" s="414">
        <f>_xlfn.XLOOKUP(B343,Tabla6[Operación],Tabla6[Fecha Cumplimiento y/ liquidacion],0)</f>
        <v>45953</v>
      </c>
      <c r="E343" s="406">
        <f t="shared" si="66"/>
        <v>2025</v>
      </c>
      <c r="F343" s="407" t="str">
        <f>_xlfn.XLOOKUP(B343,'Canjes desagregado'!B:B,'Canjes desagregado'!G:G,0)</f>
        <v>COP</v>
      </c>
      <c r="G343" s="383">
        <f t="shared" si="67"/>
        <v>45953</v>
      </c>
      <c r="H343" s="408">
        <f>IF(B343="","",-SUMIFS('Canjes desagregado'!$S$2:$S$854,'Canjes desagregado'!$B$2:$B$854,B343,'Canjes desagregado'!$E$2:$E$854,"Títulos Recogidos por la Nación"))</f>
        <v>225327500000</v>
      </c>
      <c r="I343" s="409">
        <f>IF(B343="","",-SUMIFS('Canjes desagregado'!$U$2:$U$854,'Canjes desagregado'!$B$2:$B$854,HISTORICO!B343))</f>
        <v>50499.999984741211</v>
      </c>
      <c r="J343" s="409">
        <f>IF(B343="","",SUMIFS('Canjes desagregado'!$X$2:$X$854,'Canjes desagregado'!$B$2:$B$854,HISTORICO!B343))</f>
        <v>0</v>
      </c>
      <c r="K343" s="408">
        <f t="shared" si="68"/>
        <v>50499.999984741211</v>
      </c>
      <c r="L343" s="410">
        <f>IF(B343="","",SUMIFS('Canjes desagregado'!$AD$2:$AD$854,'Canjes desagregado'!$B$2:$B$854,HISTORICO!B343))</f>
        <v>0</v>
      </c>
      <c r="M343" s="410">
        <f t="shared" si="69"/>
        <v>50499.999984741211</v>
      </c>
      <c r="N343" s="410">
        <f>IF(B343="","",SUMIFS('Canjes desagregado'!$S$2:$S$854,'Canjes desagregado'!$B$2:$B$854,HISTORICO!B343))</f>
        <v>-14827500000</v>
      </c>
      <c r="O343" s="410">
        <f t="shared" si="70"/>
        <v>-14827449500.000015</v>
      </c>
      <c r="P343" s="411">
        <f t="shared" si="71"/>
        <v>2.2411822784498657E-7</v>
      </c>
      <c r="Q343" s="411">
        <f t="shared" si="72"/>
        <v>2.2411822784498657E-7</v>
      </c>
      <c r="R343" s="412">
        <f>IF(B343="","",H343/$H$363)</f>
        <v>1.4505556498333844E-2</v>
      </c>
      <c r="S343" s="412"/>
      <c r="T343" s="412"/>
      <c r="U343" s="413">
        <f t="shared" si="73"/>
        <v>-14827449500.000015</v>
      </c>
      <c r="V343" s="413">
        <f t="shared" si="74"/>
        <v>-14827449500.000015</v>
      </c>
      <c r="W343" s="413" t="str">
        <f t="shared" si="75"/>
        <v/>
      </c>
      <c r="X343" s="411">
        <f t="shared" si="76"/>
        <v>-6.5803994186240097E-2</v>
      </c>
      <c r="Y343" s="304"/>
      <c r="Z343" s="305"/>
      <c r="AA343" s="305"/>
      <c r="AB343" s="193" t="e">
        <f>SUMIFS('Canjes desagregado'!#REF!,'Canjes desagregado'!$B$2:$B$854,B343)</f>
        <v>#REF!</v>
      </c>
      <c r="AC343" s="306">
        <f t="shared" si="57"/>
        <v>2.2411822784498657E-7</v>
      </c>
      <c r="AD343" s="304">
        <f>IF(B343="","",-SUMIFS('Canjes desagregado'!$S$2:$S$854,'Canjes desagregado'!$B$2:$B$854,B343,'Canjes desagregado'!$E$2:$E$854,"Títulos Recogidos por la Nación",'Canjes desagregado'!$G$2:$G$854,"COP"))</f>
        <v>225327500000</v>
      </c>
      <c r="AE343" s="304">
        <f>IF(B343="","",-SUMIFS('Canjes desagregado'!$S$2:$S$854,'Canjes desagregado'!$B$2:$B$854,B343,'Canjes desagregado'!$E$2:$E$854,"Títulos Recogidos por la Nación",'Canjes desagregado'!$G$2:$G$854,"UVR"))</f>
        <v>0</v>
      </c>
      <c r="AM343" s="332">
        <f t="shared" si="58"/>
        <v>0</v>
      </c>
      <c r="AN343" s="334" t="e">
        <f t="shared" si="59"/>
        <v>#DIV/0!</v>
      </c>
      <c r="AO343" s="334" t="e">
        <f t="shared" si="60"/>
        <v>#DIV/0!</v>
      </c>
    </row>
    <row r="344" spans="1:41" ht="17.25" customHeight="1">
      <c r="A344" s="403">
        <f>_xlfn.XLOOKUP(B344,Tabla6[Operación],Tabla6[Año],0)</f>
        <v>2025</v>
      </c>
      <c r="B344" s="403">
        <v>639</v>
      </c>
      <c r="C344" s="404" t="str">
        <f>_xlfn.XLOOKUP(B344,Tabla6[Operación],Tabla6[Canje],0)</f>
        <v>Tesorería</v>
      </c>
      <c r="D344" s="414">
        <f>_xlfn.XLOOKUP(B344,Tabla6[Operación],Tabla6[Fecha Cumplimiento y/ liquidacion],0)</f>
        <v>45957</v>
      </c>
      <c r="E344" s="406">
        <f t="shared" si="66"/>
        <v>2025</v>
      </c>
      <c r="F344" s="407" t="str">
        <f>_xlfn.XLOOKUP(B344,'Canjes desagregado'!B:B,'Canjes desagregado'!G:G,0)</f>
        <v>COP</v>
      </c>
      <c r="G344" s="383">
        <f t="shared" si="67"/>
        <v>45957</v>
      </c>
      <c r="H344" s="408">
        <f>IF(B344="","",-SUMIFS('Canjes desagregado'!$S$2:$S$854,'Canjes desagregado'!$B$2:$B$854,B344,'Canjes desagregado'!$E$2:$E$854,"Títulos Recogidos por la Nación"))</f>
        <v>488935400000</v>
      </c>
      <c r="I344" s="409">
        <f>IF(B344="","",-SUMIFS('Canjes desagregado'!$U$2:$U$854,'Canjes desagregado'!$B$2:$B$854,HISTORICO!B344))</f>
        <v>51558</v>
      </c>
      <c r="J344" s="409">
        <f>IF(B344="","",SUMIFS('Canjes desagregado'!$X$2:$X$854,'Canjes desagregado'!$B$2:$B$854,HISTORICO!B344))</f>
        <v>0</v>
      </c>
      <c r="K344" s="408">
        <f t="shared" ref="K344" si="77">IF(B344="","",J344+I344)</f>
        <v>51558</v>
      </c>
      <c r="L344" s="410">
        <f>IF(B344="","",SUMIFS('Canjes desagregado'!$AD$2:$AD$854,'Canjes desagregado'!$B$2:$B$854,HISTORICO!B344))</f>
        <v>0</v>
      </c>
      <c r="M344" s="410">
        <f t="shared" ref="M344" si="78">IF(B344="","",L344+J344+I344)</f>
        <v>51558</v>
      </c>
      <c r="N344" s="410">
        <f>IF(B344="","",SUMIFS('Canjes desagregado'!$S$2:$S$854,'Canjes desagregado'!$B$2:$B$854,HISTORICO!B344))</f>
        <v>-7435400000</v>
      </c>
      <c r="O344" s="410">
        <f t="shared" ref="O344" si="79">IF(B344="","",N344+M344)</f>
        <v>-7435348442</v>
      </c>
      <c r="P344" s="411">
        <f t="shared" ref="P344" si="80">IF(B344="","",K344/H344)</f>
        <v>1.0544951337129609E-7</v>
      </c>
      <c r="Q344" s="411">
        <f t="shared" ref="Q344" si="81">IF(B344="","",M344/H344)</f>
        <v>1.0544951337129609E-7</v>
      </c>
      <c r="R344" s="412">
        <f>IF(B344="","",H344/$H$363)</f>
        <v>3.1475430512189845E-2</v>
      </c>
      <c r="S344" s="412"/>
      <c r="T344" s="412"/>
      <c r="U344" s="413">
        <f t="shared" ref="U344" si="82">IF(B344="","",I344+J344+L344+N344)</f>
        <v>-7435348442</v>
      </c>
      <c r="V344" s="413">
        <f t="shared" ref="V344" si="83">IF(B344="","",IF(C344="Tesorería",U344,""))</f>
        <v>-7435348442</v>
      </c>
      <c r="W344" s="413" t="str">
        <f t="shared" ref="W344" si="84">IF(B344="","",IF(C344="Tesorería","",U344))</f>
        <v/>
      </c>
      <c r="X344" s="411">
        <f t="shared" ref="X344" si="85">IF(B344="","",(I344+J344+L344+N344)/H344)</f>
        <v>-1.5207220508067118E-2</v>
      </c>
      <c r="Y344" s="304"/>
      <c r="Z344" s="305"/>
      <c r="AA344" s="305"/>
      <c r="AB344" s="193" t="e">
        <f>SUMIFS('Canjes desagregado'!#REF!,'Canjes desagregado'!$B$2:$B$854,B344)</f>
        <v>#REF!</v>
      </c>
      <c r="AC344" s="306">
        <f t="shared" si="57"/>
        <v>1.0544951337129609E-7</v>
      </c>
      <c r="AD344" s="304">
        <f>IF(B344="","",-SUMIFS('Canjes desagregado'!$S$2:$S$854,'Canjes desagregado'!$B$2:$B$854,B344,'Canjes desagregado'!$E$2:$E$854,"Títulos Recogidos por la Nación",'Canjes desagregado'!$G$2:$G$854,"COP"))</f>
        <v>488935400000</v>
      </c>
      <c r="AE344" s="304">
        <f>IF(B344="","",-SUMIFS('Canjes desagregado'!$S$2:$S$854,'Canjes desagregado'!$B$2:$B$854,B344,'Canjes desagregado'!$E$2:$E$854,"Títulos Recogidos por la Nación",'Canjes desagregado'!$G$2:$G$854,"UVR"))</f>
        <v>0</v>
      </c>
      <c r="AM344" s="332">
        <f t="shared" si="58"/>
        <v>0</v>
      </c>
      <c r="AN344" s="334" t="e">
        <f t="shared" si="59"/>
        <v>#DIV/0!</v>
      </c>
      <c r="AO344" s="334" t="e">
        <f t="shared" si="60"/>
        <v>#DIV/0!</v>
      </c>
    </row>
    <row r="345" spans="1:41" ht="17.25" customHeight="1">
      <c r="A345" s="403">
        <f>_xlfn.XLOOKUP(B345,Tabla6[Operación],Tabla6[Año],0)</f>
        <v>2025</v>
      </c>
      <c r="B345" s="403">
        <v>640</v>
      </c>
      <c r="C345" s="404" t="str">
        <f>_xlfn.XLOOKUP(B345,Tabla6[Operación],Tabla6[Canje],0)</f>
        <v>Tesorería</v>
      </c>
      <c r="D345" s="414">
        <f>_xlfn.XLOOKUP(B345,Tabla6[Operación],Tabla6[Fecha Cumplimiento y/ liquidacion],0)</f>
        <v>45958</v>
      </c>
      <c r="E345" s="406">
        <f t="shared" ref="E345" si="86">IF(D345="","",YEAR(D345))</f>
        <v>2025</v>
      </c>
      <c r="F345" s="407" t="str">
        <f>_xlfn.XLOOKUP(B345,'Canjes desagregado'!B:B,'Canjes desagregado'!G:G,0)</f>
        <v>COP</v>
      </c>
      <c r="G345" s="383">
        <f t="shared" ref="G345" si="87">IF(D345="","",D345)</f>
        <v>45958</v>
      </c>
      <c r="H345" s="408">
        <f>IF(B345="","",-SUMIFS('Canjes desagregado'!$S$2:$S$854,'Canjes desagregado'!$B$2:$B$854,B345,'Canjes desagregado'!$E$2:$E$854,"Títulos Recogidos por la Nación"))</f>
        <v>517245200000</v>
      </c>
      <c r="I345" s="409">
        <f>IF(B345="","",-SUMIFS('Canjes desagregado'!$U$2:$U$854,'Canjes desagregado'!$B$2:$B$854,HISTORICO!B345))</f>
        <v>7207.9999389648438</v>
      </c>
      <c r="J345" s="409">
        <f>IF(B345="","",SUMIFS('Canjes desagregado'!$X$2:$X$854,'Canjes desagregado'!$B$2:$B$854,HISTORICO!B345))</f>
        <v>0</v>
      </c>
      <c r="K345" s="408">
        <f t="shared" ref="K345" si="88">IF(B345="","",J345+I345)</f>
        <v>7207.9999389648438</v>
      </c>
      <c r="L345" s="410">
        <f>IF(B345="","",SUMIFS('Canjes desagregado'!$AD$2:$AD$854,'Canjes desagregado'!$B$2:$B$854,HISTORICO!B345))</f>
        <v>0</v>
      </c>
      <c r="M345" s="410">
        <f t="shared" ref="M345" si="89">IF(B345="","",L345+J345+I345)</f>
        <v>7207.9999389648438</v>
      </c>
      <c r="N345" s="410">
        <f>IF(B345="","",SUMIFS('Canjes desagregado'!$S$2:$S$854,'Canjes desagregado'!$B$2:$B$854,HISTORICO!B345))</f>
        <v>-17245200000</v>
      </c>
      <c r="O345" s="410">
        <f t="shared" ref="O345" si="90">IF(B345="","",N345+M345)</f>
        <v>-17245192792.000061</v>
      </c>
      <c r="P345" s="411">
        <f t="shared" ref="P345" si="91">IF(B345="","",K345/H345)</f>
        <v>1.3935363612779478E-8</v>
      </c>
      <c r="Q345" s="411">
        <f t="shared" ref="Q345" si="92">IF(B345="","",M345/H345)</f>
        <v>1.3935363612779478E-8</v>
      </c>
      <c r="R345" s="412">
        <f>IF(B345="","",H345/$H$363)</f>
        <v>3.329788628592599E-2</v>
      </c>
      <c r="S345" s="412"/>
      <c r="T345" s="412"/>
      <c r="U345" s="413">
        <f t="shared" ref="U345" si="93">IF(B345="","",I345+J345+L345+N345)</f>
        <v>-17245192792.000061</v>
      </c>
      <c r="V345" s="413">
        <f t="shared" ref="V345" si="94">IF(B345="","",IF(C345="Tesorería",U345,""))</f>
        <v>-17245192792.000061</v>
      </c>
      <c r="W345" s="413" t="str">
        <f t="shared" ref="W345" si="95">IF(B345="","",IF(C345="Tesorería","",U345))</f>
        <v/>
      </c>
      <c r="X345" s="411">
        <f t="shared" ref="X345" si="96">IF(B345="","",(I345+J345+L345+N345)/H345)</f>
        <v>-3.3340459789670471E-2</v>
      </c>
      <c r="Y345" s="304"/>
      <c r="Z345" s="305"/>
      <c r="AA345" s="305"/>
      <c r="AC345" s="306"/>
      <c r="AD345" s="304">
        <f>IF(B345="","",-SUMIFS('Canjes desagregado'!$S$2:$S$854,'Canjes desagregado'!$B$2:$B$854,B345,'Canjes desagregado'!$E$2:$E$854,"Títulos Recogidos por la Nación",'Canjes desagregado'!$G$2:$G$854,"COP"))</f>
        <v>517245200000</v>
      </c>
      <c r="AE345" s="304">
        <f>IF(B345="","",-SUMIFS('Canjes desagregado'!$S$2:$S$854,'Canjes desagregado'!$B$2:$B$854,B345,'Canjes desagregado'!$E$2:$E$854,"Títulos Recogidos por la Nación",'Canjes desagregado'!$G$2:$G$854,"UVR"))</f>
        <v>0</v>
      </c>
      <c r="AM345" s="332">
        <f t="shared" ref="AM345:AM352" si="97">AL345+AK345</f>
        <v>0</v>
      </c>
      <c r="AN345" s="334" t="e">
        <f t="shared" ref="AN345:AN352" si="98">+AI345/AF345</f>
        <v>#DIV/0!</v>
      </c>
      <c r="AO345" s="334" t="e">
        <f t="shared" ref="AO345:AO352" si="99">AK345/AF345</f>
        <v>#DIV/0!</v>
      </c>
    </row>
    <row r="346" spans="1:41" ht="17.25" customHeight="1">
      <c r="A346" s="403" t="str">
        <f>_xlfn.XLOOKUP(B346,Tabla6[Operación],Tabla6[Año],0)</f>
        <v/>
      </c>
      <c r="B346" s="403">
        <v>641</v>
      </c>
      <c r="C346" s="404">
        <f>_xlfn.XLOOKUP(B346,Tabla6[Operación],Tabla6[Canje],0)</f>
        <v>0</v>
      </c>
      <c r="D346" s="414">
        <f>_xlfn.XLOOKUP(B346,Tabla6[Operación],Tabla6[Fecha Cumplimiento y/ liquidacion],0)</f>
        <v>0</v>
      </c>
      <c r="E346" s="406">
        <f t="shared" ref="E346:E347" si="100">IF(D346="","",YEAR(D346))</f>
        <v>1900</v>
      </c>
      <c r="F346" s="407">
        <f>_xlfn.XLOOKUP(B346,'Canjes desagregado'!B:B,'Canjes desagregado'!G:G,0)</f>
        <v>0</v>
      </c>
      <c r="G346" s="383">
        <f t="shared" ref="G346:G347" si="101">IF(D346="","",D346)</f>
        <v>0</v>
      </c>
      <c r="H346" s="408">
        <f>IF(B346="","",-SUMIFS('Canjes desagregado'!$S$2:$S$854,'Canjes desagregado'!$B$2:$B$854,B346,'Canjes desagregado'!$E$2:$E$854,"Títulos Recogidos por la Nación"))</f>
        <v>0</v>
      </c>
      <c r="I346" s="409">
        <f>IF(B346="","",-SUMIFS('Canjes desagregado'!$U$2:$U$854,'Canjes desagregado'!$B$2:$B$854,HISTORICO!B346))</f>
        <v>0</v>
      </c>
      <c r="J346" s="409">
        <f>IF(B346="","",SUMIFS('Canjes desagregado'!$X$2:$X$854,'Canjes desagregado'!$B$2:$B$854,HISTORICO!B346))</f>
        <v>0</v>
      </c>
      <c r="K346" s="408">
        <f t="shared" ref="K346:K347" si="102">IF(B346="","",J346+I346)</f>
        <v>0</v>
      </c>
      <c r="L346" s="410">
        <f>IF(B346="","",SUMIFS('Canjes desagregado'!$AD$2:$AD$854,'Canjes desagregado'!$B$2:$B$854,HISTORICO!B346))</f>
        <v>0</v>
      </c>
      <c r="M346" s="410">
        <f t="shared" ref="M346:M347" si="103">IF(B346="","",L346+J346+I346)</f>
        <v>0</v>
      </c>
      <c r="N346" s="410">
        <f>IF(B346="","",SUMIFS('Canjes desagregado'!$S$2:$S$854,'Canjes desagregado'!$B$2:$B$854,HISTORICO!B346))</f>
        <v>0</v>
      </c>
      <c r="O346" s="410">
        <f t="shared" ref="O346:O347" si="104">IF(B346="","",N346+M346)</f>
        <v>0</v>
      </c>
      <c r="P346" s="411" t="e">
        <f t="shared" ref="P346:P347" si="105">IF(B346="","",K346/H346)</f>
        <v>#DIV/0!</v>
      </c>
      <c r="Q346" s="411" t="e">
        <f t="shared" ref="Q346:Q347" si="106">IF(B346="","",M346/H346)</f>
        <v>#DIV/0!</v>
      </c>
      <c r="R346" s="412">
        <f>IF(B346="","",H346/$H$363)</f>
        <v>0</v>
      </c>
      <c r="S346" s="412"/>
      <c r="T346" s="412"/>
      <c r="U346" s="413">
        <f t="shared" ref="U346:U347" si="107">IF(B346="","",I346+J346+L346+N346)</f>
        <v>0</v>
      </c>
      <c r="V346" s="413" t="str">
        <f t="shared" ref="V346:V347" si="108">IF(B346="","",IF(C346="Tesorería",U346,""))</f>
        <v/>
      </c>
      <c r="W346" s="413">
        <f t="shared" ref="W346:W347" si="109">IF(B346="","",IF(C346="Tesorería","",U346))</f>
        <v>0</v>
      </c>
      <c r="X346" s="411" t="e">
        <f t="shared" ref="X346:X347" si="110">IF(B346="","",(I346+J346+L346+N346)/H346)</f>
        <v>#DIV/0!</v>
      </c>
      <c r="Y346" s="304"/>
      <c r="Z346" s="305"/>
      <c r="AA346" s="305"/>
      <c r="AC346" s="306"/>
      <c r="AD346" s="304">
        <f>IF(B346="","",-SUMIFS('Canjes desagregado'!$S$2:$S$854,'Canjes desagregado'!$B$2:$B$854,B346,'Canjes desagregado'!$E$2:$E$854,"Títulos Recogidos por la Nación",'Canjes desagregado'!$G$2:$G$854,"COP"))</f>
        <v>0</v>
      </c>
      <c r="AE346" s="304">
        <f>IF(B346="","",-SUMIFS('Canjes desagregado'!$S$2:$S$854,'Canjes desagregado'!$B$2:$B$854,B346,'Canjes desagregado'!$E$2:$E$854,"Títulos Recogidos por la Nación",'Canjes desagregado'!$G$2:$G$854,"UVR"))</f>
        <v>0</v>
      </c>
      <c r="AM346" s="332">
        <f t="shared" si="97"/>
        <v>0</v>
      </c>
      <c r="AN346" s="334" t="e">
        <f t="shared" si="98"/>
        <v>#DIV/0!</v>
      </c>
      <c r="AO346" s="334" t="e">
        <f t="shared" si="99"/>
        <v>#DIV/0!</v>
      </c>
    </row>
    <row r="347" spans="1:41" ht="17.25" customHeight="1">
      <c r="A347" s="403">
        <f>_xlfn.XLOOKUP(B347,Tabla6[Operación],Tabla6[Año],0)</f>
        <v>2025</v>
      </c>
      <c r="B347" s="403">
        <v>642</v>
      </c>
      <c r="C347" s="404" t="str">
        <f>_xlfn.XLOOKUP(B347,Tabla6[Operación],Tabla6[Canje],0)</f>
        <v>Tesorería</v>
      </c>
      <c r="D347" s="414">
        <f>_xlfn.XLOOKUP(B347,Tabla6[Operación],Tabla6[Fecha Cumplimiento y/ liquidacion],0)</f>
        <v>45966</v>
      </c>
      <c r="E347" s="406">
        <f t="shared" si="100"/>
        <v>2025</v>
      </c>
      <c r="F347" s="407" t="str">
        <f>_xlfn.XLOOKUP(B347,'Canjes desagregado'!B:B,'Canjes desagregado'!G:G,0)</f>
        <v>COP</v>
      </c>
      <c r="G347" s="383">
        <f t="shared" si="101"/>
        <v>45966</v>
      </c>
      <c r="H347" s="408">
        <f>IF(B347="","",-SUMIFS('Canjes desagregado'!$S$2:$S$854,'Canjes desagregado'!$B$2:$B$854,B347,'Canjes desagregado'!$E$2:$E$854,"Títulos Recogidos por la Nación"))</f>
        <v>220273300000</v>
      </c>
      <c r="I347" s="409">
        <f>IF(B347="","",-SUMIFS('Canjes desagregado'!$U$2:$U$854,'Canjes desagregado'!$B$2:$B$854,HISTORICO!B347))</f>
        <v>86348</v>
      </c>
      <c r="J347" s="409">
        <f>IF(B347="","",SUMIFS('Canjes desagregado'!$X$2:$X$854,'Canjes desagregado'!$B$2:$B$854,HISTORICO!B347))</f>
        <v>0</v>
      </c>
      <c r="K347" s="408">
        <f t="shared" si="102"/>
        <v>86348</v>
      </c>
      <c r="L347" s="410">
        <f>IF(B347="","",SUMIFS('Canjes desagregado'!$AD$2:$AD$854,'Canjes desagregado'!$B$2:$B$854,HISTORICO!B347))</f>
        <v>0</v>
      </c>
      <c r="M347" s="410">
        <f t="shared" si="103"/>
        <v>86348</v>
      </c>
      <c r="N347" s="410">
        <f>IF(B347="","",SUMIFS('Canjes desagregado'!$S$2:$S$854,'Canjes desagregado'!$B$2:$B$854,HISTORICO!B347))</f>
        <v>-1273300000</v>
      </c>
      <c r="O347" s="410">
        <f t="shared" si="104"/>
        <v>-1273213652</v>
      </c>
      <c r="P347" s="411">
        <f t="shared" si="105"/>
        <v>3.9200393329559236E-7</v>
      </c>
      <c r="Q347" s="411">
        <f t="shared" si="106"/>
        <v>3.9200393329559236E-7</v>
      </c>
      <c r="R347" s="412">
        <f>IF(B347="","",H347/$H$363)</f>
        <v>1.4180190159764966E-2</v>
      </c>
      <c r="S347" s="412"/>
      <c r="T347" s="412"/>
      <c r="U347" s="413">
        <f t="shared" si="107"/>
        <v>-1273213652</v>
      </c>
      <c r="V347" s="413">
        <f t="shared" si="108"/>
        <v>-1273213652</v>
      </c>
      <c r="W347" s="413" t="str">
        <f t="shared" si="109"/>
        <v/>
      </c>
      <c r="X347" s="411">
        <f t="shared" si="110"/>
        <v>-5.7801542538292207E-3</v>
      </c>
      <c r="Y347" s="304"/>
      <c r="Z347" s="305"/>
      <c r="AA347" s="305"/>
      <c r="AC347" s="306"/>
      <c r="AD347" s="304">
        <f>IF(B347="","",-SUMIFS('Canjes desagregado'!$S$2:$S$854,'Canjes desagregado'!$B$2:$B$854,B347,'Canjes desagregado'!$E$2:$E$854,"Títulos Recogidos por la Nación",'Canjes desagregado'!$G$2:$G$854,"COP"))</f>
        <v>220273300000</v>
      </c>
      <c r="AE347" s="304">
        <f>IF(B347="","",-SUMIFS('Canjes desagregado'!$S$2:$S$854,'Canjes desagregado'!$B$2:$B$854,B347,'Canjes desagregado'!$E$2:$E$854,"Títulos Recogidos por la Nación",'Canjes desagregado'!$G$2:$G$854,"UVR"))</f>
        <v>0</v>
      </c>
      <c r="AM347" s="332">
        <f t="shared" si="97"/>
        <v>0</v>
      </c>
      <c r="AN347" s="334" t="e">
        <f t="shared" si="98"/>
        <v>#DIV/0!</v>
      </c>
      <c r="AO347" s="334" t="e">
        <f t="shared" si="99"/>
        <v>#DIV/0!</v>
      </c>
    </row>
    <row r="348" spans="1:41" ht="17.25" customHeight="1">
      <c r="A348" s="403">
        <f>_xlfn.XLOOKUP(B348,Tabla6[Operación],Tabla6[Año],0)</f>
        <v>2025</v>
      </c>
      <c r="B348" s="403">
        <v>643</v>
      </c>
      <c r="C348" s="404" t="str">
        <f>_xlfn.XLOOKUP(B348,Tabla6[Operación],Tabla6[Canje],0)</f>
        <v>Tesorería</v>
      </c>
      <c r="D348" s="414">
        <f>_xlfn.XLOOKUP(B348,Tabla6[Operación],Tabla6[Fecha Cumplimiento y/ liquidacion],0)</f>
        <v>45971</v>
      </c>
      <c r="E348" s="406">
        <f t="shared" ref="E348:E349" si="111">IF(D348="","",YEAR(D348))</f>
        <v>2025</v>
      </c>
      <c r="F348" s="407" t="str">
        <f>_xlfn.XLOOKUP(B348,'Canjes desagregado'!B:B,'Canjes desagregado'!G:G,0)</f>
        <v>COP</v>
      </c>
      <c r="G348" s="383">
        <f t="shared" ref="G348:G349" si="112">IF(D348="","",D348)</f>
        <v>45971</v>
      </c>
      <c r="H348" s="408">
        <f>IF(B348="","",-SUMIFS('Canjes desagregado'!$S$2:$S$854,'Canjes desagregado'!$B$2:$B$854,B348,'Canjes desagregado'!$E$2:$E$854,"Títulos Recogidos por la Nación"))</f>
        <v>195000000000</v>
      </c>
      <c r="I348" s="409">
        <f>IF(B348="","",-SUMIFS('Canjes desagregado'!$U$2:$U$854,'Canjes desagregado'!$B$2:$B$854,HISTORICO!B348))</f>
        <v>25880000</v>
      </c>
      <c r="J348" s="409">
        <f>IF(B348="","",SUMIFS('Canjes desagregado'!$X$2:$X$854,'Canjes desagregado'!$B$2:$B$854,HISTORICO!B348))</f>
        <v>0</v>
      </c>
      <c r="K348" s="408">
        <f t="shared" ref="K348:K349" si="113">IF(B348="","",J348+I348)</f>
        <v>25880000</v>
      </c>
      <c r="L348" s="410">
        <f>IF(B348="","",SUMIFS('Canjes desagregado'!$AD$2:$AD$854,'Canjes desagregado'!$B$2:$B$854,HISTORICO!B348))</f>
        <v>0</v>
      </c>
      <c r="M348" s="410">
        <f t="shared" ref="M348:M349" si="114">IF(B348="","",L348+J348+I348)</f>
        <v>25880000</v>
      </c>
      <c r="N348" s="410">
        <f>IF(B348="","",SUMIFS('Canjes desagregado'!$S$2:$S$854,'Canjes desagregado'!$B$2:$B$854,HISTORICO!B348))</f>
        <v>0</v>
      </c>
      <c r="O348" s="410">
        <f t="shared" ref="O348:O349" si="115">IF(B348="","",N348+M348)</f>
        <v>25880000</v>
      </c>
      <c r="P348" s="411">
        <f t="shared" ref="P348:P349" si="116">IF(B348="","",K348/H348)</f>
        <v>1.3271794871794871E-4</v>
      </c>
      <c r="Q348" s="411">
        <f t="shared" ref="Q348:Q349" si="117">IF(B348="","",M348/H348)</f>
        <v>1.3271794871794871E-4</v>
      </c>
      <c r="R348" s="412">
        <f>IF(B348="","",H348/$H$363)</f>
        <v>1.2553210403413253E-2</v>
      </c>
      <c r="S348" s="412"/>
      <c r="T348" s="412"/>
      <c r="U348" s="413">
        <f t="shared" ref="U348:U349" si="118">IF(B348="","",I348+J348+L348+N348)</f>
        <v>25880000</v>
      </c>
      <c r="V348" s="413">
        <f t="shared" ref="V348:V349" si="119">IF(B348="","",IF(C348="Tesorería",U348,""))</f>
        <v>25880000</v>
      </c>
      <c r="W348" s="413" t="str">
        <f t="shared" ref="W348:W349" si="120">IF(B348="","",IF(C348="Tesorería","",U348))</f>
        <v/>
      </c>
      <c r="X348" s="411">
        <f t="shared" ref="X348:X349" si="121">IF(B348="","",(I348+J348+L348+N348)/H348)</f>
        <v>1.3271794871794871E-4</v>
      </c>
      <c r="Y348" s="304"/>
      <c r="Z348" s="305"/>
      <c r="AA348" s="305"/>
      <c r="AC348" s="306"/>
      <c r="AD348" s="304">
        <f>IF(B348="","",-SUMIFS('Canjes desagregado'!$S$2:$S$854,'Canjes desagregado'!$B$2:$B$854,B348,'Canjes desagregado'!$E$2:$E$854,"Títulos Recogidos por la Nación",'Canjes desagregado'!$G$2:$G$854,"COP"))</f>
        <v>195000000000</v>
      </c>
      <c r="AE348" s="304">
        <f>IF(B348="","",-SUMIFS('Canjes desagregado'!$S$2:$S$854,'Canjes desagregado'!$B$2:$B$854,B348,'Canjes desagregado'!$E$2:$E$854,"Títulos Recogidos por la Nación",'Canjes desagregado'!$G$2:$G$854,"UVR"))</f>
        <v>0</v>
      </c>
      <c r="AM348" s="332">
        <f t="shared" si="97"/>
        <v>0</v>
      </c>
      <c r="AN348" s="334" t="e">
        <f t="shared" si="98"/>
        <v>#DIV/0!</v>
      </c>
      <c r="AO348" s="334" t="e">
        <f t="shared" si="99"/>
        <v>#DIV/0!</v>
      </c>
    </row>
    <row r="349" spans="1:41" ht="17.25" customHeight="1">
      <c r="A349" s="403">
        <f>_xlfn.XLOOKUP(B349,Tabla6[Operación],Tabla6[Año],0)</f>
        <v>2025</v>
      </c>
      <c r="B349" s="403">
        <v>644</v>
      </c>
      <c r="C349" s="404" t="str">
        <f>_xlfn.XLOOKUP(B349,Tabla6[Operación],Tabla6[Canje],0)</f>
        <v>Tesorería</v>
      </c>
      <c r="D349" s="414">
        <f>_xlfn.XLOOKUP(B349,Tabla6[Operación],Tabla6[Fecha Cumplimiento y/ liquidacion],0)</f>
        <v>45980</v>
      </c>
      <c r="E349" s="406">
        <f t="shared" si="111"/>
        <v>2025</v>
      </c>
      <c r="F349" s="407" t="str">
        <f>_xlfn.XLOOKUP(B349,'Canjes desagregado'!B:B,'Canjes desagregado'!G:G,0)</f>
        <v>COP</v>
      </c>
      <c r="G349" s="383">
        <f t="shared" si="112"/>
        <v>45980</v>
      </c>
      <c r="H349" s="408">
        <f>IF(B349="","",-SUMIFS('Canjes desagregado'!$S$2:$S$854,'Canjes desagregado'!$B$2:$B$854,B349,'Canjes desagregado'!$E$2:$E$854,"Títulos Recogidos por la Nación"))</f>
        <v>228000000000</v>
      </c>
      <c r="I349" s="409">
        <f>IF(B349="","",-SUMIFS('Canjes desagregado'!$U$2:$U$854,'Canjes desagregado'!$B$2:$B$854,HISTORICO!B349))</f>
        <v>3456479.9999694824</v>
      </c>
      <c r="J349" s="409">
        <f>IF(B349="","",SUMIFS('Canjes desagregado'!$X$2:$X$854,'Canjes desagregado'!$B$2:$B$854,HISTORICO!B349))</f>
        <v>0</v>
      </c>
      <c r="K349" s="408">
        <f t="shared" si="113"/>
        <v>3456479.9999694824</v>
      </c>
      <c r="L349" s="410">
        <f>IF(B349="","",SUMIFS('Canjes desagregado'!$AD$2:$AD$854,'Canjes desagregado'!$B$2:$B$854,HISTORICO!B349))</f>
        <v>0</v>
      </c>
      <c r="M349" s="410">
        <f t="shared" si="114"/>
        <v>3456479.9999694824</v>
      </c>
      <c r="N349" s="410">
        <f>IF(B349="","",SUMIFS('Canjes desagregado'!$S$2:$S$854,'Canjes desagregado'!$B$2:$B$854,HISTORICO!B349))</f>
        <v>0</v>
      </c>
      <c r="O349" s="410">
        <f t="shared" si="115"/>
        <v>3456479.9999694824</v>
      </c>
      <c r="P349" s="411">
        <f t="shared" si="116"/>
        <v>1.5159999999866151E-5</v>
      </c>
      <c r="Q349" s="411">
        <f t="shared" si="117"/>
        <v>1.5159999999866151E-5</v>
      </c>
      <c r="R349" s="412">
        <f>IF(B349="","",H349/$H$363)</f>
        <v>1.4677599856298571E-2</v>
      </c>
      <c r="S349" s="412"/>
      <c r="T349" s="412"/>
      <c r="U349" s="413">
        <f t="shared" si="118"/>
        <v>3456479.9999694824</v>
      </c>
      <c r="V349" s="413">
        <f t="shared" si="119"/>
        <v>3456479.9999694824</v>
      </c>
      <c r="W349" s="413" t="str">
        <f t="shared" si="120"/>
        <v/>
      </c>
      <c r="X349" s="411">
        <f t="shared" si="121"/>
        <v>1.5159999999866151E-5</v>
      </c>
      <c r="Y349" s="304"/>
      <c r="Z349" s="305"/>
      <c r="AA349" s="305"/>
      <c r="AC349" s="306"/>
      <c r="AD349" s="304">
        <f>IF(B349="","",-SUMIFS('Canjes desagregado'!$S$2:$S$854,'Canjes desagregado'!$B$2:$B$854,B349,'Canjes desagregado'!$E$2:$E$854,"Títulos Recogidos por la Nación",'Canjes desagregado'!$G$2:$G$854,"COP"))</f>
        <v>228000000000</v>
      </c>
      <c r="AE349" s="304">
        <f>IF(B349="","",-SUMIFS('Canjes desagregado'!$S$2:$S$854,'Canjes desagregado'!$B$2:$B$854,B349,'Canjes desagregado'!$E$2:$E$854,"Títulos Recogidos por la Nación",'Canjes desagregado'!$G$2:$G$854,"UVR"))</f>
        <v>0</v>
      </c>
      <c r="AM349" s="332">
        <f t="shared" si="97"/>
        <v>0</v>
      </c>
      <c r="AN349" s="334" t="e">
        <f t="shared" si="98"/>
        <v>#DIV/0!</v>
      </c>
      <c r="AO349" s="334" t="e">
        <f t="shared" si="99"/>
        <v>#DIV/0!</v>
      </c>
    </row>
    <row r="350" spans="1:41" ht="17.25" customHeight="1">
      <c r="A350" s="403">
        <f>_xlfn.XLOOKUP(B350,Tabla6[Operación],Tabla6[Año],0)</f>
        <v>2025</v>
      </c>
      <c r="B350" s="403">
        <v>645</v>
      </c>
      <c r="C350" s="404" t="str">
        <f>_xlfn.XLOOKUP(B350,Tabla6[Operación],Tabla6[Canje],0)</f>
        <v>Tesorería</v>
      </c>
      <c r="D350" s="414">
        <f>_xlfn.XLOOKUP(B350,Tabla6[Operación],Tabla6[Fecha Cumplimiento y/ liquidacion],0)</f>
        <v>45981</v>
      </c>
      <c r="E350" s="406">
        <f t="shared" ref="E350" si="122">IF(D350="","",YEAR(D350))</f>
        <v>2025</v>
      </c>
      <c r="F350" s="407" t="str">
        <f>_xlfn.XLOOKUP(B350,'Canjes desagregado'!B:B,'Canjes desagregado'!G:G,0)</f>
        <v>COP</v>
      </c>
      <c r="G350" s="383">
        <f t="shared" ref="G350" si="123">IF(D350="","",D350)</f>
        <v>45981</v>
      </c>
      <c r="H350" s="408">
        <f>IF(B350="","",-SUMIFS('Canjes desagregado'!$S$2:$S$854,'Canjes desagregado'!$B$2:$B$854,B350,'Canjes desagregado'!$E$2:$E$854,"Títulos Recogidos por la Nación"))</f>
        <v>171000000000</v>
      </c>
      <c r="I350" s="409">
        <f>IF(B350="","",-SUMIFS('Canjes desagregado'!$U$2:$U$854,'Canjes desagregado'!$B$2:$B$854,HISTORICO!B350))</f>
        <v>1769850</v>
      </c>
      <c r="J350" s="409">
        <f>IF(B350="","",SUMIFS('Canjes desagregado'!$X$2:$X$854,'Canjes desagregado'!$B$2:$B$854,HISTORICO!B350))</f>
        <v>0</v>
      </c>
      <c r="K350" s="408">
        <f t="shared" ref="K350" si="124">IF(B350="","",J350+I350)</f>
        <v>1769850</v>
      </c>
      <c r="L350" s="410">
        <f>IF(B350="","",SUMIFS('Canjes desagregado'!$AD$2:$AD$854,'Canjes desagregado'!$B$2:$B$854,HISTORICO!B350))</f>
        <v>0</v>
      </c>
      <c r="M350" s="410">
        <f t="shared" ref="M350" si="125">IF(B350="","",L350+J350+I350)</f>
        <v>1769850</v>
      </c>
      <c r="N350" s="410">
        <f>IF(B350="","",SUMIFS('Canjes desagregado'!$S$2:$S$854,'Canjes desagregado'!$B$2:$B$854,HISTORICO!B350))</f>
        <v>0</v>
      </c>
      <c r="O350" s="410">
        <f t="shared" ref="O350" si="126">IF(B350="","",N350+M350)</f>
        <v>1769850</v>
      </c>
      <c r="P350" s="411">
        <f t="shared" ref="P350" si="127">IF(B350="","",K350/H350)</f>
        <v>1.0349999999999999E-5</v>
      </c>
      <c r="Q350" s="411">
        <f t="shared" ref="Q350" si="128">IF(B350="","",M350/H350)</f>
        <v>1.0349999999999999E-5</v>
      </c>
      <c r="R350" s="412">
        <f>IF(B350="","",H350/$H$363)</f>
        <v>1.100819989222393E-2</v>
      </c>
      <c r="S350" s="412"/>
      <c r="T350" s="412"/>
      <c r="U350" s="413">
        <f t="shared" ref="U350" si="129">IF(B350="","",I350+J350+L350+N350)</f>
        <v>1769850</v>
      </c>
      <c r="V350" s="413">
        <f t="shared" ref="V350" si="130">IF(B350="","",IF(C350="Tesorería",U350,""))</f>
        <v>1769850</v>
      </c>
      <c r="W350" s="413" t="str">
        <f t="shared" ref="W350" si="131">IF(B350="","",IF(C350="Tesorería","",U350))</f>
        <v/>
      </c>
      <c r="X350" s="411">
        <f t="shared" ref="X350" si="132">IF(B350="","",(I350+J350+L350+N350)/H350)</f>
        <v>1.0349999999999999E-5</v>
      </c>
      <c r="Y350" s="304"/>
      <c r="Z350" s="305"/>
      <c r="AA350" s="305"/>
      <c r="AC350" s="306"/>
      <c r="AD350" s="304">
        <f>IF(B350="","",-SUMIFS('Canjes desagregado'!$S$2:$S$854,'Canjes desagregado'!$B$2:$B$854,B350,'Canjes desagregado'!$E$2:$E$854,"Títulos Recogidos por la Nación",'Canjes desagregado'!$G$2:$G$854,"COP"))</f>
        <v>171000000000</v>
      </c>
      <c r="AE350" s="304">
        <f>IF(B350="","",-SUMIFS('Canjes desagregado'!$S$2:$S$854,'Canjes desagregado'!$B$2:$B$854,B350,'Canjes desagregado'!$E$2:$E$854,"Títulos Recogidos por la Nación",'Canjes desagregado'!$G$2:$G$854,"UVR"))</f>
        <v>0</v>
      </c>
      <c r="AM350" s="332">
        <f t="shared" si="97"/>
        <v>0</v>
      </c>
      <c r="AN350" s="334" t="e">
        <f t="shared" si="98"/>
        <v>#DIV/0!</v>
      </c>
      <c r="AO350" s="334" t="e">
        <f t="shared" si="99"/>
        <v>#DIV/0!</v>
      </c>
    </row>
    <row r="351" spans="1:41" ht="17.25" customHeight="1">
      <c r="A351" s="403">
        <f>_xlfn.XLOOKUP(B351,Tabla6[Operación],Tabla6[Año],0)</f>
        <v>2025</v>
      </c>
      <c r="B351" s="403">
        <v>646</v>
      </c>
      <c r="C351" s="404" t="str">
        <f>_xlfn.XLOOKUP(B351,Tabla6[Operación],Tabla6[Canje],0)</f>
        <v>Tesorería</v>
      </c>
      <c r="D351" s="414">
        <f>_xlfn.XLOOKUP(B351,Tabla6[Operación],Tabla6[Fecha Cumplimiento y/ liquidacion],0)</f>
        <v>45986</v>
      </c>
      <c r="E351" s="406">
        <f t="shared" ref="E351" si="133">IF(D351="","",YEAR(D351))</f>
        <v>2025</v>
      </c>
      <c r="F351" s="407" t="str">
        <f>_xlfn.XLOOKUP(B351,'Canjes desagregado'!B:B,'Canjes desagregado'!G:G,0)</f>
        <v>COP</v>
      </c>
      <c r="G351" s="383">
        <f t="shared" ref="G351" si="134">IF(D351="","",D351)</f>
        <v>45986</v>
      </c>
      <c r="H351" s="408">
        <f>IF(B351="","",-SUMIFS('Canjes desagregado'!$S$2:$S$854,'Canjes desagregado'!$B$2:$B$854,B351,'Canjes desagregado'!$E$2:$E$854,"Títulos Recogidos por la Nación"))</f>
        <v>870000000000</v>
      </c>
      <c r="I351" s="409">
        <f>IF(B351="","",-SUMIFS('Canjes desagregado'!$U$2:$U$854,'Canjes desagregado'!$B$2:$B$854,HISTORICO!B351))</f>
        <v>10636525</v>
      </c>
      <c r="J351" s="409">
        <f>IF(B351="","",SUMIFS('Canjes desagregado'!$X$2:$X$854,'Canjes desagregado'!$B$2:$B$854,HISTORICO!B351))</f>
        <v>-5777193750</v>
      </c>
      <c r="K351" s="408">
        <f t="shared" ref="K351" si="135">IF(B351="","",J351+I351)</f>
        <v>-5766557225</v>
      </c>
      <c r="L351" s="410">
        <f>IF(B351="","",SUMIFS('Canjes desagregado'!$AD$2:$AD$854,'Canjes desagregado'!$B$2:$B$854,HISTORICO!B351))</f>
        <v>0</v>
      </c>
      <c r="M351" s="410">
        <f t="shared" ref="M351" si="136">IF(B351="","",L351+J351+I351)</f>
        <v>-5766557225</v>
      </c>
      <c r="N351" s="410">
        <f>IF(B351="","",SUMIFS('Canjes desagregado'!$S$2:$S$854,'Canjes desagregado'!$B$2:$B$854,HISTORICO!B351))</f>
        <v>0</v>
      </c>
      <c r="O351" s="410">
        <f t="shared" ref="O351" si="137">IF(B351="","",N351+M351)</f>
        <v>-5766557225</v>
      </c>
      <c r="P351" s="411">
        <f t="shared" ref="P351" si="138">IF(B351="","",K351/H351)</f>
        <v>-6.6282266954022992E-3</v>
      </c>
      <c r="Q351" s="411">
        <f t="shared" ref="Q351" si="139">IF(B351="","",M351/H351)</f>
        <v>-6.6282266954022992E-3</v>
      </c>
      <c r="R351" s="412">
        <f>IF(B351="","",H351/$H$363)</f>
        <v>5.6006631030612972E-2</v>
      </c>
      <c r="S351" s="412"/>
      <c r="T351" s="412"/>
      <c r="U351" s="413">
        <f t="shared" ref="U351" si="140">IF(B351="","",I351+J351+L351+N351)</f>
        <v>-5766557225</v>
      </c>
      <c r="V351" s="413">
        <f t="shared" ref="V351" si="141">IF(B351="","",IF(C351="Tesorería",U351,""))</f>
        <v>-5766557225</v>
      </c>
      <c r="W351" s="413" t="str">
        <f t="shared" ref="W351" si="142">IF(B351="","",IF(C351="Tesorería","",U351))</f>
        <v/>
      </c>
      <c r="X351" s="411">
        <f t="shared" ref="X351" si="143">IF(B351="","",(I351+J351+L351+N351)/H351)</f>
        <v>-6.6282266954022992E-3</v>
      </c>
      <c r="Y351" s="304"/>
      <c r="Z351" s="305"/>
      <c r="AA351" s="305"/>
      <c r="AC351" s="306"/>
      <c r="AD351" s="304">
        <f>IF(B351="","",-SUMIFS('Canjes desagregado'!$S$2:$S$854,'Canjes desagregado'!$B$2:$B$854,B351,'Canjes desagregado'!$E$2:$E$854,"Títulos Recogidos por la Nación",'Canjes desagregado'!$G$2:$G$854,"COP"))</f>
        <v>870000000000</v>
      </c>
      <c r="AE351" s="304">
        <f>IF(B351="","",-SUMIFS('Canjes desagregado'!$S$2:$S$854,'Canjes desagregado'!$B$2:$B$854,B351,'Canjes desagregado'!$E$2:$E$854,"Títulos Recogidos por la Nación",'Canjes desagregado'!$G$2:$G$854,"UVR"))</f>
        <v>0</v>
      </c>
      <c r="AM351" s="332">
        <f t="shared" si="97"/>
        <v>0</v>
      </c>
      <c r="AN351" s="334" t="e">
        <f t="shared" si="98"/>
        <v>#DIV/0!</v>
      </c>
      <c r="AO351" s="334" t="e">
        <f t="shared" si="99"/>
        <v>#DIV/0!</v>
      </c>
    </row>
    <row r="352" spans="1:41" ht="17.25" customHeight="1">
      <c r="A352" s="403">
        <v>2025</v>
      </c>
      <c r="B352" s="403">
        <v>647</v>
      </c>
      <c r="C352" s="404" t="str">
        <f>_xlfn.XLOOKUP(B352,Tabla6[Operación],Tabla6[Canje],0)</f>
        <v>Tesorería</v>
      </c>
      <c r="D352" s="414">
        <f>_xlfn.XLOOKUP(B352,Tabla6[Operación],Tabla6[Fecha Cumplimiento y/ liquidacion],0)</f>
        <v>45987</v>
      </c>
      <c r="E352" s="406">
        <f t="shared" ref="E352" si="144">IF(D352="","",YEAR(D352))</f>
        <v>2025</v>
      </c>
      <c r="F352" s="407" t="str">
        <f>_xlfn.XLOOKUP(B352,'Canjes desagregado'!B:B,'Canjes desagregado'!G:G,0)</f>
        <v>COP</v>
      </c>
      <c r="G352" s="383">
        <f t="shared" ref="G352" si="145">IF(D352="","",D352)</f>
        <v>45987</v>
      </c>
      <c r="H352" s="408">
        <f>IF(B352="","",-SUMIFS('Canjes desagregado'!$S$2:$S$854,'Canjes desagregado'!$B$2:$B$854,B352,'Canjes desagregado'!$E$2:$E$854,"Títulos Recogidos por la Nación"))</f>
        <v>1067270900000</v>
      </c>
      <c r="I352" s="409">
        <f>IF(B352="","",-SUMIFS('Canjes desagregado'!$U$2:$U$854,'Canjes desagregado'!$B$2:$B$854,HISTORICO!B352))</f>
        <v>12159592.559997559</v>
      </c>
      <c r="J352" s="409">
        <f>IF(B352="","",SUMIFS('Canjes desagregado'!$X$2:$X$854,'Canjes desagregado'!$B$2:$B$854,HISTORICO!B352))</f>
        <v>0</v>
      </c>
      <c r="K352" s="408">
        <f t="shared" ref="K352" si="146">IF(B352="","",J352+I352)</f>
        <v>12159592.559997559</v>
      </c>
      <c r="L352" s="410">
        <f>IF(B352="","",SUMIFS('Canjes desagregado'!$AD$2:$AD$854,'Canjes desagregado'!$B$2:$B$854,HISTORICO!B352))</f>
        <v>407316000</v>
      </c>
      <c r="M352" s="410">
        <f t="shared" ref="M352" si="147">IF(B352="","",L352+J352+I352)</f>
        <v>419475592.55999756</v>
      </c>
      <c r="N352" s="410">
        <f>IF(B352="","",SUMIFS('Canjes desagregado'!$S$2:$S$854,'Canjes desagregado'!$B$2:$B$854,HISTORICO!B352))</f>
        <v>-146000</v>
      </c>
      <c r="O352" s="410">
        <f t="shared" ref="O352" si="148">IF(B352="","",N352+M352)</f>
        <v>419329592.55999756</v>
      </c>
      <c r="P352" s="411">
        <f t="shared" ref="P352" si="149">IF(B352="","",K352/H352)</f>
        <v>1.139316415354111E-5</v>
      </c>
      <c r="Q352" s="411">
        <f t="shared" ref="Q352" si="150">IF(B352="","",M352/H352)</f>
        <v>3.9303572556882938E-4</v>
      </c>
      <c r="R352" s="412">
        <f>IF(B352="","",H352/$H$363)</f>
        <v>6.8706031616103724E-2</v>
      </c>
      <c r="S352" s="412"/>
      <c r="T352" s="412"/>
      <c r="U352" s="413">
        <f t="shared" ref="U352" si="151">IF(B352="","",I352+J352+L352+N352)</f>
        <v>419329592.55999756</v>
      </c>
      <c r="V352" s="413">
        <f t="shared" ref="V352" si="152">IF(B352="","",IF(C352="Tesorería",U352,""))</f>
        <v>419329592.55999756</v>
      </c>
      <c r="W352" s="413" t="str">
        <f t="shared" ref="W352" si="153">IF(B352="","",IF(C352="Tesorería","",U352))</f>
        <v/>
      </c>
      <c r="X352" s="411">
        <f t="shared" ref="X352" si="154">IF(B352="","",(I352+J352+L352+N352)/H352)</f>
        <v>3.9289892806034302E-4</v>
      </c>
      <c r="Y352" s="304"/>
      <c r="Z352" s="305"/>
      <c r="AA352" s="305"/>
      <c r="AC352" s="306"/>
      <c r="AD352" s="304">
        <f>IF(B352="","",-SUMIFS('Canjes desagregado'!$S$2:$S$854,'Canjes desagregado'!$B$2:$B$854,B352,'Canjes desagregado'!$E$2:$E$854,"Títulos Recogidos por la Nación",'Canjes desagregado'!$G$2:$G$854,"COP"))</f>
        <v>1067270900000</v>
      </c>
      <c r="AE352" s="304">
        <f>IF(B352="","",-SUMIFS('Canjes desagregado'!$S$2:$S$854,'Canjes desagregado'!$B$2:$B$854,B352,'Canjes desagregado'!$E$2:$E$854,"Títulos Recogidos por la Nación",'Canjes desagregado'!$G$2:$G$854,"UVR"))</f>
        <v>0</v>
      </c>
      <c r="AM352" s="332">
        <f t="shared" si="97"/>
        <v>0</v>
      </c>
      <c r="AN352" s="334" t="e">
        <f t="shared" si="98"/>
        <v>#DIV/0!</v>
      </c>
      <c r="AO352" s="334" t="e">
        <f t="shared" si="99"/>
        <v>#DIV/0!</v>
      </c>
    </row>
    <row r="353" spans="1:41" ht="17.25" customHeight="1">
      <c r="A353" s="403">
        <v>2025</v>
      </c>
      <c r="B353" s="403">
        <v>648</v>
      </c>
      <c r="C353" s="404" t="str">
        <f>_xlfn.XLOOKUP(B353,Tabla6[Operación],Tabla6[Canje],0)</f>
        <v>Tesorería</v>
      </c>
      <c r="D353" s="414">
        <f>_xlfn.XLOOKUP(B353,Tabla6[Operación],Tabla6[Fecha Cumplimiento y/ liquidacion],0)</f>
        <v>45989</v>
      </c>
      <c r="E353" s="406">
        <f t="shared" ref="E353" si="155">IF(D353="","",YEAR(D353))</f>
        <v>2025</v>
      </c>
      <c r="F353" s="407" t="str">
        <f>_xlfn.XLOOKUP(B353,'Canjes desagregado'!B:B,'Canjes desagregado'!G:G,0)</f>
        <v>COP</v>
      </c>
      <c r="G353" s="383">
        <f t="shared" ref="G353" si="156">IF(D353="","",D353)</f>
        <v>45989</v>
      </c>
      <c r="H353" s="408">
        <f>IF(B353="","",-SUMIFS('Canjes desagregado'!$S$2:$S$854,'Canjes desagregado'!$B$2:$B$854,B353,'Canjes desagregado'!$E$2:$E$854,"Títulos Recogidos por la Nación"))</f>
        <v>781000000000</v>
      </c>
      <c r="I353" s="409">
        <f>IF(B353="","",-SUMIFS('Canjes desagregado'!$U$2:$U$854,'Canjes desagregado'!$B$2:$B$854,HISTORICO!B353))</f>
        <v>556711379.99987793</v>
      </c>
      <c r="J353" s="409">
        <f>IF(B353="","",SUMIFS('Canjes desagregado'!$X$2:$X$854,'Canjes desagregado'!$B$2:$B$854,HISTORICO!B353))</f>
        <v>0</v>
      </c>
      <c r="K353" s="408">
        <f t="shared" ref="K353" si="157">IF(B353="","",J353+I353)</f>
        <v>556711379.99987793</v>
      </c>
      <c r="L353" s="410">
        <f>IF(B353="","",SUMIFS('Canjes desagregado'!$AD$2:$AD$854,'Canjes desagregado'!$B$2:$B$854,HISTORICO!B353))</f>
        <v>0</v>
      </c>
      <c r="M353" s="410">
        <f t="shared" ref="M353" si="158">IF(B353="","",L353+J353+I353)</f>
        <v>556711379.99987793</v>
      </c>
      <c r="N353" s="410">
        <f>IF(B353="","",SUMIFS('Canjes desagregado'!$S$2:$S$854,'Canjes desagregado'!$B$2:$B$854,HISTORICO!B353))</f>
        <v>0</v>
      </c>
      <c r="O353" s="410">
        <f t="shared" ref="O353" si="159">IF(B353="","",N353+M353)</f>
        <v>556711379.99987793</v>
      </c>
      <c r="P353" s="411">
        <f t="shared" ref="P353" si="160">IF(B353="","",K353/H353)</f>
        <v>7.1281866837372338E-4</v>
      </c>
      <c r="Q353" s="411">
        <f t="shared" ref="Q353" si="161">IF(B353="","",M353/H353)</f>
        <v>7.1281866837372338E-4</v>
      </c>
      <c r="R353" s="412">
        <f>IF(B353="","",H353/$H$363)</f>
        <v>5.0277217051619236E-2</v>
      </c>
      <c r="S353" s="412"/>
      <c r="T353" s="412"/>
      <c r="U353" s="413">
        <f t="shared" ref="U353" si="162">IF(B353="","",I353+J353+L353+N353)</f>
        <v>556711379.99987793</v>
      </c>
      <c r="V353" s="413">
        <f t="shared" ref="V353" si="163">IF(B353="","",IF(C353="Tesorería",U353,""))</f>
        <v>556711379.99987793</v>
      </c>
      <c r="W353" s="413" t="str">
        <f t="shared" ref="W353" si="164">IF(B353="","",IF(C353="Tesorería","",U353))</f>
        <v/>
      </c>
      <c r="X353" s="411">
        <f t="shared" ref="X353" si="165">IF(B353="","",(I353+J353+L353+N353)/H353)</f>
        <v>7.1281866837372338E-4</v>
      </c>
      <c r="Y353" s="304"/>
      <c r="Z353" s="305"/>
      <c r="AA353" s="305"/>
      <c r="AC353" s="306"/>
      <c r="AD353" s="304"/>
      <c r="AE353" s="304"/>
      <c r="AM353" s="300"/>
      <c r="AN353" s="302"/>
      <c r="AO353" s="302"/>
    </row>
    <row r="354" spans="1:41" ht="17.25" customHeight="1">
      <c r="A354" s="403">
        <v>2025</v>
      </c>
      <c r="B354" s="403">
        <v>649</v>
      </c>
      <c r="C354" s="404" t="str">
        <f>_xlfn.XLOOKUP(B354,Tabla6[Operación],Tabla6[Canje],0)</f>
        <v>Tesorería</v>
      </c>
      <c r="D354" s="414">
        <f>_xlfn.XLOOKUP(B354,Tabla6[Operación],Tabla6[Fecha Cumplimiento y/ liquidacion],0)</f>
        <v>45992</v>
      </c>
      <c r="E354" s="406">
        <f t="shared" ref="E354:E355" si="166">IF(D354="","",YEAR(D354))</f>
        <v>2025</v>
      </c>
      <c r="F354" s="407" t="str">
        <f>_xlfn.XLOOKUP(B354,'Canjes desagregado'!B:B,'Canjes desagregado'!G:G,0)</f>
        <v>COP</v>
      </c>
      <c r="G354" s="383">
        <f t="shared" ref="G354:G355" si="167">IF(D354="","",D354)</f>
        <v>45992</v>
      </c>
      <c r="H354" s="408">
        <f>IF(B354="","",-SUMIFS('Canjes desagregado'!$S$2:$S$854,'Canjes desagregado'!$B$2:$B$854,B354,'Canjes desagregado'!$E$2:$E$854,"Títulos Recogidos por la Nación"))</f>
        <v>685193900000</v>
      </c>
      <c r="I354" s="409">
        <f>IF(B354="","",-SUMIFS('Canjes desagregado'!$U$2:$U$854,'Canjes desagregado'!$B$2:$B$854,HISTORICO!B354))</f>
        <v>46542.000061035156</v>
      </c>
      <c r="J354" s="409">
        <f>IF(B354="","",SUMIFS('Canjes desagregado'!$X$2:$X$854,'Canjes desagregado'!$B$2:$B$854,HISTORICO!B354))</f>
        <v>0</v>
      </c>
      <c r="K354" s="408">
        <f t="shared" ref="K354:K355" si="168">IF(B354="","",J354+I354)</f>
        <v>46542.000061035156</v>
      </c>
      <c r="L354" s="410">
        <f>IF(B354="","",SUMIFS('Canjes desagregado'!$AD$2:$AD$854,'Canjes desagregado'!$B$2:$B$854,HISTORICO!B354))</f>
        <v>0</v>
      </c>
      <c r="M354" s="410">
        <f t="shared" ref="M354:M355" si="169">IF(B354="","",L354+J354+I354)</f>
        <v>46542.000061035156</v>
      </c>
      <c r="N354" s="410">
        <f>IF(B354="","",SUMIFS('Canjes desagregado'!$S$2:$S$854,'Canjes desagregado'!$B$2:$B$854,HISTORICO!B354))</f>
        <v>-7693900000</v>
      </c>
      <c r="O354" s="410">
        <f t="shared" ref="O354:O355" si="170">IF(B354="","",N354+M354)</f>
        <v>-7693853457.999939</v>
      </c>
      <c r="P354" s="411">
        <f t="shared" ref="P354:P355" si="171">IF(B354="","",K354/H354)</f>
        <v>6.7925298314878691E-8</v>
      </c>
      <c r="Q354" s="411">
        <f t="shared" ref="Q354:Q355" si="172">IF(B354="","",M354/H354)</f>
        <v>6.7925298314878691E-8</v>
      </c>
      <c r="R354" s="412">
        <f>IF(B354="","",H354/$H$363)</f>
        <v>4.4109657404283589E-2</v>
      </c>
      <c r="S354" s="412"/>
      <c r="T354" s="412"/>
      <c r="U354" s="413">
        <f t="shared" ref="U354:U355" si="173">IF(B354="","",I354+J354+L354+N354)</f>
        <v>-7693853457.999939</v>
      </c>
      <c r="V354" s="413">
        <f t="shared" ref="V354:V355" si="174">IF(B354="","",IF(C354="Tesorería",U354,""))</f>
        <v>-7693853457.999939</v>
      </c>
      <c r="W354" s="413" t="str">
        <f t="shared" ref="W354:W355" si="175">IF(B354="","",IF(C354="Tesorería","",U354))</f>
        <v/>
      </c>
      <c r="X354" s="411">
        <f t="shared" ref="X354:X355" si="176">IF(B354="","",(I354+J354+L354+N354)/H354)</f>
        <v>-1.1228724391737782E-2</v>
      </c>
      <c r="Y354" s="304"/>
      <c r="Z354" s="305"/>
      <c r="AA354" s="305"/>
      <c r="AC354" s="306"/>
      <c r="AD354" s="304"/>
      <c r="AE354" s="304"/>
      <c r="AM354" s="300"/>
      <c r="AN354" s="302"/>
      <c r="AO354" s="302"/>
    </row>
    <row r="355" spans="1:41" ht="17.25" customHeight="1">
      <c r="A355" s="403">
        <v>2025</v>
      </c>
      <c r="B355" s="403">
        <v>650</v>
      </c>
      <c r="C355" s="404" t="str">
        <f>_xlfn.XLOOKUP(B355,Tabla6[Operación],Tabla6[Canje],0)</f>
        <v>Tesorería</v>
      </c>
      <c r="D355" s="414">
        <f>_xlfn.XLOOKUP(B355,Tabla6[Operación],Tabla6[Fecha Cumplimiento y/ liquidacion],0)</f>
        <v>45993</v>
      </c>
      <c r="E355" s="406">
        <f t="shared" si="166"/>
        <v>2025</v>
      </c>
      <c r="F355" s="407" t="str">
        <f>_xlfn.XLOOKUP(B355,'Canjes desagregado'!B:B,'Canjes desagregado'!G:G,0)</f>
        <v>COP</v>
      </c>
      <c r="G355" s="383">
        <f t="shared" si="167"/>
        <v>45993</v>
      </c>
      <c r="H355" s="408">
        <f>IF(B355="","",-SUMIFS('Canjes desagregado'!$S$2:$S$854,'Canjes desagregado'!$B$2:$B$854,B355,'Canjes desagregado'!$E$2:$E$854,"Títulos Recogidos por la Nación"))</f>
        <v>634313800000</v>
      </c>
      <c r="I355" s="409">
        <f>IF(B355="","",-SUMIFS('Canjes desagregado'!$U$2:$U$854,'Canjes desagregado'!$B$2:$B$854,HISTORICO!B355))</f>
        <v>51890</v>
      </c>
      <c r="J355" s="409">
        <f>IF(B355="","",SUMIFS('Canjes desagregado'!$X$2:$X$854,'Canjes desagregado'!$B$2:$B$854,HISTORICO!B355))</f>
        <v>0</v>
      </c>
      <c r="K355" s="408">
        <f t="shared" si="168"/>
        <v>51890</v>
      </c>
      <c r="L355" s="410">
        <f>IF(B355="","",SUMIFS('Canjes desagregado'!$AD$2:$AD$854,'Canjes desagregado'!$B$2:$B$854,HISTORICO!B355))</f>
        <v>0</v>
      </c>
      <c r="M355" s="410">
        <f t="shared" si="169"/>
        <v>51890</v>
      </c>
      <c r="N355" s="410">
        <f>IF(B355="","",SUMIFS('Canjes desagregado'!$S$2:$S$854,'Canjes desagregado'!$B$2:$B$854,HISTORICO!B355))</f>
        <v>-20313800000</v>
      </c>
      <c r="O355" s="410">
        <f t="shared" si="170"/>
        <v>-20313748110</v>
      </c>
      <c r="P355" s="411">
        <f t="shared" si="171"/>
        <v>8.1804936294937934E-8</v>
      </c>
      <c r="Q355" s="411">
        <f t="shared" si="172"/>
        <v>8.1804936294937934E-8</v>
      </c>
      <c r="R355" s="412">
        <f>IF(B355="","",H355/$H$363)</f>
        <v>4.0834228683018427E-2</v>
      </c>
      <c r="S355" s="412"/>
      <c r="T355" s="412"/>
      <c r="U355" s="413">
        <f t="shared" si="173"/>
        <v>-20313748110</v>
      </c>
      <c r="V355" s="413">
        <f t="shared" si="174"/>
        <v>-20313748110</v>
      </c>
      <c r="W355" s="413" t="str">
        <f t="shared" si="175"/>
        <v/>
      </c>
      <c r="X355" s="411">
        <f t="shared" si="176"/>
        <v>-3.2024761419347965E-2</v>
      </c>
      <c r="Y355" s="304"/>
      <c r="Z355" s="305"/>
      <c r="AA355" s="305"/>
      <c r="AC355" s="306"/>
      <c r="AD355" s="304"/>
      <c r="AE355" s="304"/>
      <c r="AM355" s="300"/>
      <c r="AN355" s="302"/>
      <c r="AO355" s="302"/>
    </row>
    <row r="356" spans="1:41" ht="17.25" customHeight="1">
      <c r="A356" s="403">
        <v>2025</v>
      </c>
      <c r="B356" s="403">
        <v>651</v>
      </c>
      <c r="C356" s="404" t="str">
        <f>_xlfn.XLOOKUP(B356,Tabla6[Operación],Tabla6[Canje],0)</f>
        <v>Tesorería</v>
      </c>
      <c r="D356" s="414">
        <f>_xlfn.XLOOKUP(B356,Tabla6[Operación],Tabla6[Fecha Cumplimiento y/ liquidacion],0)</f>
        <v>45994</v>
      </c>
      <c r="E356" s="406">
        <f t="shared" ref="E356:E357" si="177">IF(D356="","",YEAR(D356))</f>
        <v>2025</v>
      </c>
      <c r="F356" s="407" t="str">
        <f>_xlfn.XLOOKUP(B356,'Canjes desagregado'!B:B,'Canjes desagregado'!G:G,0)</f>
        <v>COP</v>
      </c>
      <c r="G356" s="383">
        <f t="shared" ref="G356:G357" si="178">IF(D356="","",D356)</f>
        <v>45994</v>
      </c>
      <c r="H356" s="408">
        <f>IF(B356="","",-SUMIFS('Canjes desagregado'!$S$2:$S$854,'Canjes desagregado'!$B$2:$B$854,B356,'Canjes desagregado'!$E$2:$E$854,"Títulos Recogidos por la Nación"))</f>
        <v>265326100000</v>
      </c>
      <c r="I356" s="409">
        <f>IF(B356="","",-SUMIFS('Canjes desagregado'!$U$2:$U$854,'Canjes desagregado'!$B$2:$B$854,HISTORICO!B356))</f>
        <v>23125</v>
      </c>
      <c r="J356" s="409">
        <f>IF(B356="","",SUMIFS('Canjes desagregado'!$X$2:$X$854,'Canjes desagregado'!$B$2:$B$854,HISTORICO!B356))</f>
        <v>0</v>
      </c>
      <c r="K356" s="408">
        <f t="shared" ref="K356:K357" si="179">IF(B356="","",J356+I356)</f>
        <v>23125</v>
      </c>
      <c r="L356" s="410">
        <f>IF(B356="","",SUMIFS('Canjes desagregado'!$AD$2:$AD$854,'Canjes desagregado'!$B$2:$B$854,HISTORICO!B356))</f>
        <v>0</v>
      </c>
      <c r="M356" s="410">
        <f t="shared" ref="M356:M357" si="180">IF(B356="","",L356+J356+I356)</f>
        <v>23125</v>
      </c>
      <c r="N356" s="410">
        <f>IF(B356="","",SUMIFS('Canjes desagregado'!$S$2:$S$854,'Canjes desagregado'!$B$2:$B$854,HISTORICO!B356))</f>
        <v>-11326100000</v>
      </c>
      <c r="O356" s="410">
        <f t="shared" ref="O356:O357" si="181">IF(B356="","",N356+M356)</f>
        <v>-11326076875</v>
      </c>
      <c r="P356" s="411">
        <f t="shared" ref="P356:P357" si="182">IF(B356="","",K356/H356)</f>
        <v>8.7156898623995148E-8</v>
      </c>
      <c r="Q356" s="411">
        <f t="shared" ref="Q356:Q357" si="183">IF(B356="","",M356/H356)</f>
        <v>8.7156898623995148E-8</v>
      </c>
      <c r="R356" s="412">
        <f>IF(B356="","",H356/$H$363)</f>
        <v>1.7080483891369565E-2</v>
      </c>
      <c r="S356" s="412"/>
      <c r="T356" s="412"/>
      <c r="U356" s="413">
        <f t="shared" ref="U356:U357" si="184">IF(B356="","",I356+J356+L356+N356)</f>
        <v>-11326076875</v>
      </c>
      <c r="V356" s="413">
        <f t="shared" ref="V356:V357" si="185">IF(B356="","",IF(C356="Tesorería",U356,""))</f>
        <v>-11326076875</v>
      </c>
      <c r="W356" s="413" t="str">
        <f t="shared" ref="W356:W357" si="186">IF(B356="","",IF(C356="Tesorería","",U356))</f>
        <v/>
      </c>
      <c r="X356" s="411">
        <f t="shared" ref="X356:X357" si="187">IF(B356="","",(I356+J356+L356+N356)/H356)</f>
        <v>-4.2687383091976248E-2</v>
      </c>
      <c r="Y356" s="304"/>
      <c r="Z356" s="305"/>
      <c r="AA356" s="305"/>
      <c r="AC356" s="306"/>
      <c r="AD356" s="304"/>
      <c r="AE356" s="304"/>
      <c r="AM356" s="300"/>
      <c r="AN356" s="302"/>
      <c r="AO356" s="302"/>
    </row>
    <row r="357" spans="1:41" ht="17.25" customHeight="1">
      <c r="A357" s="403">
        <v>2025</v>
      </c>
      <c r="B357" s="403">
        <v>652</v>
      </c>
      <c r="C357" s="404" t="str">
        <f>_xlfn.XLOOKUP(B357,Tabla6[Operación],Tabla6[Canje],0)</f>
        <v>Tesorería</v>
      </c>
      <c r="D357" s="414">
        <f>_xlfn.XLOOKUP(B357,Tabla6[Operación],Tabla6[Fecha Cumplimiento y/ liquidacion],0)</f>
        <v>45995</v>
      </c>
      <c r="E357" s="406">
        <f t="shared" si="177"/>
        <v>2025</v>
      </c>
      <c r="F357" s="407" t="str">
        <f>_xlfn.XLOOKUP(B357,'Canjes desagregado'!B:B,'Canjes desagregado'!G:G,0)</f>
        <v>COP</v>
      </c>
      <c r="G357" s="383">
        <f t="shared" si="178"/>
        <v>45995</v>
      </c>
      <c r="H357" s="408">
        <f>IF(B357="","",-SUMIFS('Canjes desagregado'!$S$2:$S$854,'Canjes desagregado'!$B$2:$B$854,B357,'Canjes desagregado'!$E$2:$E$854,"Títulos Recogidos por la Nación"))</f>
        <v>120455300000</v>
      </c>
      <c r="I357" s="409">
        <f>IF(B357="","",-SUMIFS('Canjes desagregado'!$U$2:$U$854,'Canjes desagregado'!$B$2:$B$854,HISTORICO!B357))</f>
        <v>3639.0000152587891</v>
      </c>
      <c r="J357" s="409">
        <f>IF(B357="","",SUMIFS('Canjes desagregado'!$X$2:$X$854,'Canjes desagregado'!$B$2:$B$854,HISTORICO!B357))</f>
        <v>0</v>
      </c>
      <c r="K357" s="408">
        <f t="shared" si="179"/>
        <v>3639.0000152587891</v>
      </c>
      <c r="L357" s="410">
        <f>IF(B357="","",SUMIFS('Canjes desagregado'!$AD$2:$AD$854,'Canjes desagregado'!$B$2:$B$854,HISTORICO!B357))</f>
        <v>0</v>
      </c>
      <c r="M357" s="410">
        <f t="shared" si="180"/>
        <v>3639.0000152587891</v>
      </c>
      <c r="N357" s="410">
        <f>IF(B357="","",SUMIFS('Canjes desagregado'!$S$2:$S$854,'Canjes desagregado'!$B$2:$B$854,HISTORICO!B357))</f>
        <v>-5455300000</v>
      </c>
      <c r="O357" s="410">
        <f t="shared" si="181"/>
        <v>-5455296360.9999847</v>
      </c>
      <c r="P357" s="411">
        <f t="shared" si="182"/>
        <v>3.021037692205149E-8</v>
      </c>
      <c r="Q357" s="411">
        <f t="shared" si="183"/>
        <v>3.021037692205149E-8</v>
      </c>
      <c r="R357" s="412">
        <f>IF(B357="","",H357/$H$363)</f>
        <v>7.754362692852638E-3</v>
      </c>
      <c r="S357" s="412"/>
      <c r="T357" s="412"/>
      <c r="U357" s="413">
        <f t="shared" si="184"/>
        <v>-5455296360.9999847</v>
      </c>
      <c r="V357" s="413">
        <f t="shared" si="185"/>
        <v>-5455296360.9999847</v>
      </c>
      <c r="W357" s="413" t="str">
        <f t="shared" si="186"/>
        <v/>
      </c>
      <c r="X357" s="411">
        <f t="shared" si="187"/>
        <v>-4.5288969111363174E-2</v>
      </c>
      <c r="Y357" s="304"/>
      <c r="Z357" s="305"/>
      <c r="AA357" s="305"/>
      <c r="AC357" s="306"/>
      <c r="AD357" s="304"/>
      <c r="AE357" s="304"/>
      <c r="AM357" s="300"/>
      <c r="AN357" s="302"/>
      <c r="AO357" s="302"/>
    </row>
    <row r="358" spans="1:41" ht="17.25" customHeight="1">
      <c r="A358" s="403">
        <v>2025</v>
      </c>
      <c r="B358" s="403">
        <v>653</v>
      </c>
      <c r="C358" s="404" t="str">
        <f>_xlfn.XLOOKUP(B358,Tabla6[Operación],Tabla6[Canje],0)</f>
        <v>Tesorería</v>
      </c>
      <c r="D358" s="414">
        <f>_xlfn.XLOOKUP(B358,Tabla6[Operación],Tabla6[Fecha Cumplimiento y/ liquidacion],0)</f>
        <v>45996</v>
      </c>
      <c r="E358" s="406">
        <f t="shared" ref="E358:E362" si="188">IF(D358="","",YEAR(D358))</f>
        <v>2025</v>
      </c>
      <c r="F358" s="407" t="str">
        <f>_xlfn.XLOOKUP(B358,'Canjes desagregado'!B:B,'Canjes desagregado'!G:G,0)</f>
        <v>COP</v>
      </c>
      <c r="G358" s="383">
        <f t="shared" ref="G358:G362" si="189">IF(D358="","",D358)</f>
        <v>45996</v>
      </c>
      <c r="H358" s="408">
        <f>IF(B358="","",-SUMIFS('Canjes desagregado'!$S$2:$S$854,'Canjes desagregado'!$B$2:$B$854,B358,'Canjes desagregado'!$E$2:$E$854,"Títulos Recogidos por la Nación"))</f>
        <v>314048600000</v>
      </c>
      <c r="I358" s="409">
        <f>IF(B358="","",-SUMIFS('Canjes desagregado'!$U$2:$U$854,'Canjes desagregado'!$B$2:$B$854,HISTORICO!B358))</f>
        <v>14648</v>
      </c>
      <c r="J358" s="409">
        <f>IF(B358="","",SUMIFS('Canjes desagregado'!$X$2:$X$854,'Canjes desagregado'!$B$2:$B$854,HISTORICO!B358))</f>
        <v>0</v>
      </c>
      <c r="K358" s="408">
        <f t="shared" ref="K358:K362" si="190">IF(B358="","",J358+I358)</f>
        <v>14648</v>
      </c>
      <c r="L358" s="410">
        <f>IF(B358="","",SUMIFS('Canjes desagregado'!$AD$2:$AD$854,'Canjes desagregado'!$B$2:$B$854,HISTORICO!B358))</f>
        <v>0</v>
      </c>
      <c r="M358" s="410">
        <f t="shared" ref="M358:M362" si="191">IF(B358="","",L358+J358+I358)</f>
        <v>14648</v>
      </c>
      <c r="N358" s="410">
        <f>IF(B358="","",SUMIFS('Canjes desagregado'!$S$2:$S$854,'Canjes desagregado'!$B$2:$B$854,HISTORICO!B358))</f>
        <v>-14048600000</v>
      </c>
      <c r="O358" s="410">
        <f t="shared" ref="O358:O362" si="192">IF(B358="","",N358+M358)</f>
        <v>-14048585352</v>
      </c>
      <c r="P358" s="411">
        <f t="shared" ref="P358:P362" si="193">IF(B358="","",K358/H358)</f>
        <v>4.6642462345000103E-8</v>
      </c>
      <c r="Q358" s="411">
        <f t="shared" ref="Q358:Q362" si="194">IF(B358="","",M358/H358)</f>
        <v>4.6642462345000103E-8</v>
      </c>
      <c r="R358" s="412">
        <f t="shared" ref="R358:R362" si="195">IF(B358="","",H358/$H$363)</f>
        <v>2.0217016167678806E-2</v>
      </c>
      <c r="S358" s="412"/>
      <c r="T358" s="412"/>
      <c r="U358" s="413">
        <f t="shared" ref="U358:U362" si="196">IF(B358="","",I358+J358+L358+N358)</f>
        <v>-14048585352</v>
      </c>
      <c r="V358" s="413">
        <f t="shared" ref="V358:V362" si="197">IF(B358="","",IF(C358="Tesorería",U358,""))</f>
        <v>-14048585352</v>
      </c>
      <c r="W358" s="413" t="str">
        <f t="shared" ref="W358:W362" si="198">IF(B358="","",IF(C358="Tesorería","",U358))</f>
        <v/>
      </c>
      <c r="X358" s="411">
        <f t="shared" ref="X358:X362" si="199">IF(B358="","",(I358+J358+L358+N358)/H358)</f>
        <v>-4.4733793915973513E-2</v>
      </c>
      <c r="Y358" s="304"/>
      <c r="Z358" s="305"/>
      <c r="AA358" s="305"/>
      <c r="AC358" s="306"/>
      <c r="AD358" s="304"/>
      <c r="AE358" s="304"/>
      <c r="AM358" s="300"/>
      <c r="AN358" s="302"/>
      <c r="AO358" s="302"/>
    </row>
    <row r="359" spans="1:41" ht="17.25" customHeight="1">
      <c r="A359" s="403">
        <v>2025</v>
      </c>
      <c r="B359" s="403">
        <v>654</v>
      </c>
      <c r="C359" s="404" t="str">
        <f>_xlfn.XLOOKUP(B359,Tabla6[Operación],Tabla6[Canje],0)</f>
        <v>Tesorería</v>
      </c>
      <c r="D359" s="414">
        <f>_xlfn.XLOOKUP(B359,Tabla6[Operación],Tabla6[Fecha Cumplimiento y/ liquidacion],0)</f>
        <v>46000</v>
      </c>
      <c r="E359" s="406">
        <f t="shared" si="188"/>
        <v>2025</v>
      </c>
      <c r="F359" s="407" t="str">
        <f>_xlfn.XLOOKUP(B359,'Canjes desagregado'!B:B,'Canjes desagregado'!G:G,0)</f>
        <v>COP</v>
      </c>
      <c r="G359" s="383">
        <f t="shared" si="189"/>
        <v>46000</v>
      </c>
      <c r="H359" s="408">
        <f>IF(B359="","",-SUMIFS('Canjes desagregado'!$S$2:$S$854,'Canjes desagregado'!$B$2:$B$854,B359,'Canjes desagregado'!$E$2:$E$854,"Títulos Recogidos por la Nación"))</f>
        <v>419000000000</v>
      </c>
      <c r="I359" s="409">
        <f>IF(B359="","",-SUMIFS('Canjes desagregado'!$U$2:$U$854,'Canjes desagregado'!$B$2:$B$854,HISTORICO!B359))</f>
        <v>14514160</v>
      </c>
      <c r="J359" s="409">
        <f>IF(B359="","",SUMIFS('Canjes desagregado'!$X$2:$X$854,'Canjes desagregado'!$B$2:$B$854,HISTORICO!B359))</f>
        <v>0</v>
      </c>
      <c r="K359" s="408">
        <f t="shared" si="190"/>
        <v>14514160</v>
      </c>
      <c r="L359" s="410">
        <f>IF(B359="","",SUMIFS('Canjes desagregado'!$AD$2:$AD$854,'Canjes desagregado'!$B$2:$B$854,HISTORICO!B359))</f>
        <v>0</v>
      </c>
      <c r="M359" s="410">
        <f t="shared" si="191"/>
        <v>14514160</v>
      </c>
      <c r="N359" s="410">
        <f>IF(B359="","",SUMIFS('Canjes desagregado'!$S$2:$S$854,'Canjes desagregado'!$B$2:$B$854,HISTORICO!B359))</f>
        <v>0</v>
      </c>
      <c r="O359" s="410">
        <f t="shared" si="192"/>
        <v>14514160</v>
      </c>
      <c r="P359" s="411">
        <f t="shared" si="193"/>
        <v>3.464E-5</v>
      </c>
      <c r="Q359" s="411">
        <f t="shared" si="194"/>
        <v>3.464E-5</v>
      </c>
      <c r="R359" s="412">
        <f t="shared" si="195"/>
        <v>2.697330850784694E-2</v>
      </c>
      <c r="S359" s="412"/>
      <c r="T359" s="412"/>
      <c r="U359" s="413">
        <f t="shared" si="196"/>
        <v>14514160</v>
      </c>
      <c r="V359" s="413">
        <f t="shared" si="197"/>
        <v>14514160</v>
      </c>
      <c r="W359" s="413" t="str">
        <f t="shared" si="198"/>
        <v/>
      </c>
      <c r="X359" s="411">
        <f t="shared" si="199"/>
        <v>3.464E-5</v>
      </c>
      <c r="Y359" s="304"/>
      <c r="Z359" s="305"/>
      <c r="AA359" s="305"/>
      <c r="AC359" s="306"/>
      <c r="AD359" s="304"/>
      <c r="AE359" s="304"/>
      <c r="AM359" s="300"/>
      <c r="AN359" s="302"/>
      <c r="AO359" s="302"/>
    </row>
    <row r="360" spans="1:41" ht="17.25" customHeight="1">
      <c r="A360" s="403">
        <v>2025</v>
      </c>
      <c r="B360" s="403">
        <v>655</v>
      </c>
      <c r="C360" s="404" t="str">
        <f>_xlfn.XLOOKUP(B360,Tabla6[Operación],Tabla6[Canje],0)</f>
        <v>Tesorería</v>
      </c>
      <c r="D360" s="414">
        <f>_xlfn.XLOOKUP(B360,Tabla6[Operación],Tabla6[Fecha Cumplimiento y/ liquidacion],0)</f>
        <v>46001</v>
      </c>
      <c r="E360" s="406">
        <f t="shared" si="188"/>
        <v>2025</v>
      </c>
      <c r="F360" s="407" t="str">
        <f>_xlfn.XLOOKUP(B360,'Canjes desagregado'!B:B,'Canjes desagregado'!G:G,0)</f>
        <v>COP</v>
      </c>
      <c r="G360" s="383">
        <f t="shared" si="189"/>
        <v>46001</v>
      </c>
      <c r="H360" s="408">
        <f>IF(B360="","",-SUMIFS('Canjes desagregado'!$S$2:$S$854,'Canjes desagregado'!$B$2:$B$854,B360,'Canjes desagregado'!$E$2:$E$854,"Títulos Recogidos por la Nación"))</f>
        <v>207000000000</v>
      </c>
      <c r="I360" s="409">
        <f>IF(B360="","",-SUMIFS('Canjes desagregado'!$U$2:$U$854,'Canjes desagregado'!$B$2:$B$854,HISTORICO!B360))</f>
        <v>1759500.0000305176</v>
      </c>
      <c r="J360" s="409">
        <f>IF(B360="","",SUMIFS('Canjes desagregado'!$X$2:$X$854,'Canjes desagregado'!$B$2:$B$854,HISTORICO!B360))</f>
        <v>0</v>
      </c>
      <c r="K360" s="408">
        <f t="shared" si="190"/>
        <v>1759500.0000305176</v>
      </c>
      <c r="L360" s="410">
        <f>IF(B360="","",SUMIFS('Canjes desagregado'!$AD$2:$AD$854,'Canjes desagregado'!$B$2:$B$854,HISTORICO!B360))</f>
        <v>0</v>
      </c>
      <c r="M360" s="410">
        <f t="shared" si="191"/>
        <v>1759500.0000305176</v>
      </c>
      <c r="N360" s="410">
        <f>IF(B360="","",SUMIFS('Canjes desagregado'!$S$2:$S$854,'Canjes desagregado'!$B$2:$B$854,HISTORICO!B360))</f>
        <v>0</v>
      </c>
      <c r="O360" s="410">
        <f t="shared" si="192"/>
        <v>1759500.0000305176</v>
      </c>
      <c r="P360" s="411">
        <f t="shared" si="193"/>
        <v>8.5000000001474277E-6</v>
      </c>
      <c r="Q360" s="411">
        <f t="shared" si="194"/>
        <v>8.5000000001474277E-6</v>
      </c>
      <c r="R360" s="412">
        <f t="shared" si="195"/>
        <v>1.3325715659007914E-2</v>
      </c>
      <c r="S360" s="412"/>
      <c r="T360" s="412"/>
      <c r="U360" s="413">
        <f t="shared" si="196"/>
        <v>1759500.0000305176</v>
      </c>
      <c r="V360" s="413">
        <f t="shared" si="197"/>
        <v>1759500.0000305176</v>
      </c>
      <c r="W360" s="413" t="str">
        <f t="shared" si="198"/>
        <v/>
      </c>
      <c r="X360" s="411">
        <f t="shared" si="199"/>
        <v>8.5000000001474277E-6</v>
      </c>
      <c r="Y360" s="304"/>
      <c r="Z360" s="305"/>
      <c r="AA360" s="305"/>
      <c r="AC360" s="306"/>
      <c r="AD360" s="304"/>
      <c r="AE360" s="304"/>
      <c r="AM360" s="300"/>
      <c r="AN360" s="302"/>
      <c r="AO360" s="302"/>
    </row>
    <row r="361" spans="1:41" ht="17.25" customHeight="1">
      <c r="A361" s="403">
        <v>2025</v>
      </c>
      <c r="B361" s="403">
        <v>656</v>
      </c>
      <c r="C361" s="404" t="str">
        <f>_xlfn.XLOOKUP(B361,Tabla6[Operación],Tabla6[Canje],0)</f>
        <v>Tesorería</v>
      </c>
      <c r="D361" s="414">
        <f>_xlfn.XLOOKUP(B361,Tabla6[Operación],Tabla6[Fecha Cumplimiento y/ liquidacion],0)</f>
        <v>46002</v>
      </c>
      <c r="E361" s="406">
        <f t="shared" si="188"/>
        <v>2025</v>
      </c>
      <c r="F361" s="407" t="str">
        <f>_xlfn.XLOOKUP(B361,'Canjes desagregado'!B:B,'Canjes desagregado'!G:G,0)</f>
        <v>COP</v>
      </c>
      <c r="G361" s="383">
        <f t="shared" si="189"/>
        <v>46002</v>
      </c>
      <c r="H361" s="408">
        <f>IF(B361="","",-SUMIFS('Canjes desagregado'!$S$2:$S$854,'Canjes desagregado'!$B$2:$B$854,B361,'Canjes desagregado'!$E$2:$E$854,"Títulos Recogidos por la Nación"))</f>
        <v>684557200000</v>
      </c>
      <c r="I361" s="409">
        <f>IF(B361="","",-SUMIFS('Canjes desagregado'!$U$2:$U$854,'Canjes desagregado'!$B$2:$B$854,HISTORICO!B361))</f>
        <v>94016</v>
      </c>
      <c r="J361" s="409">
        <f>IF(B361="","",SUMIFS('Canjes desagregado'!$X$2:$X$854,'Canjes desagregado'!$B$2:$B$854,HISTORICO!B361))</f>
        <v>0</v>
      </c>
      <c r="K361" s="408">
        <f t="shared" si="190"/>
        <v>94016</v>
      </c>
      <c r="L361" s="410">
        <f>IF(B361="","",SUMIFS('Canjes desagregado'!$AD$2:$AD$854,'Canjes desagregado'!$B$2:$B$854,HISTORICO!B361))</f>
        <v>0</v>
      </c>
      <c r="M361" s="410">
        <f t="shared" si="191"/>
        <v>94016</v>
      </c>
      <c r="N361" s="410">
        <f>IF(B361="","",SUMIFS('Canjes desagregado'!$S$2:$S$854,'Canjes desagregado'!$B$2:$B$854,HISTORICO!B361))</f>
        <v>-4557200000</v>
      </c>
      <c r="O361" s="410">
        <f t="shared" si="192"/>
        <v>-4557105984</v>
      </c>
      <c r="P361" s="411">
        <f t="shared" si="193"/>
        <v>1.3733841379507804E-7</v>
      </c>
      <c r="Q361" s="411">
        <f t="shared" si="194"/>
        <v>1.3733841379507804E-7</v>
      </c>
      <c r="R361" s="412">
        <f t="shared" si="195"/>
        <v>4.4068669562930499E-2</v>
      </c>
      <c r="S361" s="412"/>
      <c r="T361" s="412"/>
      <c r="U361" s="413">
        <f t="shared" si="196"/>
        <v>-4557105984</v>
      </c>
      <c r="V361" s="413">
        <f t="shared" si="197"/>
        <v>-4557105984</v>
      </c>
      <c r="W361" s="413" t="str">
        <f t="shared" si="198"/>
        <v/>
      </c>
      <c r="X361" s="411">
        <f t="shared" si="199"/>
        <v>-6.6570127142041597E-3</v>
      </c>
      <c r="Y361" s="304"/>
      <c r="Z361" s="305"/>
      <c r="AA361" s="305"/>
      <c r="AC361" s="306"/>
      <c r="AD361" s="304"/>
      <c r="AE361" s="304"/>
      <c r="AM361" s="300"/>
      <c r="AN361" s="302"/>
      <c r="AO361" s="302"/>
    </row>
    <row r="362" spans="1:41" ht="13.5" customHeight="1">
      <c r="A362" s="403">
        <v>2025</v>
      </c>
      <c r="B362" s="403">
        <v>657</v>
      </c>
      <c r="C362" s="404" t="str">
        <f>_xlfn.XLOOKUP(B362,Tabla6[Operación],Tabla6[Canje],0)</f>
        <v>Tesorería</v>
      </c>
      <c r="D362" s="414">
        <f>_xlfn.XLOOKUP(B362,Tabla6[Operación],Tabla6[Fecha Cumplimiento y/ liquidacion],0)</f>
        <v>46003</v>
      </c>
      <c r="E362" s="406">
        <f t="shared" si="188"/>
        <v>2025</v>
      </c>
      <c r="F362" s="407" t="str">
        <f>_xlfn.XLOOKUP(B362,'Canjes desagregado'!B:B,'Canjes desagregado'!G:G,0)</f>
        <v>COP</v>
      </c>
      <c r="G362" s="383">
        <f t="shared" si="189"/>
        <v>46003</v>
      </c>
      <c r="H362" s="408">
        <f>IF(B362="","",-SUMIFS('Canjes desagregado'!$S$2:$S$854,'Canjes desagregado'!$B$2:$B$854,B362,'Canjes desagregado'!$E$2:$E$854,"Títulos Recogidos por la Nación"))</f>
        <v>213678300000</v>
      </c>
      <c r="I362" s="409">
        <f>IF(B362="","",-SUMIFS('Canjes desagregado'!$U$2:$U$854,'Canjes desagregado'!$B$2:$B$854,HISTORICO!B362))</f>
        <v>75740</v>
      </c>
      <c r="J362" s="409">
        <f>IF(B362="","",SUMIFS('Canjes desagregado'!$X$2:$X$854,'Canjes desagregado'!$B$2:$B$854,HISTORICO!B362))</f>
        <v>0</v>
      </c>
      <c r="K362" s="408">
        <f t="shared" si="190"/>
        <v>75740</v>
      </c>
      <c r="L362" s="410">
        <f>IF(B362="","",SUMIFS('Canjes desagregado'!$AD$2:$AD$854,'Canjes desagregado'!$B$2:$B$854,HISTORICO!B362))</f>
        <v>0</v>
      </c>
      <c r="M362" s="410">
        <f t="shared" si="191"/>
        <v>75740</v>
      </c>
      <c r="N362" s="410">
        <f>IF(B362="","",SUMIFS('Canjes desagregado'!$S$2:$S$854,'Canjes desagregado'!$B$2:$B$854,HISTORICO!B362))</f>
        <v>-7678300000</v>
      </c>
      <c r="O362" s="410">
        <f t="shared" si="192"/>
        <v>-7678224260</v>
      </c>
      <c r="P362" s="411">
        <f t="shared" si="193"/>
        <v>3.5445808020748949E-7</v>
      </c>
      <c r="Q362" s="411">
        <f t="shared" si="194"/>
        <v>3.5445808020748949E-7</v>
      </c>
      <c r="R362" s="412">
        <f t="shared" si="195"/>
        <v>1.3755634146377734E-2</v>
      </c>
      <c r="S362" s="412"/>
      <c r="T362" s="412"/>
      <c r="U362" s="413">
        <f t="shared" si="196"/>
        <v>-7678224260</v>
      </c>
      <c r="V362" s="413">
        <f t="shared" si="197"/>
        <v>-7678224260</v>
      </c>
      <c r="W362" s="413" t="str">
        <f t="shared" si="198"/>
        <v/>
      </c>
      <c r="X362" s="411">
        <f t="shared" si="199"/>
        <v>-3.5933570512307521E-2</v>
      </c>
      <c r="AB362" s="193" t="e">
        <f>CORREL(AB60:AB99,AC60:AC99)</f>
        <v>#VALUE!</v>
      </c>
      <c r="AC362" s="422"/>
      <c r="AD362" s="422"/>
      <c r="AE362" s="422"/>
    </row>
    <row r="363" spans="1:41" ht="13.5" customHeight="1">
      <c r="A363" s="419"/>
      <c r="B363" s="419"/>
      <c r="C363" s="419"/>
      <c r="D363" s="419"/>
      <c r="E363" s="419"/>
      <c r="F363" s="419"/>
      <c r="G363" s="420">
        <v>2023</v>
      </c>
      <c r="H363" s="421">
        <f>+SUMIFS($H$6:H337,$E$6:E337,G363)</f>
        <v>15533874900000</v>
      </c>
      <c r="I363" s="421">
        <f>+SUMIFS($I$6:I337,$E$6:E337,G363)</f>
        <v>281696676291.5498</v>
      </c>
      <c r="J363" s="421">
        <f>+SUMIFS($J$6:J337,$E$6:E337,G363)</f>
        <v>-609798287500</v>
      </c>
      <c r="K363" s="421">
        <f>J363+I363</f>
        <v>-328101611208.4502</v>
      </c>
      <c r="L363" s="421">
        <f>+SUMIFS($L$6:L337,$E$6:E337,G363)</f>
        <v>62431000</v>
      </c>
      <c r="M363" s="423">
        <f t="shared" ref="M363" si="200">L363+J363+I363</f>
        <v>-328039180208.4502</v>
      </c>
      <c r="N363" s="421">
        <f>+SUMIFS($N$6:N337,$E$6:E337,G363)</f>
        <v>-21323397000</v>
      </c>
      <c r="O363" s="421">
        <f t="shared" ref="O363:O364" si="201">+M363+N363</f>
        <v>-349362577208.4502</v>
      </c>
      <c r="P363" s="279">
        <f>K363/H363</f>
        <v>-2.1121684918967012E-2</v>
      </c>
      <c r="Q363" s="411">
        <f>M363/H363</f>
        <v>-2.1117665895999341E-2</v>
      </c>
      <c r="R363" s="279"/>
      <c r="S363" s="279"/>
      <c r="T363" s="279"/>
      <c r="U363" s="279"/>
      <c r="V363" s="279"/>
      <c r="W363" s="279"/>
      <c r="X363" s="279">
        <f>+(I362+J362+L362+N362)/H362</f>
        <v>-3.5933570512307521E-2</v>
      </c>
      <c r="AC363" s="422"/>
      <c r="AD363" s="422"/>
      <c r="AE363" s="422"/>
    </row>
    <row r="364" spans="1:41" ht="13.5" customHeight="1">
      <c r="A364" s="419"/>
      <c r="B364" s="419"/>
      <c r="C364" s="419"/>
      <c r="D364" s="419"/>
      <c r="E364" s="419"/>
      <c r="F364" s="419"/>
      <c r="G364" s="420">
        <v>2024</v>
      </c>
      <c r="H364" s="421">
        <f>+SUMIFS($H$6:H337,$E$6:E337,G364)</f>
        <v>28247014799329.898</v>
      </c>
      <c r="I364" s="421">
        <f>+SUMIFS($I$6:I337,$E$6:E337,G364)</f>
        <v>1152221014267.8457</v>
      </c>
      <c r="J364" s="421">
        <f>+SUMIFS($J$6:J337,$E$6:E337,G364)</f>
        <v>-646095102917.5</v>
      </c>
      <c r="K364" s="421">
        <f>J364+I364</f>
        <v>506125911350.3457</v>
      </c>
      <c r="L364" s="421">
        <f>+SUMIFS($L$6:L362,$E$6:E362,G364)</f>
        <v>-136896296430.28871</v>
      </c>
      <c r="M364" s="424">
        <f>L364+J364+I364</f>
        <v>369229614920.05701</v>
      </c>
      <c r="N364" s="421">
        <f>+SUMIFS($N$6:N362,$E$6:E362,G364)</f>
        <v>-9177079.9000244141</v>
      </c>
      <c r="O364" s="421">
        <f t="shared" si="201"/>
        <v>369220437840.15698</v>
      </c>
      <c r="P364" s="279">
        <f>K364/H364</f>
        <v>1.7917854858147789E-2</v>
      </c>
      <c r="Q364" s="411">
        <f>M364/H364</f>
        <v>1.3071456135917633E-2</v>
      </c>
      <c r="R364" s="279"/>
      <c r="S364" s="279"/>
      <c r="T364" s="279"/>
      <c r="U364" s="279"/>
      <c r="V364" s="279"/>
      <c r="W364" s="279" t="s">
        <v>210</v>
      </c>
      <c r="X364" s="279">
        <f>+(I363+J363+L363+N363)/H363</f>
        <v>-2.2490368916801961E-2</v>
      </c>
      <c r="AC364" s="422"/>
      <c r="AD364" s="422"/>
      <c r="AE364" s="422"/>
    </row>
    <row r="365" spans="1:41" ht="13.5" customHeight="1">
      <c r="A365" s="419"/>
      <c r="B365" s="419"/>
      <c r="C365" s="419"/>
      <c r="D365" s="419"/>
      <c r="E365" s="419"/>
      <c r="F365" s="419"/>
      <c r="G365" s="420">
        <v>2025</v>
      </c>
      <c r="H365" s="421">
        <f>+SUMIFS($H$6:H363,$E$6:E363,G365)</f>
        <v>54861057692132</v>
      </c>
      <c r="I365" s="421">
        <f>+SUMIFS($I$6:I337,$E$6:E337,G365)</f>
        <v>446223129207.23279</v>
      </c>
      <c r="J365" s="421">
        <f>+SUMIFS($J$6:J337,$E$6:E337,G365)</f>
        <v>-984731478968.75</v>
      </c>
      <c r="K365" s="421">
        <f>J365+I365</f>
        <v>-538508349761.51721</v>
      </c>
      <c r="L365" s="421">
        <f>+SUMIFS($L$6:L363,$E$6:E363,G365)</f>
        <v>-11789249374</v>
      </c>
      <c r="M365" s="424">
        <f>L365+J365+I365</f>
        <v>-550297599135.51721</v>
      </c>
      <c r="N365" s="421">
        <f>+SUMIFS($N$6:N363,$E$6:E363,G365)</f>
        <v>-6755706449694</v>
      </c>
      <c r="O365" s="421">
        <f t="shared" ref="O365" si="202">+M365+N365</f>
        <v>-7306004048829.5176</v>
      </c>
      <c r="P365" s="279">
        <f>K365/H365</f>
        <v>-9.815857958545126E-3</v>
      </c>
      <c r="Q365" s="411">
        <f>M365/H365</f>
        <v>-1.0030750814606316E-2</v>
      </c>
      <c r="R365" s="279"/>
      <c r="S365" s="279"/>
      <c r="T365" s="279"/>
      <c r="U365" s="279"/>
      <c r="V365" s="279"/>
      <c r="W365" s="279"/>
      <c r="X365" s="279">
        <f>+(I364+J364+L364+N364)/H364</f>
        <v>1.3071131249200747E-2</v>
      </c>
      <c r="AC365" s="422"/>
      <c r="AD365" s="422"/>
      <c r="AE365" s="422"/>
    </row>
    <row r="366" spans="1:41">
      <c r="B366" s="425"/>
      <c r="C366" s="425"/>
      <c r="D366" s="425"/>
      <c r="E366" s="425"/>
      <c r="F366" s="425"/>
      <c r="G366" s="426"/>
      <c r="H366" s="427"/>
      <c r="I366" s="427"/>
      <c r="J366" s="427"/>
      <c r="K366" s="428"/>
      <c r="L366" s="428"/>
      <c r="M366" s="428"/>
      <c r="N366" s="428"/>
      <c r="O366" s="428"/>
      <c r="P366" s="429"/>
      <c r="Q366" s="429"/>
      <c r="R366" s="430"/>
      <c r="S366" s="279"/>
      <c r="T366" s="279"/>
      <c r="U366" s="279"/>
      <c r="V366" s="279"/>
      <c r="W366" s="279"/>
      <c r="X366" s="279"/>
    </row>
    <row r="367" spans="1:41">
      <c r="B367" s="425"/>
      <c r="C367" s="425"/>
      <c r="D367" s="425"/>
      <c r="E367" s="425"/>
      <c r="F367" s="431"/>
      <c r="G367" s="432">
        <f>H44/H369</f>
        <v>0.24203558016196539</v>
      </c>
      <c r="H367" s="432">
        <f>H51/H369</f>
        <v>9.8020147366179353E-2</v>
      </c>
      <c r="I367" s="433">
        <f>SUM(I29:I63)-I44</f>
        <v>619264285243.22021</v>
      </c>
      <c r="J367" s="427">
        <f>SUM(J29:J63)-J44-J36</f>
        <v>236471050495</v>
      </c>
      <c r="K367" s="427"/>
      <c r="L367" s="427">
        <f>SUM(L29:L63)-L44-L36</f>
        <v>-132321849694.15494</v>
      </c>
      <c r="M367" s="427"/>
      <c r="N367" s="427">
        <f>SUM(N29:N63)-N44</f>
        <v>-8736253.400103569</v>
      </c>
      <c r="O367" s="427"/>
      <c r="P367" s="434"/>
      <c r="Q367" s="434"/>
      <c r="R367" s="430"/>
      <c r="S367" s="430"/>
      <c r="T367" s="430"/>
      <c r="U367" s="430"/>
      <c r="V367" s="430"/>
      <c r="W367" s="430"/>
      <c r="X367" s="430"/>
    </row>
    <row r="368" spans="1:41">
      <c r="B368" s="425"/>
      <c r="C368" s="425"/>
      <c r="D368" s="425"/>
      <c r="E368" s="425"/>
      <c r="F368" s="425"/>
      <c r="G368" s="426"/>
      <c r="H368" s="427"/>
      <c r="I368" s="427"/>
      <c r="J368" s="427"/>
      <c r="K368" s="427"/>
      <c r="L368" s="427"/>
      <c r="M368" s="427"/>
      <c r="N368" s="427"/>
      <c r="O368" s="427"/>
      <c r="P368" s="427"/>
      <c r="Q368" s="427"/>
      <c r="R368" s="430"/>
      <c r="S368" s="430"/>
      <c r="T368" s="430"/>
      <c r="U368" s="430"/>
      <c r="V368" s="427"/>
      <c r="W368" s="430"/>
      <c r="X368" s="430"/>
      <c r="AG368" s="435" t="s">
        <v>0</v>
      </c>
      <c r="AH368" s="435" t="s">
        <v>146</v>
      </c>
    </row>
    <row r="369" spans="2:35">
      <c r="B369" s="425"/>
      <c r="C369" s="425"/>
      <c r="D369" s="425"/>
      <c r="E369" s="425"/>
      <c r="F369" s="425"/>
      <c r="G369" s="426"/>
      <c r="H369" s="427">
        <f>SUM(H45:H63)+SUM(H29:H43)</f>
        <v>10634502251397</v>
      </c>
      <c r="I369" s="436">
        <f>+K363/H363</f>
        <v>-2.1121684918967012E-2</v>
      </c>
      <c r="J369" s="427">
        <f>SUM(J37:J62)+SUM(J29:J35)</f>
        <v>259295684495</v>
      </c>
      <c r="K369" s="427">
        <f>SUM(K37:K62)+SUM(K34:K35)</f>
        <v>924261373195.29016</v>
      </c>
      <c r="L369" s="427">
        <f t="shared" ref="L369:N369" si="203">SUM(L37:L62)+SUM(L34:L35)</f>
        <v>-160464511494.1553</v>
      </c>
      <c r="M369" s="427">
        <f t="shared" si="203"/>
        <v>763796861701.13513</v>
      </c>
      <c r="N369" s="427">
        <f t="shared" si="203"/>
        <v>-8813847.0002012253</v>
      </c>
      <c r="O369" s="428"/>
      <c r="P369" s="429"/>
      <c r="Q369" s="429"/>
      <c r="R369" s="430"/>
      <c r="S369" s="430"/>
      <c r="T369" s="430"/>
      <c r="U369" s="430"/>
      <c r="V369" s="430"/>
      <c r="W369" s="430"/>
      <c r="X369" s="430"/>
      <c r="AG369" s="437">
        <v>2020</v>
      </c>
      <c r="AH369" s="438" t="e" cm="1">
        <f t="array" ref="AH369">CORREL(INDEX(_xlfn._xlws.FILTER(AB12:AC21,AB12:AB21&lt;0),,1),INDEX(_xlfn._xlws.FILTER(AB12:AC21,AB12:AB21&lt;0),,2))</f>
        <v>#VALUE!</v>
      </c>
      <c r="AI369" s="193" t="s">
        <v>147</v>
      </c>
    </row>
    <row r="370" spans="2:35">
      <c r="B370" s="425">
        <v>1</v>
      </c>
      <c r="C370" s="425"/>
      <c r="D370" s="425"/>
      <c r="E370" s="425"/>
      <c r="F370" s="425"/>
      <c r="G370" s="439"/>
      <c r="H370" s="427">
        <f t="shared" ref="H370:M370" si="204">+SUM(H100:H171)</f>
        <v>15533874900000</v>
      </c>
      <c r="I370" s="427">
        <f t="shared" si="204"/>
        <v>281696676291.5498</v>
      </c>
      <c r="J370" s="427">
        <f>+SUM(J100:J171)</f>
        <v>-609798287500</v>
      </c>
      <c r="K370" s="427">
        <f t="shared" si="204"/>
        <v>-328101611208.45007</v>
      </c>
      <c r="L370" s="427">
        <f t="shared" si="204"/>
        <v>62431000</v>
      </c>
      <c r="M370" s="427">
        <f t="shared" si="204"/>
        <v>-328039180208.45007</v>
      </c>
      <c r="N370" s="427">
        <f t="shared" ref="N370:P370" si="205">+SUM(N100:N171)</f>
        <v>-21323397000</v>
      </c>
      <c r="O370" s="427">
        <f t="shared" si="205"/>
        <v>-349362577208.45007</v>
      </c>
      <c r="P370" s="427">
        <f t="shared" si="205"/>
        <v>-1.551373188476713</v>
      </c>
      <c r="Q370" s="302">
        <f>IF(B370="","",M370/H370)</f>
        <v>-2.1117665895999334E-2</v>
      </c>
      <c r="R370" s="440"/>
      <c r="S370" s="430"/>
      <c r="T370" s="430"/>
      <c r="U370" s="430"/>
      <c r="V370" s="430"/>
      <c r="W370" s="430"/>
      <c r="X370" s="430"/>
      <c r="AG370" s="437">
        <v>2021</v>
      </c>
      <c r="AH370" s="441" t="e" cm="1">
        <f t="array" ref="AH370">CORREL(INDEX(_xlfn._xlws.FILTER(AB22:AC28,AB22:AB28&lt;0),,1),INDEX(_xlfn._xlws.FILTER(AB22:AC28,AB22:AB28&lt;0),,2))</f>
        <v>#VALUE!</v>
      </c>
    </row>
    <row r="371" spans="2:35">
      <c r="B371" s="425"/>
      <c r="C371" s="425"/>
      <c r="D371" s="425"/>
      <c r="E371" s="425"/>
      <c r="F371" s="425"/>
      <c r="G371" s="439"/>
      <c r="H371" s="427"/>
      <c r="I371" s="427"/>
      <c r="J371" s="427"/>
      <c r="K371" s="427"/>
      <c r="L371" s="427"/>
      <c r="M371" s="427"/>
      <c r="N371" s="427"/>
      <c r="O371" s="427"/>
      <c r="P371" s="427"/>
      <c r="Q371" s="427"/>
      <c r="R371" s="439"/>
      <c r="S371" s="440"/>
      <c r="T371" s="440"/>
      <c r="U371" s="439"/>
      <c r="V371" s="439"/>
      <c r="W371" s="439"/>
      <c r="X371" s="302">
        <f>IF(B370="","",(I370+J370+L370+N370)/H370)</f>
        <v>-2.2490368916801961E-2</v>
      </c>
      <c r="AG371" s="437">
        <v>2022</v>
      </c>
      <c r="AH371" s="441" t="e" cm="1">
        <f t="array" ref="AH371">CORREL(INDEX(_xlfn._xlws.FILTER(AB29:AC99,AB29:AB99&lt;0),,1),INDEX(_xlfn._xlws.FILTER(AB29:AC99,AB29:AB99&lt;0),,2))</f>
        <v>#VALUE!</v>
      </c>
      <c r="AI371" s="193" t="s">
        <v>148</v>
      </c>
    </row>
    <row r="372" spans="2:35">
      <c r="B372" s="425"/>
      <c r="C372" s="425"/>
      <c r="D372" s="425"/>
      <c r="E372" s="425"/>
      <c r="F372" s="425"/>
      <c r="G372" s="439"/>
      <c r="H372" s="427"/>
      <c r="I372" s="427"/>
      <c r="J372" s="427"/>
      <c r="K372" s="427"/>
      <c r="L372" s="427"/>
      <c r="M372" s="427"/>
      <c r="N372" s="427"/>
      <c r="O372" s="427"/>
      <c r="P372" s="427"/>
      <c r="Q372" s="427"/>
      <c r="R372" s="439"/>
      <c r="S372" s="439"/>
      <c r="T372" s="439"/>
      <c r="U372" s="439"/>
      <c r="V372" s="439"/>
      <c r="W372" s="439"/>
      <c r="X372" s="439"/>
      <c r="AG372" s="437">
        <v>2023</v>
      </c>
      <c r="AH372" s="438" t="e" cm="1">
        <f t="array" ref="AH372">CORREL(INDEX(_xlfn._xlws.FILTER(AB100:AC113,AB100:AB113&lt;0),,1),INDEX(_xlfn._xlws.FILTER(AB100:AC113,AB100:AB113&lt;0),,2))</f>
        <v>#VALUE!</v>
      </c>
      <c r="AI372" s="193" t="s">
        <v>149</v>
      </c>
    </row>
    <row r="373" spans="2:35">
      <c r="B373" s="425"/>
      <c r="C373" s="425"/>
      <c r="D373" s="425"/>
      <c r="E373" s="425"/>
      <c r="F373" s="425"/>
      <c r="G373" s="439"/>
      <c r="H373" s="427"/>
      <c r="I373" s="427"/>
      <c r="J373" s="427"/>
      <c r="K373" s="427"/>
      <c r="L373" s="427"/>
      <c r="M373" s="427"/>
      <c r="N373" s="427"/>
      <c r="O373" s="427"/>
      <c r="P373" s="427"/>
      <c r="Q373" s="427"/>
      <c r="R373" s="439"/>
      <c r="S373" s="439"/>
      <c r="T373" s="439"/>
      <c r="U373" s="439"/>
      <c r="V373" s="439"/>
      <c r="W373" s="439"/>
      <c r="X373" s="439"/>
      <c r="AG373" s="442" t="s">
        <v>38</v>
      </c>
      <c r="AH373" s="442">
        <v>365</v>
      </c>
    </row>
    <row r="374" spans="2:35">
      <c r="B374" s="425"/>
      <c r="C374" s="425"/>
      <c r="D374" s="425"/>
      <c r="E374" s="425"/>
      <c r="F374" s="425"/>
      <c r="G374" s="439"/>
      <c r="H374" s="427"/>
      <c r="I374" s="427"/>
      <c r="J374" s="427"/>
      <c r="K374" s="427"/>
      <c r="L374" s="427"/>
      <c r="M374" s="427"/>
      <c r="N374" s="427"/>
      <c r="O374" s="427"/>
      <c r="P374" s="427"/>
      <c r="Q374" s="427"/>
      <c r="R374" s="439"/>
      <c r="S374" s="439"/>
      <c r="T374" s="439"/>
      <c r="U374" s="439"/>
      <c r="V374" s="439"/>
      <c r="W374" s="439"/>
      <c r="X374" s="439"/>
    </row>
    <row r="375" spans="2:35">
      <c r="B375" s="425"/>
      <c r="C375" s="425"/>
      <c r="D375" s="425"/>
      <c r="E375" s="425"/>
      <c r="F375" s="425"/>
      <c r="G375" s="439"/>
      <c r="H375" s="427"/>
      <c r="I375" s="427"/>
      <c r="J375" s="427"/>
      <c r="K375" s="427"/>
      <c r="L375" s="427"/>
      <c r="M375" s="427"/>
      <c r="N375" s="427"/>
      <c r="O375" s="427"/>
      <c r="P375" s="427"/>
      <c r="Q375" s="427"/>
      <c r="R375" s="439"/>
      <c r="S375" s="439"/>
      <c r="T375" s="439"/>
      <c r="U375" s="439"/>
      <c r="V375" s="439"/>
      <c r="W375" s="439"/>
      <c r="X375" s="439"/>
    </row>
    <row r="376" spans="2:35">
      <c r="B376" s="425"/>
      <c r="C376" s="425"/>
      <c r="D376" s="425"/>
      <c r="E376" s="425"/>
      <c r="F376" s="425"/>
      <c r="G376" s="439"/>
      <c r="H376" s="427"/>
      <c r="I376" s="427"/>
      <c r="J376" s="427"/>
      <c r="K376" s="427"/>
      <c r="L376" s="427"/>
      <c r="M376" s="427"/>
      <c r="N376" s="427"/>
      <c r="O376" s="427"/>
      <c r="P376" s="427"/>
      <c r="Q376" s="427"/>
      <c r="R376" s="439"/>
      <c r="S376" s="439"/>
      <c r="T376" s="439"/>
      <c r="U376" s="439"/>
      <c r="V376" s="439"/>
      <c r="W376" s="439"/>
      <c r="X376" s="439"/>
    </row>
    <row r="377" spans="2:35">
      <c r="B377" s="425"/>
      <c r="C377" s="425"/>
      <c r="D377" s="425"/>
      <c r="E377" s="425"/>
      <c r="F377" s="425"/>
      <c r="G377" s="439"/>
      <c r="H377" s="427"/>
      <c r="I377" s="427"/>
      <c r="J377" s="427"/>
      <c r="K377" s="427"/>
      <c r="L377" s="427"/>
      <c r="M377" s="427"/>
      <c r="N377" s="427"/>
      <c r="O377" s="427"/>
      <c r="P377" s="427"/>
      <c r="Q377" s="427"/>
      <c r="R377" s="439"/>
      <c r="S377" s="439"/>
      <c r="T377" s="439"/>
      <c r="U377" s="439"/>
      <c r="V377" s="439"/>
      <c r="W377" s="439"/>
      <c r="X377" s="439"/>
    </row>
    <row r="378" spans="2:35">
      <c r="B378" s="425"/>
      <c r="C378" s="425"/>
      <c r="D378" s="425"/>
      <c r="E378" s="425"/>
      <c r="F378" s="425"/>
      <c r="G378" s="439"/>
      <c r="H378" s="427"/>
      <c r="I378" s="427"/>
      <c r="J378" s="427"/>
      <c r="K378" s="427"/>
      <c r="L378" s="427"/>
      <c r="M378" s="427"/>
      <c r="N378" s="427"/>
      <c r="O378" s="427"/>
      <c r="P378" s="427"/>
      <c r="Q378" s="427"/>
      <c r="R378" s="439"/>
      <c r="S378" s="439"/>
      <c r="T378" s="439"/>
      <c r="U378" s="439"/>
      <c r="V378" s="439"/>
      <c r="W378" s="439"/>
      <c r="X378" s="439"/>
    </row>
    <row r="379" spans="2:35">
      <c r="B379" s="439"/>
      <c r="C379" s="439"/>
      <c r="D379" s="439"/>
      <c r="E379" s="439"/>
      <c r="F379" s="439"/>
      <c r="G379" s="439"/>
      <c r="H379" s="427"/>
      <c r="I379" s="427"/>
      <c r="J379" s="427"/>
      <c r="K379" s="427"/>
      <c r="L379" s="427"/>
      <c r="M379" s="427"/>
      <c r="N379" s="427"/>
      <c r="O379" s="427"/>
      <c r="P379" s="427"/>
      <c r="Q379" s="427"/>
      <c r="R379" s="439"/>
      <c r="S379" s="439"/>
      <c r="T379" s="439"/>
      <c r="U379" s="439"/>
      <c r="V379" s="439"/>
      <c r="W379" s="439"/>
      <c r="X379" s="439"/>
    </row>
    <row r="380" spans="2:35">
      <c r="B380" s="439"/>
      <c r="C380" s="439"/>
      <c r="D380" s="439"/>
      <c r="E380" s="439"/>
      <c r="F380" s="439"/>
      <c r="G380" s="439"/>
      <c r="H380" s="427"/>
      <c r="I380" s="427"/>
      <c r="J380" s="427"/>
      <c r="K380" s="427"/>
      <c r="L380" s="427"/>
      <c r="M380" s="427"/>
      <c r="N380" s="427"/>
      <c r="O380" s="427"/>
      <c r="P380" s="427"/>
      <c r="Q380" s="427"/>
      <c r="R380" s="439"/>
      <c r="S380" s="439"/>
      <c r="T380" s="439"/>
      <c r="U380" s="439"/>
      <c r="V380" s="439"/>
      <c r="W380" s="439"/>
      <c r="X380" s="439"/>
    </row>
    <row r="381" spans="2:35">
      <c r="S381" s="439"/>
      <c r="T381" s="439"/>
      <c r="U381" s="439"/>
      <c r="V381" s="439"/>
      <c r="W381" s="439"/>
      <c r="X381" s="439"/>
    </row>
    <row r="382" spans="2:35">
      <c r="Q382" s="306">
        <v>4.548286248444567E-2</v>
      </c>
    </row>
    <row r="383" spans="2:35">
      <c r="B383" s="443"/>
      <c r="Q383" s="306">
        <v>-3.6347573407013778E-2</v>
      </c>
    </row>
    <row r="384" spans="2:35">
      <c r="Q384" s="306">
        <v>7.4867798132015662E-2</v>
      </c>
    </row>
    <row r="385" spans="17:17">
      <c r="Q385" s="306">
        <v>-1.8230733402144834E-2</v>
      </c>
    </row>
    <row r="386" spans="17:17">
      <c r="Q386" s="306">
        <v>-4.135215046544234E-3</v>
      </c>
    </row>
    <row r="387" spans="17:17">
      <c r="Q387" s="306">
        <v>-1.6407826112865219E-4</v>
      </c>
    </row>
    <row r="388" spans="17:17">
      <c r="Q388" s="306">
        <v>1.2205179842050842E-2</v>
      </c>
    </row>
    <row r="389" spans="17:17">
      <c r="Q389" s="306">
        <v>6.902052384326994E-2</v>
      </c>
    </row>
    <row r="390" spans="17:17">
      <c r="Q390" s="306">
        <v>-2.7385308570351728E-2</v>
      </c>
    </row>
    <row r="391" spans="17:17">
      <c r="Q391" s="306">
        <v>6.9749552230959591E-2</v>
      </c>
    </row>
    <row r="392" spans="17:17">
      <c r="Q392" s="306">
        <v>4.143766021217727E-2</v>
      </c>
    </row>
    <row r="393" spans="17:17">
      <c r="Q393" s="306">
        <v>2.2167009417327934E-2</v>
      </c>
    </row>
    <row r="394" spans="17:17">
      <c r="Q394" s="306">
        <v>3.368768759997149E-2</v>
      </c>
    </row>
    <row r="395" spans="17:17">
      <c r="Q395" s="306">
        <v>3.7534341323955361E-2</v>
      </c>
    </row>
    <row r="396" spans="17:17">
      <c r="Q396" s="306">
        <v>3.0368173972600686E-2</v>
      </c>
    </row>
    <row r="397" spans="17:17">
      <c r="Q397" s="306">
        <v>7.2652294526941456E-4</v>
      </c>
    </row>
    <row r="398" spans="17:17">
      <c r="Q398" s="306">
        <v>2.5106362086586349E-2</v>
      </c>
    </row>
    <row r="399" spans="17:17">
      <c r="Q399" s="306">
        <v>-5.0878087636694756E-4</v>
      </c>
    </row>
    <row r="400" spans="17:17">
      <c r="Q400" s="306">
        <v>5.7496580460751442E-2</v>
      </c>
    </row>
    <row r="401" spans="17:17">
      <c r="Q401" s="306">
        <v>4.2931896800160026E-2</v>
      </c>
    </row>
    <row r="402" spans="17:17">
      <c r="Q402" s="306">
        <v>4.3344885739840008E-2</v>
      </c>
    </row>
    <row r="403" spans="17:17">
      <c r="Q403" s="306">
        <v>4.4258495227870818E-3</v>
      </c>
    </row>
    <row r="404" spans="17:17">
      <c r="Q404" s="306">
        <v>2.5365988114978877E-3</v>
      </c>
    </row>
    <row r="405" spans="17:17">
      <c r="Q405" s="306">
        <v>6.3649997359851135E-2</v>
      </c>
    </row>
    <row r="406" spans="17:17">
      <c r="Q406" s="306">
        <v>5.676400736527612E-2</v>
      </c>
    </row>
    <row r="407" spans="17:17">
      <c r="Q407" s="306">
        <v>5.8170249531317109E-2</v>
      </c>
    </row>
  </sheetData>
  <autoFilter ref="A5:AV363" xr:uid="{48A94AFC-FD22-47FC-B1C3-B888F866BC8A}"/>
  <mergeCells count="1">
    <mergeCell ref="U2:X2"/>
  </mergeCells>
  <conditionalFormatting sqref="Q6:Q362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63:Q36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7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00:AO361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:AV185">
    <cfRule type="cellIs" dxfId="19" priority="2" operator="equal">
      <formula>"ALERTA"</formula>
    </cfRule>
    <cfRule type="cellIs" dxfId="18" priority="3" operator="equal">
      <formula>"CORRECTO"</formula>
    </cfRule>
  </conditionalFormatting>
  <hyperlinks>
    <hyperlink ref="B9" location="'Canjes desagregado (19 ope.)'!A2" display="'Canjes desagregado (19 ope.)'!A2" xr:uid="{A43C3948-F642-4FDB-B126-CECAC411A822}"/>
    <hyperlink ref="B10" location="'Canjes desagregado (19 ope.)'!A12" display="'Canjes desagregado (19 ope.)'!A12" xr:uid="{45E5C8C0-7DA5-4431-8AAF-D3D94FAE5881}"/>
    <hyperlink ref="B11" location="'Costo Historico (23 ope.)'!A20" display="'Costo Historico (23 ope.)'!A20" xr:uid="{5BCFD998-BD1D-4408-AEB5-B0BAE8F99915}"/>
    <hyperlink ref="B12" location="'Costo Historico (23 ope.)'!A23" display="'Costo Historico (23 ope.)'!A23" xr:uid="{87268F4A-0E4C-401C-A364-3C53A7E511F0}"/>
    <hyperlink ref="B13" location="'Costo Historico (23 ope.)'!A28" display="'Costo Historico (23 ope.)'!A28" xr:uid="{75EAB9D7-9FE1-47B3-A955-C15C81FE0AB0}"/>
    <hyperlink ref="B14" location="'Costo Historico (23 ope.)'!A32" display="'Costo Historico (23 ope.)'!A32" xr:uid="{0F8D2F96-4717-4B10-B7A4-5494FFBF8D23}"/>
    <hyperlink ref="B15" location="'Costo Historico (23 ope.)'!A38" display="'Costo Historico (23 ope.)'!A38" xr:uid="{913A6DE0-A018-44B8-98D2-0125ABFD59C8}"/>
    <hyperlink ref="B16" location="'Costo Historico (23 ope.)'!A41" display="'Costo Historico (23 ope.)'!A41" xr:uid="{743AFD2B-6ACE-4C56-9FC0-395C79ECBA16}"/>
    <hyperlink ref="B17" location="'Costo Historico (23 ope.)'!A46" display="'Costo Historico (23 ope.)'!A46" xr:uid="{429BEA66-9046-452A-8FBE-15FA2B641651}"/>
    <hyperlink ref="B18" location="'Costo Historico (23 ope.)'!A50" display="'Costo Historico (23 ope.)'!A50" xr:uid="{4BB42BDB-310D-4134-BAE2-430B29FAE05A}"/>
    <hyperlink ref="B19" location="'Costo Historico (23 ope.)'!A54" display="'Costo Historico (23 ope.)'!A54" xr:uid="{9792063D-A73B-4AC4-8665-DC9C16BEEC10}"/>
    <hyperlink ref="B20" location="'Costo Historico (23 ope.)'!A58" display="'Costo Historico (23 ope.)'!A58" xr:uid="{1736123E-5540-4554-B427-A81A0653A6DC}"/>
    <hyperlink ref="B21" location="'Costo Historico (23 ope.)'!A66" display="'Costo Historico (23 ope.)'!A66" xr:uid="{4CFA880B-67FE-412F-BD4A-50D01D50DC89}"/>
    <hyperlink ref="B22" location="'Costo Historico (23 ope.)'!A68" display="'Costo Historico (23 ope.)'!A68" xr:uid="{2466EF62-7C59-481A-B96D-A82F2831D76F}"/>
    <hyperlink ref="B23" location="'Costo Historico (23 ope.)'!A76" display="'Costo Historico (23 ope.)'!A76" xr:uid="{50CE83A1-C5FB-4DA4-9424-E0256B37D722}"/>
    <hyperlink ref="B24" location="'Costo Historico (23 ope.)'!A78" display="'Costo Historico (23 ope.)'!A78" xr:uid="{BD26E9D6-6A3B-4373-9935-AE55E0C32310}"/>
    <hyperlink ref="B25" location="'Costo Historico (23 ope.)'!A85" display="'Costo Historico (23 ope.)'!A85" xr:uid="{0376A471-284B-4FB3-A38B-077F0D144F62}"/>
    <hyperlink ref="B26" location="'Costo Historico (23 ope.)'!A93" display="'Costo Historico (23 ope.)'!A93" xr:uid="{9F94BC9B-78C7-42FC-8351-979B2B87059D}"/>
    <hyperlink ref="B27" location="'Costo Historico (23 ope.)'!A100" display="'Costo Historico (23 ope.)'!A100" xr:uid="{D49B8383-23B4-40E8-BAB0-03AA2086F018}"/>
  </hyperlink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C525-00CC-4B0C-B596-BF5EA7B83225}">
  <sheetPr codeName="Hoja4">
    <tabColor rgb="FFFF0000"/>
  </sheetPr>
  <dimension ref="A2:AA157"/>
  <sheetViews>
    <sheetView workbookViewId="0"/>
  </sheetViews>
  <sheetFormatPr baseColWidth="10" defaultColWidth="11.42578125" defaultRowHeight="15"/>
  <cols>
    <col min="1" max="1" width="13.42578125" style="5" customWidth="1"/>
    <col min="2" max="2" width="17.7109375" style="5" customWidth="1"/>
    <col min="3" max="3" width="13.5703125" style="5" customWidth="1"/>
    <col min="4" max="4" width="34.42578125" style="5" customWidth="1"/>
    <col min="5" max="5" width="12.28515625" style="5" bestFit="1" customWidth="1"/>
    <col min="6" max="6" width="32.28515625" style="6" customWidth="1"/>
    <col min="7" max="7" width="38.42578125" style="6" bestFit="1" customWidth="1"/>
    <col min="8" max="8" width="42" style="6" bestFit="1" customWidth="1"/>
    <col min="9" max="9" width="31.42578125" style="6" customWidth="1"/>
    <col min="10" max="10" width="36.7109375" style="6" bestFit="1" customWidth="1"/>
    <col min="11" max="11" width="23.5703125" style="6" customWidth="1"/>
    <col min="12" max="12" width="44.28515625" style="6" bestFit="1" customWidth="1"/>
    <col min="13" max="13" width="32.7109375" style="6" customWidth="1"/>
    <col min="14" max="15" width="23.5703125" style="6" customWidth="1"/>
    <col min="16" max="16" width="16" style="5" bestFit="1" customWidth="1"/>
    <col min="17" max="17" width="16" style="5" customWidth="1"/>
    <col min="18" max="18" width="27.5703125" style="5" bestFit="1" customWidth="1"/>
    <col min="19" max="19" width="27.5703125" style="5" customWidth="1"/>
    <col min="20" max="20" width="60.28515625" style="5" bestFit="1" customWidth="1"/>
    <col min="21" max="21" width="55" style="5" bestFit="1" customWidth="1"/>
    <col min="22" max="22" width="51.28515625" style="5" customWidth="1"/>
    <col min="23" max="23" width="55" style="5" bestFit="1" customWidth="1"/>
    <col min="24" max="24" width="18.7109375" style="5" bestFit="1" customWidth="1"/>
    <col min="25" max="25" width="19.28515625" style="6" bestFit="1" customWidth="1"/>
    <col min="26" max="26" width="18.7109375" style="6" bestFit="1" customWidth="1"/>
    <col min="27" max="27" width="19.28515625" style="5" bestFit="1" customWidth="1"/>
    <col min="28" max="16384" width="11.42578125" style="5"/>
  </cols>
  <sheetData>
    <row r="2" spans="1:27" ht="18.75">
      <c r="B2" s="74" t="s">
        <v>8</v>
      </c>
      <c r="C2" s="72"/>
      <c r="U2" s="4" t="s">
        <v>9</v>
      </c>
    </row>
    <row r="3" spans="1:27" ht="18.75">
      <c r="B3" s="74" t="s">
        <v>10</v>
      </c>
      <c r="C3" s="73"/>
    </row>
    <row r="4" spans="1:27">
      <c r="O4" s="38"/>
      <c r="U4" s="65" t="s">
        <v>11</v>
      </c>
      <c r="V4" s="65" t="s">
        <v>12</v>
      </c>
      <c r="X4" s="512" t="s">
        <v>150</v>
      </c>
      <c r="Y4" s="512"/>
      <c r="Z4" s="512" t="s">
        <v>151</v>
      </c>
      <c r="AA4" s="512"/>
    </row>
    <row r="5" spans="1:27">
      <c r="A5" s="1" t="s">
        <v>14</v>
      </c>
      <c r="B5" s="1" t="s">
        <v>15</v>
      </c>
      <c r="C5" s="1" t="s">
        <v>16</v>
      </c>
      <c r="D5" s="1" t="s">
        <v>17</v>
      </c>
      <c r="E5" s="2" t="s">
        <v>18</v>
      </c>
      <c r="F5" s="88" t="s">
        <v>19</v>
      </c>
      <c r="G5" s="36" t="s">
        <v>20</v>
      </c>
      <c r="H5" s="36" t="s">
        <v>152</v>
      </c>
      <c r="I5" s="3" t="s">
        <v>22</v>
      </c>
      <c r="J5" s="36" t="s">
        <v>23</v>
      </c>
      <c r="K5" s="3" t="s">
        <v>24</v>
      </c>
      <c r="L5" s="36" t="s">
        <v>25</v>
      </c>
      <c r="M5" s="3" t="s">
        <v>26</v>
      </c>
      <c r="N5" s="37" t="s">
        <v>27</v>
      </c>
      <c r="O5" s="4" t="s">
        <v>28</v>
      </c>
      <c r="P5" s="4" t="s">
        <v>29</v>
      </c>
      <c r="Q5" s="4" t="s">
        <v>30</v>
      </c>
      <c r="R5" s="4" t="s">
        <v>31</v>
      </c>
      <c r="S5" s="4" t="s">
        <v>153</v>
      </c>
      <c r="T5" s="4" t="s">
        <v>32</v>
      </c>
      <c r="U5" s="4" t="s">
        <v>33</v>
      </c>
      <c r="V5" s="4" t="s">
        <v>34</v>
      </c>
      <c r="W5" s="85" t="s">
        <v>35</v>
      </c>
      <c r="X5" s="5" t="s">
        <v>154</v>
      </c>
      <c r="Y5" s="6" t="s">
        <v>155</v>
      </c>
      <c r="Z5" s="5" t="s">
        <v>154</v>
      </c>
      <c r="AA5" s="6" t="s">
        <v>155</v>
      </c>
    </row>
    <row r="6" spans="1:27">
      <c r="A6" s="7">
        <v>1</v>
      </c>
      <c r="B6" s="7" t="s">
        <v>12</v>
      </c>
      <c r="C6" s="68" t="s">
        <v>40</v>
      </c>
      <c r="D6" s="39" t="e">
        <f>VLOOKUP(A6,'Canjes desagregado'!#REF!,6,FALSE)</f>
        <v>#REF!</v>
      </c>
      <c r="E6" s="8">
        <v>40806</v>
      </c>
      <c r="F6" s="15" t="e">
        <f>-SUMIFS('Canjes desagregado'!#REF!,'Canjes desagregado'!#REF!,'Nuevo metod Cupón 2.0'!A6,'Canjes desagregado'!#REF!,"Títulos Recogidos por la Nación")</f>
        <v>#REF!</v>
      </c>
      <c r="G6" s="9" t="e">
        <f>-SUMIFS('Canjes desagregado'!#REF!,'Canjes desagregado'!#REF!,'Nuevo metod Cupón 2.0'!A6)</f>
        <v>#REF!</v>
      </c>
      <c r="H6" s="9" t="e">
        <f>SUMIFS('Canjes desagregado'!#REF!,'Canjes desagregado'!#REF!,'Nuevo metod Cupón 2.0'!A6)</f>
        <v>#REF!</v>
      </c>
      <c r="I6" s="10" t="e">
        <f>+G6+H6</f>
        <v>#REF!</v>
      </c>
      <c r="J6" s="10" t="e">
        <f>SUMIFS('Canjes desagregado'!#REF!,'Canjes desagregado'!#REF!,'Nuevo metod Cupón 2.0'!A6)</f>
        <v>#REF!</v>
      </c>
      <c r="K6" s="10" t="e">
        <f>I6+J6</f>
        <v>#REF!</v>
      </c>
      <c r="L6" s="10" t="e">
        <f>SUMIFS('Canjes desagregado'!#REF!,'Canjes desagregado'!#REF!,A6)</f>
        <v>#REF!</v>
      </c>
      <c r="M6" s="10" t="e">
        <f>L6+K6</f>
        <v>#REF!</v>
      </c>
      <c r="N6" s="11" t="e">
        <f>+I6/F6</f>
        <v>#REF!</v>
      </c>
      <c r="O6" s="11" t="e">
        <f>K6/F6</f>
        <v>#REF!</v>
      </c>
      <c r="P6" s="11"/>
      <c r="Q6" s="11"/>
      <c r="R6" s="11"/>
      <c r="S6" s="17" t="e">
        <f>VLOOKUP(A6,'[4]Canjes por canasta'!A$3:S$84,15,FALSE)</f>
        <v>#N/A</v>
      </c>
      <c r="T6" s="41" t="e">
        <f>G6+H6+J6+L6</f>
        <v>#REF!</v>
      </c>
      <c r="U6" s="41" t="str">
        <f>IF(B6="Tesorería",T6,"")</f>
        <v/>
      </c>
      <c r="V6" s="41" t="e">
        <f>IF(B6="Tesorería","",T6)</f>
        <v>#REF!</v>
      </c>
      <c r="W6" s="42" t="e">
        <f>(G6+H6+J6+L6)/F6</f>
        <v>#REF!</v>
      </c>
      <c r="X6" s="12" t="e">
        <f>SUMIFS('Canjes desagregado'!#REF!,'Canjes desagregado'!#REF!,'Nuevo metod Cupón 2.0'!A6)</f>
        <v>#REF!</v>
      </c>
      <c r="Y6" s="12" t="e">
        <f>SUMIFS('Canjes desagregado'!#REF!,'Canjes desagregado'!#REF!,'Nuevo metod Cupón 2.0'!A6)</f>
        <v>#REF!</v>
      </c>
      <c r="Z6" s="12" t="e">
        <f>SUMIFS('Canjes desagregado'!#REF!,'Canjes desagregado'!#REF!,'Nuevo metod Cupón 2.0'!A6)</f>
        <v>#REF!</v>
      </c>
      <c r="AA6" s="12" t="e">
        <f>SUMIFS('Canjes desagregado'!#REF!,'Canjes desagregado'!#REF!,'Nuevo metod Cupón 2.0'!A6)</f>
        <v>#REF!</v>
      </c>
    </row>
    <row r="7" spans="1:27">
      <c r="A7" s="7">
        <v>2</v>
      </c>
      <c r="B7" s="7" t="s">
        <v>12</v>
      </c>
      <c r="C7" s="68" t="s">
        <v>41</v>
      </c>
      <c r="D7" s="39" t="e">
        <f>VLOOKUP(A7,'Canjes desagregado'!#REF!,6,FALSE)</f>
        <v>#REF!</v>
      </c>
      <c r="E7" s="8">
        <v>41914</v>
      </c>
      <c r="F7" s="15" t="e">
        <f>-SUMIFS('Canjes desagregado'!#REF!,'Canjes desagregado'!#REF!,'Nuevo metod Cupón 2.0'!A7,'Canjes desagregado'!#REF!,"Títulos Recogidos por la Nación")</f>
        <v>#REF!</v>
      </c>
      <c r="G7" s="9" t="e">
        <f>-SUMIFS('Canjes desagregado'!#REF!,'Canjes desagregado'!#REF!,'Nuevo metod Cupón 2.0'!A7)</f>
        <v>#REF!</v>
      </c>
      <c r="H7" s="9" t="e">
        <f>SUMIFS('Canjes desagregado'!#REF!,'Canjes desagregado'!#REF!,'Nuevo metod Cupón 2.0'!A7)</f>
        <v>#REF!</v>
      </c>
      <c r="I7" s="10" t="e">
        <f t="shared" ref="I7:I27" si="0">+G7+H7</f>
        <v>#REF!</v>
      </c>
      <c r="J7" s="10" t="e">
        <f>SUMIFS('Canjes desagregado'!#REF!,'Canjes desagregado'!#REF!,'Nuevo metod Cupón 2.0'!A7)</f>
        <v>#REF!</v>
      </c>
      <c r="K7" s="10" t="e">
        <f>I7+J7</f>
        <v>#REF!</v>
      </c>
      <c r="L7" s="10" t="e">
        <f>SUMIFS('Canjes desagregado'!#REF!,'Canjes desagregado'!#REF!,A7)</f>
        <v>#REF!</v>
      </c>
      <c r="M7" s="10" t="e">
        <f>L7+K7</f>
        <v>#REF!</v>
      </c>
      <c r="N7" s="11" t="e">
        <f>+I7/F7</f>
        <v>#REF!</v>
      </c>
      <c r="O7" s="11" t="e">
        <f>K7/F7</f>
        <v>#REF!</v>
      </c>
      <c r="P7" s="11"/>
      <c r="Q7" s="11"/>
      <c r="R7" s="11"/>
      <c r="S7" s="17" t="e">
        <f>VLOOKUP(A7,'[4]Canjes por canasta'!A$3:S$84,15,FALSE)</f>
        <v>#N/A</v>
      </c>
      <c r="T7" s="41" t="e">
        <f t="shared" ref="T7:T70" si="1">G7+H7+J7+L7</f>
        <v>#REF!</v>
      </c>
      <c r="U7" s="41" t="str">
        <f t="shared" ref="U7:U70" si="2">IF(B7="Tesorería",T7,"")</f>
        <v/>
      </c>
      <c r="V7" s="41" t="e">
        <f t="shared" ref="V7:V70" si="3">IF(B7="Tesorería","",T7)</f>
        <v>#REF!</v>
      </c>
      <c r="W7" s="42" t="e">
        <f t="shared" ref="W7:W70" si="4">(G7+H7+J7+L7)/F7</f>
        <v>#REF!</v>
      </c>
      <c r="X7" s="12" t="e">
        <f>SUMIFS('Canjes desagregado'!#REF!,'Canjes desagregado'!#REF!,'Nuevo metod Cupón 2.0'!A7)</f>
        <v>#REF!</v>
      </c>
      <c r="Y7" s="12" t="e">
        <f>SUMIFS('Canjes desagregado'!#REF!,'Canjes desagregado'!#REF!,'Nuevo metod Cupón 2.0'!A7)</f>
        <v>#REF!</v>
      </c>
      <c r="Z7" s="12" t="e">
        <f>SUMIFS('Canjes desagregado'!#REF!,'Canjes desagregado'!#REF!,'Nuevo metod Cupón 2.0'!A7)</f>
        <v>#REF!</v>
      </c>
      <c r="AA7" s="12" t="e">
        <f>SUMIFS('Canjes desagregado'!#REF!,'Canjes desagregado'!#REF!,'Nuevo metod Cupón 2.0'!A7)</f>
        <v>#REF!</v>
      </c>
    </row>
    <row r="8" spans="1:27">
      <c r="A8" s="7">
        <v>3</v>
      </c>
      <c r="B8" s="7" t="s">
        <v>42</v>
      </c>
      <c r="C8" s="68" t="s">
        <v>43</v>
      </c>
      <c r="D8" s="39" t="e">
        <f>VLOOKUP(A8,'Canjes desagregado'!#REF!,6,FALSE)</f>
        <v>#REF!</v>
      </c>
      <c r="E8" s="8">
        <v>42507</v>
      </c>
      <c r="F8" s="15" t="e">
        <f>-SUMIFS('Canjes desagregado'!#REF!,'Canjes desagregado'!#REF!,'Nuevo metod Cupón 2.0'!A8,'Canjes desagregado'!#REF!,"Títulos Recogidos por la Nación")</f>
        <v>#REF!</v>
      </c>
      <c r="G8" s="9" t="e">
        <f>-SUMIFS('Canjes desagregado'!#REF!,'Canjes desagregado'!#REF!,'Nuevo metod Cupón 2.0'!A8)</f>
        <v>#REF!</v>
      </c>
      <c r="H8" s="9" t="e">
        <f>SUMIFS('Canjes desagregado'!#REF!,'Canjes desagregado'!#REF!,'Nuevo metod Cupón 2.0'!A8)</f>
        <v>#REF!</v>
      </c>
      <c r="I8" s="10" t="e">
        <f>+G8+H8</f>
        <v>#REF!</v>
      </c>
      <c r="J8" s="10" t="e">
        <f>SUMIFS('Canjes desagregado'!#REF!,'Canjes desagregado'!#REF!,'Nuevo metod Cupón 2.0'!A8)</f>
        <v>#REF!</v>
      </c>
      <c r="K8" s="10" t="e">
        <f>I8+J8</f>
        <v>#REF!</v>
      </c>
      <c r="L8" s="10" t="e">
        <f>SUMIFS('Canjes desagregado'!#REF!,'Canjes desagregado'!#REF!,A8)</f>
        <v>#REF!</v>
      </c>
      <c r="M8" s="10" t="e">
        <f>L8+K8</f>
        <v>#REF!</v>
      </c>
      <c r="N8" s="11" t="e">
        <f>+I8/F8</f>
        <v>#REF!</v>
      </c>
      <c r="O8" s="11" t="e">
        <f>K8/F8</f>
        <v>#REF!</v>
      </c>
      <c r="P8" s="11"/>
      <c r="Q8" s="11"/>
      <c r="R8" s="11"/>
      <c r="S8" s="17" t="e">
        <f>VLOOKUP(A8,'[4]Canjes por canasta'!A$3:S$84,15,FALSE)</f>
        <v>#N/A</v>
      </c>
      <c r="T8" s="41" t="e">
        <f t="shared" si="1"/>
        <v>#REF!</v>
      </c>
      <c r="U8" s="41" t="e">
        <f t="shared" si="2"/>
        <v>#REF!</v>
      </c>
      <c r="V8" s="41" t="str">
        <f t="shared" si="3"/>
        <v/>
      </c>
      <c r="W8" s="42" t="e">
        <f t="shared" si="4"/>
        <v>#REF!</v>
      </c>
      <c r="X8" s="12" t="e">
        <f>SUMIFS('Canjes desagregado'!#REF!,'Canjes desagregado'!#REF!,'Nuevo metod Cupón 2.0'!A8)</f>
        <v>#REF!</v>
      </c>
      <c r="Y8" s="12" t="e">
        <f>SUMIFS('Canjes desagregado'!#REF!,'Canjes desagregado'!#REF!,'Nuevo metod Cupón 2.0'!A8)</f>
        <v>#REF!</v>
      </c>
      <c r="Z8" s="12" t="e">
        <f>SUMIFS('Canjes desagregado'!#REF!,'Canjes desagregado'!#REF!,'Nuevo metod Cupón 2.0'!A8)</f>
        <v>#REF!</v>
      </c>
      <c r="AA8" s="12" t="e">
        <f>SUMIFS('Canjes desagregado'!#REF!,'Canjes desagregado'!#REF!,'Nuevo metod Cupón 2.0'!A8)</f>
        <v>#REF!</v>
      </c>
    </row>
    <row r="9" spans="1:27" ht="15.75" thickBot="1">
      <c r="A9" s="29">
        <v>4</v>
      </c>
      <c r="B9" s="7" t="e">
        <f>VLOOKUP(E9,'Canjes desagregado'!#REF!,2,FALSE)</f>
        <v>#REF!</v>
      </c>
      <c r="C9" s="68" t="s">
        <v>44</v>
      </c>
      <c r="D9" s="39" t="e">
        <f>VLOOKUP(A9,'Canjes desagregado'!#REF!,6,FALSE)</f>
        <v>#REF!</v>
      </c>
      <c r="E9" s="8">
        <v>43377</v>
      </c>
      <c r="F9" s="15" t="e">
        <f>-SUMIFS('Canjes desagregado'!#REF!,'Canjes desagregado'!#REF!,'Nuevo metod Cupón 2.0'!A9,'Canjes desagregado'!#REF!,"Títulos Recogidos por la Nación")</f>
        <v>#REF!</v>
      </c>
      <c r="G9" s="9" t="e">
        <f>-SUMIFS('Canjes desagregado'!#REF!,'Canjes desagregado'!#REF!,'Nuevo metod Cupón 2.0'!A9)</f>
        <v>#REF!</v>
      </c>
      <c r="H9" s="9" t="e">
        <f>SUMIFS('Canjes desagregado'!#REF!,'Canjes desagregado'!#REF!,'Nuevo metod Cupón 2.0'!A9)</f>
        <v>#REF!</v>
      </c>
      <c r="I9" s="10" t="e">
        <f>+G9+H9</f>
        <v>#REF!</v>
      </c>
      <c r="J9" s="10" t="e">
        <f>SUMIFS('Canjes desagregado'!#REF!,'Canjes desagregado'!#REF!,'Nuevo metod Cupón 2.0'!A9)</f>
        <v>#REF!</v>
      </c>
      <c r="K9" s="35" t="e">
        <f>J9+H9+G9</f>
        <v>#REF!</v>
      </c>
      <c r="L9" s="10" t="e">
        <f>SUMIFS('Canjes desagregado'!#REF!,'Canjes desagregado'!#REF!,A9)</f>
        <v>#REF!</v>
      </c>
      <c r="M9" s="35" t="e">
        <f>L9+K9</f>
        <v>#REF!</v>
      </c>
      <c r="N9" s="11" t="e">
        <f t="shared" ref="N9:N51" si="5">+I9/F9</f>
        <v>#REF!</v>
      </c>
      <c r="O9" s="11" t="e">
        <f>K9/F9</f>
        <v>#REF!</v>
      </c>
      <c r="P9" s="11"/>
      <c r="Q9" s="11"/>
      <c r="R9" s="11"/>
      <c r="S9" s="17" t="e">
        <f>VLOOKUP(A9,'[4]Canjes por canasta'!A$3:S$84,15,FALSE)</f>
        <v>#N/A</v>
      </c>
      <c r="T9" s="41" t="e">
        <f t="shared" si="1"/>
        <v>#REF!</v>
      </c>
      <c r="U9" s="41" t="e">
        <f t="shared" si="2"/>
        <v>#REF!</v>
      </c>
      <c r="V9" s="41" t="e">
        <f t="shared" si="3"/>
        <v>#REF!</v>
      </c>
      <c r="W9" s="42" t="e">
        <f t="shared" si="4"/>
        <v>#REF!</v>
      </c>
      <c r="X9" s="12" t="e">
        <f>SUMIFS('Canjes desagregado'!#REF!,'Canjes desagregado'!#REF!,'Nuevo metod Cupón 2.0'!A9)</f>
        <v>#REF!</v>
      </c>
      <c r="Y9" s="12" t="e">
        <f>SUMIFS('Canjes desagregado'!#REF!,'Canjes desagregado'!#REF!,'Nuevo metod Cupón 2.0'!A9)</f>
        <v>#REF!</v>
      </c>
      <c r="Z9" s="12" t="e">
        <f>SUMIFS('Canjes desagregado'!#REF!,'Canjes desagregado'!#REF!,'Nuevo metod Cupón 2.0'!A9)</f>
        <v>#REF!</v>
      </c>
      <c r="AA9" s="12" t="e">
        <f>SUMIFS('Canjes desagregado'!#REF!,'Canjes desagregado'!#REF!,'Nuevo metod Cupón 2.0'!A9)</f>
        <v>#REF!</v>
      </c>
    </row>
    <row r="10" spans="1:27">
      <c r="A10" s="30">
        <v>5</v>
      </c>
      <c r="B10" s="31" t="s">
        <v>45</v>
      </c>
      <c r="C10" s="69" t="s">
        <v>156</v>
      </c>
      <c r="D10" s="39" t="e">
        <f>VLOOKUP(A10,'Canjes desagregado'!#REF!,6,FALSE)</f>
        <v>#REF!</v>
      </c>
      <c r="E10" s="32">
        <v>43543</v>
      </c>
      <c r="F10" s="15" t="e">
        <f>-SUMIFS('Canjes desagregado'!#REF!,'Canjes desagregado'!#REF!,'Nuevo metod Cupón 2.0'!A10,'Canjes desagregado'!#REF!,"Títulos Recogidos por la Nación")</f>
        <v>#REF!</v>
      </c>
      <c r="G10" s="9" t="e">
        <f>-SUMIFS('Canjes desagregado'!#REF!,'Canjes desagregado'!#REF!,'Nuevo metod Cupón 2.0'!A10)</f>
        <v>#REF!</v>
      </c>
      <c r="H10" s="9" t="e">
        <f>SUMIFS('Canjes desagregado'!#REF!,'Canjes desagregado'!#REF!,'Nuevo metod Cupón 2.0'!A10)</f>
        <v>#REF!</v>
      </c>
      <c r="I10" s="33" t="e">
        <f t="shared" si="0"/>
        <v>#REF!</v>
      </c>
      <c r="J10" s="10" t="e">
        <f>SUMIFS('Canjes desagregado'!#REF!,'Canjes desagregado'!#REF!,'Nuevo metod Cupón 2.0'!A10)</f>
        <v>#REF!</v>
      </c>
      <c r="K10" s="35" t="e">
        <f t="shared" ref="K10:K26" si="6">J10+H10+G10</f>
        <v>#REF!</v>
      </c>
      <c r="L10" s="10" t="e">
        <f>SUMIFS('Canjes desagregado'!#REF!,'Canjes desagregado'!#REF!,A10)</f>
        <v>#REF!</v>
      </c>
      <c r="M10" s="35" t="e">
        <f t="shared" ref="M10:M27" si="7">L10+K10</f>
        <v>#REF!</v>
      </c>
      <c r="N10" s="34" t="e">
        <f t="shared" si="5"/>
        <v>#REF!</v>
      </c>
      <c r="O10" s="11" t="e">
        <f t="shared" ref="O10:O26" si="8">K10/F10</f>
        <v>#REF!</v>
      </c>
      <c r="P10" s="34" t="e">
        <f>+F10/$F$114</f>
        <v>#REF!</v>
      </c>
      <c r="Q10" s="106"/>
      <c r="R10" s="106"/>
      <c r="S10" s="17" t="e">
        <f>VLOOKUP(A10,'[4]Canjes por canasta'!A$3:S$84,15,FALSE)</f>
        <v>#N/A</v>
      </c>
      <c r="T10" s="41" t="e">
        <f t="shared" si="1"/>
        <v>#REF!</v>
      </c>
      <c r="U10" s="41" t="str">
        <f t="shared" si="2"/>
        <v/>
      </c>
      <c r="V10" s="41" t="e">
        <f t="shared" si="3"/>
        <v>#REF!</v>
      </c>
      <c r="W10" s="42" t="e">
        <f t="shared" si="4"/>
        <v>#REF!</v>
      </c>
      <c r="X10" s="12" t="e">
        <f>SUMIFS('Canjes desagregado'!#REF!,'Canjes desagregado'!#REF!,'Nuevo metod Cupón 2.0'!A10)</f>
        <v>#REF!</v>
      </c>
      <c r="Y10" s="12" t="e">
        <f>SUMIFS('Canjes desagregado'!#REF!,'Canjes desagregado'!#REF!,'Nuevo metod Cupón 2.0'!A10)</f>
        <v>#REF!</v>
      </c>
      <c r="Z10" s="12" t="e">
        <f>SUMIFS('Canjes desagregado'!#REF!,'Canjes desagregado'!#REF!,'Nuevo metod Cupón 2.0'!A10)</f>
        <v>#REF!</v>
      </c>
      <c r="AA10" s="12" t="e">
        <f>SUMIFS('Canjes desagregado'!#REF!,'Canjes desagregado'!#REF!,'Nuevo metod Cupón 2.0'!A10)</f>
        <v>#REF!</v>
      </c>
    </row>
    <row r="11" spans="1:27">
      <c r="A11" s="29">
        <v>6</v>
      </c>
      <c r="B11" s="7" t="s">
        <v>12</v>
      </c>
      <c r="C11" s="68" t="s">
        <v>47</v>
      </c>
      <c r="D11" s="39" t="e">
        <f>VLOOKUP(A11,'Canjes desagregado'!#REF!,6,FALSE)</f>
        <v>#REF!</v>
      </c>
      <c r="E11" s="8">
        <v>43760</v>
      </c>
      <c r="F11" s="15" t="e">
        <f>-SUMIFS('Canjes desagregado'!#REF!,'Canjes desagregado'!#REF!,'Nuevo metod Cupón 2.0'!A11,'Canjes desagregado'!#REF!,"Títulos Recogidos por la Nación")</f>
        <v>#REF!</v>
      </c>
      <c r="G11" s="9" t="e">
        <f>-SUMIFS('Canjes desagregado'!#REF!,'Canjes desagregado'!#REF!,'Nuevo metod Cupón 2.0'!A11)</f>
        <v>#REF!</v>
      </c>
      <c r="H11" s="9" t="e">
        <f>SUMIFS('Canjes desagregado'!#REF!,'Canjes desagregado'!#REF!,'Nuevo metod Cupón 2.0'!A11)</f>
        <v>#REF!</v>
      </c>
      <c r="I11" s="10" t="e">
        <f>+G11+H11</f>
        <v>#REF!</v>
      </c>
      <c r="J11" s="10" t="e">
        <f>SUMIFS('Canjes desagregado'!#REF!,'Canjes desagregado'!#REF!,'Nuevo metod Cupón 2.0'!A11)</f>
        <v>#REF!</v>
      </c>
      <c r="K11" s="35" t="e">
        <f t="shared" si="6"/>
        <v>#REF!</v>
      </c>
      <c r="L11" s="10" t="e">
        <f>SUMIFS('Canjes desagregado'!#REF!,'Canjes desagregado'!#REF!,A11)</f>
        <v>#REF!</v>
      </c>
      <c r="M11" s="35" t="e">
        <f t="shared" si="7"/>
        <v>#REF!</v>
      </c>
      <c r="N11" s="11" t="e">
        <f t="shared" si="5"/>
        <v>#REF!</v>
      </c>
      <c r="O11" s="11" t="e">
        <f t="shared" si="8"/>
        <v>#REF!</v>
      </c>
      <c r="P11" s="11" t="e">
        <f t="shared" ref="P11:P62" si="9">+F11/$F$114</f>
        <v>#REF!</v>
      </c>
      <c r="Q11" s="11"/>
      <c r="R11" s="11"/>
      <c r="S11" s="17" t="e">
        <f>VLOOKUP(A11,'[4]Canjes por canasta'!A$3:S$84,15,FALSE)</f>
        <v>#N/A</v>
      </c>
      <c r="T11" s="41" t="e">
        <f t="shared" si="1"/>
        <v>#REF!</v>
      </c>
      <c r="U11" s="41" t="str">
        <f t="shared" si="2"/>
        <v/>
      </c>
      <c r="V11" s="41" t="e">
        <f t="shared" si="3"/>
        <v>#REF!</v>
      </c>
      <c r="W11" s="42" t="e">
        <f t="shared" si="4"/>
        <v>#REF!</v>
      </c>
      <c r="X11" s="12" t="e">
        <f>SUMIFS('Canjes desagregado'!#REF!,'Canjes desagregado'!#REF!,'Nuevo metod Cupón 2.0'!A11)</f>
        <v>#REF!</v>
      </c>
      <c r="Y11" s="12" t="e">
        <f>SUMIFS('Canjes desagregado'!#REF!,'Canjes desagregado'!#REF!,'Nuevo metod Cupón 2.0'!A11)</f>
        <v>#REF!</v>
      </c>
      <c r="Z11" s="12" t="e">
        <f>SUMIFS('Canjes desagregado'!#REF!,'Canjes desagregado'!#REF!,'Nuevo metod Cupón 2.0'!A11)</f>
        <v>#REF!</v>
      </c>
      <c r="AA11" s="12" t="e">
        <f>SUMIFS('Canjes desagregado'!#REF!,'Canjes desagregado'!#REF!,'Nuevo metod Cupón 2.0'!A11)</f>
        <v>#REF!</v>
      </c>
    </row>
    <row r="12" spans="1:27">
      <c r="A12" s="29">
        <v>7</v>
      </c>
      <c r="B12" s="7" t="e">
        <f>VLOOKUP(E12,'Canjes desagregado'!#REF!,2,FALSE)</f>
        <v>#REF!</v>
      </c>
      <c r="C12" s="68" t="s">
        <v>48</v>
      </c>
      <c r="D12" s="39" t="e">
        <f>VLOOKUP(A12,'Canjes desagregado'!#REF!,6,FALSE)</f>
        <v>#REF!</v>
      </c>
      <c r="E12" s="8">
        <v>43944</v>
      </c>
      <c r="F12" s="15" t="e">
        <f>-SUMIFS('Canjes desagregado'!#REF!,'Canjes desagregado'!#REF!,'Nuevo metod Cupón 2.0'!A12,'Canjes desagregado'!#REF!,"Títulos Recogidos por la Nación")</f>
        <v>#REF!</v>
      </c>
      <c r="G12" s="9" t="e">
        <f>-SUMIFS('Canjes desagregado'!#REF!,'Canjes desagregado'!#REF!,'Nuevo metod Cupón 2.0'!A12)</f>
        <v>#REF!</v>
      </c>
      <c r="H12" s="9" t="e">
        <f>SUMIFS('Canjes desagregado'!#REF!,'Canjes desagregado'!#REF!,'Nuevo metod Cupón 2.0'!A12)</f>
        <v>#REF!</v>
      </c>
      <c r="I12" s="10" t="e">
        <f t="shared" si="0"/>
        <v>#REF!</v>
      </c>
      <c r="J12" s="10" t="e">
        <f>SUMIFS('Canjes desagregado'!#REF!,'Canjes desagregado'!#REF!,'Nuevo metod Cupón 2.0'!A12)</f>
        <v>#REF!</v>
      </c>
      <c r="K12" s="35" t="e">
        <f t="shared" si="6"/>
        <v>#REF!</v>
      </c>
      <c r="L12" s="10" t="e">
        <f>SUMIFS('Canjes desagregado'!#REF!,'Canjes desagregado'!#REF!,A12)</f>
        <v>#REF!</v>
      </c>
      <c r="M12" s="35" t="e">
        <f t="shared" si="7"/>
        <v>#REF!</v>
      </c>
      <c r="N12" s="11" t="e">
        <f t="shared" si="5"/>
        <v>#REF!</v>
      </c>
      <c r="O12" s="11" t="e">
        <f t="shared" si="8"/>
        <v>#REF!</v>
      </c>
      <c r="P12" s="11" t="e">
        <f t="shared" si="9"/>
        <v>#REF!</v>
      </c>
      <c r="Q12" s="11"/>
      <c r="R12" s="11"/>
      <c r="S12" s="17" t="e">
        <f>VLOOKUP(A12,'[4]Canjes por canasta'!A$3:S$84,15,FALSE)</f>
        <v>#N/A</v>
      </c>
      <c r="T12" s="41" t="e">
        <f t="shared" si="1"/>
        <v>#REF!</v>
      </c>
      <c r="U12" s="41" t="e">
        <f t="shared" si="2"/>
        <v>#REF!</v>
      </c>
      <c r="V12" s="41" t="e">
        <f t="shared" si="3"/>
        <v>#REF!</v>
      </c>
      <c r="W12" s="42" t="e">
        <f t="shared" si="4"/>
        <v>#REF!</v>
      </c>
      <c r="X12" s="12" t="e">
        <f>SUMIFS('Canjes desagregado'!#REF!,'Canjes desagregado'!#REF!,'Nuevo metod Cupón 2.0'!A12)</f>
        <v>#REF!</v>
      </c>
      <c r="Y12" s="12" t="e">
        <f>SUMIFS('Canjes desagregado'!#REF!,'Canjes desagregado'!#REF!,'Nuevo metod Cupón 2.0'!A12)</f>
        <v>#REF!</v>
      </c>
      <c r="Z12" s="12" t="e">
        <f>SUMIFS('Canjes desagregado'!#REF!,'Canjes desagregado'!#REF!,'Nuevo metod Cupón 2.0'!A12)</f>
        <v>#REF!</v>
      </c>
      <c r="AA12" s="12" t="e">
        <f>SUMIFS('Canjes desagregado'!#REF!,'Canjes desagregado'!#REF!,'Nuevo metod Cupón 2.0'!A12)</f>
        <v>#REF!</v>
      </c>
    </row>
    <row r="13" spans="1:27">
      <c r="A13" s="29">
        <v>8</v>
      </c>
      <c r="B13" s="7" t="e">
        <f>VLOOKUP(E13,'Canjes desagregado'!#REF!,2,FALSE)</f>
        <v>#REF!</v>
      </c>
      <c r="C13" s="68" t="s">
        <v>49</v>
      </c>
      <c r="D13" s="39" t="e">
        <f>VLOOKUP(A13,'Canjes desagregado'!#REF!,6,FALSE)</f>
        <v>#REF!</v>
      </c>
      <c r="E13" s="8">
        <v>43963</v>
      </c>
      <c r="F13" s="15" t="e">
        <f>-SUMIFS('Canjes desagregado'!#REF!,'Canjes desagregado'!#REF!,'Nuevo metod Cupón 2.0'!A13,'Canjes desagregado'!#REF!,"Títulos Recogidos por la Nación")</f>
        <v>#REF!</v>
      </c>
      <c r="G13" s="9" t="e">
        <f>-SUMIFS('Canjes desagregado'!#REF!,'Canjes desagregado'!#REF!,'Nuevo metod Cupón 2.0'!A13)</f>
        <v>#REF!</v>
      </c>
      <c r="H13" s="9" t="e">
        <f>SUMIFS('Canjes desagregado'!#REF!,'Canjes desagregado'!#REF!,'Nuevo metod Cupón 2.0'!A13)</f>
        <v>#REF!</v>
      </c>
      <c r="I13" s="10" t="e">
        <f t="shared" si="0"/>
        <v>#REF!</v>
      </c>
      <c r="J13" s="10" t="e">
        <f>SUMIFS('Canjes desagregado'!#REF!,'Canjes desagregado'!#REF!,'Nuevo metod Cupón 2.0'!A13)</f>
        <v>#REF!</v>
      </c>
      <c r="K13" s="35" t="e">
        <f t="shared" si="6"/>
        <v>#REF!</v>
      </c>
      <c r="L13" s="10" t="e">
        <f>SUMIFS('Canjes desagregado'!#REF!,'Canjes desagregado'!#REF!,A13)</f>
        <v>#REF!</v>
      </c>
      <c r="M13" s="35" t="e">
        <f t="shared" si="7"/>
        <v>#REF!</v>
      </c>
      <c r="N13" s="11" t="e">
        <f t="shared" si="5"/>
        <v>#REF!</v>
      </c>
      <c r="O13" s="11" t="e">
        <f t="shared" si="8"/>
        <v>#REF!</v>
      </c>
      <c r="P13" s="11" t="e">
        <f t="shared" si="9"/>
        <v>#REF!</v>
      </c>
      <c r="Q13" s="11"/>
      <c r="R13" s="11"/>
      <c r="S13" s="17" t="e">
        <f>VLOOKUP(A13,'[4]Canjes por canasta'!A$3:S$84,15,FALSE)</f>
        <v>#N/A</v>
      </c>
      <c r="T13" s="41" t="e">
        <f t="shared" si="1"/>
        <v>#REF!</v>
      </c>
      <c r="U13" s="41" t="e">
        <f t="shared" si="2"/>
        <v>#REF!</v>
      </c>
      <c r="V13" s="41" t="e">
        <f t="shared" si="3"/>
        <v>#REF!</v>
      </c>
      <c r="W13" s="42" t="e">
        <f t="shared" si="4"/>
        <v>#REF!</v>
      </c>
      <c r="X13" s="12" t="e">
        <f>SUMIFS('Canjes desagregado'!#REF!,'Canjes desagregado'!#REF!,'Nuevo metod Cupón 2.0'!A13)</f>
        <v>#REF!</v>
      </c>
      <c r="Y13" s="12" t="e">
        <f>SUMIFS('Canjes desagregado'!#REF!,'Canjes desagregado'!#REF!,'Nuevo metod Cupón 2.0'!A13)</f>
        <v>#REF!</v>
      </c>
      <c r="Z13" s="12" t="e">
        <f>SUMIFS('Canjes desagregado'!#REF!,'Canjes desagregado'!#REF!,'Nuevo metod Cupón 2.0'!A13)</f>
        <v>#REF!</v>
      </c>
      <c r="AA13" s="12" t="e">
        <f>SUMIFS('Canjes desagregado'!#REF!,'Canjes desagregado'!#REF!,'Nuevo metod Cupón 2.0'!A13)</f>
        <v>#REF!</v>
      </c>
    </row>
    <row r="14" spans="1:27">
      <c r="A14" s="29">
        <v>9</v>
      </c>
      <c r="B14" s="7" t="e">
        <f>VLOOKUP(E14,'Canjes desagregado'!#REF!,2,FALSE)</f>
        <v>#REF!</v>
      </c>
      <c r="C14" s="68" t="s">
        <v>50</v>
      </c>
      <c r="D14" s="39" t="e">
        <f>VLOOKUP(A14,'Canjes desagregado'!#REF!,6,FALSE)</f>
        <v>#REF!</v>
      </c>
      <c r="E14" s="8">
        <v>43965</v>
      </c>
      <c r="F14" s="15" t="e">
        <f>-SUMIFS('Canjes desagregado'!#REF!,'Canjes desagregado'!#REF!,'Nuevo metod Cupón 2.0'!A14,'Canjes desagregado'!#REF!,"Títulos Recogidos por la Nación")</f>
        <v>#REF!</v>
      </c>
      <c r="G14" s="9" t="e">
        <f>-SUMIFS('Canjes desagregado'!#REF!,'Canjes desagregado'!#REF!,'Nuevo metod Cupón 2.0'!A14)</f>
        <v>#REF!</v>
      </c>
      <c r="H14" s="9" t="e">
        <f>SUMIFS('Canjes desagregado'!#REF!,'Canjes desagregado'!#REF!,'Nuevo metod Cupón 2.0'!A14)</f>
        <v>#REF!</v>
      </c>
      <c r="I14" s="10" t="e">
        <f t="shared" si="0"/>
        <v>#REF!</v>
      </c>
      <c r="J14" s="10" t="e">
        <f>SUMIFS('Canjes desagregado'!#REF!,'Canjes desagregado'!#REF!,'Nuevo metod Cupón 2.0'!A14)</f>
        <v>#REF!</v>
      </c>
      <c r="K14" s="35" t="e">
        <f t="shared" si="6"/>
        <v>#REF!</v>
      </c>
      <c r="L14" s="10" t="e">
        <f>SUMIFS('Canjes desagregado'!#REF!,'Canjes desagregado'!#REF!,A14)</f>
        <v>#REF!</v>
      </c>
      <c r="M14" s="35" t="e">
        <f t="shared" si="7"/>
        <v>#REF!</v>
      </c>
      <c r="N14" s="11" t="e">
        <f t="shared" si="5"/>
        <v>#REF!</v>
      </c>
      <c r="O14" s="11" t="e">
        <f t="shared" si="8"/>
        <v>#REF!</v>
      </c>
      <c r="P14" s="11" t="e">
        <f t="shared" si="9"/>
        <v>#REF!</v>
      </c>
      <c r="Q14" s="11"/>
      <c r="R14" s="11"/>
      <c r="S14" s="17" t="e">
        <f>VLOOKUP(A14,'[4]Canjes por canasta'!A$3:S$84,15,FALSE)</f>
        <v>#N/A</v>
      </c>
      <c r="T14" s="41" t="e">
        <f t="shared" si="1"/>
        <v>#REF!</v>
      </c>
      <c r="U14" s="41" t="e">
        <f t="shared" si="2"/>
        <v>#REF!</v>
      </c>
      <c r="V14" s="41" t="e">
        <f t="shared" si="3"/>
        <v>#REF!</v>
      </c>
      <c r="W14" s="42" t="e">
        <f t="shared" si="4"/>
        <v>#REF!</v>
      </c>
      <c r="X14" s="12" t="e">
        <f>SUMIFS('Canjes desagregado'!#REF!,'Canjes desagregado'!#REF!,'Nuevo metod Cupón 2.0'!A14)</f>
        <v>#REF!</v>
      </c>
      <c r="Y14" s="12" t="e">
        <f>SUMIFS('Canjes desagregado'!#REF!,'Canjes desagregado'!#REF!,'Nuevo metod Cupón 2.0'!A14)</f>
        <v>#REF!</v>
      </c>
      <c r="Z14" s="12" t="e">
        <f>SUMIFS('Canjes desagregado'!#REF!,'Canjes desagregado'!#REF!,'Nuevo metod Cupón 2.0'!A14)</f>
        <v>#REF!</v>
      </c>
      <c r="AA14" s="12" t="e">
        <f>SUMIFS('Canjes desagregado'!#REF!,'Canjes desagregado'!#REF!,'Nuevo metod Cupón 2.0'!A14)</f>
        <v>#REF!</v>
      </c>
    </row>
    <row r="15" spans="1:27">
      <c r="A15" s="29">
        <v>10</v>
      </c>
      <c r="B15" s="7" t="e">
        <f>VLOOKUP(E15,'Canjes desagregado'!#REF!,2,FALSE)</f>
        <v>#REF!</v>
      </c>
      <c r="C15" s="68" t="s">
        <v>51</v>
      </c>
      <c r="D15" s="39" t="e">
        <f>VLOOKUP(A15,'Canjes desagregado'!#REF!,6,FALSE)</f>
        <v>#REF!</v>
      </c>
      <c r="E15" s="8">
        <v>43971</v>
      </c>
      <c r="F15" s="15" t="e">
        <f>-SUMIFS('Canjes desagregado'!#REF!,'Canjes desagregado'!#REF!,'Nuevo metod Cupón 2.0'!A15,'Canjes desagregado'!#REF!,"Títulos Recogidos por la Nación")</f>
        <v>#REF!</v>
      </c>
      <c r="G15" s="9" t="e">
        <f>-SUMIFS('Canjes desagregado'!#REF!,'Canjes desagregado'!#REF!,'Nuevo metod Cupón 2.0'!A15)</f>
        <v>#REF!</v>
      </c>
      <c r="H15" s="9" t="e">
        <f>SUMIFS('Canjes desagregado'!#REF!,'Canjes desagregado'!#REF!,'Nuevo metod Cupón 2.0'!A15)</f>
        <v>#REF!</v>
      </c>
      <c r="I15" s="10" t="e">
        <f t="shared" si="0"/>
        <v>#REF!</v>
      </c>
      <c r="J15" s="10" t="e">
        <f>SUMIFS('Canjes desagregado'!#REF!,'Canjes desagregado'!#REF!,'Nuevo metod Cupón 2.0'!A15)</f>
        <v>#REF!</v>
      </c>
      <c r="K15" s="35" t="e">
        <f t="shared" si="6"/>
        <v>#REF!</v>
      </c>
      <c r="L15" s="10" t="e">
        <f>SUMIFS('Canjes desagregado'!#REF!,'Canjes desagregado'!#REF!,A15)</f>
        <v>#REF!</v>
      </c>
      <c r="M15" s="35" t="e">
        <f t="shared" si="7"/>
        <v>#REF!</v>
      </c>
      <c r="N15" s="11" t="e">
        <f t="shared" si="5"/>
        <v>#REF!</v>
      </c>
      <c r="O15" s="11" t="e">
        <f t="shared" si="8"/>
        <v>#REF!</v>
      </c>
      <c r="P15" s="11" t="e">
        <f t="shared" si="9"/>
        <v>#REF!</v>
      </c>
      <c r="Q15" s="11"/>
      <c r="R15" s="11"/>
      <c r="S15" s="17" t="e">
        <f>VLOOKUP(A15,'[4]Canjes por canasta'!A$3:S$84,15,FALSE)</f>
        <v>#N/A</v>
      </c>
      <c r="T15" s="41" t="e">
        <f t="shared" si="1"/>
        <v>#REF!</v>
      </c>
      <c r="U15" s="41" t="e">
        <f t="shared" si="2"/>
        <v>#REF!</v>
      </c>
      <c r="V15" s="41" t="e">
        <f t="shared" si="3"/>
        <v>#REF!</v>
      </c>
      <c r="W15" s="42" t="e">
        <f t="shared" si="4"/>
        <v>#REF!</v>
      </c>
      <c r="X15" s="12" t="e">
        <f>SUMIFS('Canjes desagregado'!#REF!,'Canjes desagregado'!#REF!,'Nuevo metod Cupón 2.0'!A15)</f>
        <v>#REF!</v>
      </c>
      <c r="Y15" s="12" t="e">
        <f>SUMIFS('Canjes desagregado'!#REF!,'Canjes desagregado'!#REF!,'Nuevo metod Cupón 2.0'!A15)</f>
        <v>#REF!</v>
      </c>
      <c r="Z15" s="12" t="e">
        <f>SUMIFS('Canjes desagregado'!#REF!,'Canjes desagregado'!#REF!,'Nuevo metod Cupón 2.0'!A15)</f>
        <v>#REF!</v>
      </c>
      <c r="AA15" s="12" t="e">
        <f>SUMIFS('Canjes desagregado'!#REF!,'Canjes desagregado'!#REF!,'Nuevo metod Cupón 2.0'!A15)</f>
        <v>#REF!</v>
      </c>
    </row>
    <row r="16" spans="1:27">
      <c r="A16" s="29">
        <v>11</v>
      </c>
      <c r="B16" s="7" t="e">
        <f>VLOOKUP(E16,'Canjes desagregado'!#REF!,2,FALSE)</f>
        <v>#REF!</v>
      </c>
      <c r="C16" s="68" t="s">
        <v>52</v>
      </c>
      <c r="D16" s="39" t="e">
        <f>VLOOKUP(A16,'Canjes desagregado'!#REF!,6,FALSE)</f>
        <v>#REF!</v>
      </c>
      <c r="E16" s="8">
        <v>44033</v>
      </c>
      <c r="F16" s="15" t="e">
        <f>-SUMIFS('Canjes desagregado'!#REF!,'Canjes desagregado'!#REF!,'Nuevo metod Cupón 2.0'!A16,'Canjes desagregado'!#REF!,"Títulos Recogidos por la Nación")</f>
        <v>#REF!</v>
      </c>
      <c r="G16" s="9" t="e">
        <f>-SUMIFS('Canjes desagregado'!#REF!,'Canjes desagregado'!#REF!,'Nuevo metod Cupón 2.0'!A16)</f>
        <v>#REF!</v>
      </c>
      <c r="H16" s="9" t="e">
        <f>SUMIFS('Canjes desagregado'!#REF!,'Canjes desagregado'!#REF!,'Nuevo metod Cupón 2.0'!A16)</f>
        <v>#REF!</v>
      </c>
      <c r="I16" s="10" t="e">
        <f t="shared" si="0"/>
        <v>#REF!</v>
      </c>
      <c r="J16" s="10" t="e">
        <f>SUMIFS('Canjes desagregado'!#REF!,'Canjes desagregado'!#REF!,'Nuevo metod Cupón 2.0'!A16)</f>
        <v>#REF!</v>
      </c>
      <c r="K16" s="35" t="e">
        <f t="shared" si="6"/>
        <v>#REF!</v>
      </c>
      <c r="L16" s="10" t="e">
        <f>SUMIFS('Canjes desagregado'!#REF!,'Canjes desagregado'!#REF!,A16)</f>
        <v>#REF!</v>
      </c>
      <c r="M16" s="35" t="e">
        <f t="shared" si="7"/>
        <v>#REF!</v>
      </c>
      <c r="N16" s="11" t="e">
        <f t="shared" si="5"/>
        <v>#REF!</v>
      </c>
      <c r="O16" s="11" t="e">
        <f t="shared" si="8"/>
        <v>#REF!</v>
      </c>
      <c r="P16" s="11" t="e">
        <f t="shared" si="9"/>
        <v>#REF!</v>
      </c>
      <c r="Q16" s="11"/>
      <c r="R16" s="11"/>
      <c r="S16" s="17" t="e">
        <f>VLOOKUP(A16,'[4]Canjes por canasta'!A$3:S$84,15,FALSE)</f>
        <v>#N/A</v>
      </c>
      <c r="T16" s="41" t="e">
        <f>G16+H16+J16+L16</f>
        <v>#REF!</v>
      </c>
      <c r="U16" s="41" t="e">
        <f t="shared" si="2"/>
        <v>#REF!</v>
      </c>
      <c r="V16" s="41" t="e">
        <f t="shared" si="3"/>
        <v>#REF!</v>
      </c>
      <c r="W16" s="42" t="e">
        <f t="shared" si="4"/>
        <v>#REF!</v>
      </c>
      <c r="X16" s="12" t="e">
        <f>SUMIFS('Canjes desagregado'!#REF!,'Canjes desagregado'!#REF!,'Nuevo metod Cupón 2.0'!A16)</f>
        <v>#REF!</v>
      </c>
      <c r="Y16" s="12" t="e">
        <f>SUMIFS('Canjes desagregado'!#REF!,'Canjes desagregado'!#REF!,'Nuevo metod Cupón 2.0'!A16)</f>
        <v>#REF!</v>
      </c>
      <c r="Z16" s="12" t="e">
        <f>SUMIFS('Canjes desagregado'!#REF!,'Canjes desagregado'!#REF!,'Nuevo metod Cupón 2.0'!A16)</f>
        <v>#REF!</v>
      </c>
      <c r="AA16" s="12" t="e">
        <f>SUMIFS('Canjes desagregado'!#REF!,'Canjes desagregado'!#REF!,'Nuevo metod Cupón 2.0'!A16)</f>
        <v>#REF!</v>
      </c>
    </row>
    <row r="17" spans="1:27">
      <c r="A17" s="29">
        <v>12</v>
      </c>
      <c r="B17" s="7" t="e">
        <f>VLOOKUP(E17,'Canjes desagregado'!#REF!,2,FALSE)</f>
        <v>#REF!</v>
      </c>
      <c r="C17" s="68" t="s">
        <v>53</v>
      </c>
      <c r="D17" s="39" t="e">
        <f>VLOOKUP(A17,'Canjes desagregado'!#REF!,6,FALSE)</f>
        <v>#REF!</v>
      </c>
      <c r="E17" s="8">
        <v>44078</v>
      </c>
      <c r="F17" s="15" t="e">
        <f>-SUMIFS('Canjes desagregado'!#REF!,'Canjes desagregado'!#REF!,'Nuevo metod Cupón 2.0'!A17,'Canjes desagregado'!#REF!,"Títulos Recogidos por la Nación")</f>
        <v>#REF!</v>
      </c>
      <c r="G17" s="9" t="e">
        <f>-SUMIFS('Canjes desagregado'!#REF!,'Canjes desagregado'!#REF!,'Nuevo metod Cupón 2.0'!A17)</f>
        <v>#REF!</v>
      </c>
      <c r="H17" s="9" t="e">
        <f>SUMIFS('Canjes desagregado'!#REF!,'Canjes desagregado'!#REF!,'Nuevo metod Cupón 2.0'!A17)</f>
        <v>#REF!</v>
      </c>
      <c r="I17" s="10" t="e">
        <f t="shared" si="0"/>
        <v>#REF!</v>
      </c>
      <c r="J17" s="10" t="e">
        <f>SUMIFS('Canjes desagregado'!#REF!,'Canjes desagregado'!#REF!,'Nuevo metod Cupón 2.0'!A17)</f>
        <v>#REF!</v>
      </c>
      <c r="K17" s="35" t="e">
        <f t="shared" si="6"/>
        <v>#REF!</v>
      </c>
      <c r="L17" s="10" t="e">
        <f>SUMIFS('Canjes desagregado'!#REF!,'Canjes desagregado'!#REF!,A17)</f>
        <v>#REF!</v>
      </c>
      <c r="M17" s="35" t="e">
        <f t="shared" si="7"/>
        <v>#REF!</v>
      </c>
      <c r="N17" s="11" t="e">
        <f t="shared" si="5"/>
        <v>#REF!</v>
      </c>
      <c r="O17" s="11" t="e">
        <f t="shared" si="8"/>
        <v>#REF!</v>
      </c>
      <c r="P17" s="11" t="e">
        <f t="shared" si="9"/>
        <v>#REF!</v>
      </c>
      <c r="Q17" s="11"/>
      <c r="R17" s="11"/>
      <c r="S17" s="17" t="e">
        <f>VLOOKUP(A17,'[4]Canjes por canasta'!A$3:S$84,15,FALSE)</f>
        <v>#N/A</v>
      </c>
      <c r="T17" s="41" t="e">
        <f t="shared" si="1"/>
        <v>#REF!</v>
      </c>
      <c r="U17" s="41" t="e">
        <f t="shared" si="2"/>
        <v>#REF!</v>
      </c>
      <c r="V17" s="41" t="e">
        <f t="shared" si="3"/>
        <v>#REF!</v>
      </c>
      <c r="W17" s="42" t="e">
        <f t="shared" si="4"/>
        <v>#REF!</v>
      </c>
      <c r="X17" s="12" t="e">
        <f>SUMIFS('Canjes desagregado'!#REF!,'Canjes desagregado'!#REF!,'Nuevo metod Cupón 2.0'!A17)</f>
        <v>#REF!</v>
      </c>
      <c r="Y17" s="12" t="e">
        <f>SUMIFS('Canjes desagregado'!#REF!,'Canjes desagregado'!#REF!,'Nuevo metod Cupón 2.0'!A17)</f>
        <v>#REF!</v>
      </c>
      <c r="Z17" s="12" t="e">
        <f>SUMIFS('Canjes desagregado'!#REF!,'Canjes desagregado'!#REF!,'Nuevo metod Cupón 2.0'!A17)</f>
        <v>#REF!</v>
      </c>
      <c r="AA17" s="12" t="e">
        <f>SUMIFS('Canjes desagregado'!#REF!,'Canjes desagregado'!#REF!,'Nuevo metod Cupón 2.0'!A17)</f>
        <v>#REF!</v>
      </c>
    </row>
    <row r="18" spans="1:27">
      <c r="A18" s="29">
        <v>13</v>
      </c>
      <c r="B18" s="7" t="e">
        <f>VLOOKUP(E18,'Canjes desagregado'!#REF!,2,FALSE)</f>
        <v>#REF!</v>
      </c>
      <c r="C18" s="70" t="s">
        <v>157</v>
      </c>
      <c r="D18" s="39" t="e">
        <f>VLOOKUP(A18,'Canjes desagregado'!#REF!,6,FALSE)</f>
        <v>#REF!</v>
      </c>
      <c r="E18" s="8">
        <v>44085</v>
      </c>
      <c r="F18" s="15" t="e">
        <f>-SUMIFS('Canjes desagregado'!#REF!,'Canjes desagregado'!#REF!,'Nuevo metod Cupón 2.0'!A18,'Canjes desagregado'!#REF!,"Títulos Recogidos por la Nación")</f>
        <v>#REF!</v>
      </c>
      <c r="G18" s="9" t="e">
        <f>-SUMIFS('Canjes desagregado'!#REF!,'Canjes desagregado'!#REF!,'Nuevo metod Cupón 2.0'!A18)</f>
        <v>#REF!</v>
      </c>
      <c r="H18" s="9" t="e">
        <f>SUMIFS('Canjes desagregado'!#REF!,'Canjes desagregado'!#REF!,'Nuevo metod Cupón 2.0'!A18)</f>
        <v>#REF!</v>
      </c>
      <c r="I18" s="10" t="e">
        <f t="shared" si="0"/>
        <v>#REF!</v>
      </c>
      <c r="J18" s="10" t="e">
        <f>SUMIFS('Canjes desagregado'!#REF!,'Canjes desagregado'!#REF!,'Nuevo metod Cupón 2.0'!A18)</f>
        <v>#REF!</v>
      </c>
      <c r="K18" s="35" t="e">
        <f t="shared" si="6"/>
        <v>#REF!</v>
      </c>
      <c r="L18" s="10" t="e">
        <f>SUMIFS('Canjes desagregado'!#REF!,'Canjes desagregado'!#REF!,A18)</f>
        <v>#REF!</v>
      </c>
      <c r="M18" s="35" t="e">
        <f t="shared" si="7"/>
        <v>#REF!</v>
      </c>
      <c r="N18" s="11" t="e">
        <f t="shared" si="5"/>
        <v>#REF!</v>
      </c>
      <c r="O18" s="11" t="e">
        <f t="shared" si="8"/>
        <v>#REF!</v>
      </c>
      <c r="P18" s="11" t="e">
        <f t="shared" si="9"/>
        <v>#REF!</v>
      </c>
      <c r="Q18" s="11"/>
      <c r="R18" s="11"/>
      <c r="S18" s="17" t="e">
        <f>VLOOKUP(A18,'[4]Canjes por canasta'!A$3:S$84,15,FALSE)</f>
        <v>#N/A</v>
      </c>
      <c r="T18" s="41" t="e">
        <f t="shared" si="1"/>
        <v>#REF!</v>
      </c>
      <c r="U18" s="41" t="e">
        <f t="shared" si="2"/>
        <v>#REF!</v>
      </c>
      <c r="V18" s="41" t="e">
        <f t="shared" si="3"/>
        <v>#REF!</v>
      </c>
      <c r="W18" s="42" t="e">
        <f t="shared" si="4"/>
        <v>#REF!</v>
      </c>
      <c r="X18" s="12" t="e">
        <f>SUMIFS('Canjes desagregado'!#REF!,'Canjes desagregado'!#REF!,'Nuevo metod Cupón 2.0'!A18)</f>
        <v>#REF!</v>
      </c>
      <c r="Y18" s="12" t="e">
        <f>SUMIFS('Canjes desagregado'!#REF!,'Canjes desagregado'!#REF!,'Nuevo metod Cupón 2.0'!A18)</f>
        <v>#REF!</v>
      </c>
      <c r="Z18" s="12" t="e">
        <f>SUMIFS('Canjes desagregado'!#REF!,'Canjes desagregado'!#REF!,'Nuevo metod Cupón 2.0'!A18)</f>
        <v>#REF!</v>
      </c>
      <c r="AA18" s="12" t="e">
        <f>SUMIFS('Canjes desagregado'!#REF!,'Canjes desagregado'!#REF!,'Nuevo metod Cupón 2.0'!A18)</f>
        <v>#REF!</v>
      </c>
    </row>
    <row r="19" spans="1:27">
      <c r="A19" s="29">
        <v>14</v>
      </c>
      <c r="B19" s="7" t="e">
        <f>VLOOKUP(E19,'Canjes desagregado'!#REF!,2,FALSE)</f>
        <v>#REF!</v>
      </c>
      <c r="C19" s="70" t="s">
        <v>158</v>
      </c>
      <c r="D19" s="39" t="e">
        <f>VLOOKUP(A19,'Canjes desagregado'!#REF!,6,FALSE)</f>
        <v>#REF!</v>
      </c>
      <c r="E19" s="8">
        <v>44085</v>
      </c>
      <c r="F19" s="15" t="e">
        <f>-SUMIFS('Canjes desagregado'!#REF!,'Canjes desagregado'!#REF!,'Nuevo metod Cupón 2.0'!A19,'Canjes desagregado'!#REF!,"Títulos Recogidos por la Nación")</f>
        <v>#REF!</v>
      </c>
      <c r="G19" s="9" t="e">
        <f>-SUMIFS('Canjes desagregado'!#REF!,'Canjes desagregado'!#REF!,'Nuevo metod Cupón 2.0'!A19)</f>
        <v>#REF!</v>
      </c>
      <c r="H19" s="9" t="e">
        <f>SUMIFS('Canjes desagregado'!#REF!,'Canjes desagregado'!#REF!,'Nuevo metod Cupón 2.0'!A19)</f>
        <v>#REF!</v>
      </c>
      <c r="I19" s="10" t="e">
        <f t="shared" si="0"/>
        <v>#REF!</v>
      </c>
      <c r="J19" s="10" t="e">
        <f>SUMIFS('Canjes desagregado'!#REF!,'Canjes desagregado'!#REF!,'Nuevo metod Cupón 2.0'!A19)</f>
        <v>#REF!</v>
      </c>
      <c r="K19" s="35" t="e">
        <f t="shared" si="6"/>
        <v>#REF!</v>
      </c>
      <c r="L19" s="10" t="e">
        <f>SUMIFS('Canjes desagregado'!#REF!,'Canjes desagregado'!#REF!,A19)</f>
        <v>#REF!</v>
      </c>
      <c r="M19" s="35" t="e">
        <f t="shared" si="7"/>
        <v>#REF!</v>
      </c>
      <c r="N19" s="11" t="e">
        <f t="shared" si="5"/>
        <v>#REF!</v>
      </c>
      <c r="O19" s="11" t="e">
        <f t="shared" si="8"/>
        <v>#REF!</v>
      </c>
      <c r="P19" s="11" t="e">
        <f t="shared" si="9"/>
        <v>#REF!</v>
      </c>
      <c r="Q19" s="11"/>
      <c r="R19" s="11"/>
      <c r="S19" s="17" t="e">
        <f>VLOOKUP(A19,'[4]Canjes por canasta'!A$3:S$84,15,FALSE)</f>
        <v>#N/A</v>
      </c>
      <c r="T19" s="41" t="e">
        <f t="shared" si="1"/>
        <v>#REF!</v>
      </c>
      <c r="U19" s="41" t="e">
        <f>IF(B19="Tesorería",T19,"")</f>
        <v>#REF!</v>
      </c>
      <c r="V19" s="41" t="e">
        <f t="shared" si="3"/>
        <v>#REF!</v>
      </c>
      <c r="W19" s="42" t="e">
        <f t="shared" si="4"/>
        <v>#REF!</v>
      </c>
      <c r="X19" s="12" t="e">
        <f>SUMIFS('Canjes desagregado'!#REF!,'Canjes desagregado'!#REF!,'Nuevo metod Cupón 2.0'!A19)</f>
        <v>#REF!</v>
      </c>
      <c r="Y19" s="12" t="e">
        <f>SUMIFS('Canjes desagregado'!#REF!,'Canjes desagregado'!#REF!,'Nuevo metod Cupón 2.0'!A19)</f>
        <v>#REF!</v>
      </c>
      <c r="Z19" s="12" t="e">
        <f>SUMIFS('Canjes desagregado'!#REF!,'Canjes desagregado'!#REF!,'Nuevo metod Cupón 2.0'!A19)</f>
        <v>#REF!</v>
      </c>
      <c r="AA19" s="12" t="e">
        <f>SUMIFS('Canjes desagregado'!#REF!,'Canjes desagregado'!#REF!,'Nuevo metod Cupón 2.0'!A19)</f>
        <v>#REF!</v>
      </c>
    </row>
    <row r="20" spans="1:27">
      <c r="A20" s="29">
        <v>15</v>
      </c>
      <c r="B20" s="7" t="e">
        <f>VLOOKUP(E20,'Canjes desagregado'!#REF!,2,FALSE)</f>
        <v>#REF!</v>
      </c>
      <c r="C20" s="71" t="s">
        <v>54</v>
      </c>
      <c r="D20" s="39" t="e">
        <f>VLOOKUP(A20,'Canjes desagregado'!#REF!,6,FALSE)</f>
        <v>#REF!</v>
      </c>
      <c r="E20" s="8">
        <v>44126</v>
      </c>
      <c r="F20" s="15" t="e">
        <f>-SUMIFS('Canjes desagregado'!#REF!,'Canjes desagregado'!#REF!,'Nuevo metod Cupón 2.0'!A20,'Canjes desagregado'!#REF!,"Títulos Recogidos por la Nación")</f>
        <v>#REF!</v>
      </c>
      <c r="G20" s="9" t="e">
        <f>-SUMIFS('Canjes desagregado'!#REF!,'Canjes desagregado'!#REF!,'Nuevo metod Cupón 2.0'!A20)</f>
        <v>#REF!</v>
      </c>
      <c r="H20" s="9" t="e">
        <f>SUMIFS('Canjes desagregado'!#REF!,'Canjes desagregado'!#REF!,'Nuevo metod Cupón 2.0'!A20)</f>
        <v>#REF!</v>
      </c>
      <c r="I20" s="10" t="e">
        <f t="shared" si="0"/>
        <v>#REF!</v>
      </c>
      <c r="J20" s="10" t="e">
        <f>SUMIFS('Canjes desagregado'!#REF!,'Canjes desagregado'!#REF!,'Nuevo metod Cupón 2.0'!A20)</f>
        <v>#REF!</v>
      </c>
      <c r="K20" s="35" t="e">
        <f t="shared" si="6"/>
        <v>#REF!</v>
      </c>
      <c r="L20" s="10" t="e">
        <f>SUMIFS('Canjes desagregado'!#REF!,'Canjes desagregado'!#REF!,A20)</f>
        <v>#REF!</v>
      </c>
      <c r="M20" s="35" t="e">
        <f t="shared" si="7"/>
        <v>#REF!</v>
      </c>
      <c r="N20" s="11" t="e">
        <f t="shared" si="5"/>
        <v>#REF!</v>
      </c>
      <c r="O20" s="11" t="e">
        <f t="shared" si="8"/>
        <v>#REF!</v>
      </c>
      <c r="P20" s="11" t="e">
        <f t="shared" si="9"/>
        <v>#REF!</v>
      </c>
      <c r="Q20" s="11"/>
      <c r="R20" s="11"/>
      <c r="S20" s="17" t="e">
        <f>VLOOKUP(A20,'[4]Canjes por canasta'!A$3:S$84,15,FALSE)</f>
        <v>#N/A</v>
      </c>
      <c r="T20" s="41" t="e">
        <f t="shared" si="1"/>
        <v>#REF!</v>
      </c>
      <c r="U20" s="41" t="e">
        <f t="shared" si="2"/>
        <v>#REF!</v>
      </c>
      <c r="V20" s="41" t="e">
        <f t="shared" si="3"/>
        <v>#REF!</v>
      </c>
      <c r="W20" s="42" t="e">
        <f t="shared" si="4"/>
        <v>#REF!</v>
      </c>
      <c r="X20" s="12" t="e">
        <f>SUMIFS('Canjes desagregado'!#REF!,'Canjes desagregado'!#REF!,'Nuevo metod Cupón 2.0'!A20)</f>
        <v>#REF!</v>
      </c>
      <c r="Y20" s="12" t="e">
        <f>SUMIFS('Canjes desagregado'!#REF!,'Canjes desagregado'!#REF!,'Nuevo metod Cupón 2.0'!A20)</f>
        <v>#REF!</v>
      </c>
      <c r="Z20" s="12" t="e">
        <f>SUMIFS('Canjes desagregado'!#REF!,'Canjes desagregado'!#REF!,'Nuevo metod Cupón 2.0'!A20)</f>
        <v>#REF!</v>
      </c>
      <c r="AA20" s="12" t="e">
        <f>SUMIFS('Canjes desagregado'!#REF!,'Canjes desagregado'!#REF!,'Nuevo metod Cupón 2.0'!A20)</f>
        <v>#REF!</v>
      </c>
    </row>
    <row r="21" spans="1:27">
      <c r="A21" s="29">
        <v>16</v>
      </c>
      <c r="B21" s="7" t="e">
        <f>VLOOKUP(E21,'Canjes desagregado'!#REF!,2,FALSE)</f>
        <v>#REF!</v>
      </c>
      <c r="C21" s="71" t="s">
        <v>55</v>
      </c>
      <c r="D21" s="39" t="e">
        <f>VLOOKUP(A21,'Canjes desagregado'!#REF!,6,FALSE)</f>
        <v>#REF!</v>
      </c>
      <c r="E21" s="8">
        <v>44181</v>
      </c>
      <c r="F21" s="15" t="e">
        <f>-SUMIFS('Canjes desagregado'!#REF!,'Canjes desagregado'!#REF!,'Nuevo metod Cupón 2.0'!A21,'Canjes desagregado'!#REF!,"Títulos Recogidos por la Nación")</f>
        <v>#REF!</v>
      </c>
      <c r="G21" s="9" t="e">
        <f>-SUMIFS('Canjes desagregado'!#REF!,'Canjes desagregado'!#REF!,'Nuevo metod Cupón 2.0'!A21)</f>
        <v>#REF!</v>
      </c>
      <c r="H21" s="9" t="e">
        <f>SUMIFS('Canjes desagregado'!#REF!,'Canjes desagregado'!#REF!,'Nuevo metod Cupón 2.0'!A21)</f>
        <v>#REF!</v>
      </c>
      <c r="I21" s="10" t="e">
        <f t="shared" si="0"/>
        <v>#REF!</v>
      </c>
      <c r="J21" s="10" t="e">
        <f>SUMIFS('Canjes desagregado'!#REF!,'Canjes desagregado'!#REF!,'Nuevo metod Cupón 2.0'!A21)</f>
        <v>#REF!</v>
      </c>
      <c r="K21" s="35" t="e">
        <f t="shared" si="6"/>
        <v>#REF!</v>
      </c>
      <c r="L21" s="10" t="e">
        <f>SUMIFS('Canjes desagregado'!#REF!,'Canjes desagregado'!#REF!,A21)</f>
        <v>#REF!</v>
      </c>
      <c r="M21" s="35" t="e">
        <f t="shared" si="7"/>
        <v>#REF!</v>
      </c>
      <c r="N21" s="11" t="e">
        <f t="shared" si="5"/>
        <v>#REF!</v>
      </c>
      <c r="O21" s="11" t="e">
        <f t="shared" si="8"/>
        <v>#REF!</v>
      </c>
      <c r="P21" s="11" t="e">
        <f t="shared" si="9"/>
        <v>#REF!</v>
      </c>
      <c r="Q21" s="11"/>
      <c r="R21" s="11"/>
      <c r="S21" s="17" t="e">
        <f>VLOOKUP(A21,'[4]Canjes por canasta'!A$3:S$84,15,FALSE)</f>
        <v>#N/A</v>
      </c>
      <c r="T21" s="41" t="e">
        <f>G21+H21+J21+L21</f>
        <v>#REF!</v>
      </c>
      <c r="U21" s="41" t="e">
        <f>IF(B21="Tesorería",T21,"")</f>
        <v>#REF!</v>
      </c>
      <c r="V21" s="41" t="e">
        <f t="shared" si="3"/>
        <v>#REF!</v>
      </c>
      <c r="W21" s="42" t="e">
        <f t="shared" si="4"/>
        <v>#REF!</v>
      </c>
      <c r="X21" s="12" t="e">
        <f>SUMIFS('Canjes desagregado'!#REF!,'Canjes desagregado'!#REF!,'Nuevo metod Cupón 2.0'!A21)</f>
        <v>#REF!</v>
      </c>
      <c r="Y21" s="12" t="e">
        <f>SUMIFS('Canjes desagregado'!#REF!,'Canjes desagregado'!#REF!,'Nuevo metod Cupón 2.0'!A21)</f>
        <v>#REF!</v>
      </c>
      <c r="Z21" s="12" t="e">
        <f>SUMIFS('Canjes desagregado'!#REF!,'Canjes desagregado'!#REF!,'Nuevo metod Cupón 2.0'!A21)</f>
        <v>#REF!</v>
      </c>
      <c r="AA21" s="12" t="e">
        <f>SUMIFS('Canjes desagregado'!#REF!,'Canjes desagregado'!#REF!,'Nuevo metod Cupón 2.0'!A21)</f>
        <v>#REF!</v>
      </c>
    </row>
    <row r="22" spans="1:27">
      <c r="A22" s="29">
        <v>17</v>
      </c>
      <c r="B22" s="7" t="e">
        <f>VLOOKUP(E22,'Canjes desagregado'!#REF!,2,FALSE)</f>
        <v>#REF!</v>
      </c>
      <c r="C22" s="71" t="s">
        <v>56</v>
      </c>
      <c r="D22" s="39" t="e">
        <f>VLOOKUP(A22,'Canjes desagregado'!#REF!,6,FALSE)</f>
        <v>#REF!</v>
      </c>
      <c r="E22" s="8">
        <v>44267</v>
      </c>
      <c r="F22" s="15" t="e">
        <f>-SUMIFS('Canjes desagregado'!#REF!,'Canjes desagregado'!#REF!,'Nuevo metod Cupón 2.0'!A22,'Canjes desagregado'!#REF!,"Títulos Recogidos por la Nación")</f>
        <v>#REF!</v>
      </c>
      <c r="G22" s="9" t="e">
        <f>-SUMIFS('Canjes desagregado'!#REF!,'Canjes desagregado'!#REF!,'Nuevo metod Cupón 2.0'!A22)</f>
        <v>#REF!</v>
      </c>
      <c r="H22" s="9" t="e">
        <f>SUMIFS('Canjes desagregado'!#REF!,'Canjes desagregado'!#REF!,'Nuevo metod Cupón 2.0'!A22)</f>
        <v>#REF!</v>
      </c>
      <c r="I22" s="10" t="e">
        <f t="shared" si="0"/>
        <v>#REF!</v>
      </c>
      <c r="J22" s="10" t="e">
        <f>SUMIFS('Canjes desagregado'!#REF!,'Canjes desagregado'!#REF!,'Nuevo metod Cupón 2.0'!A22)</f>
        <v>#REF!</v>
      </c>
      <c r="K22" s="35" t="e">
        <f t="shared" si="6"/>
        <v>#REF!</v>
      </c>
      <c r="L22" s="10" t="e">
        <f>SUMIFS('Canjes desagregado'!#REF!,'Canjes desagregado'!#REF!,A22)</f>
        <v>#REF!</v>
      </c>
      <c r="M22" s="35" t="e">
        <f t="shared" si="7"/>
        <v>#REF!</v>
      </c>
      <c r="N22" s="11" t="e">
        <f t="shared" si="5"/>
        <v>#REF!</v>
      </c>
      <c r="O22" s="11" t="e">
        <f t="shared" si="8"/>
        <v>#REF!</v>
      </c>
      <c r="P22" s="11" t="e">
        <f t="shared" si="9"/>
        <v>#REF!</v>
      </c>
      <c r="Q22" s="11"/>
      <c r="R22" s="11"/>
      <c r="S22" s="17" t="e">
        <f>VLOOKUP(A22,'[4]Canjes por canasta'!A$3:S$84,15,FALSE)</f>
        <v>#N/A</v>
      </c>
      <c r="T22" s="41" t="e">
        <f>G22+H22+J22+L22</f>
        <v>#REF!</v>
      </c>
      <c r="U22" s="41" t="e">
        <f>IF(B22="Tesorería",T22,"")</f>
        <v>#REF!</v>
      </c>
      <c r="V22" s="41" t="e">
        <f t="shared" si="3"/>
        <v>#REF!</v>
      </c>
      <c r="W22" s="42" t="e">
        <f t="shared" si="4"/>
        <v>#REF!</v>
      </c>
      <c r="X22" s="12" t="e">
        <f>SUMIFS('Canjes desagregado'!#REF!,'Canjes desagregado'!#REF!,'Nuevo metod Cupón 2.0'!A22)</f>
        <v>#REF!</v>
      </c>
      <c r="Y22" s="12" t="e">
        <f>SUMIFS('Canjes desagregado'!#REF!,'Canjes desagregado'!#REF!,'Nuevo metod Cupón 2.0'!A22)</f>
        <v>#REF!</v>
      </c>
      <c r="Z22" s="12" t="e">
        <f>SUMIFS('Canjes desagregado'!#REF!,'Canjes desagregado'!#REF!,'Nuevo metod Cupón 2.0'!A22)</f>
        <v>#REF!</v>
      </c>
      <c r="AA22" s="12" t="e">
        <f>SUMIFS('Canjes desagregado'!#REF!,'Canjes desagregado'!#REF!,'Nuevo metod Cupón 2.0'!A22)</f>
        <v>#REF!</v>
      </c>
    </row>
    <row r="23" spans="1:27">
      <c r="A23" s="29">
        <v>18</v>
      </c>
      <c r="B23" s="7" t="e">
        <f>VLOOKUP(E23,'Canjes desagregado'!#REF!,2,FALSE)</f>
        <v>#REF!</v>
      </c>
      <c r="C23" s="71" t="s">
        <v>57</v>
      </c>
      <c r="D23" s="39" t="e">
        <f>VLOOKUP(A23,'Canjes desagregado'!#REF!,6,FALSE)</f>
        <v>#REF!</v>
      </c>
      <c r="E23" s="8">
        <v>44421</v>
      </c>
      <c r="F23" s="15" t="e">
        <f>-SUMIFS('Canjes desagregado'!#REF!,'Canjes desagregado'!#REF!,'Nuevo metod Cupón 2.0'!A23,'Canjes desagregado'!#REF!,"Títulos Recogidos por la Nación")</f>
        <v>#REF!</v>
      </c>
      <c r="G23" s="9" t="e">
        <f>-SUMIFS('Canjes desagregado'!#REF!,'Canjes desagregado'!#REF!,'Nuevo metod Cupón 2.0'!A23)</f>
        <v>#REF!</v>
      </c>
      <c r="H23" s="9" t="e">
        <f>SUMIFS('Canjes desagregado'!#REF!,'Canjes desagregado'!#REF!,'Nuevo metod Cupón 2.0'!A23)</f>
        <v>#REF!</v>
      </c>
      <c r="I23" s="10" t="e">
        <f t="shared" si="0"/>
        <v>#REF!</v>
      </c>
      <c r="J23" s="10" t="e">
        <f>SUMIFS('Canjes desagregado'!#REF!,'Canjes desagregado'!#REF!,'Nuevo metod Cupón 2.0'!A23)</f>
        <v>#REF!</v>
      </c>
      <c r="K23" s="35" t="e">
        <f t="shared" si="6"/>
        <v>#REF!</v>
      </c>
      <c r="L23" s="10" t="e">
        <f>SUMIFS('Canjes desagregado'!#REF!,'Canjes desagregado'!#REF!,A23)</f>
        <v>#REF!</v>
      </c>
      <c r="M23" s="35" t="e">
        <f t="shared" si="7"/>
        <v>#REF!</v>
      </c>
      <c r="N23" s="11" t="e">
        <f t="shared" si="5"/>
        <v>#REF!</v>
      </c>
      <c r="O23" s="11" t="e">
        <f t="shared" si="8"/>
        <v>#REF!</v>
      </c>
      <c r="P23" s="11" t="e">
        <f t="shared" si="9"/>
        <v>#REF!</v>
      </c>
      <c r="Q23" s="11"/>
      <c r="R23" s="11"/>
      <c r="S23" s="17" t="e">
        <f>VLOOKUP(A23,'[4]Canjes por canasta'!A$3:S$84,15,FALSE)</f>
        <v>#N/A</v>
      </c>
      <c r="T23" s="41" t="e">
        <f>G23+H23+J23+L23</f>
        <v>#REF!</v>
      </c>
      <c r="U23" s="41" t="e">
        <f t="shared" si="2"/>
        <v>#REF!</v>
      </c>
      <c r="V23" s="41" t="e">
        <f t="shared" si="3"/>
        <v>#REF!</v>
      </c>
      <c r="W23" s="42" t="e">
        <f t="shared" si="4"/>
        <v>#REF!</v>
      </c>
      <c r="X23" s="12" t="e">
        <f>SUMIFS('Canjes desagregado'!#REF!,'Canjes desagregado'!#REF!,'Nuevo metod Cupón 2.0'!A23)</f>
        <v>#REF!</v>
      </c>
      <c r="Y23" s="12" t="e">
        <f>SUMIFS('Canjes desagregado'!#REF!,'Canjes desagregado'!#REF!,'Nuevo metod Cupón 2.0'!A23)</f>
        <v>#REF!</v>
      </c>
      <c r="Z23" s="12" t="e">
        <f>SUMIFS('Canjes desagregado'!#REF!,'Canjes desagregado'!#REF!,'Nuevo metod Cupón 2.0'!A23)</f>
        <v>#REF!</v>
      </c>
      <c r="AA23" s="12" t="e">
        <f>SUMIFS('Canjes desagregado'!#REF!,'Canjes desagregado'!#REF!,'Nuevo metod Cupón 2.0'!A23)</f>
        <v>#REF!</v>
      </c>
    </row>
    <row r="24" spans="1:27">
      <c r="A24" s="29">
        <v>19</v>
      </c>
      <c r="B24" s="7" t="e">
        <f>VLOOKUP(E24,'Canjes desagregado'!#REF!,2,FALSE)</f>
        <v>#REF!</v>
      </c>
      <c r="C24" s="71" t="s">
        <v>58</v>
      </c>
      <c r="D24" s="39" t="e">
        <f>VLOOKUP(A24,'Canjes desagregado'!#REF!,6,FALSE)</f>
        <v>#REF!</v>
      </c>
      <c r="E24" s="8">
        <v>44434</v>
      </c>
      <c r="F24" s="15" t="e">
        <f>-SUMIFS('Canjes desagregado'!#REF!,'Canjes desagregado'!#REF!,'Nuevo metod Cupón 2.0'!A24,'Canjes desagregado'!#REF!,"Títulos Recogidos por la Nación")</f>
        <v>#REF!</v>
      </c>
      <c r="G24" s="9" t="e">
        <f>-SUMIFS('Canjes desagregado'!#REF!,'Canjes desagregado'!#REF!,'Nuevo metod Cupón 2.0'!A24)</f>
        <v>#REF!</v>
      </c>
      <c r="H24" s="9" t="e">
        <f>SUMIFS('Canjes desagregado'!#REF!,'Canjes desagregado'!#REF!,'Nuevo metod Cupón 2.0'!A24)</f>
        <v>#REF!</v>
      </c>
      <c r="I24" s="10" t="e">
        <f t="shared" si="0"/>
        <v>#REF!</v>
      </c>
      <c r="J24" s="10" t="e">
        <f>SUMIFS('Canjes desagregado'!#REF!,'Canjes desagregado'!#REF!,'Nuevo metod Cupón 2.0'!A24)</f>
        <v>#REF!</v>
      </c>
      <c r="K24" s="35" t="e">
        <f t="shared" si="6"/>
        <v>#REF!</v>
      </c>
      <c r="L24" s="10" t="e">
        <f>SUMIFS('Canjes desagregado'!#REF!,'Canjes desagregado'!#REF!,A24)</f>
        <v>#REF!</v>
      </c>
      <c r="M24" s="35" t="e">
        <f t="shared" si="7"/>
        <v>#REF!</v>
      </c>
      <c r="N24" s="11" t="e">
        <f t="shared" si="5"/>
        <v>#REF!</v>
      </c>
      <c r="O24" s="11" t="e">
        <f t="shared" si="8"/>
        <v>#REF!</v>
      </c>
      <c r="P24" s="11" t="e">
        <f t="shared" si="9"/>
        <v>#REF!</v>
      </c>
      <c r="Q24" s="11"/>
      <c r="R24" s="11"/>
      <c r="S24" s="17" t="e">
        <f>VLOOKUP(A24,'[4]Canjes por canasta'!A$3:S$84,15,FALSE)</f>
        <v>#N/A</v>
      </c>
      <c r="T24" s="41" t="e">
        <f t="shared" si="1"/>
        <v>#REF!</v>
      </c>
      <c r="U24" s="41" t="e">
        <f t="shared" si="2"/>
        <v>#REF!</v>
      </c>
      <c r="V24" s="41" t="e">
        <f t="shared" si="3"/>
        <v>#REF!</v>
      </c>
      <c r="W24" s="42" t="e">
        <f t="shared" si="4"/>
        <v>#REF!</v>
      </c>
      <c r="X24" s="12" t="e">
        <f>SUMIFS('Canjes desagregado'!#REF!,'Canjes desagregado'!#REF!,'Nuevo metod Cupón 2.0'!A24)</f>
        <v>#REF!</v>
      </c>
      <c r="Y24" s="12" t="e">
        <f>SUMIFS('Canjes desagregado'!#REF!,'Canjes desagregado'!#REF!,'Nuevo metod Cupón 2.0'!A24)</f>
        <v>#REF!</v>
      </c>
      <c r="Z24" s="12" t="e">
        <f>SUMIFS('Canjes desagregado'!#REF!,'Canjes desagregado'!#REF!,'Nuevo metod Cupón 2.0'!A24)</f>
        <v>#REF!</v>
      </c>
      <c r="AA24" s="12" t="e">
        <f>SUMIFS('Canjes desagregado'!#REF!,'Canjes desagregado'!#REF!,'Nuevo metod Cupón 2.0'!A24)</f>
        <v>#REF!</v>
      </c>
    </row>
    <row r="25" spans="1:27">
      <c r="A25" s="29">
        <v>20</v>
      </c>
      <c r="B25" s="7" t="e">
        <f>VLOOKUP(E25,'Canjes desagregado'!#REF!,2,FALSE)</f>
        <v>#REF!</v>
      </c>
      <c r="C25" s="71" t="s">
        <v>59</v>
      </c>
      <c r="D25" s="39" t="e">
        <f>VLOOKUP(A25,'Canjes desagregado'!#REF!,6,FALSE)</f>
        <v>#REF!</v>
      </c>
      <c r="E25" s="8">
        <v>44460</v>
      </c>
      <c r="F25" s="15" t="e">
        <f>-SUMIFS('Canjes desagregado'!#REF!,'Canjes desagregado'!#REF!,'Nuevo metod Cupón 2.0'!A25,'Canjes desagregado'!#REF!,"Títulos Recogidos por la Nación")</f>
        <v>#REF!</v>
      </c>
      <c r="G25" s="9" t="e">
        <f>-SUMIFS('Canjes desagregado'!#REF!,'Canjes desagregado'!#REF!,'Nuevo metod Cupón 2.0'!A25)</f>
        <v>#REF!</v>
      </c>
      <c r="H25" s="9" t="e">
        <f>SUMIFS('Canjes desagregado'!#REF!,'Canjes desagregado'!#REF!,'Nuevo metod Cupón 2.0'!A25)</f>
        <v>#REF!</v>
      </c>
      <c r="I25" s="10" t="e">
        <f t="shared" si="0"/>
        <v>#REF!</v>
      </c>
      <c r="J25" s="10" t="e">
        <f>SUMIFS('Canjes desagregado'!#REF!,'Canjes desagregado'!#REF!,'Nuevo metod Cupón 2.0'!A25)</f>
        <v>#REF!</v>
      </c>
      <c r="K25" s="35" t="e">
        <f t="shared" si="6"/>
        <v>#REF!</v>
      </c>
      <c r="L25" s="10" t="e">
        <f>SUMIFS('Canjes desagregado'!#REF!,'Canjes desagregado'!#REF!,A25)</f>
        <v>#REF!</v>
      </c>
      <c r="M25" s="35" t="e">
        <f t="shared" si="7"/>
        <v>#REF!</v>
      </c>
      <c r="N25" s="11" t="e">
        <f t="shared" si="5"/>
        <v>#REF!</v>
      </c>
      <c r="O25" s="11" t="e">
        <f t="shared" si="8"/>
        <v>#REF!</v>
      </c>
      <c r="P25" s="11" t="e">
        <f t="shared" si="9"/>
        <v>#REF!</v>
      </c>
      <c r="Q25" s="11"/>
      <c r="R25" s="11"/>
      <c r="S25" s="17" t="e">
        <f>VLOOKUP(A25,'[4]Canjes por canasta'!A$3:S$84,15,FALSE)</f>
        <v>#N/A</v>
      </c>
      <c r="T25" s="41" t="e">
        <f t="shared" si="1"/>
        <v>#REF!</v>
      </c>
      <c r="U25" s="41" t="e">
        <f t="shared" si="2"/>
        <v>#REF!</v>
      </c>
      <c r="V25" s="41" t="e">
        <f t="shared" si="3"/>
        <v>#REF!</v>
      </c>
      <c r="W25" s="42" t="e">
        <f t="shared" si="4"/>
        <v>#REF!</v>
      </c>
      <c r="X25" s="12" t="e">
        <f>SUMIFS('Canjes desagregado'!#REF!,'Canjes desagregado'!#REF!,'Nuevo metod Cupón 2.0'!A25)</f>
        <v>#REF!</v>
      </c>
      <c r="Y25" s="12" t="e">
        <f>SUMIFS('Canjes desagregado'!#REF!,'Canjes desagregado'!#REF!,'Nuevo metod Cupón 2.0'!A25)</f>
        <v>#REF!</v>
      </c>
      <c r="Z25" s="12" t="e">
        <f>SUMIFS('Canjes desagregado'!#REF!,'Canjes desagregado'!#REF!,'Nuevo metod Cupón 2.0'!A25)</f>
        <v>#REF!</v>
      </c>
      <c r="AA25" s="12" t="e">
        <f>SUMIFS('Canjes desagregado'!#REF!,'Canjes desagregado'!#REF!,'Nuevo metod Cupón 2.0'!A25)</f>
        <v>#REF!</v>
      </c>
    </row>
    <row r="26" spans="1:27">
      <c r="A26" s="29">
        <v>21</v>
      </c>
      <c r="B26" s="7" t="e">
        <f>VLOOKUP(E26,'Canjes desagregado'!#REF!,2,FALSE)</f>
        <v>#REF!</v>
      </c>
      <c r="C26" s="71" t="s">
        <v>60</v>
      </c>
      <c r="D26" s="39" t="e">
        <f>VLOOKUP(A26,'Canjes desagregado'!#REF!,6,FALSE)</f>
        <v>#REF!</v>
      </c>
      <c r="E26" s="8">
        <v>44470</v>
      </c>
      <c r="F26" s="15" t="e">
        <f>-SUMIFS('Canjes desagregado'!#REF!,'Canjes desagregado'!#REF!,'Nuevo metod Cupón 2.0'!A26,'Canjes desagregado'!#REF!,"Títulos Recogidos por la Nación")</f>
        <v>#REF!</v>
      </c>
      <c r="G26" s="9" t="e">
        <f>-SUMIFS('Canjes desagregado'!#REF!,'Canjes desagregado'!#REF!,'Nuevo metod Cupón 2.0'!A26)</f>
        <v>#REF!</v>
      </c>
      <c r="H26" s="9" t="e">
        <f>SUMIFS('Canjes desagregado'!#REF!,'Canjes desagregado'!#REF!,'Nuevo metod Cupón 2.0'!A26)</f>
        <v>#REF!</v>
      </c>
      <c r="I26" s="10" t="e">
        <f t="shared" si="0"/>
        <v>#REF!</v>
      </c>
      <c r="J26" s="10" t="e">
        <f>SUMIFS('Canjes desagregado'!#REF!,'Canjes desagregado'!#REF!,'Nuevo metod Cupón 2.0'!A26)</f>
        <v>#REF!</v>
      </c>
      <c r="K26" s="35" t="e">
        <f t="shared" si="6"/>
        <v>#REF!</v>
      </c>
      <c r="L26" s="10" t="e">
        <f>SUMIFS('Canjes desagregado'!#REF!,'Canjes desagregado'!#REF!,A26)</f>
        <v>#REF!</v>
      </c>
      <c r="M26" s="35" t="e">
        <f t="shared" si="7"/>
        <v>#REF!</v>
      </c>
      <c r="N26" s="11" t="e">
        <f t="shared" si="5"/>
        <v>#REF!</v>
      </c>
      <c r="O26" s="11" t="e">
        <f t="shared" si="8"/>
        <v>#REF!</v>
      </c>
      <c r="P26" s="11" t="e">
        <f t="shared" si="9"/>
        <v>#REF!</v>
      </c>
      <c r="Q26" s="11"/>
      <c r="R26" s="11"/>
      <c r="S26" s="17" t="e">
        <f>VLOOKUP(A26,'[4]Canjes por canasta'!A$3:S$84,15,FALSE)</f>
        <v>#N/A</v>
      </c>
      <c r="T26" s="41" t="e">
        <f t="shared" si="1"/>
        <v>#REF!</v>
      </c>
      <c r="U26" s="41" t="e">
        <f t="shared" si="2"/>
        <v>#REF!</v>
      </c>
      <c r="V26" s="41" t="e">
        <f t="shared" si="3"/>
        <v>#REF!</v>
      </c>
      <c r="W26" s="42" t="e">
        <f t="shared" si="4"/>
        <v>#REF!</v>
      </c>
      <c r="X26" s="12" t="e">
        <f>SUMIFS('Canjes desagregado'!#REF!,'Canjes desagregado'!#REF!,'Nuevo metod Cupón 2.0'!A26)</f>
        <v>#REF!</v>
      </c>
      <c r="Y26" s="12" t="e">
        <f>SUMIFS('Canjes desagregado'!#REF!,'Canjes desagregado'!#REF!,'Nuevo metod Cupón 2.0'!A26)</f>
        <v>#REF!</v>
      </c>
      <c r="Z26" s="12" t="e">
        <f>SUMIFS('Canjes desagregado'!#REF!,'Canjes desagregado'!#REF!,'Nuevo metod Cupón 2.0'!A26)</f>
        <v>#REF!</v>
      </c>
      <c r="AA26" s="12" t="e">
        <f>SUMIFS('Canjes desagregado'!#REF!,'Canjes desagregado'!#REF!,'Nuevo metod Cupón 2.0'!A26)</f>
        <v>#REF!</v>
      </c>
    </row>
    <row r="27" spans="1:27">
      <c r="A27" s="29">
        <v>22</v>
      </c>
      <c r="B27" s="7" t="e">
        <f>VLOOKUP(E27,'Canjes desagregado'!#REF!,2,FALSE)</f>
        <v>#REF!</v>
      </c>
      <c r="C27" s="68" t="s">
        <v>61</v>
      </c>
      <c r="D27" s="39" t="e">
        <f>VLOOKUP(A27,'Canjes desagregado'!#REF!,6,FALSE)</f>
        <v>#REF!</v>
      </c>
      <c r="E27" s="8">
        <v>44491</v>
      </c>
      <c r="F27" s="15" t="e">
        <f>-SUMIFS('Canjes desagregado'!#REF!,'Canjes desagregado'!#REF!,'Nuevo metod Cupón 2.0'!A27,'Canjes desagregado'!#REF!,"Títulos Recogidos por la Nación")</f>
        <v>#REF!</v>
      </c>
      <c r="G27" s="9" t="e">
        <f>-SUMIFS('Canjes desagregado'!#REF!,'Canjes desagregado'!#REF!,'Nuevo metod Cupón 2.0'!A27)</f>
        <v>#REF!</v>
      </c>
      <c r="H27" s="9" t="e">
        <f>SUMIFS('Canjes desagregado'!#REF!,'Canjes desagregado'!#REF!,'Nuevo metod Cupón 2.0'!A27)</f>
        <v>#REF!</v>
      </c>
      <c r="I27" s="10" t="e">
        <f t="shared" si="0"/>
        <v>#REF!</v>
      </c>
      <c r="J27" s="10" t="e">
        <f>SUMIFS('Canjes desagregado'!#REF!,'Canjes desagregado'!#REF!,'Nuevo metod Cupón 2.0'!A27)</f>
        <v>#REF!</v>
      </c>
      <c r="K27" s="10" t="e">
        <f>J27+H27+G27</f>
        <v>#REF!</v>
      </c>
      <c r="L27" s="10" t="e">
        <f>SUMIFS('Canjes desagregado'!#REF!,'Canjes desagregado'!#REF!,A27)</f>
        <v>#REF!</v>
      </c>
      <c r="M27" s="35" t="e">
        <f t="shared" si="7"/>
        <v>#REF!</v>
      </c>
      <c r="N27" s="11" t="e">
        <f t="shared" si="5"/>
        <v>#REF!</v>
      </c>
      <c r="O27" s="11" t="e">
        <f>K27/F27</f>
        <v>#REF!</v>
      </c>
      <c r="P27" s="11" t="e">
        <f t="shared" si="9"/>
        <v>#REF!</v>
      </c>
      <c r="Q27" s="11"/>
      <c r="R27" s="11"/>
      <c r="S27" s="17" t="e">
        <f>VLOOKUP(A27,'[4]Canjes por canasta'!A$3:S$84,15,FALSE)</f>
        <v>#N/A</v>
      </c>
      <c r="T27" s="41" t="e">
        <f t="shared" si="1"/>
        <v>#REF!</v>
      </c>
      <c r="U27" s="41" t="e">
        <f t="shared" si="2"/>
        <v>#REF!</v>
      </c>
      <c r="V27" s="41" t="e">
        <f t="shared" si="3"/>
        <v>#REF!</v>
      </c>
      <c r="W27" s="42" t="e">
        <f t="shared" si="4"/>
        <v>#REF!</v>
      </c>
      <c r="X27" s="12" t="e">
        <f>SUMIFS('Canjes desagregado'!#REF!,'Canjes desagregado'!#REF!,'Nuevo metod Cupón 2.0'!A27)</f>
        <v>#REF!</v>
      </c>
      <c r="Y27" s="12" t="e">
        <f>SUMIFS('Canjes desagregado'!#REF!,'Canjes desagregado'!#REF!,'Nuevo metod Cupón 2.0'!A27)</f>
        <v>#REF!</v>
      </c>
      <c r="Z27" s="12" t="e">
        <f>SUMIFS('Canjes desagregado'!#REF!,'Canjes desagregado'!#REF!,'Nuevo metod Cupón 2.0'!A27)</f>
        <v>#REF!</v>
      </c>
      <c r="AA27" s="12" t="e">
        <f>SUMIFS('Canjes desagregado'!#REF!,'Canjes desagregado'!#REF!,'Nuevo metod Cupón 2.0'!A27)</f>
        <v>#REF!</v>
      </c>
    </row>
    <row r="28" spans="1:27">
      <c r="A28" s="13">
        <v>23</v>
      </c>
      <c r="B28" s="7" t="s">
        <v>42</v>
      </c>
      <c r="C28" s="68" t="s">
        <v>62</v>
      </c>
      <c r="D28" s="39" t="e">
        <f>VLOOKUP(A28,'Canjes desagregado'!#REF!,6,FALSE)</f>
        <v>#REF!</v>
      </c>
      <c r="E28" s="14">
        <v>44543</v>
      </c>
      <c r="F28" s="15" t="e">
        <f>-SUMIFS('Canjes desagregado'!#REF!,'Canjes desagregado'!#REF!,'Nuevo metod Cupón 2.0'!A28,'Canjes desagregado'!#REF!,"Títulos Recogidos por la Nación")</f>
        <v>#REF!</v>
      </c>
      <c r="G28" s="9" t="e">
        <f>-SUMIFS('Canjes desagregado'!#REF!,'Canjes desagregado'!#REF!,'Nuevo metod Cupón 2.0'!A28)</f>
        <v>#REF!</v>
      </c>
      <c r="H28" s="9" t="e">
        <f>SUMIFS('Canjes desagregado'!#REF!,'Canjes desagregado'!#REF!,'Nuevo metod Cupón 2.0'!A28)</f>
        <v>#REF!</v>
      </c>
      <c r="I28" s="16" t="e">
        <f>+G28+H28</f>
        <v>#REF!</v>
      </c>
      <c r="J28" s="10" t="e">
        <f>SUMIFS('Canjes desagregado'!#REF!,'Canjes desagregado'!#REF!,'Nuevo metod Cupón 2.0'!A28)</f>
        <v>#REF!</v>
      </c>
      <c r="K28" s="10" t="e">
        <f>J28+H28+G28</f>
        <v>#REF!</v>
      </c>
      <c r="L28" s="10" t="e">
        <f>SUMIFS('Canjes desagregado'!#REF!,'Canjes desagregado'!#REF!,A28)</f>
        <v>#REF!</v>
      </c>
      <c r="M28" s="10" t="e">
        <f>L28+K28</f>
        <v>#REF!</v>
      </c>
      <c r="N28" s="11" t="e">
        <f>+I28/F28</f>
        <v>#REF!</v>
      </c>
      <c r="O28" s="11" t="e">
        <f>K28/F28</f>
        <v>#REF!</v>
      </c>
      <c r="P28" s="17" t="e">
        <f t="shared" si="9"/>
        <v>#REF!</v>
      </c>
      <c r="Q28" s="17"/>
      <c r="R28" s="17"/>
      <c r="S28" s="17" t="e">
        <f>VLOOKUP(A28,'[4]Canjes por canasta'!A$3:S$84,15,FALSE)</f>
        <v>#N/A</v>
      </c>
      <c r="T28" s="41" t="e">
        <f t="shared" si="1"/>
        <v>#REF!</v>
      </c>
      <c r="U28" s="41" t="e">
        <f t="shared" si="2"/>
        <v>#REF!</v>
      </c>
      <c r="V28" s="41" t="str">
        <f t="shared" si="3"/>
        <v/>
      </c>
      <c r="W28" s="42" t="e">
        <f t="shared" si="4"/>
        <v>#REF!</v>
      </c>
      <c r="X28" s="12" t="e">
        <f>SUMIFS('Canjes desagregado'!#REF!,'Canjes desagregado'!#REF!,'Nuevo metod Cupón 2.0'!A28)</f>
        <v>#REF!</v>
      </c>
      <c r="Y28" s="12" t="e">
        <f>SUMIFS('Canjes desagregado'!#REF!,'Canjes desagregado'!#REF!,'Nuevo metod Cupón 2.0'!A28)</f>
        <v>#REF!</v>
      </c>
      <c r="Z28" s="12" t="e">
        <f>SUMIFS('Canjes desagregado'!#REF!,'Canjes desagregado'!#REF!,'Nuevo metod Cupón 2.0'!A28)</f>
        <v>#REF!</v>
      </c>
      <c r="AA28" s="12" t="e">
        <f>SUMIFS('Canjes desagregado'!#REF!,'Canjes desagregado'!#REF!,'Nuevo metod Cupón 2.0'!A28)</f>
        <v>#REF!</v>
      </c>
    </row>
    <row r="29" spans="1:27" ht="15.75" thickBot="1">
      <c r="A29" s="75">
        <v>24</v>
      </c>
      <c r="B29" s="76" t="s">
        <v>42</v>
      </c>
      <c r="C29" s="90" t="s">
        <v>63</v>
      </c>
      <c r="D29" s="39" t="e">
        <f>VLOOKUP(A29,'Canjes desagregado'!#REF!,6,FALSE)</f>
        <v>#REF!</v>
      </c>
      <c r="E29" s="78">
        <v>44634</v>
      </c>
      <c r="F29" s="15" t="e">
        <f>-SUMIFS('Canjes desagregado'!#REF!,'Canjes desagregado'!#REF!,'Nuevo metod Cupón 2.0'!A29,'Canjes desagregado'!#REF!,"Títulos Recogidos por la Nación")</f>
        <v>#REF!</v>
      </c>
      <c r="G29" s="9" t="e">
        <f>-SUMIFS('Canjes desagregado'!#REF!,'Canjes desagregado'!#REF!,'Nuevo metod Cupón 2.0'!A29)</f>
        <v>#REF!</v>
      </c>
      <c r="H29" s="9" t="e">
        <f>SUMIFS('Canjes desagregado'!#REF!,'Canjes desagregado'!#REF!,'Nuevo metod Cupón 2.0'!A29)</f>
        <v>#REF!</v>
      </c>
      <c r="I29" s="79" t="e">
        <f>+G29+H29</f>
        <v>#REF!</v>
      </c>
      <c r="J29" s="10" t="e">
        <f>SUMIFS('Canjes desagregado'!#REF!,'Canjes desagregado'!#REF!,'Nuevo metod Cupón 2.0'!A29)</f>
        <v>#REF!</v>
      </c>
      <c r="K29" s="80" t="e">
        <f>J29+H29+G29</f>
        <v>#REF!</v>
      </c>
      <c r="L29" s="80" t="e">
        <f>SUMIFS('Canjes desagregado'!#REF!,'Canjes desagregado'!#REF!,A29)</f>
        <v>#REF!</v>
      </c>
      <c r="M29" s="80" t="e">
        <f>L29+K29</f>
        <v>#REF!</v>
      </c>
      <c r="N29" s="81" t="e">
        <f t="shared" si="5"/>
        <v>#REF!</v>
      </c>
      <c r="O29" s="81" t="e">
        <f>K29/F29</f>
        <v>#REF!</v>
      </c>
      <c r="P29" s="82" t="e">
        <f t="shared" si="9"/>
        <v>#REF!</v>
      </c>
      <c r="Q29" s="82"/>
      <c r="R29" s="82"/>
      <c r="S29" s="17">
        <f>VLOOKUP(A29,'[4]Canjes por canasta'!A$3:S$84,15,FALSE)</f>
        <v>0.10481781287371966</v>
      </c>
      <c r="T29" s="83" t="e">
        <f t="shared" si="1"/>
        <v>#REF!</v>
      </c>
      <c r="U29" s="83" t="e">
        <f t="shared" si="2"/>
        <v>#REF!</v>
      </c>
      <c r="V29" s="83" t="str">
        <f t="shared" si="3"/>
        <v/>
      </c>
      <c r="W29" s="84" t="e">
        <f t="shared" si="4"/>
        <v>#REF!</v>
      </c>
      <c r="X29" s="12" t="e">
        <f>SUMIFS('Canjes desagregado'!#REF!,'Canjes desagregado'!#REF!,'Nuevo metod Cupón 2.0'!A29)</f>
        <v>#REF!</v>
      </c>
      <c r="Y29" s="12" t="e">
        <f>SUMIFS('Canjes desagregado'!#REF!,'Canjes desagregado'!#REF!,'Nuevo metod Cupón 2.0'!A29)</f>
        <v>#REF!</v>
      </c>
      <c r="Z29" s="12" t="e">
        <f>SUMIFS('Canjes desagregado'!#REF!,'Canjes desagregado'!#REF!,'Nuevo metod Cupón 2.0'!A29)</f>
        <v>#REF!</v>
      </c>
      <c r="AA29" s="12" t="e">
        <f>SUMIFS('Canjes desagregado'!#REF!,'Canjes desagregado'!#REF!,'Nuevo metod Cupón 2.0'!A29)</f>
        <v>#REF!</v>
      </c>
    </row>
    <row r="30" spans="1:27">
      <c r="A30" s="13">
        <v>25</v>
      </c>
      <c r="B30" s="7" t="s">
        <v>42</v>
      </c>
      <c r="C30" s="68" t="s">
        <v>64</v>
      </c>
      <c r="D30" s="39" t="e">
        <f>VLOOKUP(A30,'Canjes desagregado'!#REF!,6,FALSE)</f>
        <v>#REF!</v>
      </c>
      <c r="E30" s="14">
        <v>44635</v>
      </c>
      <c r="F30" s="15" t="e">
        <f>-SUMIFS('Canjes desagregado'!#REF!,'Canjes desagregado'!#REF!,'Nuevo metod Cupón 2.0'!A30,'Canjes desagregado'!#REF!,"Títulos Recogidos por la Nación")</f>
        <v>#REF!</v>
      </c>
      <c r="G30" s="9" t="e">
        <f>-SUMIFS('Canjes desagregado'!#REF!,'Canjes desagregado'!#REF!,'Nuevo metod Cupón 2.0'!A30)</f>
        <v>#REF!</v>
      </c>
      <c r="H30" s="9" t="e">
        <f>SUMIFS('Canjes desagregado'!#REF!,'Canjes desagregado'!#REF!,'Nuevo metod Cupón 2.0'!A30)</f>
        <v>#REF!</v>
      </c>
      <c r="I30" s="16" t="e">
        <f>+G30+H30</f>
        <v>#REF!</v>
      </c>
      <c r="J30" s="10" t="e">
        <f>SUMIFS('Canjes desagregado'!#REF!,'Canjes desagregado'!#REF!,'Nuevo metod Cupón 2.0'!A30)</f>
        <v>#REF!</v>
      </c>
      <c r="K30" s="10" t="e">
        <f>J30+H30+G30</f>
        <v>#REF!</v>
      </c>
      <c r="L30" s="10" t="e">
        <f>SUMIFS('Canjes desagregado'!#REF!,'Canjes desagregado'!#REF!,A30)</f>
        <v>#REF!</v>
      </c>
      <c r="M30" s="10" t="e">
        <f>L30+K30</f>
        <v>#REF!</v>
      </c>
      <c r="N30" s="11" t="e">
        <f>+I30/F30</f>
        <v>#REF!</v>
      </c>
      <c r="O30" s="11" t="e">
        <f>K30/F30</f>
        <v>#REF!</v>
      </c>
      <c r="P30" s="17" t="e">
        <f t="shared" si="9"/>
        <v>#REF!</v>
      </c>
      <c r="Q30" s="17"/>
      <c r="R30" s="17"/>
      <c r="S30" s="17">
        <f>VLOOKUP(A30,'[4]Canjes por canasta'!A$3:S$84,15,FALSE)</f>
        <v>0.10459051878081921</v>
      </c>
      <c r="T30" s="41" t="e">
        <f t="shared" si="1"/>
        <v>#REF!</v>
      </c>
      <c r="U30" s="41" t="e">
        <f t="shared" si="2"/>
        <v>#REF!</v>
      </c>
      <c r="V30" s="41" t="str">
        <f t="shared" si="3"/>
        <v/>
      </c>
      <c r="W30" s="42" t="e">
        <f t="shared" si="4"/>
        <v>#REF!</v>
      </c>
      <c r="X30" s="12" t="e">
        <f>SUMIFS('Canjes desagregado'!#REF!,'Canjes desagregado'!#REF!,'Nuevo metod Cupón 2.0'!A30)</f>
        <v>#REF!</v>
      </c>
      <c r="Y30" s="12" t="e">
        <f>SUMIFS('Canjes desagregado'!#REF!,'Canjes desagregado'!#REF!,'Nuevo metod Cupón 2.0'!A30)</f>
        <v>#REF!</v>
      </c>
      <c r="Z30" s="12" t="e">
        <f>SUMIFS('Canjes desagregado'!#REF!,'Canjes desagregado'!#REF!,'Nuevo metod Cupón 2.0'!A30)</f>
        <v>#REF!</v>
      </c>
      <c r="AA30" s="12" t="e">
        <f>SUMIFS('Canjes desagregado'!#REF!,'Canjes desagregado'!#REF!,'Nuevo metod Cupón 2.0'!A30)</f>
        <v>#REF!</v>
      </c>
    </row>
    <row r="31" spans="1:27" ht="15.75" thickBot="1">
      <c r="A31" s="75">
        <v>26</v>
      </c>
      <c r="B31" s="76" t="s">
        <v>42</v>
      </c>
      <c r="C31" s="77" t="s">
        <v>65</v>
      </c>
      <c r="D31" s="39" t="e">
        <f>VLOOKUP(A31,'Canjes desagregado'!#REF!,6,FALSE)</f>
        <v>#REF!</v>
      </c>
      <c r="E31" s="78">
        <v>44636</v>
      </c>
      <c r="F31" s="15" t="e">
        <f>-SUMIFS('Canjes desagregado'!#REF!,'Canjes desagregado'!#REF!,'Nuevo metod Cupón 2.0'!A31,'Canjes desagregado'!#REF!,"Títulos Recogidos por la Nación")</f>
        <v>#REF!</v>
      </c>
      <c r="G31" s="9" t="e">
        <f>-SUMIFS('Canjes desagregado'!#REF!,'Canjes desagregado'!#REF!,'Nuevo metod Cupón 2.0'!A31)</f>
        <v>#REF!</v>
      </c>
      <c r="H31" s="9" t="e">
        <f>SUMIFS('Canjes desagregado'!#REF!,'Canjes desagregado'!#REF!,'Nuevo metod Cupón 2.0'!A31)</f>
        <v>#REF!</v>
      </c>
      <c r="I31" s="79" t="e">
        <f>H31+G31</f>
        <v>#REF!</v>
      </c>
      <c r="J31" s="10" t="e">
        <f>SUMIFS('Canjes desagregado'!#REF!,'Canjes desagregado'!#REF!,'Nuevo metod Cupón 2.0'!A31)</f>
        <v>#REF!</v>
      </c>
      <c r="K31" s="80" t="e">
        <f>J31+H31+G31</f>
        <v>#REF!</v>
      </c>
      <c r="L31" s="80" t="e">
        <f>SUMIFS('Canjes desagregado'!#REF!,'Canjes desagregado'!#REF!,A31)</f>
        <v>#REF!</v>
      </c>
      <c r="M31" s="80" t="e">
        <f>L31+K31</f>
        <v>#REF!</v>
      </c>
      <c r="N31" s="81" t="e">
        <f t="shared" si="5"/>
        <v>#REF!</v>
      </c>
      <c r="O31" s="81" t="e">
        <f>K31/F31</f>
        <v>#REF!</v>
      </c>
      <c r="P31" s="82" t="e">
        <f t="shared" si="9"/>
        <v>#REF!</v>
      </c>
      <c r="Q31" s="82"/>
      <c r="R31" s="82"/>
      <c r="S31" s="17">
        <f>VLOOKUP(A31,'[4]Canjes por canasta'!A$3:S$84,15,FALSE)</f>
        <v>0.10516039789358096</v>
      </c>
      <c r="T31" s="83" t="e">
        <f t="shared" si="1"/>
        <v>#REF!</v>
      </c>
      <c r="U31" s="83" t="e">
        <f t="shared" si="2"/>
        <v>#REF!</v>
      </c>
      <c r="V31" s="41" t="str">
        <f t="shared" si="3"/>
        <v/>
      </c>
      <c r="W31" s="84" t="e">
        <f t="shared" si="4"/>
        <v>#REF!</v>
      </c>
      <c r="X31" s="12" t="e">
        <f>SUMIFS('Canjes desagregado'!#REF!,'Canjes desagregado'!#REF!,'Nuevo metod Cupón 2.0'!A31)</f>
        <v>#REF!</v>
      </c>
      <c r="Y31" s="12" t="e">
        <f>SUMIFS('Canjes desagregado'!#REF!,'Canjes desagregado'!#REF!,'Nuevo metod Cupón 2.0'!A31)</f>
        <v>#REF!</v>
      </c>
      <c r="Z31" s="12" t="e">
        <f>SUMIFS('Canjes desagregado'!#REF!,'Canjes desagregado'!#REF!,'Nuevo metod Cupón 2.0'!A31)</f>
        <v>#REF!</v>
      </c>
      <c r="AA31" s="12" t="e">
        <f>SUMIFS('Canjes desagregado'!#REF!,'Canjes desagregado'!#REF!,'Nuevo metod Cupón 2.0'!A31)</f>
        <v>#REF!</v>
      </c>
    </row>
    <row r="32" spans="1:27">
      <c r="A32" s="13">
        <v>27</v>
      </c>
      <c r="B32" s="7" t="s">
        <v>42</v>
      </c>
      <c r="C32" s="66" t="s">
        <v>66</v>
      </c>
      <c r="D32" s="39" t="e">
        <f>VLOOKUP(A32,'Canjes desagregado'!#REF!,6,FALSE)</f>
        <v>#REF!</v>
      </c>
      <c r="E32" s="14">
        <v>44637</v>
      </c>
      <c r="F32" s="15" t="e">
        <f>-SUMIFS('Canjes desagregado'!#REF!,'Canjes desagregado'!#REF!,'Nuevo metod Cupón 2.0'!A32,'Canjes desagregado'!#REF!,"Títulos Recogidos por la Nación")</f>
        <v>#REF!</v>
      </c>
      <c r="G32" s="9" t="e">
        <f>-SUMIFS('Canjes desagregado'!#REF!,'Canjes desagregado'!#REF!,'Nuevo metod Cupón 2.0'!A32)</f>
        <v>#REF!</v>
      </c>
      <c r="H32" s="9" t="e">
        <f>SUMIFS('Canjes desagregado'!#REF!,'Canjes desagregado'!#REF!,'Nuevo metod Cupón 2.0'!A32)</f>
        <v>#REF!</v>
      </c>
      <c r="I32" s="16" t="e">
        <f t="shared" ref="I32:I51" si="10">H32+G32</f>
        <v>#REF!</v>
      </c>
      <c r="J32" s="10" t="e">
        <f>SUMIFS('Canjes desagregado'!#REF!,'Canjes desagregado'!#REF!,'Nuevo metod Cupón 2.0'!A32)</f>
        <v>#REF!</v>
      </c>
      <c r="K32" s="10" t="e">
        <f t="shared" ref="K32:K40" si="11">J32+H32+G32</f>
        <v>#REF!</v>
      </c>
      <c r="L32" s="10" t="e">
        <f>SUMIFS('Canjes desagregado'!#REF!,'Canjes desagregado'!#REF!,A32)</f>
        <v>#REF!</v>
      </c>
      <c r="M32" s="10" t="e">
        <f t="shared" ref="M32:M51" si="12">L32+K32</f>
        <v>#REF!</v>
      </c>
      <c r="N32" s="11" t="e">
        <f t="shared" si="5"/>
        <v>#REF!</v>
      </c>
      <c r="O32" s="11" t="e">
        <f t="shared" ref="O32:O95" si="13">K32/F32</f>
        <v>#REF!</v>
      </c>
      <c r="P32" s="17" t="e">
        <f t="shared" si="9"/>
        <v>#REF!</v>
      </c>
      <c r="Q32" s="17"/>
      <c r="R32" s="17"/>
      <c r="S32" s="17">
        <f>VLOOKUP(A32,'[4]Canjes por canasta'!A$3:S$84,15,FALSE)</f>
        <v>0.10526249034385761</v>
      </c>
      <c r="T32" s="41" t="e">
        <f t="shared" si="1"/>
        <v>#REF!</v>
      </c>
      <c r="U32" s="41" t="e">
        <f>IF(B32="Tesorería",T32,"")</f>
        <v>#REF!</v>
      </c>
      <c r="V32" s="41" t="str">
        <f t="shared" si="3"/>
        <v/>
      </c>
      <c r="W32" s="42" t="e">
        <f t="shared" si="4"/>
        <v>#REF!</v>
      </c>
      <c r="X32" s="12" t="e">
        <f>SUMIFS('Canjes desagregado'!#REF!,'Canjes desagregado'!#REF!,'Nuevo metod Cupón 2.0'!A32)</f>
        <v>#REF!</v>
      </c>
      <c r="Y32" s="12" t="e">
        <f>SUMIFS('Canjes desagregado'!#REF!,'Canjes desagregado'!#REF!,'Nuevo metod Cupón 2.0'!A32)</f>
        <v>#REF!</v>
      </c>
      <c r="Z32" s="12" t="e">
        <f>SUMIFS('Canjes desagregado'!#REF!,'Canjes desagregado'!#REF!,'Nuevo metod Cupón 2.0'!A32)</f>
        <v>#REF!</v>
      </c>
      <c r="AA32" s="12" t="e">
        <f>SUMIFS('Canjes desagregado'!#REF!,'Canjes desagregado'!#REF!,'Nuevo metod Cupón 2.0'!A32)</f>
        <v>#REF!</v>
      </c>
    </row>
    <row r="33" spans="1:27">
      <c r="A33" s="13">
        <v>28</v>
      </c>
      <c r="B33" s="7" t="s">
        <v>42</v>
      </c>
      <c r="C33" s="67" t="s">
        <v>67</v>
      </c>
      <c r="D33" s="39" t="e">
        <f>VLOOKUP(A33,'Canjes desagregado'!#REF!,6,FALSE)</f>
        <v>#REF!</v>
      </c>
      <c r="E33" s="14">
        <v>44638</v>
      </c>
      <c r="F33" s="15" t="e">
        <f>-SUMIFS('Canjes desagregado'!#REF!,'Canjes desagregado'!#REF!,'Nuevo metod Cupón 2.0'!A33,'Canjes desagregado'!#REF!,"Títulos Recogidos por la Nación")</f>
        <v>#REF!</v>
      </c>
      <c r="G33" s="9" t="e">
        <f>-SUMIFS('Canjes desagregado'!#REF!,'Canjes desagregado'!#REF!,'Nuevo metod Cupón 2.0'!A33)</f>
        <v>#REF!</v>
      </c>
      <c r="H33" s="9" t="e">
        <f>SUMIFS('Canjes desagregado'!#REF!,'Canjes desagregado'!#REF!,'Nuevo metod Cupón 2.0'!A33)</f>
        <v>#REF!</v>
      </c>
      <c r="I33" s="16" t="e">
        <f t="shared" si="10"/>
        <v>#REF!</v>
      </c>
      <c r="J33" s="10" t="e">
        <f>SUMIFS('Canjes desagregado'!#REF!,'Canjes desagregado'!#REF!,'Nuevo metod Cupón 2.0'!A33)</f>
        <v>#REF!</v>
      </c>
      <c r="K33" s="10" t="e">
        <f t="shared" si="11"/>
        <v>#REF!</v>
      </c>
      <c r="L33" s="10" t="e">
        <f>SUMIFS('Canjes desagregado'!#REF!,'Canjes desagregado'!#REF!,A33)</f>
        <v>#REF!</v>
      </c>
      <c r="M33" s="10" t="e">
        <f t="shared" si="12"/>
        <v>#REF!</v>
      </c>
      <c r="N33" s="11" t="e">
        <f t="shared" si="5"/>
        <v>#REF!</v>
      </c>
      <c r="O33" s="11" t="e">
        <f t="shared" si="13"/>
        <v>#REF!</v>
      </c>
      <c r="P33" s="17" t="e">
        <f t="shared" si="9"/>
        <v>#REF!</v>
      </c>
      <c r="Q33" s="17"/>
      <c r="R33" s="17"/>
      <c r="S33" s="17">
        <f>VLOOKUP(A33,'[4]Canjes por canasta'!A$3:S$84,15,FALSE)</f>
        <v>0.10512879746427922</v>
      </c>
      <c r="T33" s="41" t="e">
        <f t="shared" si="1"/>
        <v>#REF!</v>
      </c>
      <c r="U33" s="41" t="e">
        <f t="shared" si="2"/>
        <v>#REF!</v>
      </c>
      <c r="V33" s="41" t="str">
        <f t="shared" si="3"/>
        <v/>
      </c>
      <c r="W33" s="42" t="e">
        <f t="shared" si="4"/>
        <v>#REF!</v>
      </c>
      <c r="X33" s="12" t="e">
        <f>SUMIFS('Canjes desagregado'!#REF!,'Canjes desagregado'!#REF!,'Nuevo metod Cupón 2.0'!A33)</f>
        <v>#REF!</v>
      </c>
      <c r="Y33" s="12" t="e">
        <f>SUMIFS('Canjes desagregado'!#REF!,'Canjes desagregado'!#REF!,'Nuevo metod Cupón 2.0'!A33)</f>
        <v>#REF!</v>
      </c>
      <c r="Z33" s="12" t="e">
        <f>SUMIFS('Canjes desagregado'!#REF!,'Canjes desagregado'!#REF!,'Nuevo metod Cupón 2.0'!A33)</f>
        <v>#REF!</v>
      </c>
      <c r="AA33" s="12" t="e">
        <f>SUMIFS('Canjes desagregado'!#REF!,'Canjes desagregado'!#REF!,'Nuevo metod Cupón 2.0'!A33)</f>
        <v>#REF!</v>
      </c>
    </row>
    <row r="34" spans="1:27">
      <c r="A34" s="13">
        <v>29</v>
      </c>
      <c r="B34" s="7" t="s">
        <v>42</v>
      </c>
      <c r="C34" s="67" t="s">
        <v>68</v>
      </c>
      <c r="D34" s="39" t="e">
        <f>VLOOKUP(A34,'Canjes desagregado'!#REF!,6,FALSE)</f>
        <v>#REF!</v>
      </c>
      <c r="E34" s="14">
        <v>44649</v>
      </c>
      <c r="F34" s="15" t="e">
        <f>-SUMIFS('Canjes desagregado'!#REF!,'Canjes desagregado'!#REF!,'Nuevo metod Cupón 2.0'!A34,'Canjes desagregado'!#REF!,"Títulos Recogidos por la Nación")</f>
        <v>#REF!</v>
      </c>
      <c r="G34" s="9" t="e">
        <f>-SUMIFS('Canjes desagregado'!#REF!,'Canjes desagregado'!#REF!,'Nuevo metod Cupón 2.0'!A34)</f>
        <v>#REF!</v>
      </c>
      <c r="H34" s="9" t="e">
        <f>SUMIFS('Canjes desagregado'!#REF!,'Canjes desagregado'!#REF!,'Nuevo metod Cupón 2.0'!A34)</f>
        <v>#REF!</v>
      </c>
      <c r="I34" s="16" t="e">
        <f t="shared" si="10"/>
        <v>#REF!</v>
      </c>
      <c r="J34" s="10" t="e">
        <f>SUMIFS('Canjes desagregado'!#REF!,'Canjes desagregado'!#REF!,'Nuevo metod Cupón 2.0'!A34)</f>
        <v>#REF!</v>
      </c>
      <c r="K34" s="10" t="e">
        <f t="shared" si="11"/>
        <v>#REF!</v>
      </c>
      <c r="L34" s="10" t="e">
        <f>SUMIFS('Canjes desagregado'!#REF!,'Canjes desagregado'!#REF!,A34)</f>
        <v>#REF!</v>
      </c>
      <c r="M34" s="10" t="e">
        <f t="shared" si="12"/>
        <v>#REF!</v>
      </c>
      <c r="N34" s="11" t="e">
        <f t="shared" si="5"/>
        <v>#REF!</v>
      </c>
      <c r="O34" s="11" t="e">
        <f t="shared" si="13"/>
        <v>#REF!</v>
      </c>
      <c r="P34" s="17" t="e">
        <f t="shared" si="9"/>
        <v>#REF!</v>
      </c>
      <c r="Q34" s="17"/>
      <c r="R34" s="17"/>
      <c r="S34" s="17">
        <f>VLOOKUP(A34,'[4]Canjes por canasta'!A$3:S$84,15,FALSE)</f>
        <v>0.11624259391794581</v>
      </c>
      <c r="T34" s="41" t="e">
        <f t="shared" si="1"/>
        <v>#REF!</v>
      </c>
      <c r="U34" s="41" t="e">
        <f t="shared" si="2"/>
        <v>#REF!</v>
      </c>
      <c r="V34" s="41" t="str">
        <f t="shared" si="3"/>
        <v/>
      </c>
      <c r="W34" s="42" t="e">
        <f t="shared" si="4"/>
        <v>#REF!</v>
      </c>
      <c r="X34" s="12" t="e">
        <f>SUMIFS('Canjes desagregado'!#REF!,'Canjes desagregado'!#REF!,'Nuevo metod Cupón 2.0'!A34)</f>
        <v>#REF!</v>
      </c>
      <c r="Y34" s="12" t="e">
        <f>SUMIFS('Canjes desagregado'!#REF!,'Canjes desagregado'!#REF!,'Nuevo metod Cupón 2.0'!A34)</f>
        <v>#REF!</v>
      </c>
      <c r="Z34" s="12" t="e">
        <f>SUMIFS('Canjes desagregado'!#REF!,'Canjes desagregado'!#REF!,'Nuevo metod Cupón 2.0'!A34)</f>
        <v>#REF!</v>
      </c>
      <c r="AA34" s="12" t="e">
        <f>SUMIFS('Canjes desagregado'!#REF!,'Canjes desagregado'!#REF!,'Nuevo metod Cupón 2.0'!A34)</f>
        <v>#REF!</v>
      </c>
    </row>
    <row r="35" spans="1:27">
      <c r="A35" s="13">
        <v>30</v>
      </c>
      <c r="B35" s="7" t="s">
        <v>42</v>
      </c>
      <c r="C35" s="67" t="s">
        <v>69</v>
      </c>
      <c r="D35" s="39" t="e">
        <f>VLOOKUP(A35,'Canjes desagregado'!#REF!,6,FALSE)</f>
        <v>#REF!</v>
      </c>
      <c r="E35" s="14">
        <v>44650</v>
      </c>
      <c r="F35" s="15" t="e">
        <f>-SUMIFS('Canjes desagregado'!#REF!,'Canjes desagregado'!#REF!,'Nuevo metod Cupón 2.0'!A35,'Canjes desagregado'!#REF!,"Títulos Recogidos por la Nación")</f>
        <v>#REF!</v>
      </c>
      <c r="G35" s="9" t="e">
        <f>-SUMIFS('Canjes desagregado'!#REF!,'Canjes desagregado'!#REF!,'Nuevo metod Cupón 2.0'!A35)</f>
        <v>#REF!</v>
      </c>
      <c r="H35" s="9" t="e">
        <f>SUMIFS('Canjes desagregado'!#REF!,'Canjes desagregado'!#REF!,'Nuevo metod Cupón 2.0'!A35)</f>
        <v>#REF!</v>
      </c>
      <c r="I35" s="16" t="e">
        <f t="shared" si="10"/>
        <v>#REF!</v>
      </c>
      <c r="J35" s="10" t="e">
        <f>SUMIFS('Canjes desagregado'!#REF!,'Canjes desagregado'!#REF!,'Nuevo metod Cupón 2.0'!A35)</f>
        <v>#REF!</v>
      </c>
      <c r="K35" s="10" t="e">
        <f t="shared" si="11"/>
        <v>#REF!</v>
      </c>
      <c r="L35" s="10" t="e">
        <f>SUMIFS('Canjes desagregado'!#REF!,'Canjes desagregado'!#REF!,A35)</f>
        <v>#REF!</v>
      </c>
      <c r="M35" s="10" t="e">
        <f>L35+K35</f>
        <v>#REF!</v>
      </c>
      <c r="N35" s="11" t="e">
        <f t="shared" si="5"/>
        <v>#REF!</v>
      </c>
      <c r="O35" s="11" t="e">
        <f t="shared" si="13"/>
        <v>#REF!</v>
      </c>
      <c r="P35" s="17" t="e">
        <f t="shared" si="9"/>
        <v>#REF!</v>
      </c>
      <c r="Q35" s="17"/>
      <c r="R35" s="17"/>
      <c r="S35" s="17">
        <f>VLOOKUP(A35,'[4]Canjes por canasta'!A$3:S$84,15,FALSE)</f>
        <v>0.1160685911984736</v>
      </c>
      <c r="T35" s="41" t="e">
        <f t="shared" si="1"/>
        <v>#REF!</v>
      </c>
      <c r="U35" s="41" t="e">
        <f t="shared" si="2"/>
        <v>#REF!</v>
      </c>
      <c r="V35" s="41" t="str">
        <f t="shared" si="3"/>
        <v/>
      </c>
      <c r="W35" s="42" t="e">
        <f t="shared" si="4"/>
        <v>#REF!</v>
      </c>
      <c r="X35" s="12" t="e">
        <f>SUMIFS('Canjes desagregado'!#REF!,'Canjes desagregado'!#REF!,'Nuevo metod Cupón 2.0'!A35)</f>
        <v>#REF!</v>
      </c>
      <c r="Y35" s="12" t="e">
        <f>SUMIFS('Canjes desagregado'!#REF!,'Canjes desagregado'!#REF!,'Nuevo metod Cupón 2.0'!A35)</f>
        <v>#REF!</v>
      </c>
      <c r="Z35" s="12" t="e">
        <f>SUMIFS('Canjes desagregado'!#REF!,'Canjes desagregado'!#REF!,'Nuevo metod Cupón 2.0'!A35)</f>
        <v>#REF!</v>
      </c>
      <c r="AA35" s="12" t="e">
        <f>SUMIFS('Canjes desagregado'!#REF!,'Canjes desagregado'!#REF!,'Nuevo metod Cupón 2.0'!A35)</f>
        <v>#REF!</v>
      </c>
    </row>
    <row r="36" spans="1:27">
      <c r="A36" s="13">
        <v>31</v>
      </c>
      <c r="B36" s="7" t="s">
        <v>42</v>
      </c>
      <c r="C36" s="67" t="s">
        <v>70</v>
      </c>
      <c r="D36" s="39" t="e">
        <f>VLOOKUP(A36,'Canjes desagregado'!#REF!,6,FALSE)</f>
        <v>#REF!</v>
      </c>
      <c r="E36" s="14">
        <v>44651</v>
      </c>
      <c r="F36" s="15" t="e">
        <f>-SUMIFS('Canjes desagregado'!#REF!,'Canjes desagregado'!#REF!,'Nuevo metod Cupón 2.0'!A36,'Canjes desagregado'!#REF!,"Títulos Recogidos por la Nación")</f>
        <v>#REF!</v>
      </c>
      <c r="G36" s="9" t="e">
        <f>-SUMIFS('Canjes desagregado'!#REF!,'Canjes desagregado'!#REF!,'Nuevo metod Cupón 2.0'!A36)</f>
        <v>#REF!</v>
      </c>
      <c r="H36" s="9" t="e">
        <f>SUMIFS('Canjes desagregado'!#REF!,'Canjes desagregado'!#REF!,'Nuevo metod Cupón 2.0'!A36)</f>
        <v>#REF!</v>
      </c>
      <c r="I36" s="16" t="e">
        <f t="shared" si="10"/>
        <v>#REF!</v>
      </c>
      <c r="J36" s="10" t="e">
        <f>SUMIFS('Canjes desagregado'!#REF!,'Canjes desagregado'!#REF!,'Nuevo metod Cupón 2.0'!A36)</f>
        <v>#REF!</v>
      </c>
      <c r="K36" s="10" t="e">
        <f>J36+H36+G36</f>
        <v>#REF!</v>
      </c>
      <c r="L36" s="10" t="e">
        <f>SUMIFS('Canjes desagregado'!#REF!,'Canjes desagregado'!#REF!,A36)</f>
        <v>#REF!</v>
      </c>
      <c r="M36" s="10" t="e">
        <f t="shared" si="12"/>
        <v>#REF!</v>
      </c>
      <c r="N36" s="11" t="e">
        <f t="shared" si="5"/>
        <v>#REF!</v>
      </c>
      <c r="O36" s="11" t="e">
        <f t="shared" si="13"/>
        <v>#REF!</v>
      </c>
      <c r="P36" s="17" t="e">
        <f t="shared" si="9"/>
        <v>#REF!</v>
      </c>
      <c r="Q36" s="17"/>
      <c r="R36" s="17"/>
      <c r="S36" s="17">
        <f>VLOOKUP(A36,'[4]Canjes por canasta'!A$3:S$84,15,FALSE)</f>
        <v>0.11648657220723196</v>
      </c>
      <c r="T36" s="41" t="e">
        <f t="shared" si="1"/>
        <v>#REF!</v>
      </c>
      <c r="U36" s="41" t="e">
        <f t="shared" si="2"/>
        <v>#REF!</v>
      </c>
      <c r="V36" s="41" t="str">
        <f t="shared" si="3"/>
        <v/>
      </c>
      <c r="W36" s="42" t="e">
        <f t="shared" si="4"/>
        <v>#REF!</v>
      </c>
      <c r="X36" s="12" t="e">
        <f>SUMIFS('Canjes desagregado'!#REF!,'Canjes desagregado'!#REF!,'Nuevo metod Cupón 2.0'!A36)</f>
        <v>#REF!</v>
      </c>
      <c r="Y36" s="12" t="e">
        <f>SUMIFS('Canjes desagregado'!#REF!,'Canjes desagregado'!#REF!,'Nuevo metod Cupón 2.0'!A36)</f>
        <v>#REF!</v>
      </c>
      <c r="Z36" s="12" t="e">
        <f>SUMIFS('Canjes desagregado'!#REF!,'Canjes desagregado'!#REF!,'Nuevo metod Cupón 2.0'!A36)</f>
        <v>#REF!</v>
      </c>
      <c r="AA36" s="12" t="e">
        <f>SUMIFS('Canjes desagregado'!#REF!,'Canjes desagregado'!#REF!,'Nuevo metod Cupón 2.0'!A36)</f>
        <v>#REF!</v>
      </c>
    </row>
    <row r="37" spans="1:27">
      <c r="A37" s="13">
        <v>32</v>
      </c>
      <c r="B37" s="7" t="s">
        <v>42</v>
      </c>
      <c r="C37" s="67" t="s">
        <v>71</v>
      </c>
      <c r="D37" s="39" t="e">
        <f>VLOOKUP(A37,'Canjes desagregado'!#REF!,6,FALSE)</f>
        <v>#REF!</v>
      </c>
      <c r="E37" s="14">
        <v>44652</v>
      </c>
      <c r="F37" s="15" t="e">
        <f>-SUMIFS('Canjes desagregado'!#REF!,'Canjes desagregado'!#REF!,'Nuevo metod Cupón 2.0'!A37,'Canjes desagregado'!#REF!,"Títulos Recogidos por la Nación")</f>
        <v>#REF!</v>
      </c>
      <c r="G37" s="9" t="e">
        <f>-SUMIFS('Canjes desagregado'!#REF!,'Canjes desagregado'!#REF!,'Nuevo metod Cupón 2.0'!A37)</f>
        <v>#REF!</v>
      </c>
      <c r="H37" s="9" t="e">
        <f>SUMIFS('Canjes desagregado'!#REF!,'Canjes desagregado'!#REF!,'Nuevo metod Cupón 2.0'!A37)</f>
        <v>#REF!</v>
      </c>
      <c r="I37" s="16" t="e">
        <f t="shared" si="10"/>
        <v>#REF!</v>
      </c>
      <c r="J37" s="10" t="e">
        <f>SUMIFS('Canjes desagregado'!#REF!,'Canjes desagregado'!#REF!,'Nuevo metod Cupón 2.0'!A37)</f>
        <v>#REF!</v>
      </c>
      <c r="K37" s="10" t="e">
        <f t="shared" si="11"/>
        <v>#REF!</v>
      </c>
      <c r="L37" s="10" t="e">
        <f>SUMIFS('Canjes desagregado'!#REF!,'Canjes desagregado'!#REF!,A37)</f>
        <v>#REF!</v>
      </c>
      <c r="M37" s="10" t="e">
        <f>L37+K37</f>
        <v>#REF!</v>
      </c>
      <c r="N37" s="11" t="e">
        <f t="shared" si="5"/>
        <v>#REF!</v>
      </c>
      <c r="O37" s="11" t="e">
        <f t="shared" si="13"/>
        <v>#REF!</v>
      </c>
      <c r="P37" s="17" t="e">
        <f t="shared" si="9"/>
        <v>#REF!</v>
      </c>
      <c r="Q37" s="17"/>
      <c r="R37" s="17"/>
      <c r="S37" s="17">
        <f>VLOOKUP(A37,'[4]Canjes por canasta'!A$3:S$84,15,FALSE)</f>
        <v>0.1160679424342928</v>
      </c>
      <c r="T37" s="41" t="e">
        <f t="shared" si="1"/>
        <v>#REF!</v>
      </c>
      <c r="U37" s="41" t="e">
        <f t="shared" si="2"/>
        <v>#REF!</v>
      </c>
      <c r="V37" s="41" t="str">
        <f t="shared" si="3"/>
        <v/>
      </c>
      <c r="W37" s="42" t="e">
        <f t="shared" si="4"/>
        <v>#REF!</v>
      </c>
      <c r="X37" s="12" t="e">
        <f>SUMIFS('Canjes desagregado'!#REF!,'Canjes desagregado'!#REF!,'Nuevo metod Cupón 2.0'!A37)</f>
        <v>#REF!</v>
      </c>
      <c r="Y37" s="12" t="e">
        <f>SUMIFS('Canjes desagregado'!#REF!,'Canjes desagregado'!#REF!,'Nuevo metod Cupón 2.0'!A37)</f>
        <v>#REF!</v>
      </c>
      <c r="Z37" s="12" t="e">
        <f>SUMIFS('Canjes desagregado'!#REF!,'Canjes desagregado'!#REF!,'Nuevo metod Cupón 2.0'!A37)</f>
        <v>#REF!</v>
      </c>
      <c r="AA37" s="12" t="e">
        <f>SUMIFS('Canjes desagregado'!#REF!,'Canjes desagregado'!#REF!,'Nuevo metod Cupón 2.0'!A37)</f>
        <v>#REF!</v>
      </c>
    </row>
    <row r="38" spans="1:27">
      <c r="A38" s="13">
        <v>33</v>
      </c>
      <c r="B38" s="7" t="s">
        <v>42</v>
      </c>
      <c r="C38" s="67" t="s">
        <v>72</v>
      </c>
      <c r="D38" s="39" t="e">
        <f>VLOOKUP(A38,'Canjes desagregado'!#REF!,6,FALSE)</f>
        <v>#REF!</v>
      </c>
      <c r="E38" s="14">
        <v>44655</v>
      </c>
      <c r="F38" s="15" t="e">
        <f>-SUMIFS('Canjes desagregado'!#REF!,'Canjes desagregado'!#REF!,'Nuevo metod Cupón 2.0'!A38,'Canjes desagregado'!#REF!,"Títulos Recogidos por la Nación")</f>
        <v>#REF!</v>
      </c>
      <c r="G38" s="9" t="e">
        <f>-SUMIFS('Canjes desagregado'!#REF!,'Canjes desagregado'!#REF!,'Nuevo metod Cupón 2.0'!A38)</f>
        <v>#REF!</v>
      </c>
      <c r="H38" s="9" t="e">
        <f>SUMIFS('Canjes desagregado'!#REF!,'Canjes desagregado'!#REF!,'Nuevo metod Cupón 2.0'!A38)</f>
        <v>#REF!</v>
      </c>
      <c r="I38" s="16" t="e">
        <f t="shared" si="10"/>
        <v>#REF!</v>
      </c>
      <c r="J38" s="10" t="e">
        <f>SUMIFS('Canjes desagregado'!#REF!,'Canjes desagregado'!#REF!,'Nuevo metod Cupón 2.0'!A38)</f>
        <v>#REF!</v>
      </c>
      <c r="K38" s="10" t="e">
        <f t="shared" si="11"/>
        <v>#REF!</v>
      </c>
      <c r="L38" s="10" t="e">
        <f>SUMIFS('Canjes desagregado'!#REF!,'Canjes desagregado'!#REF!,A38)</f>
        <v>#REF!</v>
      </c>
      <c r="M38" s="10" t="e">
        <f t="shared" si="12"/>
        <v>#REF!</v>
      </c>
      <c r="N38" s="11" t="e">
        <f t="shared" si="5"/>
        <v>#REF!</v>
      </c>
      <c r="O38" s="11" t="e">
        <f t="shared" si="13"/>
        <v>#REF!</v>
      </c>
      <c r="P38" s="17" t="e">
        <f t="shared" si="9"/>
        <v>#REF!</v>
      </c>
      <c r="Q38" s="17"/>
      <c r="R38" s="17"/>
      <c r="S38" s="17">
        <f>VLOOKUP(A38,'[4]Canjes por canasta'!A$3:S$84,15,FALSE)</f>
        <v>0.11477470149202057</v>
      </c>
      <c r="T38" s="41" t="e">
        <f t="shared" si="1"/>
        <v>#REF!</v>
      </c>
      <c r="U38" s="41" t="e">
        <f t="shared" si="2"/>
        <v>#REF!</v>
      </c>
      <c r="V38" s="41" t="str">
        <f t="shared" si="3"/>
        <v/>
      </c>
      <c r="W38" s="42" t="e">
        <f t="shared" si="4"/>
        <v>#REF!</v>
      </c>
      <c r="X38" s="12" t="e">
        <f>SUMIFS('Canjes desagregado'!#REF!,'Canjes desagregado'!#REF!,'Nuevo metod Cupón 2.0'!A38)</f>
        <v>#REF!</v>
      </c>
      <c r="Y38" s="12" t="e">
        <f>SUMIFS('Canjes desagregado'!#REF!,'Canjes desagregado'!#REF!,'Nuevo metod Cupón 2.0'!A38)</f>
        <v>#REF!</v>
      </c>
      <c r="Z38" s="12" t="e">
        <f>SUMIFS('Canjes desagregado'!#REF!,'Canjes desagregado'!#REF!,'Nuevo metod Cupón 2.0'!A38)</f>
        <v>#REF!</v>
      </c>
      <c r="AA38" s="12" t="e">
        <f>SUMIFS('Canjes desagregado'!#REF!,'Canjes desagregado'!#REF!,'Nuevo metod Cupón 2.0'!A38)</f>
        <v>#REF!</v>
      </c>
    </row>
    <row r="39" spans="1:27">
      <c r="A39" s="13">
        <v>34</v>
      </c>
      <c r="B39" s="7" t="s">
        <v>42</v>
      </c>
      <c r="C39" s="67" t="s">
        <v>73</v>
      </c>
      <c r="D39" s="39" t="e">
        <f>VLOOKUP(A39,'Canjes desagregado'!#REF!,6,FALSE)</f>
        <v>#REF!</v>
      </c>
      <c r="E39" s="14">
        <v>44656</v>
      </c>
      <c r="F39" s="15" t="e">
        <f>-SUMIFS('Canjes desagregado'!#REF!,'Canjes desagregado'!#REF!,'Nuevo metod Cupón 2.0'!A39,'Canjes desagregado'!#REF!,"Títulos Recogidos por la Nación")</f>
        <v>#REF!</v>
      </c>
      <c r="G39" s="9" t="e">
        <f>-SUMIFS('Canjes desagregado'!#REF!,'Canjes desagregado'!#REF!,'Nuevo metod Cupón 2.0'!A39)</f>
        <v>#REF!</v>
      </c>
      <c r="H39" s="9" t="e">
        <f>SUMIFS('Canjes desagregado'!#REF!,'Canjes desagregado'!#REF!,'Nuevo metod Cupón 2.0'!A39)</f>
        <v>#REF!</v>
      </c>
      <c r="I39" s="16" t="e">
        <f t="shared" si="10"/>
        <v>#REF!</v>
      </c>
      <c r="J39" s="10" t="e">
        <f>SUMIFS('Canjes desagregado'!#REF!,'Canjes desagregado'!#REF!,'Nuevo metod Cupón 2.0'!A39)</f>
        <v>#REF!</v>
      </c>
      <c r="K39" s="10" t="e">
        <f t="shared" si="11"/>
        <v>#REF!</v>
      </c>
      <c r="L39" s="10" t="e">
        <f>SUMIFS('Canjes desagregado'!#REF!,'Canjes desagregado'!#REF!,A39)</f>
        <v>#REF!</v>
      </c>
      <c r="M39" s="10" t="e">
        <f t="shared" si="12"/>
        <v>#REF!</v>
      </c>
      <c r="N39" s="11" t="e">
        <f t="shared" si="5"/>
        <v>#REF!</v>
      </c>
      <c r="O39" s="11" t="e">
        <f t="shared" si="13"/>
        <v>#REF!</v>
      </c>
      <c r="P39" s="17" t="e">
        <f t="shared" si="9"/>
        <v>#REF!</v>
      </c>
      <c r="Q39" s="17"/>
      <c r="R39" s="17"/>
      <c r="S39" s="17">
        <f>VLOOKUP(A39,'[4]Canjes por canasta'!A$3:S$84,15,FALSE)</f>
        <v>0.11650782101983229</v>
      </c>
      <c r="T39" s="41" t="e">
        <f t="shared" si="1"/>
        <v>#REF!</v>
      </c>
      <c r="U39" s="41" t="e">
        <f t="shared" si="2"/>
        <v>#REF!</v>
      </c>
      <c r="V39" s="41" t="str">
        <f t="shared" si="3"/>
        <v/>
      </c>
      <c r="W39" s="42" t="e">
        <f t="shared" si="4"/>
        <v>#REF!</v>
      </c>
      <c r="X39" s="12" t="e">
        <f>SUMIFS('Canjes desagregado'!#REF!,'Canjes desagregado'!#REF!,'Nuevo metod Cupón 2.0'!A39)</f>
        <v>#REF!</v>
      </c>
      <c r="Y39" s="12" t="e">
        <f>SUMIFS('Canjes desagregado'!#REF!,'Canjes desagregado'!#REF!,'Nuevo metod Cupón 2.0'!A39)</f>
        <v>#REF!</v>
      </c>
      <c r="Z39" s="12" t="e">
        <f>SUMIFS('Canjes desagregado'!#REF!,'Canjes desagregado'!#REF!,'Nuevo metod Cupón 2.0'!A39)</f>
        <v>#REF!</v>
      </c>
      <c r="AA39" s="12" t="e">
        <f>SUMIFS('Canjes desagregado'!#REF!,'Canjes desagregado'!#REF!,'Nuevo metod Cupón 2.0'!A39)</f>
        <v>#REF!</v>
      </c>
    </row>
    <row r="40" spans="1:27">
      <c r="A40" s="13">
        <v>35</v>
      </c>
      <c r="B40" s="7" t="s">
        <v>42</v>
      </c>
      <c r="C40" s="67" t="s">
        <v>74</v>
      </c>
      <c r="D40" s="39" t="e">
        <f>VLOOKUP(A40,'Canjes desagregado'!#REF!,6,FALSE)</f>
        <v>#REF!</v>
      </c>
      <c r="E40" s="14">
        <v>44657</v>
      </c>
      <c r="F40" s="15" t="e">
        <f>-SUMIFS('Canjes desagregado'!#REF!,'Canjes desagregado'!#REF!,'Nuevo metod Cupón 2.0'!A40,'Canjes desagregado'!#REF!,"Títulos Recogidos por la Nación")</f>
        <v>#REF!</v>
      </c>
      <c r="G40" s="9" t="e">
        <f>-SUMIFS('Canjes desagregado'!#REF!,'Canjes desagregado'!#REF!,'Nuevo metod Cupón 2.0'!A40)</f>
        <v>#REF!</v>
      </c>
      <c r="H40" s="9" t="e">
        <f>SUMIFS('Canjes desagregado'!#REF!,'Canjes desagregado'!#REF!,'Nuevo metod Cupón 2.0'!A40)</f>
        <v>#REF!</v>
      </c>
      <c r="I40" s="16" t="e">
        <f t="shared" si="10"/>
        <v>#REF!</v>
      </c>
      <c r="J40" s="10" t="e">
        <f>SUMIFS('Canjes desagregado'!#REF!,'Canjes desagregado'!#REF!,'Nuevo metod Cupón 2.0'!A40)</f>
        <v>#REF!</v>
      </c>
      <c r="K40" s="10" t="e">
        <f t="shared" si="11"/>
        <v>#REF!</v>
      </c>
      <c r="L40" s="10" t="e">
        <f>SUMIFS('Canjes desagregado'!#REF!,'Canjes desagregado'!#REF!,A40)</f>
        <v>#REF!</v>
      </c>
      <c r="M40" s="10" t="e">
        <f t="shared" si="12"/>
        <v>#REF!</v>
      </c>
      <c r="N40" s="11" t="e">
        <f t="shared" si="5"/>
        <v>#REF!</v>
      </c>
      <c r="O40" s="11" t="e">
        <f t="shared" si="13"/>
        <v>#REF!</v>
      </c>
      <c r="P40" s="17" t="e">
        <f t="shared" si="9"/>
        <v>#REF!</v>
      </c>
      <c r="Q40" s="17"/>
      <c r="R40" s="17"/>
      <c r="S40" s="17">
        <f>VLOOKUP(A40,'[4]Canjes por canasta'!A$3:S$84,15,FALSE)</f>
        <v>0.11995638483875824</v>
      </c>
      <c r="T40" s="41" t="e">
        <f t="shared" si="1"/>
        <v>#REF!</v>
      </c>
      <c r="U40" s="41" t="e">
        <f t="shared" si="2"/>
        <v>#REF!</v>
      </c>
      <c r="V40" s="41" t="str">
        <f t="shared" si="3"/>
        <v/>
      </c>
      <c r="W40" s="42" t="e">
        <f t="shared" si="4"/>
        <v>#REF!</v>
      </c>
      <c r="X40" s="12" t="e">
        <f>SUMIFS('Canjes desagregado'!#REF!,'Canjes desagregado'!#REF!,'Nuevo metod Cupón 2.0'!A40)</f>
        <v>#REF!</v>
      </c>
      <c r="Y40" s="12" t="e">
        <f>SUMIFS('Canjes desagregado'!#REF!,'Canjes desagregado'!#REF!,'Nuevo metod Cupón 2.0'!A40)</f>
        <v>#REF!</v>
      </c>
      <c r="Z40" s="12" t="e">
        <f>SUMIFS('Canjes desagregado'!#REF!,'Canjes desagregado'!#REF!,'Nuevo metod Cupón 2.0'!A40)</f>
        <v>#REF!</v>
      </c>
      <c r="AA40" s="12" t="e">
        <f>SUMIFS('Canjes desagregado'!#REF!,'Canjes desagregado'!#REF!,'Nuevo metod Cupón 2.0'!A40)</f>
        <v>#REF!</v>
      </c>
    </row>
    <row r="41" spans="1:27">
      <c r="A41" s="13">
        <v>36</v>
      </c>
      <c r="B41" s="7" t="s">
        <v>42</v>
      </c>
      <c r="C41" s="67" t="s">
        <v>75</v>
      </c>
      <c r="D41" s="39" t="e">
        <f>VLOOKUP(A41,'Canjes desagregado'!#REF!,6,FALSE)</f>
        <v>#REF!</v>
      </c>
      <c r="E41" s="14">
        <v>44658</v>
      </c>
      <c r="F41" s="15" t="e">
        <f>-SUMIFS('Canjes desagregado'!#REF!,'Canjes desagregado'!#REF!,'Nuevo metod Cupón 2.0'!A41,'Canjes desagregado'!#REF!,"Títulos Recogidos por la Nación")</f>
        <v>#REF!</v>
      </c>
      <c r="G41" s="9" t="e">
        <f>-SUMIFS('Canjes desagregado'!#REF!,'Canjes desagregado'!#REF!,'Nuevo metod Cupón 2.0'!A41)</f>
        <v>#REF!</v>
      </c>
      <c r="H41" s="9" t="e">
        <f>SUMIFS('Canjes desagregado'!#REF!,'Canjes desagregado'!#REF!,'Nuevo metod Cupón 2.0'!A41)</f>
        <v>#REF!</v>
      </c>
      <c r="I41" s="16" t="e">
        <f t="shared" si="10"/>
        <v>#REF!</v>
      </c>
      <c r="J41" s="10" t="e">
        <f>SUMIFS('Canjes desagregado'!#REF!,'Canjes desagregado'!#REF!,'Nuevo metod Cupón 2.0'!A41)</f>
        <v>#REF!</v>
      </c>
      <c r="K41" s="10" t="e">
        <f>J41+H41+G41</f>
        <v>#REF!</v>
      </c>
      <c r="L41" s="10" t="e">
        <f>SUMIFS('Canjes desagregado'!#REF!,'Canjes desagregado'!#REF!,A41)</f>
        <v>#REF!</v>
      </c>
      <c r="M41" s="10" t="e">
        <f t="shared" si="12"/>
        <v>#REF!</v>
      </c>
      <c r="N41" s="11" t="e">
        <f t="shared" si="5"/>
        <v>#REF!</v>
      </c>
      <c r="O41" s="11" t="e">
        <f>K41/F41</f>
        <v>#REF!</v>
      </c>
      <c r="P41" s="17" t="e">
        <f t="shared" si="9"/>
        <v>#REF!</v>
      </c>
      <c r="Q41" s="17"/>
      <c r="R41" s="17"/>
      <c r="S41" s="17">
        <f>VLOOKUP(A41,'[4]Canjes por canasta'!A$3:S$84,15,FALSE)</f>
        <v>0.12032398958276594</v>
      </c>
      <c r="T41" s="41" t="e">
        <f t="shared" si="1"/>
        <v>#REF!</v>
      </c>
      <c r="U41" s="41" t="e">
        <f t="shared" si="2"/>
        <v>#REF!</v>
      </c>
      <c r="V41" s="41" t="str">
        <f t="shared" si="3"/>
        <v/>
      </c>
      <c r="W41" s="42" t="e">
        <f t="shared" si="4"/>
        <v>#REF!</v>
      </c>
      <c r="X41" s="12" t="e">
        <f>SUMIFS('Canjes desagregado'!#REF!,'Canjes desagregado'!#REF!,'Nuevo metod Cupón 2.0'!A41)</f>
        <v>#REF!</v>
      </c>
      <c r="Y41" s="12" t="e">
        <f>SUMIFS('Canjes desagregado'!#REF!,'Canjes desagregado'!#REF!,'Nuevo metod Cupón 2.0'!A41)</f>
        <v>#REF!</v>
      </c>
      <c r="Z41" s="12" t="e">
        <f>SUMIFS('Canjes desagregado'!#REF!,'Canjes desagregado'!#REF!,'Nuevo metod Cupón 2.0'!A41)</f>
        <v>#REF!</v>
      </c>
      <c r="AA41" s="12" t="e">
        <f>SUMIFS('Canjes desagregado'!#REF!,'Canjes desagregado'!#REF!,'Nuevo metod Cupón 2.0'!A41)</f>
        <v>#REF!</v>
      </c>
    </row>
    <row r="42" spans="1:27">
      <c r="A42" s="13">
        <v>37</v>
      </c>
      <c r="B42" s="7" t="s">
        <v>42</v>
      </c>
      <c r="C42" s="67" t="s">
        <v>76</v>
      </c>
      <c r="D42" s="39" t="e">
        <f>VLOOKUP(A42,'Canjes desagregado'!#REF!,6,FALSE)</f>
        <v>#REF!</v>
      </c>
      <c r="E42" s="14">
        <v>44659</v>
      </c>
      <c r="F42" s="15" t="e">
        <f>-SUMIFS('Canjes desagregado'!#REF!,'Canjes desagregado'!#REF!,'Nuevo metod Cupón 2.0'!A42,'Canjes desagregado'!#REF!,"Títulos Recogidos por la Nación")</f>
        <v>#REF!</v>
      </c>
      <c r="G42" s="9" t="e">
        <f>-SUMIFS('Canjes desagregado'!#REF!,'Canjes desagregado'!#REF!,'Nuevo metod Cupón 2.0'!A42)</f>
        <v>#REF!</v>
      </c>
      <c r="H42" s="9" t="e">
        <f>SUMIFS('Canjes desagregado'!#REF!,'Canjes desagregado'!#REF!,'Nuevo metod Cupón 2.0'!A42)</f>
        <v>#REF!</v>
      </c>
      <c r="I42" s="16" t="e">
        <f t="shared" si="10"/>
        <v>#REF!</v>
      </c>
      <c r="J42" s="10" t="e">
        <f>SUMIFS('Canjes desagregado'!#REF!,'Canjes desagregado'!#REF!,'Nuevo metod Cupón 2.0'!A42)</f>
        <v>#REF!</v>
      </c>
      <c r="K42" s="10" t="e">
        <f>J42+H42+G42</f>
        <v>#REF!</v>
      </c>
      <c r="L42" s="10" t="e">
        <f>SUMIFS('Canjes desagregado'!#REF!,'Canjes desagregado'!#REF!,A42)</f>
        <v>#REF!</v>
      </c>
      <c r="M42" s="10" t="e">
        <f t="shared" si="12"/>
        <v>#REF!</v>
      </c>
      <c r="N42" s="11" t="e">
        <f t="shared" si="5"/>
        <v>#REF!</v>
      </c>
      <c r="O42" s="11" t="e">
        <f t="shared" si="13"/>
        <v>#REF!</v>
      </c>
      <c r="P42" s="17" t="e">
        <f t="shared" si="9"/>
        <v>#REF!</v>
      </c>
      <c r="Q42" s="17"/>
      <c r="R42" s="17"/>
      <c r="S42" s="17">
        <f>VLOOKUP(A42,'[4]Canjes por canasta'!A$3:S$84,15,FALSE)</f>
        <v>0.12139354823504429</v>
      </c>
      <c r="T42" s="41" t="e">
        <f t="shared" si="1"/>
        <v>#REF!</v>
      </c>
      <c r="U42" s="41" t="e">
        <f t="shared" si="2"/>
        <v>#REF!</v>
      </c>
      <c r="V42" s="41" t="str">
        <f t="shared" si="3"/>
        <v/>
      </c>
      <c r="W42" s="42" t="e">
        <f>(G42+H42+J42+L42)/F42</f>
        <v>#REF!</v>
      </c>
      <c r="X42" s="12" t="e">
        <f>SUMIFS('Canjes desagregado'!#REF!,'Canjes desagregado'!#REF!,'Nuevo metod Cupón 2.0'!A42)</f>
        <v>#REF!</v>
      </c>
      <c r="Y42" s="12" t="e">
        <f>SUMIFS('Canjes desagregado'!#REF!,'Canjes desagregado'!#REF!,'Nuevo metod Cupón 2.0'!A42)</f>
        <v>#REF!</v>
      </c>
      <c r="Z42" s="12" t="e">
        <f>SUMIFS('Canjes desagregado'!#REF!,'Canjes desagregado'!#REF!,'Nuevo metod Cupón 2.0'!A42)</f>
        <v>#REF!</v>
      </c>
      <c r="AA42" s="12" t="e">
        <f>SUMIFS('Canjes desagregado'!#REF!,'Canjes desagregado'!#REF!,'Nuevo metod Cupón 2.0'!A42)</f>
        <v>#REF!</v>
      </c>
    </row>
    <row r="43" spans="1:27">
      <c r="A43" s="13">
        <v>38</v>
      </c>
      <c r="B43" s="7" t="s">
        <v>42</v>
      </c>
      <c r="C43" s="67" t="s">
        <v>77</v>
      </c>
      <c r="D43" s="39" t="e">
        <f>VLOOKUP(A43,'Canjes desagregado'!#REF!,6,FALSE)</f>
        <v>#REF!</v>
      </c>
      <c r="E43" s="14">
        <v>44670</v>
      </c>
      <c r="F43" s="15" t="e">
        <f>-SUMIFS('Canjes desagregado'!#REF!,'Canjes desagregado'!#REF!,'Nuevo metod Cupón 2.0'!A43,'Canjes desagregado'!#REF!,"Títulos Recogidos por la Nación")</f>
        <v>#REF!</v>
      </c>
      <c r="G43" s="9" t="e">
        <f>-SUMIFS('Canjes desagregado'!#REF!,'Canjes desagregado'!#REF!,'Nuevo metod Cupón 2.0'!A43)</f>
        <v>#REF!</v>
      </c>
      <c r="H43" s="9" t="e">
        <f>SUMIFS('Canjes desagregado'!#REF!,'Canjes desagregado'!#REF!,'Nuevo metod Cupón 2.0'!A43)</f>
        <v>#REF!</v>
      </c>
      <c r="I43" s="16" t="e">
        <f t="shared" si="10"/>
        <v>#REF!</v>
      </c>
      <c r="J43" s="10" t="e">
        <f>SUMIFS('Canjes desagregado'!#REF!,'Canjes desagregado'!#REF!,'Nuevo metod Cupón 2.0'!A43)</f>
        <v>#REF!</v>
      </c>
      <c r="K43" s="10" t="e">
        <f>J43+H43+G43</f>
        <v>#REF!</v>
      </c>
      <c r="L43" s="10" t="e">
        <f>SUMIFS('Canjes desagregado'!#REF!,'Canjes desagregado'!#REF!,'Nuevo metod Cupón 2.0'!A43)</f>
        <v>#REF!</v>
      </c>
      <c r="M43" s="10" t="e">
        <f t="shared" si="12"/>
        <v>#REF!</v>
      </c>
      <c r="N43" s="11" t="e">
        <f t="shared" si="5"/>
        <v>#REF!</v>
      </c>
      <c r="O43" s="11" t="e">
        <f t="shared" si="13"/>
        <v>#REF!</v>
      </c>
      <c r="P43" s="17" t="e">
        <f t="shared" si="9"/>
        <v>#REF!</v>
      </c>
      <c r="Q43" s="17"/>
      <c r="R43" s="17"/>
      <c r="S43" s="17">
        <f>VLOOKUP(A43,'[4]Canjes por canasta'!A$3:S$84,15,FALSE)</f>
        <v>0.12229208971834019</v>
      </c>
      <c r="T43" s="41" t="e">
        <f t="shared" si="1"/>
        <v>#REF!</v>
      </c>
      <c r="U43" s="41" t="e">
        <f t="shared" si="2"/>
        <v>#REF!</v>
      </c>
      <c r="V43" s="41" t="str">
        <f t="shared" si="3"/>
        <v/>
      </c>
      <c r="W43" s="42" t="e">
        <f t="shared" si="4"/>
        <v>#REF!</v>
      </c>
      <c r="X43" s="12" t="e">
        <f>SUMIFS('Canjes desagregado'!#REF!,'Canjes desagregado'!#REF!,'Nuevo metod Cupón 2.0'!A43)</f>
        <v>#REF!</v>
      </c>
      <c r="Y43" s="12" t="e">
        <f>SUMIFS('Canjes desagregado'!#REF!,'Canjes desagregado'!#REF!,'Nuevo metod Cupón 2.0'!A43)</f>
        <v>#REF!</v>
      </c>
      <c r="Z43" s="12" t="e">
        <f>SUMIFS('Canjes desagregado'!#REF!,'Canjes desagregado'!#REF!,'Nuevo metod Cupón 2.0'!A43)</f>
        <v>#REF!</v>
      </c>
      <c r="AA43" s="12" t="e">
        <f>SUMIFS('Canjes desagregado'!#REF!,'Canjes desagregado'!#REF!,'Nuevo metod Cupón 2.0'!A43)</f>
        <v>#REF!</v>
      </c>
    </row>
    <row r="44" spans="1:27">
      <c r="A44" s="13">
        <v>39</v>
      </c>
      <c r="B44" s="7" t="s">
        <v>12</v>
      </c>
      <c r="C44" s="67" t="s">
        <v>78</v>
      </c>
      <c r="D44" s="39" t="e">
        <f>VLOOKUP(A44,'Canjes desagregado'!#REF!,6,FALSE)</f>
        <v>#REF!</v>
      </c>
      <c r="E44" s="14" t="e">
        <f>VLOOKUP(A44,'Canjes desagregado'!#REF!,2,FALSE)</f>
        <v>#REF!</v>
      </c>
      <c r="F44" s="15" t="e">
        <f>-SUMIFS('Canjes desagregado'!#REF!,'Canjes desagregado'!#REF!,'Nuevo metod Cupón 2.0'!A44,'Canjes desagregado'!#REF!,"Títulos Recogidos por la Nación")</f>
        <v>#REF!</v>
      </c>
      <c r="G44" s="9" t="e">
        <f>-SUMIFS('Canjes desagregado'!#REF!,'Canjes desagregado'!#REF!,'Nuevo metod Cupón 2.0'!A44)</f>
        <v>#REF!</v>
      </c>
      <c r="H44" s="9" t="e">
        <f>SUMIFS('Canjes desagregado'!#REF!,'Canjes desagregado'!#REF!,'Nuevo metod Cupón 2.0'!A44)</f>
        <v>#REF!</v>
      </c>
      <c r="I44" s="16" t="e">
        <f t="shared" si="10"/>
        <v>#REF!</v>
      </c>
      <c r="J44" s="10" t="e">
        <f>SUMIFS('Canjes desagregado'!#REF!,'Canjes desagregado'!#REF!,'Nuevo metod Cupón 2.0'!A44)</f>
        <v>#REF!</v>
      </c>
      <c r="K44" s="10" t="e">
        <f t="shared" ref="K44:K107" si="14">J44+H44+G44</f>
        <v>#REF!</v>
      </c>
      <c r="L44" s="10" t="e">
        <f>SUMIFS('Canjes desagregado'!#REF!,'Canjes desagregado'!#REF!,'Nuevo metod Cupón 2.0'!A44)</f>
        <v>#REF!</v>
      </c>
      <c r="M44" s="10" t="e">
        <f t="shared" si="12"/>
        <v>#REF!</v>
      </c>
      <c r="N44" s="11" t="e">
        <f t="shared" si="5"/>
        <v>#REF!</v>
      </c>
      <c r="O44" s="11" t="e">
        <f t="shared" si="13"/>
        <v>#REF!</v>
      </c>
      <c r="P44" s="17" t="e">
        <f t="shared" si="9"/>
        <v>#REF!</v>
      </c>
      <c r="Q44" s="17"/>
      <c r="R44" s="17"/>
      <c r="S44" s="17">
        <f>VLOOKUP(A44,'[4]Canjes por canasta'!A$3:S$84,15,FALSE)</f>
        <v>0.12991028582779535</v>
      </c>
      <c r="T44" s="41" t="e">
        <f t="shared" si="1"/>
        <v>#REF!</v>
      </c>
      <c r="U44" s="41" t="str">
        <f t="shared" si="2"/>
        <v/>
      </c>
      <c r="V44" s="41" t="e">
        <f t="shared" si="3"/>
        <v>#REF!</v>
      </c>
      <c r="W44" s="42" t="e">
        <f t="shared" si="4"/>
        <v>#REF!</v>
      </c>
      <c r="X44" s="12" t="e">
        <f>SUMIFS('Canjes desagregado'!#REF!,'Canjes desagregado'!#REF!,'Nuevo metod Cupón 2.0'!A44)</f>
        <v>#REF!</v>
      </c>
      <c r="Y44" s="12" t="e">
        <f>SUMIFS('Canjes desagregado'!#REF!,'Canjes desagregado'!#REF!,'Nuevo metod Cupón 2.0'!A44)</f>
        <v>#REF!</v>
      </c>
      <c r="Z44" s="12" t="e">
        <f>SUMIFS('Canjes desagregado'!#REF!,'Canjes desagregado'!#REF!,'Nuevo metod Cupón 2.0'!A44)</f>
        <v>#REF!</v>
      </c>
      <c r="AA44" s="12" t="e">
        <f>SUMIFS('Canjes desagregado'!#REF!,'Canjes desagregado'!#REF!,'Nuevo metod Cupón 2.0'!A44)</f>
        <v>#REF!</v>
      </c>
    </row>
    <row r="45" spans="1:27">
      <c r="A45" s="13">
        <v>40</v>
      </c>
      <c r="B45" s="7" t="s">
        <v>42</v>
      </c>
      <c r="C45" s="67" t="s">
        <v>79</v>
      </c>
      <c r="D45" s="39" t="e">
        <f>VLOOKUP(A45,'Canjes desagregado'!#REF!,6,FALSE)</f>
        <v>#REF!</v>
      </c>
      <c r="E45" s="14" t="e">
        <f>VLOOKUP(A45,'Canjes desagregado'!#REF!,2,FALSE)</f>
        <v>#REF!</v>
      </c>
      <c r="F45" s="15" t="e">
        <f>-SUMIFS('Canjes desagregado'!#REF!,'Canjes desagregado'!#REF!,'Nuevo metod Cupón 2.0'!A45,'Canjes desagregado'!#REF!,"Títulos Recogidos por la Nación")</f>
        <v>#REF!</v>
      </c>
      <c r="G45" s="9" t="e">
        <f>-SUMIFS('Canjes desagregado'!#REF!,'Canjes desagregado'!#REF!,'Nuevo metod Cupón 2.0'!A45)</f>
        <v>#REF!</v>
      </c>
      <c r="H45" s="9" t="e">
        <f>SUMIFS('Canjes desagregado'!#REF!,'Canjes desagregado'!#REF!,'Nuevo metod Cupón 2.0'!A45)</f>
        <v>#REF!</v>
      </c>
      <c r="I45" s="16" t="e">
        <f t="shared" si="10"/>
        <v>#REF!</v>
      </c>
      <c r="J45" s="10" t="e">
        <f>SUMIFS('Canjes desagregado'!#REF!,'Canjes desagregado'!#REF!,'Nuevo metod Cupón 2.0'!A45)</f>
        <v>#REF!</v>
      </c>
      <c r="K45" s="10" t="e">
        <f t="shared" si="14"/>
        <v>#REF!</v>
      </c>
      <c r="L45" s="10" t="e">
        <f>SUMIFS('Canjes desagregado'!#REF!,'Canjes desagregado'!#REF!,'Nuevo metod Cupón 2.0'!A45)</f>
        <v>#REF!</v>
      </c>
      <c r="M45" s="10" t="e">
        <f t="shared" si="12"/>
        <v>#REF!</v>
      </c>
      <c r="N45" s="11" t="e">
        <f t="shared" si="5"/>
        <v>#REF!</v>
      </c>
      <c r="O45" s="11" t="e">
        <f t="shared" si="13"/>
        <v>#REF!</v>
      </c>
      <c r="P45" s="17" t="e">
        <f t="shared" si="9"/>
        <v>#REF!</v>
      </c>
      <c r="Q45" s="17"/>
      <c r="R45" s="17"/>
      <c r="S45" s="17">
        <f>VLOOKUP(A45,'[4]Canjes por canasta'!A$3:S$84,15,FALSE)</f>
        <v>0.14056803105459015</v>
      </c>
      <c r="T45" s="41" t="e">
        <f t="shared" si="1"/>
        <v>#REF!</v>
      </c>
      <c r="U45" s="41" t="e">
        <f t="shared" si="2"/>
        <v>#REF!</v>
      </c>
      <c r="V45" s="41" t="str">
        <f t="shared" si="3"/>
        <v/>
      </c>
      <c r="W45" s="42" t="e">
        <f t="shared" si="4"/>
        <v>#REF!</v>
      </c>
      <c r="X45" s="12" t="e">
        <f>SUMIFS('Canjes desagregado'!#REF!,'Canjes desagregado'!#REF!,'Nuevo metod Cupón 2.0'!A45)</f>
        <v>#REF!</v>
      </c>
      <c r="Y45" s="12" t="e">
        <f>SUMIFS('Canjes desagregado'!#REF!,'Canjes desagregado'!#REF!,'Nuevo metod Cupón 2.0'!A45)</f>
        <v>#REF!</v>
      </c>
      <c r="Z45" s="12" t="e">
        <f>SUMIFS('Canjes desagregado'!#REF!,'Canjes desagregado'!#REF!,'Nuevo metod Cupón 2.0'!A45)</f>
        <v>#REF!</v>
      </c>
      <c r="AA45" s="12" t="e">
        <f>SUMIFS('Canjes desagregado'!#REF!,'Canjes desagregado'!#REF!,'Nuevo metod Cupón 2.0'!A45)</f>
        <v>#REF!</v>
      </c>
    </row>
    <row r="46" spans="1:27">
      <c r="A46" s="13">
        <v>41</v>
      </c>
      <c r="B46" s="7" t="s">
        <v>42</v>
      </c>
      <c r="C46" s="67" t="s">
        <v>80</v>
      </c>
      <c r="D46" s="39" t="e">
        <f>VLOOKUP(A46,'Canjes desagregado'!#REF!,6,FALSE)</f>
        <v>#REF!</v>
      </c>
      <c r="E46" s="14" t="e">
        <f>VLOOKUP(A46,'Canjes desagregado'!#REF!,2,FALSE)</f>
        <v>#REF!</v>
      </c>
      <c r="F46" s="15" t="e">
        <f>-SUMIFS('Canjes desagregado'!#REF!,'Canjes desagregado'!#REF!,'Nuevo metod Cupón 2.0'!A46,'Canjes desagregado'!#REF!,"Títulos Recogidos por la Nación")</f>
        <v>#REF!</v>
      </c>
      <c r="G46" s="9" t="e">
        <f>-SUMIFS('Canjes desagregado'!#REF!,'Canjes desagregado'!#REF!,'Nuevo metod Cupón 2.0'!A46)</f>
        <v>#REF!</v>
      </c>
      <c r="H46" s="9" t="e">
        <f>SUMIFS('Canjes desagregado'!#REF!,'Canjes desagregado'!#REF!,'Nuevo metod Cupón 2.0'!A46)</f>
        <v>#REF!</v>
      </c>
      <c r="I46" s="16" t="e">
        <f t="shared" si="10"/>
        <v>#REF!</v>
      </c>
      <c r="J46" s="10" t="e">
        <f>SUMIFS('Canjes desagregado'!#REF!,'Canjes desagregado'!#REF!,'Nuevo metod Cupón 2.0'!A46)</f>
        <v>#REF!</v>
      </c>
      <c r="K46" s="10" t="e">
        <f t="shared" si="14"/>
        <v>#REF!</v>
      </c>
      <c r="L46" s="10" t="e">
        <f>SUMIFS('Canjes desagregado'!#REF!,'Canjes desagregado'!#REF!,'Nuevo metod Cupón 2.0'!A46)</f>
        <v>#REF!</v>
      </c>
      <c r="M46" s="10" t="e">
        <f t="shared" si="12"/>
        <v>#REF!</v>
      </c>
      <c r="N46" s="11" t="e">
        <f t="shared" si="5"/>
        <v>#REF!</v>
      </c>
      <c r="O46" s="11" t="e">
        <f t="shared" si="13"/>
        <v>#REF!</v>
      </c>
      <c r="P46" s="17" t="e">
        <f t="shared" si="9"/>
        <v>#REF!</v>
      </c>
      <c r="Q46" s="17"/>
      <c r="R46" s="17"/>
      <c r="S46" s="17">
        <f>VLOOKUP(A46,'[4]Canjes por canasta'!A$3:S$84,15,FALSE)</f>
        <v>0.13443742720373181</v>
      </c>
      <c r="T46" s="41" t="e">
        <f t="shared" si="1"/>
        <v>#REF!</v>
      </c>
      <c r="U46" s="41" t="e">
        <f t="shared" si="2"/>
        <v>#REF!</v>
      </c>
      <c r="V46" s="41" t="str">
        <f t="shared" si="3"/>
        <v/>
      </c>
      <c r="W46" s="42" t="e">
        <f t="shared" si="4"/>
        <v>#REF!</v>
      </c>
      <c r="X46" s="12" t="e">
        <f>SUMIFS('Canjes desagregado'!#REF!,'Canjes desagregado'!#REF!,'Nuevo metod Cupón 2.0'!A46)</f>
        <v>#REF!</v>
      </c>
      <c r="Y46" s="12" t="e">
        <f>SUMIFS('Canjes desagregado'!#REF!,'Canjes desagregado'!#REF!,'Nuevo metod Cupón 2.0'!A46)</f>
        <v>#REF!</v>
      </c>
      <c r="Z46" s="12" t="e">
        <f>SUMIFS('Canjes desagregado'!#REF!,'Canjes desagregado'!#REF!,'Nuevo metod Cupón 2.0'!A46)</f>
        <v>#REF!</v>
      </c>
      <c r="AA46" s="12" t="e">
        <f>SUMIFS('Canjes desagregado'!#REF!,'Canjes desagregado'!#REF!,'Nuevo metod Cupón 2.0'!A46)</f>
        <v>#REF!</v>
      </c>
    </row>
    <row r="47" spans="1:27">
      <c r="A47" s="13">
        <v>42</v>
      </c>
      <c r="B47" s="7" t="s">
        <v>42</v>
      </c>
      <c r="C47" s="67" t="s">
        <v>81</v>
      </c>
      <c r="D47" s="39" t="e">
        <f>VLOOKUP(A47,'Canjes desagregado'!#REF!,6,FALSE)</f>
        <v>#REF!</v>
      </c>
      <c r="E47" s="14" t="e">
        <f>VLOOKUP(A47,'Canjes desagregado'!#REF!,2,FALSE)</f>
        <v>#REF!</v>
      </c>
      <c r="F47" s="15" t="e">
        <f>-SUMIFS('Canjes desagregado'!#REF!,'Canjes desagregado'!#REF!,'Nuevo metod Cupón 2.0'!A47,'Canjes desagregado'!#REF!,"Títulos Recogidos por la Nación")</f>
        <v>#REF!</v>
      </c>
      <c r="G47" s="9" t="e">
        <f>-SUMIFS('Canjes desagregado'!#REF!,'Canjes desagregado'!#REF!,'Nuevo metod Cupón 2.0'!A47)</f>
        <v>#REF!</v>
      </c>
      <c r="H47" s="9" t="e">
        <f>SUMIFS('Canjes desagregado'!#REF!,'Canjes desagregado'!#REF!,'Nuevo metod Cupón 2.0'!A47)</f>
        <v>#REF!</v>
      </c>
      <c r="I47" s="16" t="e">
        <f t="shared" si="10"/>
        <v>#REF!</v>
      </c>
      <c r="J47" s="10" t="e">
        <f>SUMIFS('Canjes desagregado'!#REF!,'Canjes desagregado'!#REF!,'Nuevo metod Cupón 2.0'!A47)</f>
        <v>#REF!</v>
      </c>
      <c r="K47" s="10" t="e">
        <f t="shared" si="14"/>
        <v>#REF!</v>
      </c>
      <c r="L47" s="10" t="e">
        <f>SUMIFS('Canjes desagregado'!#REF!,'Canjes desagregado'!#REF!,'Nuevo metod Cupón 2.0'!A47)</f>
        <v>#REF!</v>
      </c>
      <c r="M47" s="10" t="e">
        <f t="shared" si="12"/>
        <v>#REF!</v>
      </c>
      <c r="N47" s="11" t="e">
        <f t="shared" si="5"/>
        <v>#REF!</v>
      </c>
      <c r="O47" s="11" t="e">
        <f t="shared" si="13"/>
        <v>#REF!</v>
      </c>
      <c r="P47" s="17" t="e">
        <f t="shared" si="9"/>
        <v>#REF!</v>
      </c>
      <c r="Q47" s="17"/>
      <c r="R47" s="17"/>
      <c r="S47" s="17">
        <f>VLOOKUP(A47,'[4]Canjes por canasta'!A$3:S$84,15,FALSE)</f>
        <v>0.1336395532156949</v>
      </c>
      <c r="T47" s="41" t="e">
        <f t="shared" si="1"/>
        <v>#REF!</v>
      </c>
      <c r="U47" s="41" t="e">
        <f t="shared" si="2"/>
        <v>#REF!</v>
      </c>
      <c r="V47" s="41" t="str">
        <f t="shared" si="3"/>
        <v/>
      </c>
      <c r="W47" s="42" t="e">
        <f t="shared" si="4"/>
        <v>#REF!</v>
      </c>
      <c r="X47" s="12" t="e">
        <f>SUMIFS('Canjes desagregado'!#REF!,'Canjes desagregado'!#REF!,'Nuevo metod Cupón 2.0'!A47)</f>
        <v>#REF!</v>
      </c>
      <c r="Y47" s="12" t="e">
        <f>SUMIFS('Canjes desagregado'!#REF!,'Canjes desagregado'!#REF!,'Nuevo metod Cupón 2.0'!A47)</f>
        <v>#REF!</v>
      </c>
      <c r="Z47" s="12" t="e">
        <f>SUMIFS('Canjes desagregado'!#REF!,'Canjes desagregado'!#REF!,'Nuevo metod Cupón 2.0'!A47)</f>
        <v>#REF!</v>
      </c>
      <c r="AA47" s="12" t="e">
        <f>SUMIFS('Canjes desagregado'!#REF!,'Canjes desagregado'!#REF!,'Nuevo metod Cupón 2.0'!A47)</f>
        <v>#REF!</v>
      </c>
    </row>
    <row r="48" spans="1:27">
      <c r="A48" s="13">
        <v>43</v>
      </c>
      <c r="B48" s="7" t="s">
        <v>42</v>
      </c>
      <c r="C48" s="67" t="s">
        <v>82</v>
      </c>
      <c r="D48" s="39" t="e">
        <f>VLOOKUP(A48,'Canjes desagregado'!#REF!,6,FALSE)</f>
        <v>#REF!</v>
      </c>
      <c r="E48" s="14" t="e">
        <f>VLOOKUP(A48,'Canjes desagregado'!#REF!,2,FALSE)</f>
        <v>#REF!</v>
      </c>
      <c r="F48" s="15" t="e">
        <f>-SUMIFS('Canjes desagregado'!#REF!,'Canjes desagregado'!#REF!,'Nuevo metod Cupón 2.0'!A48,'Canjes desagregado'!#REF!,"Títulos Recogidos por la Nación")</f>
        <v>#REF!</v>
      </c>
      <c r="G48" s="9" t="e">
        <f>-SUMIFS('Canjes desagregado'!#REF!,'Canjes desagregado'!#REF!,'Nuevo metod Cupón 2.0'!A48)</f>
        <v>#REF!</v>
      </c>
      <c r="H48" s="9" t="e">
        <f>SUMIFS('Canjes desagregado'!#REF!,'Canjes desagregado'!#REF!,'Nuevo metod Cupón 2.0'!A48)</f>
        <v>#REF!</v>
      </c>
      <c r="I48" s="16" t="e">
        <f t="shared" si="10"/>
        <v>#REF!</v>
      </c>
      <c r="J48" s="10" t="e">
        <f>SUMIFS('Canjes desagregado'!#REF!,'Canjes desagregado'!#REF!,'Nuevo metod Cupón 2.0'!A48)</f>
        <v>#REF!</v>
      </c>
      <c r="K48" s="10" t="e">
        <f t="shared" si="14"/>
        <v>#REF!</v>
      </c>
      <c r="L48" s="10" t="e">
        <f>SUMIFS('Canjes desagregado'!#REF!,'Canjes desagregado'!#REF!,'Nuevo metod Cupón 2.0'!A48)</f>
        <v>#REF!</v>
      </c>
      <c r="M48" s="10" t="e">
        <f t="shared" si="12"/>
        <v>#REF!</v>
      </c>
      <c r="N48" s="11" t="e">
        <f t="shared" si="5"/>
        <v>#REF!</v>
      </c>
      <c r="O48" s="11" t="e">
        <f t="shared" si="13"/>
        <v>#REF!</v>
      </c>
      <c r="P48" s="17" t="e">
        <f t="shared" si="9"/>
        <v>#REF!</v>
      </c>
      <c r="Q48" s="17"/>
      <c r="R48" s="17"/>
      <c r="S48" s="17">
        <f>VLOOKUP(A48,'[4]Canjes por canasta'!A$3:S$84,15,FALSE)</f>
        <v>0.14435077991247611</v>
      </c>
      <c r="T48" s="41" t="e">
        <f t="shared" si="1"/>
        <v>#REF!</v>
      </c>
      <c r="U48" s="41" t="e">
        <f t="shared" si="2"/>
        <v>#REF!</v>
      </c>
      <c r="V48" s="41" t="str">
        <f t="shared" si="3"/>
        <v/>
      </c>
      <c r="W48" s="42" t="e">
        <f t="shared" si="4"/>
        <v>#REF!</v>
      </c>
      <c r="X48" s="12" t="e">
        <f>SUMIFS('Canjes desagregado'!#REF!,'Canjes desagregado'!#REF!,'Nuevo metod Cupón 2.0'!A48)</f>
        <v>#REF!</v>
      </c>
      <c r="Y48" s="12" t="e">
        <f>SUMIFS('Canjes desagregado'!#REF!,'Canjes desagregado'!#REF!,'Nuevo metod Cupón 2.0'!A48)</f>
        <v>#REF!</v>
      </c>
      <c r="Z48" s="12" t="e">
        <f>SUMIFS('Canjes desagregado'!#REF!,'Canjes desagregado'!#REF!,'Nuevo metod Cupón 2.0'!A48)</f>
        <v>#REF!</v>
      </c>
      <c r="AA48" s="12" t="e">
        <f>SUMIFS('Canjes desagregado'!#REF!,'Canjes desagregado'!#REF!,'Nuevo metod Cupón 2.0'!A48)</f>
        <v>#REF!</v>
      </c>
    </row>
    <row r="49" spans="1:27">
      <c r="A49" s="13">
        <v>44</v>
      </c>
      <c r="B49" s="7" t="s">
        <v>42</v>
      </c>
      <c r="C49" s="67" t="s">
        <v>83</v>
      </c>
      <c r="D49" s="39" t="e">
        <f>VLOOKUP(A49,'Canjes desagregado'!#REF!,6,FALSE)</f>
        <v>#REF!</v>
      </c>
      <c r="E49" s="14" t="e">
        <f>VLOOKUP(A49,'Canjes desagregado'!#REF!,2,FALSE)</f>
        <v>#REF!</v>
      </c>
      <c r="F49" s="15" t="e">
        <f>-SUMIFS('Canjes desagregado'!#REF!,'Canjes desagregado'!#REF!,'Nuevo metod Cupón 2.0'!A49,'Canjes desagregado'!#REF!,"Títulos Recogidos por la Nación")</f>
        <v>#REF!</v>
      </c>
      <c r="G49" s="9" t="e">
        <f>-SUMIFS('Canjes desagregado'!#REF!,'Canjes desagregado'!#REF!,'Nuevo metod Cupón 2.0'!A49)</f>
        <v>#REF!</v>
      </c>
      <c r="H49" s="9" t="e">
        <f>SUMIFS('Canjes desagregado'!#REF!,'Canjes desagregado'!#REF!,'Nuevo metod Cupón 2.0'!A49)</f>
        <v>#REF!</v>
      </c>
      <c r="I49" s="16" t="e">
        <f t="shared" si="10"/>
        <v>#REF!</v>
      </c>
      <c r="J49" s="10" t="e">
        <f>SUMIFS('Canjes desagregado'!#REF!,'Canjes desagregado'!#REF!,'Nuevo metod Cupón 2.0'!A49)</f>
        <v>#REF!</v>
      </c>
      <c r="K49" s="10" t="e">
        <f t="shared" si="14"/>
        <v>#REF!</v>
      </c>
      <c r="L49" s="10" t="e">
        <f>SUMIFS('Canjes desagregado'!#REF!,'Canjes desagregado'!#REF!,'Nuevo metod Cupón 2.0'!A49)</f>
        <v>#REF!</v>
      </c>
      <c r="M49" s="10" t="e">
        <f t="shared" si="12"/>
        <v>#REF!</v>
      </c>
      <c r="N49" s="11" t="e">
        <f t="shared" si="5"/>
        <v>#REF!</v>
      </c>
      <c r="O49" s="11" t="e">
        <f t="shared" si="13"/>
        <v>#REF!</v>
      </c>
      <c r="P49" s="17" t="e">
        <f t="shared" si="9"/>
        <v>#REF!</v>
      </c>
      <c r="Q49" s="17"/>
      <c r="R49" s="17"/>
      <c r="S49" s="17">
        <f>VLOOKUP(A49,'[4]Canjes por canasta'!A$3:S$84,15,FALSE)</f>
        <v>0.14628818244925351</v>
      </c>
      <c r="T49" s="41" t="e">
        <f t="shared" si="1"/>
        <v>#REF!</v>
      </c>
      <c r="U49" s="41" t="e">
        <f t="shared" si="2"/>
        <v>#REF!</v>
      </c>
      <c r="V49" s="41" t="str">
        <f t="shared" si="3"/>
        <v/>
      </c>
      <c r="W49" s="42" t="e">
        <f>(G49+H49+J49+L49)/F49</f>
        <v>#REF!</v>
      </c>
      <c r="X49" s="12" t="e">
        <f>SUMIFS('Canjes desagregado'!#REF!,'Canjes desagregado'!#REF!,'Nuevo metod Cupón 2.0'!A49)</f>
        <v>#REF!</v>
      </c>
      <c r="Y49" s="12" t="e">
        <f>SUMIFS('Canjes desagregado'!#REF!,'Canjes desagregado'!#REF!,'Nuevo metod Cupón 2.0'!A49)</f>
        <v>#REF!</v>
      </c>
      <c r="Z49" s="12" t="e">
        <f>SUMIFS('Canjes desagregado'!#REF!,'Canjes desagregado'!#REF!,'Nuevo metod Cupón 2.0'!A49)</f>
        <v>#REF!</v>
      </c>
      <c r="AA49" s="12" t="e">
        <f>SUMIFS('Canjes desagregado'!#REF!,'Canjes desagregado'!#REF!,'Nuevo metod Cupón 2.0'!A49)</f>
        <v>#REF!</v>
      </c>
    </row>
    <row r="50" spans="1:27">
      <c r="A50" s="13">
        <v>45</v>
      </c>
      <c r="B50" s="7" t="s">
        <v>42</v>
      </c>
      <c r="C50" s="67" t="s">
        <v>84</v>
      </c>
      <c r="D50" s="39" t="e">
        <f>VLOOKUP(A50,'Canjes desagregado'!#REF!,6,FALSE)</f>
        <v>#REF!</v>
      </c>
      <c r="E50" s="14" t="e">
        <f>VLOOKUP(A50,'Canjes desagregado'!#REF!,2,FALSE)</f>
        <v>#REF!</v>
      </c>
      <c r="F50" s="15" t="e">
        <f>-SUMIFS('Canjes desagregado'!#REF!,'Canjes desagregado'!#REF!,'Nuevo metod Cupón 2.0'!A50,'Canjes desagregado'!#REF!,"Títulos Recogidos por la Nación")</f>
        <v>#REF!</v>
      </c>
      <c r="G50" s="9" t="e">
        <f>-SUMIFS('Canjes desagregado'!#REF!,'Canjes desagregado'!#REF!,'Nuevo metod Cupón 2.0'!A50)</f>
        <v>#REF!</v>
      </c>
      <c r="H50" s="9" t="e">
        <f>SUMIFS('Canjes desagregado'!#REF!,'Canjes desagregado'!#REF!,'Nuevo metod Cupón 2.0'!A50)</f>
        <v>#REF!</v>
      </c>
      <c r="I50" s="16" t="e">
        <f t="shared" si="10"/>
        <v>#REF!</v>
      </c>
      <c r="J50" s="10" t="e">
        <f>SUMIFS('Canjes desagregado'!#REF!,'Canjes desagregado'!#REF!,'Nuevo metod Cupón 2.0'!A50)</f>
        <v>#REF!</v>
      </c>
      <c r="K50" s="10" t="e">
        <f t="shared" si="14"/>
        <v>#REF!</v>
      </c>
      <c r="L50" s="10" t="e">
        <f>SUMIFS('Canjes desagregado'!#REF!,'Canjes desagregado'!#REF!,'Nuevo metod Cupón 2.0'!A50)</f>
        <v>#REF!</v>
      </c>
      <c r="M50" s="10" t="e">
        <f t="shared" si="12"/>
        <v>#REF!</v>
      </c>
      <c r="N50" s="11" t="e">
        <f t="shared" si="5"/>
        <v>#REF!</v>
      </c>
      <c r="O50" s="11" t="e">
        <f t="shared" si="13"/>
        <v>#REF!</v>
      </c>
      <c r="P50" s="17" t="e">
        <f t="shared" si="9"/>
        <v>#REF!</v>
      </c>
      <c r="Q50" s="17"/>
      <c r="R50" s="17"/>
      <c r="S50" s="17">
        <f>VLOOKUP(A50,'[4]Canjes por canasta'!A$3:S$84,15,FALSE)</f>
        <v>0.13859309305958092</v>
      </c>
      <c r="T50" s="41" t="e">
        <f t="shared" si="1"/>
        <v>#REF!</v>
      </c>
      <c r="U50" s="41" t="e">
        <f t="shared" si="2"/>
        <v>#REF!</v>
      </c>
      <c r="V50" s="41" t="str">
        <f t="shared" si="3"/>
        <v/>
      </c>
      <c r="W50" s="42" t="e">
        <f t="shared" si="4"/>
        <v>#REF!</v>
      </c>
      <c r="X50" s="12" t="e">
        <f>SUMIFS('Canjes desagregado'!#REF!,'Canjes desagregado'!#REF!,'Nuevo metod Cupón 2.0'!A50)</f>
        <v>#REF!</v>
      </c>
      <c r="Y50" s="12" t="e">
        <f>SUMIFS('Canjes desagregado'!#REF!,'Canjes desagregado'!#REF!,'Nuevo metod Cupón 2.0'!A50)</f>
        <v>#REF!</v>
      </c>
      <c r="Z50" s="12" t="e">
        <f>SUMIFS('Canjes desagregado'!#REF!,'Canjes desagregado'!#REF!,'Nuevo metod Cupón 2.0'!A50)</f>
        <v>#REF!</v>
      </c>
      <c r="AA50" s="12" t="e">
        <f>SUMIFS('Canjes desagregado'!#REF!,'Canjes desagregado'!#REF!,'Nuevo metod Cupón 2.0'!A50)</f>
        <v>#REF!</v>
      </c>
    </row>
    <row r="51" spans="1:27">
      <c r="A51" s="13">
        <v>46</v>
      </c>
      <c r="B51" s="7" t="s">
        <v>42</v>
      </c>
      <c r="C51" s="67" t="s">
        <v>85</v>
      </c>
      <c r="D51" s="39" t="e">
        <f>VLOOKUP(A51,'Canjes desagregado'!#REF!,6,FALSE)</f>
        <v>#REF!</v>
      </c>
      <c r="E51" s="14" t="e">
        <f>VLOOKUP(A51,'Canjes desagregado'!#REF!,2,FALSE)</f>
        <v>#REF!</v>
      </c>
      <c r="F51" s="15" t="e">
        <f>-SUMIFS('Canjes desagregado'!#REF!,'Canjes desagregado'!#REF!,'Nuevo metod Cupón 2.0'!A51,'Canjes desagregado'!#REF!,"Títulos Recogidos por la Nación")</f>
        <v>#REF!</v>
      </c>
      <c r="G51" s="9" t="e">
        <f>-SUMIFS('Canjes desagregado'!#REF!,'Canjes desagregado'!#REF!,'Nuevo metod Cupón 2.0'!A51)</f>
        <v>#REF!</v>
      </c>
      <c r="H51" s="9" t="e">
        <f>SUMIFS('Canjes desagregado'!#REF!,'Canjes desagregado'!#REF!,'Nuevo metod Cupón 2.0'!A51)</f>
        <v>#REF!</v>
      </c>
      <c r="I51" s="16" t="e">
        <f t="shared" si="10"/>
        <v>#REF!</v>
      </c>
      <c r="J51" s="10" t="e">
        <f>SUMIFS('Canjes desagregado'!#REF!,'Canjes desagregado'!#REF!,'Nuevo metod Cupón 2.0'!A51)</f>
        <v>#REF!</v>
      </c>
      <c r="K51" s="10" t="e">
        <f t="shared" si="14"/>
        <v>#REF!</v>
      </c>
      <c r="L51" s="10" t="e">
        <f>SUMIFS('Canjes desagregado'!#REF!,'Canjes desagregado'!#REF!,'Nuevo metod Cupón 2.0'!A51)</f>
        <v>#REF!</v>
      </c>
      <c r="M51" s="10" t="e">
        <f t="shared" si="12"/>
        <v>#REF!</v>
      </c>
      <c r="N51" s="11" t="e">
        <f t="shared" si="5"/>
        <v>#REF!</v>
      </c>
      <c r="O51" s="11" t="e">
        <f t="shared" si="13"/>
        <v>#REF!</v>
      </c>
      <c r="P51" s="17" t="e">
        <f t="shared" si="9"/>
        <v>#REF!</v>
      </c>
      <c r="Q51" s="17"/>
      <c r="R51" s="17"/>
      <c r="S51" s="17">
        <f>VLOOKUP(A51,'[4]Canjes por canasta'!A$3:S$84,15,FALSE)</f>
        <v>0.14818497031522815</v>
      </c>
      <c r="T51" s="41" t="e">
        <f t="shared" si="1"/>
        <v>#REF!</v>
      </c>
      <c r="U51" s="41" t="e">
        <f t="shared" si="2"/>
        <v>#REF!</v>
      </c>
      <c r="V51" s="41" t="str">
        <f t="shared" si="3"/>
        <v/>
      </c>
      <c r="W51" s="42" t="e">
        <f t="shared" si="4"/>
        <v>#REF!</v>
      </c>
      <c r="X51" s="12" t="e">
        <f>SUMIFS('Canjes desagregado'!#REF!,'Canjes desagregado'!#REF!,'Nuevo metod Cupón 2.0'!A51)</f>
        <v>#REF!</v>
      </c>
      <c r="Y51" s="12" t="e">
        <f>SUMIFS('Canjes desagregado'!#REF!,'Canjes desagregado'!#REF!,'Nuevo metod Cupón 2.0'!A51)</f>
        <v>#REF!</v>
      </c>
      <c r="Z51" s="12" t="e">
        <f>SUMIFS('Canjes desagregado'!#REF!,'Canjes desagregado'!#REF!,'Nuevo metod Cupón 2.0'!A51)</f>
        <v>#REF!</v>
      </c>
      <c r="AA51" s="12" t="e">
        <f>SUMIFS('Canjes desagregado'!#REF!,'Canjes desagregado'!#REF!,'Nuevo metod Cupón 2.0'!A51)</f>
        <v>#REF!</v>
      </c>
    </row>
    <row r="52" spans="1:27">
      <c r="A52" s="13">
        <v>47</v>
      </c>
      <c r="B52" s="7" t="s">
        <v>42</v>
      </c>
      <c r="C52" s="67" t="s">
        <v>86</v>
      </c>
      <c r="D52" s="39" t="e">
        <f>VLOOKUP(A52,'Canjes desagregado'!#REF!,6,FALSE)</f>
        <v>#REF!</v>
      </c>
      <c r="E52" s="14" t="e">
        <f>VLOOKUP(A52,'Canjes desagregado'!#REF!,2,FALSE)</f>
        <v>#REF!</v>
      </c>
      <c r="F52" s="15" t="e">
        <f>-SUMIFS('Canjes desagregado'!#REF!,'Canjes desagregado'!#REF!,'Nuevo metod Cupón 2.0'!A52,'Canjes desagregado'!#REF!,"Títulos Recogidos por la Nación")</f>
        <v>#REF!</v>
      </c>
      <c r="G52" s="9" t="e">
        <f>-SUMIFS('Canjes desagregado'!#REF!,'Canjes desagregado'!#REF!,'Nuevo metod Cupón 2.0'!A52)</f>
        <v>#REF!</v>
      </c>
      <c r="H52" s="9" t="e">
        <f>SUMIFS('Canjes desagregado'!#REF!,'Canjes desagregado'!#REF!,'Nuevo metod Cupón 2.0'!A52)</f>
        <v>#REF!</v>
      </c>
      <c r="I52" s="16" t="e">
        <f>H52+G52</f>
        <v>#REF!</v>
      </c>
      <c r="J52" s="10" t="e">
        <f>SUMIFS('Canjes desagregado'!#REF!,'Canjes desagregado'!#REF!,'Nuevo metod Cupón 2.0'!A52)</f>
        <v>#REF!</v>
      </c>
      <c r="K52" s="10" t="e">
        <f t="shared" si="14"/>
        <v>#REF!</v>
      </c>
      <c r="L52" s="10" t="e">
        <f>SUMIFS('Canjes desagregado'!#REF!,'Canjes desagregado'!#REF!,'Nuevo metod Cupón 2.0'!A52)</f>
        <v>#REF!</v>
      </c>
      <c r="M52" s="10" t="e">
        <f>L52+K52</f>
        <v>#REF!</v>
      </c>
      <c r="N52" s="11" t="e">
        <f>+I52/F52</f>
        <v>#REF!</v>
      </c>
      <c r="O52" s="11" t="e">
        <f t="shared" si="13"/>
        <v>#REF!</v>
      </c>
      <c r="P52" s="17" t="e">
        <f t="shared" si="9"/>
        <v>#REF!</v>
      </c>
      <c r="Q52" s="17"/>
      <c r="R52" s="17"/>
      <c r="S52" s="17">
        <f>VLOOKUP(A52,'[4]Canjes por canasta'!A$3:S$84,15,FALSE)</f>
        <v>0.15107627558971276</v>
      </c>
      <c r="T52" s="41" t="e">
        <f t="shared" si="1"/>
        <v>#REF!</v>
      </c>
      <c r="U52" s="41" t="e">
        <f t="shared" si="2"/>
        <v>#REF!</v>
      </c>
      <c r="V52" s="41" t="str">
        <f t="shared" si="3"/>
        <v/>
      </c>
      <c r="W52" s="42" t="e">
        <f t="shared" si="4"/>
        <v>#REF!</v>
      </c>
      <c r="X52" s="12" t="e">
        <f>SUMIFS('Canjes desagregado'!#REF!,'Canjes desagregado'!#REF!,'Nuevo metod Cupón 2.0'!A52)</f>
        <v>#REF!</v>
      </c>
      <c r="Y52" s="12" t="e">
        <f>SUMIFS('Canjes desagregado'!#REF!,'Canjes desagregado'!#REF!,'Nuevo metod Cupón 2.0'!A52)</f>
        <v>#REF!</v>
      </c>
      <c r="Z52" s="12" t="e">
        <f>SUMIFS('Canjes desagregado'!#REF!,'Canjes desagregado'!#REF!,'Nuevo metod Cupón 2.0'!A52)</f>
        <v>#REF!</v>
      </c>
      <c r="AA52" s="12" t="e">
        <f>SUMIFS('Canjes desagregado'!#REF!,'Canjes desagregado'!#REF!,'Nuevo metod Cupón 2.0'!A52)</f>
        <v>#REF!</v>
      </c>
    </row>
    <row r="53" spans="1:27">
      <c r="A53" s="13">
        <v>48</v>
      </c>
      <c r="B53" s="7" t="s">
        <v>42</v>
      </c>
      <c r="C53" s="67" t="s">
        <v>87</v>
      </c>
      <c r="D53" s="39" t="e">
        <f>VLOOKUP(A53,'Canjes desagregado'!#REF!,6,FALSE)</f>
        <v>#REF!</v>
      </c>
      <c r="E53" s="14" t="e">
        <f>VLOOKUP(A53,'Canjes desagregado'!#REF!,2,FALSE)</f>
        <v>#REF!</v>
      </c>
      <c r="F53" s="15" t="e">
        <f>-SUMIFS('Canjes desagregado'!#REF!,'Canjes desagregado'!#REF!,'Nuevo metod Cupón 2.0'!A53,'Canjes desagregado'!#REF!,"Títulos Recogidos por la Nación")</f>
        <v>#REF!</v>
      </c>
      <c r="G53" s="9" t="e">
        <f>-SUMIFS('Canjes desagregado'!#REF!,'Canjes desagregado'!#REF!,'Nuevo metod Cupón 2.0'!A53)</f>
        <v>#REF!</v>
      </c>
      <c r="H53" s="9" t="e">
        <f>SUMIFS('Canjes desagregado'!#REF!,'Canjes desagregado'!#REF!,'Nuevo metod Cupón 2.0'!A53)</f>
        <v>#REF!</v>
      </c>
      <c r="I53" s="16" t="e">
        <f t="shared" ref="I53:I60" si="15">H53+G53</f>
        <v>#REF!</v>
      </c>
      <c r="J53" s="10" t="e">
        <f>SUMIFS('Canjes desagregado'!#REF!,'Canjes desagregado'!#REF!,'Nuevo metod Cupón 2.0'!A53)</f>
        <v>#REF!</v>
      </c>
      <c r="K53" s="10" t="e">
        <f t="shared" si="14"/>
        <v>#REF!</v>
      </c>
      <c r="L53" s="10" t="e">
        <f>SUMIFS('Canjes desagregado'!#REF!,'Canjes desagregado'!#REF!,'Nuevo metod Cupón 2.0'!A53)</f>
        <v>#REF!</v>
      </c>
      <c r="M53" s="10" t="e">
        <f t="shared" ref="M53:M61" si="16">L53+K53</f>
        <v>#REF!</v>
      </c>
      <c r="N53" s="11" t="e">
        <f t="shared" ref="N53:N109" si="17">+I53/F53</f>
        <v>#REF!</v>
      </c>
      <c r="O53" s="11" t="e">
        <f t="shared" si="13"/>
        <v>#REF!</v>
      </c>
      <c r="P53" s="17" t="e">
        <f t="shared" si="9"/>
        <v>#REF!</v>
      </c>
      <c r="Q53" s="17"/>
      <c r="R53" s="17"/>
      <c r="S53" s="17">
        <f>VLOOKUP(A53,'[4]Canjes por canasta'!A$3:S$84,15,FALSE)</f>
        <v>0.14926675617402888</v>
      </c>
      <c r="T53" s="41" t="e">
        <f t="shared" si="1"/>
        <v>#REF!</v>
      </c>
      <c r="U53" s="41" t="e">
        <f t="shared" si="2"/>
        <v>#REF!</v>
      </c>
      <c r="V53" s="41" t="str">
        <f t="shared" si="3"/>
        <v/>
      </c>
      <c r="W53" s="42" t="e">
        <f t="shared" si="4"/>
        <v>#REF!</v>
      </c>
      <c r="X53" s="12" t="e">
        <f>SUMIFS('Canjes desagregado'!#REF!,'Canjes desagregado'!#REF!,'Nuevo metod Cupón 2.0'!A53)</f>
        <v>#REF!</v>
      </c>
      <c r="Y53" s="12" t="e">
        <f>SUMIFS('Canjes desagregado'!#REF!,'Canjes desagregado'!#REF!,'Nuevo metod Cupón 2.0'!A53)</f>
        <v>#REF!</v>
      </c>
      <c r="Z53" s="12" t="e">
        <f>SUMIFS('Canjes desagregado'!#REF!,'Canjes desagregado'!#REF!,'Nuevo metod Cupón 2.0'!A53)</f>
        <v>#REF!</v>
      </c>
      <c r="AA53" s="12" t="e">
        <f>SUMIFS('Canjes desagregado'!#REF!,'Canjes desagregado'!#REF!,'Nuevo metod Cupón 2.0'!A53)</f>
        <v>#REF!</v>
      </c>
    </row>
    <row r="54" spans="1:27">
      <c r="A54" s="13">
        <v>49</v>
      </c>
      <c r="B54" s="7" t="s">
        <v>42</v>
      </c>
      <c r="C54" s="67" t="s">
        <v>88</v>
      </c>
      <c r="D54" s="39" t="e">
        <f>VLOOKUP(A54,'Canjes desagregado'!#REF!,6,FALSE)</f>
        <v>#REF!</v>
      </c>
      <c r="E54" s="14" t="e">
        <f>VLOOKUP(A54,'Canjes desagregado'!#REF!,2,FALSE)</f>
        <v>#REF!</v>
      </c>
      <c r="F54" s="15" t="e">
        <f>-SUMIFS('Canjes desagregado'!#REF!,'Canjes desagregado'!#REF!,'Nuevo metod Cupón 2.0'!A54,'Canjes desagregado'!#REF!,"Títulos Recogidos por la Nación")</f>
        <v>#REF!</v>
      </c>
      <c r="G54" s="9" t="e">
        <f>-SUMIFS('Canjes desagregado'!#REF!,'Canjes desagregado'!#REF!,'Nuevo metod Cupón 2.0'!A54)</f>
        <v>#REF!</v>
      </c>
      <c r="H54" s="9" t="e">
        <f>SUMIFS('Canjes desagregado'!#REF!,'Canjes desagregado'!#REF!,'Nuevo metod Cupón 2.0'!A54)</f>
        <v>#REF!</v>
      </c>
      <c r="I54" s="16" t="e">
        <f t="shared" si="15"/>
        <v>#REF!</v>
      </c>
      <c r="J54" s="10" t="e">
        <f>SUMIFS('Canjes desagregado'!#REF!,'Canjes desagregado'!#REF!,'Nuevo metod Cupón 2.0'!A54)</f>
        <v>#REF!</v>
      </c>
      <c r="K54" s="10" t="e">
        <f t="shared" si="14"/>
        <v>#REF!</v>
      </c>
      <c r="L54" s="10" t="e">
        <f>SUMIFS('Canjes desagregado'!#REF!,'Canjes desagregado'!#REF!,'Nuevo metod Cupón 2.0'!A54)</f>
        <v>#REF!</v>
      </c>
      <c r="M54" s="10" t="e">
        <f t="shared" si="16"/>
        <v>#REF!</v>
      </c>
      <c r="N54" s="11" t="e">
        <f t="shared" si="17"/>
        <v>#REF!</v>
      </c>
      <c r="O54" s="11" t="e">
        <f t="shared" si="13"/>
        <v>#REF!</v>
      </c>
      <c r="P54" s="17" t="e">
        <f t="shared" si="9"/>
        <v>#REF!</v>
      </c>
      <c r="Q54" s="17"/>
      <c r="R54" s="17"/>
      <c r="S54" s="17">
        <f>VLOOKUP(A54,'[4]Canjes por canasta'!A$3:S$84,15,FALSE)</f>
        <v>0.143217359248347</v>
      </c>
      <c r="T54" s="41" t="e">
        <f t="shared" si="1"/>
        <v>#REF!</v>
      </c>
      <c r="U54" s="41" t="e">
        <f t="shared" si="2"/>
        <v>#REF!</v>
      </c>
      <c r="V54" s="41" t="str">
        <f t="shared" si="3"/>
        <v/>
      </c>
      <c r="W54" s="42" t="e">
        <f t="shared" si="4"/>
        <v>#REF!</v>
      </c>
      <c r="X54" s="12" t="e">
        <f>SUMIFS('Canjes desagregado'!#REF!,'Canjes desagregado'!#REF!,'Nuevo metod Cupón 2.0'!A54)</f>
        <v>#REF!</v>
      </c>
      <c r="Y54" s="12" t="e">
        <f>SUMIFS('Canjes desagregado'!#REF!,'Canjes desagregado'!#REF!,'Nuevo metod Cupón 2.0'!A54)</f>
        <v>#REF!</v>
      </c>
      <c r="Z54" s="12" t="e">
        <f>SUMIFS('Canjes desagregado'!#REF!,'Canjes desagregado'!#REF!,'Nuevo metod Cupón 2.0'!A54)</f>
        <v>#REF!</v>
      </c>
      <c r="AA54" s="12" t="e">
        <f>SUMIFS('Canjes desagregado'!#REF!,'Canjes desagregado'!#REF!,'Nuevo metod Cupón 2.0'!A54)</f>
        <v>#REF!</v>
      </c>
    </row>
    <row r="55" spans="1:27">
      <c r="A55" s="13">
        <v>50</v>
      </c>
      <c r="B55" s="7" t="s">
        <v>42</v>
      </c>
      <c r="C55" s="67" t="s">
        <v>89</v>
      </c>
      <c r="D55" s="39" t="e">
        <f>VLOOKUP(A55,'Canjes desagregado'!#REF!,6,FALSE)</f>
        <v>#REF!</v>
      </c>
      <c r="E55" s="14" t="e">
        <f>VLOOKUP(A55,'Canjes desagregado'!#REF!,2,FALSE)</f>
        <v>#REF!</v>
      </c>
      <c r="F55" s="15" t="e">
        <f>-SUMIFS('Canjes desagregado'!#REF!,'Canjes desagregado'!#REF!,'Nuevo metod Cupón 2.0'!A55,'Canjes desagregado'!#REF!,"Títulos Recogidos por la Nación")</f>
        <v>#REF!</v>
      </c>
      <c r="G55" s="9" t="e">
        <f>-SUMIFS('Canjes desagregado'!#REF!,'Canjes desagregado'!#REF!,'Nuevo metod Cupón 2.0'!A55)</f>
        <v>#REF!</v>
      </c>
      <c r="H55" s="9" t="e">
        <f>SUMIFS('Canjes desagregado'!#REF!,'Canjes desagregado'!#REF!,'Nuevo metod Cupón 2.0'!A55)</f>
        <v>#REF!</v>
      </c>
      <c r="I55" s="16" t="e">
        <f t="shared" si="15"/>
        <v>#REF!</v>
      </c>
      <c r="J55" s="10" t="e">
        <f>SUMIFS('Canjes desagregado'!#REF!,'Canjes desagregado'!#REF!,'Nuevo metod Cupón 2.0'!A55)</f>
        <v>#REF!</v>
      </c>
      <c r="K55" s="10" t="e">
        <f t="shared" si="14"/>
        <v>#REF!</v>
      </c>
      <c r="L55" s="10" t="e">
        <f>SUMIFS('Canjes desagregado'!#REF!,'Canjes desagregado'!#REF!,'Nuevo metod Cupón 2.0'!A55)</f>
        <v>#REF!</v>
      </c>
      <c r="M55" s="10" t="e">
        <f t="shared" si="16"/>
        <v>#REF!</v>
      </c>
      <c r="N55" s="11" t="e">
        <f t="shared" si="17"/>
        <v>#REF!</v>
      </c>
      <c r="O55" s="11" t="e">
        <f t="shared" si="13"/>
        <v>#REF!</v>
      </c>
      <c r="P55" s="17" t="e">
        <f t="shared" si="9"/>
        <v>#REF!</v>
      </c>
      <c r="Q55" s="17"/>
      <c r="R55" s="17"/>
      <c r="S55" s="17">
        <f>VLOOKUP(A55,'[4]Canjes por canasta'!A$3:S$84,15,FALSE)</f>
        <v>0.15059561868222632</v>
      </c>
      <c r="T55" s="41" t="e">
        <f t="shared" si="1"/>
        <v>#REF!</v>
      </c>
      <c r="U55" s="41" t="e">
        <f t="shared" si="2"/>
        <v>#REF!</v>
      </c>
      <c r="V55" s="41" t="str">
        <f t="shared" si="3"/>
        <v/>
      </c>
      <c r="W55" s="42" t="e">
        <f t="shared" si="4"/>
        <v>#REF!</v>
      </c>
      <c r="X55" s="12" t="e">
        <f>SUMIFS('Canjes desagregado'!#REF!,'Canjes desagregado'!#REF!,'Nuevo metod Cupón 2.0'!A55)</f>
        <v>#REF!</v>
      </c>
      <c r="Y55" s="12" t="e">
        <f>SUMIFS('Canjes desagregado'!#REF!,'Canjes desagregado'!#REF!,'Nuevo metod Cupón 2.0'!A55)</f>
        <v>#REF!</v>
      </c>
      <c r="Z55" s="12" t="e">
        <f>SUMIFS('Canjes desagregado'!#REF!,'Canjes desagregado'!#REF!,'Nuevo metod Cupón 2.0'!A55)</f>
        <v>#REF!</v>
      </c>
      <c r="AA55" s="12" t="e">
        <f>SUMIFS('Canjes desagregado'!#REF!,'Canjes desagregado'!#REF!,'Nuevo metod Cupón 2.0'!A55)</f>
        <v>#REF!</v>
      </c>
    </row>
    <row r="56" spans="1:27">
      <c r="A56" s="13">
        <v>51</v>
      </c>
      <c r="B56" s="7" t="s">
        <v>42</v>
      </c>
      <c r="C56" s="67" t="s">
        <v>90</v>
      </c>
      <c r="D56" s="39" t="e">
        <f>VLOOKUP(A56,'Canjes desagregado'!#REF!,6,FALSE)</f>
        <v>#REF!</v>
      </c>
      <c r="E56" s="14" t="e">
        <f>VLOOKUP(A56,'Canjes desagregado'!#REF!,2,FALSE)</f>
        <v>#REF!</v>
      </c>
      <c r="F56" s="15" t="e">
        <f>-SUMIFS('Canjes desagregado'!#REF!,'Canjes desagregado'!#REF!,'Nuevo metod Cupón 2.0'!A56,'Canjes desagregado'!#REF!,"Títulos Recogidos por la Nación")</f>
        <v>#REF!</v>
      </c>
      <c r="G56" s="9" t="e">
        <f>-SUMIFS('Canjes desagregado'!#REF!,'Canjes desagregado'!#REF!,'Nuevo metod Cupón 2.0'!A56)</f>
        <v>#REF!</v>
      </c>
      <c r="H56" s="9" t="e">
        <f>SUMIFS('Canjes desagregado'!#REF!,'Canjes desagregado'!#REF!,'Nuevo metod Cupón 2.0'!A56)</f>
        <v>#REF!</v>
      </c>
      <c r="I56" s="16" t="e">
        <f t="shared" si="15"/>
        <v>#REF!</v>
      </c>
      <c r="J56" s="10" t="e">
        <f>SUMIFS('Canjes desagregado'!#REF!,'Canjes desagregado'!#REF!,'Nuevo metod Cupón 2.0'!A56)</f>
        <v>#REF!</v>
      </c>
      <c r="K56" s="10" t="e">
        <f t="shared" si="14"/>
        <v>#REF!</v>
      </c>
      <c r="L56" s="10" t="e">
        <f>SUMIFS('Canjes desagregado'!#REF!,'Canjes desagregado'!#REF!,'Nuevo metod Cupón 2.0'!A56)</f>
        <v>#REF!</v>
      </c>
      <c r="M56" s="10" t="e">
        <f t="shared" si="16"/>
        <v>#REF!</v>
      </c>
      <c r="N56" s="11" t="e">
        <f t="shared" si="17"/>
        <v>#REF!</v>
      </c>
      <c r="O56" s="11" t="e">
        <f t="shared" si="13"/>
        <v>#REF!</v>
      </c>
      <c r="P56" s="17" t="e">
        <f t="shared" si="9"/>
        <v>#REF!</v>
      </c>
      <c r="Q56" s="17"/>
      <c r="R56" s="17"/>
      <c r="S56" s="17">
        <f>VLOOKUP(A56,'[4]Canjes por canasta'!A$3:S$84,15,FALSE)</f>
        <v>0.15511830671729943</v>
      </c>
      <c r="T56" s="41" t="e">
        <f t="shared" si="1"/>
        <v>#REF!</v>
      </c>
      <c r="U56" s="41" t="e">
        <f t="shared" si="2"/>
        <v>#REF!</v>
      </c>
      <c r="V56" s="41" t="str">
        <f t="shared" si="3"/>
        <v/>
      </c>
      <c r="W56" s="42" t="e">
        <f t="shared" si="4"/>
        <v>#REF!</v>
      </c>
      <c r="X56" s="12" t="e">
        <f>SUMIFS('Canjes desagregado'!#REF!,'Canjes desagregado'!#REF!,'Nuevo metod Cupón 2.0'!A56)</f>
        <v>#REF!</v>
      </c>
      <c r="Y56" s="12" t="e">
        <f>SUMIFS('Canjes desagregado'!#REF!,'Canjes desagregado'!#REF!,'Nuevo metod Cupón 2.0'!A56)</f>
        <v>#REF!</v>
      </c>
      <c r="Z56" s="12" t="e">
        <f>SUMIFS('Canjes desagregado'!#REF!,'Canjes desagregado'!#REF!,'Nuevo metod Cupón 2.0'!A56)</f>
        <v>#REF!</v>
      </c>
      <c r="AA56" s="12" t="e">
        <f>SUMIFS('Canjes desagregado'!#REF!,'Canjes desagregado'!#REF!,'Nuevo metod Cupón 2.0'!A56)</f>
        <v>#REF!</v>
      </c>
    </row>
    <row r="57" spans="1:27">
      <c r="A57" s="13">
        <v>52</v>
      </c>
      <c r="B57" s="7" t="s">
        <v>42</v>
      </c>
      <c r="C57" s="67" t="s">
        <v>91</v>
      </c>
      <c r="D57" s="39" t="e">
        <f>VLOOKUP(A57,'Canjes desagregado'!#REF!,6,FALSE)</f>
        <v>#REF!</v>
      </c>
      <c r="E57" s="14" t="e">
        <f>VLOOKUP(A57,'Canjes desagregado'!#REF!,2,FALSE)</f>
        <v>#REF!</v>
      </c>
      <c r="F57" s="15" t="e">
        <f>-SUMIFS('Canjes desagregado'!#REF!,'Canjes desagregado'!#REF!,'Nuevo metod Cupón 2.0'!A57,'Canjes desagregado'!#REF!,"Títulos Recogidos por la Nación")</f>
        <v>#REF!</v>
      </c>
      <c r="G57" s="9" t="e">
        <f>-SUMIFS('Canjes desagregado'!#REF!,'Canjes desagregado'!#REF!,'Nuevo metod Cupón 2.0'!A57)</f>
        <v>#REF!</v>
      </c>
      <c r="H57" s="9" t="e">
        <f>SUMIFS('Canjes desagregado'!#REF!,'Canjes desagregado'!#REF!,'Nuevo metod Cupón 2.0'!A57)</f>
        <v>#REF!</v>
      </c>
      <c r="I57" s="16" t="e">
        <f t="shared" si="15"/>
        <v>#REF!</v>
      </c>
      <c r="J57" s="10" t="e">
        <f>SUMIFS('Canjes desagregado'!#REF!,'Canjes desagregado'!#REF!,'Nuevo metod Cupón 2.0'!A57)</f>
        <v>#REF!</v>
      </c>
      <c r="K57" s="10" t="e">
        <f t="shared" si="14"/>
        <v>#REF!</v>
      </c>
      <c r="L57" s="10" t="e">
        <f>SUMIFS('Canjes desagregado'!#REF!,'Canjes desagregado'!#REF!,'Nuevo metod Cupón 2.0'!A57)</f>
        <v>#REF!</v>
      </c>
      <c r="M57" s="10" t="e">
        <f t="shared" si="16"/>
        <v>#REF!</v>
      </c>
      <c r="N57" s="11" t="e">
        <f t="shared" si="17"/>
        <v>#REF!</v>
      </c>
      <c r="O57" s="11" t="e">
        <f t="shared" si="13"/>
        <v>#REF!</v>
      </c>
      <c r="P57" s="17" t="e">
        <f t="shared" si="9"/>
        <v>#REF!</v>
      </c>
      <c r="Q57" s="17"/>
      <c r="R57" s="17"/>
      <c r="S57" s="17">
        <f>VLOOKUP(A57,'[4]Canjes por canasta'!A$3:S$84,15,FALSE)</f>
        <v>0.15987889300000013</v>
      </c>
      <c r="T57" s="41" t="e">
        <f t="shared" si="1"/>
        <v>#REF!</v>
      </c>
      <c r="U57" s="41" t="e">
        <f t="shared" si="2"/>
        <v>#REF!</v>
      </c>
      <c r="V57" s="41" t="str">
        <f t="shared" si="3"/>
        <v/>
      </c>
      <c r="W57" s="42" t="e">
        <f t="shared" si="4"/>
        <v>#REF!</v>
      </c>
      <c r="X57" s="12" t="e">
        <f>SUMIFS('Canjes desagregado'!#REF!,'Canjes desagregado'!#REF!,'Nuevo metod Cupón 2.0'!A57)</f>
        <v>#REF!</v>
      </c>
      <c r="Y57" s="12" t="e">
        <f>SUMIFS('Canjes desagregado'!#REF!,'Canjes desagregado'!#REF!,'Nuevo metod Cupón 2.0'!A57)</f>
        <v>#REF!</v>
      </c>
      <c r="Z57" s="12" t="e">
        <f>SUMIFS('Canjes desagregado'!#REF!,'Canjes desagregado'!#REF!,'Nuevo metod Cupón 2.0'!A57)</f>
        <v>#REF!</v>
      </c>
      <c r="AA57" s="12" t="e">
        <f>SUMIFS('Canjes desagregado'!#REF!,'Canjes desagregado'!#REF!,'Nuevo metod Cupón 2.0'!A57)</f>
        <v>#REF!</v>
      </c>
    </row>
    <row r="58" spans="1:27">
      <c r="A58" s="13">
        <v>53</v>
      </c>
      <c r="B58" s="7" t="s">
        <v>42</v>
      </c>
      <c r="C58" s="67" t="s">
        <v>92</v>
      </c>
      <c r="D58" s="39" t="e">
        <f>VLOOKUP(A58,'Canjes desagregado'!#REF!,6,FALSE)</f>
        <v>#REF!</v>
      </c>
      <c r="E58" s="14" t="e">
        <f>VLOOKUP(A58,'Canjes desagregado'!#REF!,2,FALSE)</f>
        <v>#REF!</v>
      </c>
      <c r="F58" s="15" t="e">
        <f>-SUMIFS('Canjes desagregado'!#REF!,'Canjes desagregado'!#REF!,'Nuevo metod Cupón 2.0'!A58,'Canjes desagregado'!#REF!,"Títulos Recogidos por la Nación")</f>
        <v>#REF!</v>
      </c>
      <c r="G58" s="9" t="e">
        <f>-SUMIFS('Canjes desagregado'!#REF!,'Canjes desagregado'!#REF!,'Nuevo metod Cupón 2.0'!A58)</f>
        <v>#REF!</v>
      </c>
      <c r="H58" s="9" t="e">
        <f>SUMIFS('Canjes desagregado'!#REF!,'Canjes desagregado'!#REF!,'Nuevo metod Cupón 2.0'!A58)</f>
        <v>#REF!</v>
      </c>
      <c r="I58" s="16" t="e">
        <f t="shared" si="15"/>
        <v>#REF!</v>
      </c>
      <c r="J58" s="10" t="e">
        <f>SUMIFS('Canjes desagregado'!#REF!,'Canjes desagregado'!#REF!,'Nuevo metod Cupón 2.0'!A58)</f>
        <v>#REF!</v>
      </c>
      <c r="K58" s="10" t="e">
        <f t="shared" si="14"/>
        <v>#REF!</v>
      </c>
      <c r="L58" s="10" t="e">
        <f>SUMIFS('Canjes desagregado'!#REF!,'Canjes desagregado'!#REF!,'Nuevo metod Cupón 2.0'!A58)</f>
        <v>#REF!</v>
      </c>
      <c r="M58" s="10" t="e">
        <f t="shared" si="16"/>
        <v>#REF!</v>
      </c>
      <c r="N58" s="11" t="e">
        <f t="shared" si="17"/>
        <v>#REF!</v>
      </c>
      <c r="O58" s="11" t="e">
        <f t="shared" si="13"/>
        <v>#REF!</v>
      </c>
      <c r="P58" s="17" t="e">
        <f t="shared" si="9"/>
        <v>#REF!</v>
      </c>
      <c r="Q58" s="17"/>
      <c r="R58" s="17"/>
      <c r="S58" s="17">
        <f>VLOOKUP(A58,'[4]Canjes por canasta'!A$3:S$84,15,FALSE)</f>
        <v>0.16110502524031012</v>
      </c>
      <c r="T58" s="41" t="e">
        <f t="shared" si="1"/>
        <v>#REF!</v>
      </c>
      <c r="U58" s="41" t="e">
        <f t="shared" si="2"/>
        <v>#REF!</v>
      </c>
      <c r="V58" s="41" t="str">
        <f t="shared" si="3"/>
        <v/>
      </c>
      <c r="W58" s="42" t="e">
        <f t="shared" si="4"/>
        <v>#REF!</v>
      </c>
      <c r="X58" s="12" t="e">
        <f>SUMIFS('Canjes desagregado'!#REF!,'Canjes desagregado'!#REF!,'Nuevo metod Cupón 2.0'!A58)</f>
        <v>#REF!</v>
      </c>
      <c r="Y58" s="12" t="e">
        <f>SUMIFS('Canjes desagregado'!#REF!,'Canjes desagregado'!#REF!,'Nuevo metod Cupón 2.0'!A58)</f>
        <v>#REF!</v>
      </c>
      <c r="Z58" s="12" t="e">
        <f>SUMIFS('Canjes desagregado'!#REF!,'Canjes desagregado'!#REF!,'Nuevo metod Cupón 2.0'!A58)</f>
        <v>#REF!</v>
      </c>
      <c r="AA58" s="12" t="e">
        <f>SUMIFS('Canjes desagregado'!#REF!,'Canjes desagregado'!#REF!,'Nuevo metod Cupón 2.0'!A58)</f>
        <v>#REF!</v>
      </c>
    </row>
    <row r="59" spans="1:27">
      <c r="A59" s="13">
        <v>54</v>
      </c>
      <c r="B59" s="7" t="s">
        <v>42</v>
      </c>
      <c r="C59" s="67" t="s">
        <v>93</v>
      </c>
      <c r="D59" s="39" t="e">
        <f>VLOOKUP(A59,'Canjes desagregado'!#REF!,6,FALSE)</f>
        <v>#REF!</v>
      </c>
      <c r="E59" s="14" t="e">
        <f>VLOOKUP(A59,'Canjes desagregado'!#REF!,2,FALSE)</f>
        <v>#REF!</v>
      </c>
      <c r="F59" s="15" t="e">
        <f>-SUMIFS('Canjes desagregado'!#REF!,'Canjes desagregado'!#REF!,'Nuevo metod Cupón 2.0'!A59,'Canjes desagregado'!#REF!,"Títulos Recogidos por la Nación")</f>
        <v>#REF!</v>
      </c>
      <c r="G59" s="9" t="e">
        <f>-SUMIFS('Canjes desagregado'!#REF!,'Canjes desagregado'!#REF!,'Nuevo metod Cupón 2.0'!A59)</f>
        <v>#REF!</v>
      </c>
      <c r="H59" s="9" t="e">
        <f>SUMIFS('Canjes desagregado'!#REF!,'Canjes desagregado'!#REF!,'Nuevo metod Cupón 2.0'!A59)</f>
        <v>#REF!</v>
      </c>
      <c r="I59" s="16" t="e">
        <f t="shared" si="15"/>
        <v>#REF!</v>
      </c>
      <c r="J59" s="10" t="e">
        <f>SUMIFS('Canjes desagregado'!#REF!,'Canjes desagregado'!#REF!,'Nuevo metod Cupón 2.0'!A59)</f>
        <v>#REF!</v>
      </c>
      <c r="K59" s="10" t="e">
        <f t="shared" si="14"/>
        <v>#REF!</v>
      </c>
      <c r="L59" s="10" t="e">
        <f>SUMIFS('Canjes desagregado'!#REF!,'Canjes desagregado'!#REF!,'Nuevo metod Cupón 2.0'!A59)</f>
        <v>#REF!</v>
      </c>
      <c r="M59" s="10" t="e">
        <f t="shared" si="16"/>
        <v>#REF!</v>
      </c>
      <c r="N59" s="11" t="e">
        <f t="shared" si="17"/>
        <v>#REF!</v>
      </c>
      <c r="O59" s="11" t="e">
        <f t="shared" si="13"/>
        <v>#REF!</v>
      </c>
      <c r="P59" s="17" t="e">
        <f t="shared" si="9"/>
        <v>#REF!</v>
      </c>
      <c r="Q59" s="17"/>
      <c r="R59" s="17"/>
      <c r="S59" s="17">
        <f>VLOOKUP(A59,'[4]Canjes por canasta'!A$3:S$84,15,FALSE)</f>
        <v>0.14244519812849382</v>
      </c>
      <c r="T59" s="41" t="e">
        <f t="shared" si="1"/>
        <v>#REF!</v>
      </c>
      <c r="U59" s="41" t="e">
        <f t="shared" si="2"/>
        <v>#REF!</v>
      </c>
      <c r="V59" s="41" t="str">
        <f t="shared" si="3"/>
        <v/>
      </c>
      <c r="W59" s="42" t="e">
        <f t="shared" si="4"/>
        <v>#REF!</v>
      </c>
      <c r="X59" s="12" t="e">
        <f>SUMIFS('Canjes desagregado'!#REF!,'Canjes desagregado'!#REF!,'Nuevo metod Cupón 2.0'!A59)</f>
        <v>#REF!</v>
      </c>
      <c r="Y59" s="12" t="e">
        <f>SUMIFS('Canjes desagregado'!#REF!,'Canjes desagregado'!#REF!,'Nuevo metod Cupón 2.0'!A59)</f>
        <v>#REF!</v>
      </c>
      <c r="Z59" s="12" t="e">
        <f>SUMIFS('Canjes desagregado'!#REF!,'Canjes desagregado'!#REF!,'Nuevo metod Cupón 2.0'!A59)</f>
        <v>#REF!</v>
      </c>
      <c r="AA59" s="12" t="e">
        <f>SUMIFS('Canjes desagregado'!#REF!,'Canjes desagregado'!#REF!,'Nuevo metod Cupón 2.0'!A59)</f>
        <v>#REF!</v>
      </c>
    </row>
    <row r="60" spans="1:27">
      <c r="A60" s="13">
        <v>55</v>
      </c>
      <c r="B60" s="7" t="s">
        <v>42</v>
      </c>
      <c r="C60" s="67" t="s">
        <v>94</v>
      </c>
      <c r="D60" s="39" t="e">
        <f>VLOOKUP(A60,'Canjes desagregado'!#REF!,6,FALSE)</f>
        <v>#REF!</v>
      </c>
      <c r="E60" s="14" t="e">
        <f>VLOOKUP(A60,'Canjes desagregado'!#REF!,2,FALSE)</f>
        <v>#REF!</v>
      </c>
      <c r="F60" s="15" t="e">
        <f>-SUMIFS('Canjes desagregado'!#REF!,'Canjes desagregado'!#REF!,'Nuevo metod Cupón 2.0'!A60,'Canjes desagregado'!#REF!,"Títulos Recogidos por la Nación")</f>
        <v>#REF!</v>
      </c>
      <c r="G60" s="9" t="e">
        <f>-SUMIFS('Canjes desagregado'!#REF!,'Canjes desagregado'!#REF!,'Nuevo metod Cupón 2.0'!A60)</f>
        <v>#REF!</v>
      </c>
      <c r="H60" s="9" t="e">
        <f>SUMIFS('Canjes desagregado'!#REF!,'Canjes desagregado'!#REF!,'Nuevo metod Cupón 2.0'!A60)</f>
        <v>#REF!</v>
      </c>
      <c r="I60" s="16" t="e">
        <f t="shared" si="15"/>
        <v>#REF!</v>
      </c>
      <c r="J60" s="10" t="e">
        <f>SUMIFS('Canjes desagregado'!#REF!,'Canjes desagregado'!#REF!,'Nuevo metod Cupón 2.0'!A60)</f>
        <v>#REF!</v>
      </c>
      <c r="K60" s="10" t="e">
        <f t="shared" si="14"/>
        <v>#REF!</v>
      </c>
      <c r="L60" s="10" t="e">
        <f>SUMIFS('Canjes desagregado'!#REF!,'Canjes desagregado'!#REF!,'Nuevo metod Cupón 2.0'!A60)</f>
        <v>#REF!</v>
      </c>
      <c r="M60" s="10" t="e">
        <f t="shared" si="16"/>
        <v>#REF!</v>
      </c>
      <c r="N60" s="11" t="e">
        <f t="shared" si="17"/>
        <v>#REF!</v>
      </c>
      <c r="O60" s="11" t="e">
        <f t="shared" si="13"/>
        <v>#REF!</v>
      </c>
      <c r="P60" s="17" t="e">
        <f t="shared" si="9"/>
        <v>#REF!</v>
      </c>
      <c r="Q60" s="17"/>
      <c r="R60" s="17"/>
      <c r="S60" s="17">
        <f>VLOOKUP(A60,'[4]Canjes por canasta'!A$3:S$84,15,FALSE)</f>
        <v>0.15531182254454093</v>
      </c>
      <c r="T60" s="41" t="e">
        <f t="shared" si="1"/>
        <v>#REF!</v>
      </c>
      <c r="U60" s="41" t="e">
        <f t="shared" si="2"/>
        <v>#REF!</v>
      </c>
      <c r="V60" s="41" t="str">
        <f t="shared" si="3"/>
        <v/>
      </c>
      <c r="W60" s="42" t="e">
        <f t="shared" si="4"/>
        <v>#REF!</v>
      </c>
      <c r="X60" s="12" t="e">
        <f>SUMIFS('Canjes desagregado'!#REF!,'Canjes desagregado'!#REF!,'Nuevo metod Cupón 2.0'!A60)</f>
        <v>#REF!</v>
      </c>
      <c r="Y60" s="12" t="e">
        <f>SUMIFS('Canjes desagregado'!#REF!,'Canjes desagregado'!#REF!,'Nuevo metod Cupón 2.0'!A60)</f>
        <v>#REF!</v>
      </c>
      <c r="Z60" s="12" t="e">
        <f>SUMIFS('Canjes desagregado'!#REF!,'Canjes desagregado'!#REF!,'Nuevo metod Cupón 2.0'!A60)</f>
        <v>#REF!</v>
      </c>
      <c r="AA60" s="12" t="e">
        <f>SUMIFS('Canjes desagregado'!#REF!,'Canjes desagregado'!#REF!,'Nuevo metod Cupón 2.0'!A60)</f>
        <v>#REF!</v>
      </c>
    </row>
    <row r="61" spans="1:27">
      <c r="A61" s="13">
        <v>56</v>
      </c>
      <c r="B61" s="7" t="s">
        <v>42</v>
      </c>
      <c r="C61" s="67" t="s">
        <v>95</v>
      </c>
      <c r="D61" s="39" t="e">
        <f>VLOOKUP(A61,'Canjes desagregado'!#REF!,6,FALSE)</f>
        <v>#REF!</v>
      </c>
      <c r="E61" s="14" t="e">
        <f>VLOOKUP(A61,'Canjes desagregado'!#REF!,2,FALSE)</f>
        <v>#REF!</v>
      </c>
      <c r="F61" s="15" t="e">
        <f>-SUMIFS('Canjes desagregado'!#REF!,'Canjes desagregado'!#REF!,'Nuevo metod Cupón 2.0'!A61,'Canjes desagregado'!#REF!,"Títulos Recogidos por la Nación")</f>
        <v>#REF!</v>
      </c>
      <c r="G61" s="9" t="e">
        <f>-SUMIFS('Canjes desagregado'!#REF!,'Canjes desagregado'!#REF!,'Nuevo metod Cupón 2.0'!A61)</f>
        <v>#REF!</v>
      </c>
      <c r="H61" s="9" t="e">
        <f>SUMIFS('Canjes desagregado'!#REF!,'Canjes desagregado'!#REF!,'Nuevo metod Cupón 2.0'!A61)</f>
        <v>#REF!</v>
      </c>
      <c r="I61" s="16" t="e">
        <f>H61+G61</f>
        <v>#REF!</v>
      </c>
      <c r="J61" s="10" t="e">
        <f>SUMIFS('Canjes desagregado'!#REF!,'Canjes desagregado'!#REF!,'Nuevo metod Cupón 2.0'!A61)</f>
        <v>#REF!</v>
      </c>
      <c r="K61" s="10" t="e">
        <f t="shared" si="14"/>
        <v>#REF!</v>
      </c>
      <c r="L61" s="10" t="e">
        <f>SUMIFS('Canjes desagregado'!#REF!,'Canjes desagregado'!#REF!,'Nuevo metod Cupón 2.0'!A61)</f>
        <v>#REF!</v>
      </c>
      <c r="M61" s="10" t="e">
        <f t="shared" si="16"/>
        <v>#REF!</v>
      </c>
      <c r="N61" s="11" t="e">
        <f t="shared" si="17"/>
        <v>#REF!</v>
      </c>
      <c r="O61" s="11" t="e">
        <f t="shared" si="13"/>
        <v>#REF!</v>
      </c>
      <c r="P61" s="17" t="e">
        <f t="shared" si="9"/>
        <v>#REF!</v>
      </c>
      <c r="Q61" s="17"/>
      <c r="R61" s="17"/>
      <c r="S61" s="17">
        <f>VLOOKUP(A61,'[4]Canjes por canasta'!A$3:S$84,15,FALSE)</f>
        <v>0.15905153746598941</v>
      </c>
      <c r="T61" s="41" t="e">
        <f t="shared" si="1"/>
        <v>#REF!</v>
      </c>
      <c r="U61" s="41" t="e">
        <f t="shared" si="2"/>
        <v>#REF!</v>
      </c>
      <c r="V61" s="41" t="str">
        <f t="shared" si="3"/>
        <v/>
      </c>
      <c r="W61" s="42" t="e">
        <f t="shared" si="4"/>
        <v>#REF!</v>
      </c>
      <c r="X61" s="12" t="e">
        <f>SUMIFS('Canjes desagregado'!#REF!,'Canjes desagregado'!#REF!,'Nuevo metod Cupón 2.0'!A61)</f>
        <v>#REF!</v>
      </c>
      <c r="Y61" s="12" t="e">
        <f>SUMIFS('Canjes desagregado'!#REF!,'Canjes desagregado'!#REF!,'Nuevo metod Cupón 2.0'!A61)</f>
        <v>#REF!</v>
      </c>
      <c r="Z61" s="12" t="e">
        <f>SUMIFS('Canjes desagregado'!#REF!,'Canjes desagregado'!#REF!,'Nuevo metod Cupón 2.0'!A61)</f>
        <v>#REF!</v>
      </c>
      <c r="AA61" s="12" t="e">
        <f>SUMIFS('Canjes desagregado'!#REF!,'Canjes desagregado'!#REF!,'Nuevo metod Cupón 2.0'!A61)</f>
        <v>#REF!</v>
      </c>
    </row>
    <row r="62" spans="1:27">
      <c r="A62" s="13">
        <v>57</v>
      </c>
      <c r="B62" s="7" t="s">
        <v>42</v>
      </c>
      <c r="C62" s="67" t="s">
        <v>96</v>
      </c>
      <c r="D62" s="39" t="e">
        <f>VLOOKUP(A62,'Canjes desagregado'!#REF!,6,FALSE)</f>
        <v>#REF!</v>
      </c>
      <c r="E62" s="14" t="e">
        <f>VLOOKUP(A62,'Canjes desagregado'!#REF!,2,FALSE)</f>
        <v>#REF!</v>
      </c>
      <c r="F62" s="15" t="e">
        <f>-SUMIFS('Canjes desagregado'!#REF!,'Canjes desagregado'!#REF!,'Nuevo metod Cupón 2.0'!A62,'Canjes desagregado'!#REF!,"Títulos Recogidos por la Nación")</f>
        <v>#REF!</v>
      </c>
      <c r="G62" s="9" t="e">
        <f>-SUMIFS('Canjes desagregado'!#REF!,'Canjes desagregado'!#REF!,'Nuevo metod Cupón 2.0'!A62)</f>
        <v>#REF!</v>
      </c>
      <c r="H62" s="9" t="e">
        <f>SUMIFS('Canjes desagregado'!#REF!,'Canjes desagregado'!#REF!,'Nuevo metod Cupón 2.0'!A62)</f>
        <v>#REF!</v>
      </c>
      <c r="I62" s="16" t="e">
        <f>H62+G62</f>
        <v>#REF!</v>
      </c>
      <c r="J62" s="10" t="e">
        <f>SUMIFS('Canjes desagregado'!#REF!,'Canjes desagregado'!#REF!,'Nuevo metod Cupón 2.0'!A62)</f>
        <v>#REF!</v>
      </c>
      <c r="K62" s="10" t="e">
        <f t="shared" si="14"/>
        <v>#REF!</v>
      </c>
      <c r="L62" s="10" t="e">
        <f>SUMIFS('Canjes desagregado'!#REF!,'Canjes desagregado'!#REF!,'Nuevo metod Cupón 2.0'!A62)</f>
        <v>#REF!</v>
      </c>
      <c r="M62" s="10" t="e">
        <f>L62+K62</f>
        <v>#REF!</v>
      </c>
      <c r="N62" s="11" t="e">
        <f t="shared" si="17"/>
        <v>#REF!</v>
      </c>
      <c r="O62" s="11" t="e">
        <f t="shared" si="13"/>
        <v>#REF!</v>
      </c>
      <c r="P62" s="17" t="e">
        <f t="shared" si="9"/>
        <v>#REF!</v>
      </c>
      <c r="Q62" s="17"/>
      <c r="R62" s="17"/>
      <c r="S62" s="17">
        <f>VLOOKUP(A62,'[4]Canjes por canasta'!A$3:S$84,15,FALSE)</f>
        <v>0.14815785000000004</v>
      </c>
      <c r="T62" s="41" t="e">
        <f t="shared" si="1"/>
        <v>#REF!</v>
      </c>
      <c r="U62" s="41" t="e">
        <f t="shared" si="2"/>
        <v>#REF!</v>
      </c>
      <c r="V62" s="41" t="str">
        <f t="shared" si="3"/>
        <v/>
      </c>
      <c r="W62" s="42" t="e">
        <f t="shared" si="4"/>
        <v>#REF!</v>
      </c>
      <c r="X62" s="12" t="e">
        <f>SUMIFS('Canjes desagregado'!#REF!,'Canjes desagregado'!#REF!,'Nuevo metod Cupón 2.0'!A62)</f>
        <v>#REF!</v>
      </c>
      <c r="Y62" s="12" t="e">
        <f>SUMIFS('Canjes desagregado'!#REF!,'Canjes desagregado'!#REF!,'Nuevo metod Cupón 2.0'!A62)</f>
        <v>#REF!</v>
      </c>
      <c r="Z62" s="12" t="e">
        <f>SUMIFS('Canjes desagregado'!#REF!,'Canjes desagregado'!#REF!,'Nuevo metod Cupón 2.0'!A62)</f>
        <v>#REF!</v>
      </c>
      <c r="AA62" s="12" t="e">
        <f>SUMIFS('Canjes desagregado'!#REF!,'Canjes desagregado'!#REF!,'Nuevo metod Cupón 2.0'!A62)</f>
        <v>#REF!</v>
      </c>
    </row>
    <row r="63" spans="1:27">
      <c r="A63" s="13">
        <v>58</v>
      </c>
      <c r="B63" s="7" t="s">
        <v>42</v>
      </c>
      <c r="C63" s="67" t="s">
        <v>97</v>
      </c>
      <c r="D63" s="39" t="e">
        <f>VLOOKUP(A63,'Canjes desagregado'!#REF!,6,FALSE)</f>
        <v>#REF!</v>
      </c>
      <c r="E63" s="14" t="e">
        <f>VLOOKUP(A63,'Canjes desagregado'!#REF!,2,FALSE)</f>
        <v>#REF!</v>
      </c>
      <c r="F63" s="15" t="e">
        <f>-SUMIFS('Canjes desagregado'!#REF!,'Canjes desagregado'!#REF!,'Nuevo metod Cupón 2.0'!A63,'Canjes desagregado'!#REF!,"Títulos Recogidos por la Nación")</f>
        <v>#REF!</v>
      </c>
      <c r="G63" s="9" t="e">
        <f>-SUMIFS('Canjes desagregado'!#REF!,'Canjes desagregado'!#REF!,'Nuevo metod Cupón 2.0'!A63)</f>
        <v>#REF!</v>
      </c>
      <c r="H63" s="9" t="e">
        <f>SUMIFS('Canjes desagregado'!#REF!,'Canjes desagregado'!#REF!,'Nuevo metod Cupón 2.0'!A63)</f>
        <v>#REF!</v>
      </c>
      <c r="I63" s="16" t="e">
        <f>H63+G63</f>
        <v>#REF!</v>
      </c>
      <c r="J63" s="10" t="e">
        <f>SUMIFS('Canjes desagregado'!#REF!,'Canjes desagregado'!#REF!,'Nuevo metod Cupón 2.0'!A63)</f>
        <v>#REF!</v>
      </c>
      <c r="K63" s="10" t="e">
        <f t="shared" si="14"/>
        <v>#REF!</v>
      </c>
      <c r="L63" s="10" t="e">
        <f>SUMIFS('Canjes desagregado'!#REF!,'Canjes desagregado'!#REF!,'Nuevo metod Cupón 2.0'!A63)</f>
        <v>#REF!</v>
      </c>
      <c r="M63" s="10" t="e">
        <f>L63+K63</f>
        <v>#REF!</v>
      </c>
      <c r="N63" s="11" t="e">
        <f t="shared" si="17"/>
        <v>#REF!</v>
      </c>
      <c r="O63" s="11" t="e">
        <f t="shared" si="13"/>
        <v>#REF!</v>
      </c>
      <c r="P63" s="17" t="e">
        <f>+F63/$F$114</f>
        <v>#REF!</v>
      </c>
      <c r="Q63" s="17"/>
      <c r="R63" s="17"/>
      <c r="S63" s="17">
        <f>VLOOKUP(A63,'[4]Canjes por canasta'!A$3:S$84,15,FALSE)</f>
        <v>0.14814700000000003</v>
      </c>
      <c r="T63" s="41" t="e">
        <f t="shared" si="1"/>
        <v>#REF!</v>
      </c>
      <c r="U63" s="41" t="e">
        <f>IF(B63="Tesorería",T63,"")</f>
        <v>#REF!</v>
      </c>
      <c r="V63" s="41" t="str">
        <f t="shared" si="3"/>
        <v/>
      </c>
      <c r="W63" s="42" t="e">
        <f t="shared" si="4"/>
        <v>#REF!</v>
      </c>
      <c r="X63" s="12" t="e">
        <f>SUMIFS('Canjes desagregado'!#REF!,'Canjes desagregado'!#REF!,'Nuevo metod Cupón 2.0'!A63)</f>
        <v>#REF!</v>
      </c>
      <c r="Y63" s="12" t="e">
        <f>SUMIFS('Canjes desagregado'!#REF!,'Canjes desagregado'!#REF!,'Nuevo metod Cupón 2.0'!A63)</f>
        <v>#REF!</v>
      </c>
      <c r="Z63" s="12" t="e">
        <f>SUMIFS('Canjes desagregado'!#REF!,'Canjes desagregado'!#REF!,'Nuevo metod Cupón 2.0'!A63)</f>
        <v>#REF!</v>
      </c>
      <c r="AA63" s="12" t="e">
        <f>SUMIFS('Canjes desagregado'!#REF!,'Canjes desagregado'!#REF!,'Nuevo metod Cupón 2.0'!A63)</f>
        <v>#REF!</v>
      </c>
    </row>
    <row r="64" spans="1:27">
      <c r="A64" s="13">
        <v>59</v>
      </c>
      <c r="B64" s="7" t="s">
        <v>42</v>
      </c>
      <c r="C64" s="67" t="s">
        <v>98</v>
      </c>
      <c r="D64" s="39" t="e">
        <f>VLOOKUP(A64,'Canjes desagregado'!#REF!,6,FALSE)</f>
        <v>#REF!</v>
      </c>
      <c r="E64" s="14" t="e">
        <f>VLOOKUP(A64,'Canjes desagregado'!#REF!,2,FALSE)</f>
        <v>#REF!</v>
      </c>
      <c r="F64" s="15" t="e">
        <f>-SUMIFS('Canjes desagregado'!#REF!,'Canjes desagregado'!#REF!,'Nuevo metod Cupón 2.0'!A64,'Canjes desagregado'!#REF!,"Títulos Recogidos por la Nación")</f>
        <v>#REF!</v>
      </c>
      <c r="G64" s="9" t="e">
        <f>-SUMIFS('Canjes desagregado'!#REF!,'Canjes desagregado'!#REF!,'Nuevo metod Cupón 2.0'!A64)</f>
        <v>#REF!</v>
      </c>
      <c r="H64" s="9" t="e">
        <f>SUMIFS('Canjes desagregado'!#REF!,'Canjes desagregado'!#REF!,'Nuevo metod Cupón 2.0'!A64)</f>
        <v>#REF!</v>
      </c>
      <c r="I64" s="16" t="e">
        <f t="shared" ref="I64:I108" si="18">H64+G64</f>
        <v>#REF!</v>
      </c>
      <c r="J64" s="10" t="e">
        <f>SUMIFS('Canjes desagregado'!#REF!,'Canjes desagregado'!#REF!,'Nuevo metod Cupón 2.0'!A64)</f>
        <v>#REF!</v>
      </c>
      <c r="K64" s="10" t="e">
        <f t="shared" si="14"/>
        <v>#REF!</v>
      </c>
      <c r="L64" s="10" t="e">
        <f>SUMIFS('Canjes desagregado'!#REF!,'Canjes desagregado'!#REF!,'Nuevo metod Cupón 2.0'!A64)</f>
        <v>#REF!</v>
      </c>
      <c r="M64" s="10" t="e">
        <f t="shared" ref="M64:M108" si="19">L64+K64</f>
        <v>#REF!</v>
      </c>
      <c r="N64" s="11" t="e">
        <f t="shared" si="17"/>
        <v>#REF!</v>
      </c>
      <c r="O64" s="11" t="e">
        <f t="shared" si="13"/>
        <v>#REF!</v>
      </c>
      <c r="P64" s="17" t="e">
        <f t="shared" ref="P64:P98" si="20">+F64/$F$114</f>
        <v>#REF!</v>
      </c>
      <c r="Q64" s="17"/>
      <c r="R64" s="17"/>
      <c r="S64" s="17">
        <f>VLOOKUP(A64,'[4]Canjes por canasta'!A$3:S$84,15,FALSE)</f>
        <v>0.14829890000000012</v>
      </c>
      <c r="T64" s="41" t="e">
        <f t="shared" si="1"/>
        <v>#REF!</v>
      </c>
      <c r="U64" s="41" t="e">
        <f t="shared" si="2"/>
        <v>#REF!</v>
      </c>
      <c r="V64" s="41" t="str">
        <f t="shared" si="3"/>
        <v/>
      </c>
      <c r="W64" s="42" t="e">
        <f t="shared" si="4"/>
        <v>#REF!</v>
      </c>
      <c r="X64" s="12" t="e">
        <f>SUMIFS('Canjes desagregado'!#REF!,'Canjes desagregado'!#REF!,'Nuevo metod Cupón 2.0'!A64)</f>
        <v>#REF!</v>
      </c>
      <c r="Y64" s="12" t="e">
        <f>SUMIFS('Canjes desagregado'!#REF!,'Canjes desagregado'!#REF!,'Nuevo metod Cupón 2.0'!A64)</f>
        <v>#REF!</v>
      </c>
      <c r="Z64" s="12" t="e">
        <f>SUMIFS('Canjes desagregado'!#REF!,'Canjes desagregado'!#REF!,'Nuevo metod Cupón 2.0'!A64)</f>
        <v>#REF!</v>
      </c>
      <c r="AA64" s="12" t="e">
        <f>SUMIFS('Canjes desagregado'!#REF!,'Canjes desagregado'!#REF!,'Nuevo metod Cupón 2.0'!A64)</f>
        <v>#REF!</v>
      </c>
    </row>
    <row r="65" spans="1:27">
      <c r="A65" s="13">
        <v>60</v>
      </c>
      <c r="B65" s="7" t="s">
        <v>42</v>
      </c>
      <c r="C65" s="67" t="s">
        <v>99</v>
      </c>
      <c r="D65" s="39" t="e">
        <f>VLOOKUP(A65,'Canjes desagregado'!#REF!,6,FALSE)</f>
        <v>#REF!</v>
      </c>
      <c r="E65" s="14" t="e">
        <f>VLOOKUP(A65,'Canjes desagregado'!#REF!,2,FALSE)</f>
        <v>#REF!</v>
      </c>
      <c r="F65" s="15" t="e">
        <f>-SUMIFS('Canjes desagregado'!#REF!,'Canjes desagregado'!#REF!,'Nuevo metod Cupón 2.0'!A65,'Canjes desagregado'!#REF!,"Títulos Recogidos por la Nación")</f>
        <v>#REF!</v>
      </c>
      <c r="G65" s="9" t="e">
        <f>-SUMIFS('Canjes desagregado'!#REF!,'Canjes desagregado'!#REF!,'Nuevo metod Cupón 2.0'!A65)</f>
        <v>#REF!</v>
      </c>
      <c r="H65" s="9" t="e">
        <f>SUMIFS('Canjes desagregado'!#REF!,'Canjes desagregado'!#REF!,'Nuevo metod Cupón 2.0'!A65)</f>
        <v>#REF!</v>
      </c>
      <c r="I65" s="16" t="e">
        <f t="shared" si="18"/>
        <v>#REF!</v>
      </c>
      <c r="J65" s="10" t="e">
        <f>SUMIFS('Canjes desagregado'!#REF!,'Canjes desagregado'!#REF!,'Nuevo metod Cupón 2.0'!A65)</f>
        <v>#REF!</v>
      </c>
      <c r="K65" s="10" t="e">
        <f t="shared" si="14"/>
        <v>#REF!</v>
      </c>
      <c r="L65" s="10" t="e">
        <f>SUMIFS('Canjes desagregado'!#REF!,'Canjes desagregado'!#REF!,'Nuevo metod Cupón 2.0'!A65)</f>
        <v>#REF!</v>
      </c>
      <c r="M65" s="10" t="e">
        <f t="shared" si="19"/>
        <v>#REF!</v>
      </c>
      <c r="N65" s="11" t="e">
        <f t="shared" si="17"/>
        <v>#REF!</v>
      </c>
      <c r="O65" s="11" t="e">
        <f t="shared" si="13"/>
        <v>#REF!</v>
      </c>
      <c r="P65" s="17" t="e">
        <f t="shared" si="20"/>
        <v>#REF!</v>
      </c>
      <c r="Q65" s="17"/>
      <c r="R65" s="17"/>
      <c r="S65" s="17">
        <f>VLOOKUP(A65,'[4]Canjes por canasta'!A$3:S$84,15,FALSE)</f>
        <v>0.14863525000000011</v>
      </c>
      <c r="T65" s="41" t="e">
        <f t="shared" si="1"/>
        <v>#REF!</v>
      </c>
      <c r="U65" s="41" t="e">
        <f t="shared" si="2"/>
        <v>#REF!</v>
      </c>
      <c r="V65" s="41" t="str">
        <f t="shared" si="3"/>
        <v/>
      </c>
      <c r="W65" s="42" t="e">
        <f t="shared" si="4"/>
        <v>#REF!</v>
      </c>
      <c r="X65" s="12" t="e">
        <f>SUMIFS('Canjes desagregado'!#REF!,'Canjes desagregado'!#REF!,'Nuevo metod Cupón 2.0'!A65)</f>
        <v>#REF!</v>
      </c>
      <c r="Y65" s="12" t="e">
        <f>SUMIFS('Canjes desagregado'!#REF!,'Canjes desagregado'!#REF!,'Nuevo metod Cupón 2.0'!A65)</f>
        <v>#REF!</v>
      </c>
      <c r="Z65" s="12" t="e">
        <f>SUMIFS('Canjes desagregado'!#REF!,'Canjes desagregado'!#REF!,'Nuevo metod Cupón 2.0'!A65)</f>
        <v>#REF!</v>
      </c>
      <c r="AA65" s="12" t="e">
        <f>SUMIFS('Canjes desagregado'!#REF!,'Canjes desagregado'!#REF!,'Nuevo metod Cupón 2.0'!A65)</f>
        <v>#REF!</v>
      </c>
    </row>
    <row r="66" spans="1:27">
      <c r="A66" s="13">
        <v>61</v>
      </c>
      <c r="B66" s="7" t="s">
        <v>42</v>
      </c>
      <c r="C66" s="67" t="s">
        <v>100</v>
      </c>
      <c r="D66" s="39" t="e">
        <f>VLOOKUP(A66,'Canjes desagregado'!#REF!,6,FALSE)</f>
        <v>#REF!</v>
      </c>
      <c r="E66" s="14" t="e">
        <f>VLOOKUP(A66,'Canjes desagregado'!#REF!,2,FALSE)</f>
        <v>#REF!</v>
      </c>
      <c r="F66" s="15" t="e">
        <f>-SUMIFS('Canjes desagregado'!#REF!,'Canjes desagregado'!#REF!,'Nuevo metod Cupón 2.0'!A66,'Canjes desagregado'!#REF!,"Títulos Recogidos por la Nación")</f>
        <v>#REF!</v>
      </c>
      <c r="G66" s="9" t="e">
        <f>-SUMIFS('Canjes desagregado'!#REF!,'Canjes desagregado'!#REF!,'Nuevo metod Cupón 2.0'!A66)</f>
        <v>#REF!</v>
      </c>
      <c r="H66" s="9" t="e">
        <f>SUMIFS('Canjes desagregado'!#REF!,'Canjes desagregado'!#REF!,'Nuevo metod Cupón 2.0'!A66)</f>
        <v>#REF!</v>
      </c>
      <c r="I66" s="16" t="e">
        <f t="shared" si="18"/>
        <v>#REF!</v>
      </c>
      <c r="J66" s="10" t="e">
        <f>SUMIFS('Canjes desagregado'!#REF!,'Canjes desagregado'!#REF!,'Nuevo metod Cupón 2.0'!A66)</f>
        <v>#REF!</v>
      </c>
      <c r="K66" s="10" t="e">
        <f t="shared" si="14"/>
        <v>#REF!</v>
      </c>
      <c r="L66" s="10" t="e">
        <f>SUMIFS('Canjes desagregado'!#REF!,'Canjes desagregado'!#REF!,'Nuevo metod Cupón 2.0'!A66)</f>
        <v>#REF!</v>
      </c>
      <c r="M66" s="10" t="e">
        <f t="shared" si="19"/>
        <v>#REF!</v>
      </c>
      <c r="N66" s="11" t="e">
        <f t="shared" si="17"/>
        <v>#REF!</v>
      </c>
      <c r="O66" s="11" t="e">
        <f t="shared" si="13"/>
        <v>#REF!</v>
      </c>
      <c r="P66" s="17" t="e">
        <f t="shared" si="20"/>
        <v>#REF!</v>
      </c>
      <c r="Q66" s="17"/>
      <c r="R66" s="17"/>
      <c r="S66" s="17">
        <f>VLOOKUP(A66,'[4]Canjes por canasta'!A$3:S$84,15,FALSE)</f>
        <v>0.14966600000000008</v>
      </c>
      <c r="T66" s="41" t="e">
        <f t="shared" si="1"/>
        <v>#REF!</v>
      </c>
      <c r="U66" s="41" t="e">
        <f t="shared" si="2"/>
        <v>#REF!</v>
      </c>
      <c r="V66" s="41" t="str">
        <f t="shared" si="3"/>
        <v/>
      </c>
      <c r="W66" s="42" t="e">
        <f t="shared" si="4"/>
        <v>#REF!</v>
      </c>
      <c r="X66" s="12" t="e">
        <f>SUMIFS('Canjes desagregado'!#REF!,'Canjes desagregado'!#REF!,'Nuevo metod Cupón 2.0'!A66)</f>
        <v>#REF!</v>
      </c>
      <c r="Y66" s="12" t="e">
        <f>SUMIFS('Canjes desagregado'!#REF!,'Canjes desagregado'!#REF!,'Nuevo metod Cupón 2.0'!A66)</f>
        <v>#REF!</v>
      </c>
      <c r="Z66" s="12" t="e">
        <f>SUMIFS('Canjes desagregado'!#REF!,'Canjes desagregado'!#REF!,'Nuevo metod Cupón 2.0'!A66)</f>
        <v>#REF!</v>
      </c>
      <c r="AA66" s="12" t="e">
        <f>SUMIFS('Canjes desagregado'!#REF!,'Canjes desagregado'!#REF!,'Nuevo metod Cupón 2.0'!A66)</f>
        <v>#REF!</v>
      </c>
    </row>
    <row r="67" spans="1:27">
      <c r="A67" s="13">
        <v>62</v>
      </c>
      <c r="B67" s="7" t="s">
        <v>42</v>
      </c>
      <c r="C67" s="67" t="s">
        <v>101</v>
      </c>
      <c r="D67" s="39" t="e">
        <f>VLOOKUP(A67,'Canjes desagregado'!#REF!,6,FALSE)</f>
        <v>#REF!</v>
      </c>
      <c r="E67" s="14" t="e">
        <f>VLOOKUP(A67,'Canjes desagregado'!#REF!,2,FALSE)</f>
        <v>#REF!</v>
      </c>
      <c r="F67" s="15" t="e">
        <f>-SUMIFS('Canjes desagregado'!#REF!,'Canjes desagregado'!#REF!,'Nuevo metod Cupón 2.0'!A67,'Canjes desagregado'!#REF!,"Títulos Recogidos por la Nación")</f>
        <v>#REF!</v>
      </c>
      <c r="G67" s="9" t="e">
        <f>-SUMIFS('Canjes desagregado'!#REF!,'Canjes desagregado'!#REF!,'Nuevo metod Cupón 2.0'!A67)</f>
        <v>#REF!</v>
      </c>
      <c r="H67" s="9" t="e">
        <f>SUMIFS('Canjes desagregado'!#REF!,'Canjes desagregado'!#REF!,'Nuevo metod Cupón 2.0'!A67)</f>
        <v>#REF!</v>
      </c>
      <c r="I67" s="16" t="e">
        <f t="shared" si="18"/>
        <v>#REF!</v>
      </c>
      <c r="J67" s="10" t="e">
        <f>SUMIFS('Canjes desagregado'!#REF!,'Canjes desagregado'!#REF!,'Nuevo metod Cupón 2.0'!A67)</f>
        <v>#REF!</v>
      </c>
      <c r="K67" s="10" t="e">
        <f t="shared" si="14"/>
        <v>#REF!</v>
      </c>
      <c r="L67" s="10" t="e">
        <f>SUMIFS('Canjes desagregado'!#REF!,'Canjes desagregado'!#REF!,'Nuevo metod Cupón 2.0'!A67)</f>
        <v>#REF!</v>
      </c>
      <c r="M67" s="10" t="e">
        <f t="shared" si="19"/>
        <v>#REF!</v>
      </c>
      <c r="N67" s="11" t="e">
        <f t="shared" si="17"/>
        <v>#REF!</v>
      </c>
      <c r="O67" s="11" t="e">
        <f t="shared" si="13"/>
        <v>#REF!</v>
      </c>
      <c r="P67" s="17" t="e">
        <f t="shared" si="20"/>
        <v>#REF!</v>
      </c>
      <c r="Q67" s="17"/>
      <c r="R67" s="17"/>
      <c r="S67" s="17">
        <f>VLOOKUP(A67,'[4]Canjes por canasta'!A$3:S$84,15,FALSE)</f>
        <v>0.14954665</v>
      </c>
      <c r="T67" s="41" t="e">
        <f t="shared" si="1"/>
        <v>#REF!</v>
      </c>
      <c r="U67" s="41" t="e">
        <f t="shared" si="2"/>
        <v>#REF!</v>
      </c>
      <c r="V67" s="41" t="str">
        <f t="shared" si="3"/>
        <v/>
      </c>
      <c r="W67" s="42" t="e">
        <f t="shared" si="4"/>
        <v>#REF!</v>
      </c>
      <c r="X67" s="12" t="e">
        <f>SUMIFS('Canjes desagregado'!#REF!,'Canjes desagregado'!#REF!,'Nuevo metod Cupón 2.0'!A67)</f>
        <v>#REF!</v>
      </c>
      <c r="Y67" s="12" t="e">
        <f>SUMIFS('Canjes desagregado'!#REF!,'Canjes desagregado'!#REF!,'Nuevo metod Cupón 2.0'!A67)</f>
        <v>#REF!</v>
      </c>
      <c r="Z67" s="12" t="e">
        <f>SUMIFS('Canjes desagregado'!#REF!,'Canjes desagregado'!#REF!,'Nuevo metod Cupón 2.0'!A67)</f>
        <v>#REF!</v>
      </c>
      <c r="AA67" s="12" t="e">
        <f>SUMIFS('Canjes desagregado'!#REF!,'Canjes desagregado'!#REF!,'Nuevo metod Cupón 2.0'!A67)</f>
        <v>#REF!</v>
      </c>
    </row>
    <row r="68" spans="1:27">
      <c r="A68" s="13">
        <v>63</v>
      </c>
      <c r="B68" s="7" t="s">
        <v>42</v>
      </c>
      <c r="C68" s="67" t="s">
        <v>102</v>
      </c>
      <c r="D68" s="39" t="e">
        <f>VLOOKUP(A68,'Canjes desagregado'!#REF!,6,FALSE)</f>
        <v>#REF!</v>
      </c>
      <c r="E68" s="14" t="e">
        <f>VLOOKUP(A68,'Canjes desagregado'!#REF!,2,FALSE)</f>
        <v>#REF!</v>
      </c>
      <c r="F68" s="15" t="e">
        <f>-SUMIFS('Canjes desagregado'!#REF!,'Canjes desagregado'!#REF!,'Nuevo metod Cupón 2.0'!A68,'Canjes desagregado'!#REF!,"Títulos Recogidos por la Nación")</f>
        <v>#REF!</v>
      </c>
      <c r="G68" s="9" t="e">
        <f>-SUMIFS('Canjes desagregado'!#REF!,'Canjes desagregado'!#REF!,'Nuevo metod Cupón 2.0'!A68)</f>
        <v>#REF!</v>
      </c>
      <c r="H68" s="9" t="e">
        <f>SUMIFS('Canjes desagregado'!#REF!,'Canjes desagregado'!#REF!,'Nuevo metod Cupón 2.0'!A68)</f>
        <v>#REF!</v>
      </c>
      <c r="I68" s="16" t="e">
        <f t="shared" si="18"/>
        <v>#REF!</v>
      </c>
      <c r="J68" s="10" t="e">
        <f>SUMIFS('Canjes desagregado'!#REF!,'Canjes desagregado'!#REF!,'Nuevo metod Cupón 2.0'!A68)</f>
        <v>#REF!</v>
      </c>
      <c r="K68" s="10" t="e">
        <f t="shared" si="14"/>
        <v>#REF!</v>
      </c>
      <c r="L68" s="10" t="e">
        <f>SUMIFS('Canjes desagregado'!#REF!,'Canjes desagregado'!#REF!,'Nuevo metod Cupón 2.0'!A68)</f>
        <v>#REF!</v>
      </c>
      <c r="M68" s="10" t="e">
        <f t="shared" si="19"/>
        <v>#REF!</v>
      </c>
      <c r="N68" s="11" t="e">
        <f t="shared" si="17"/>
        <v>#REF!</v>
      </c>
      <c r="O68" s="11" t="e">
        <f t="shared" si="13"/>
        <v>#REF!</v>
      </c>
      <c r="P68" s="17" t="e">
        <f t="shared" si="20"/>
        <v>#REF!</v>
      </c>
      <c r="Q68" s="17"/>
      <c r="R68" s="17"/>
      <c r="S68" s="17">
        <f>VLOOKUP(A68,'[4]Canjes por canasta'!A$3:S$84,15,FALSE)</f>
        <v>0.14944899999999994</v>
      </c>
      <c r="T68" s="41" t="e">
        <f t="shared" si="1"/>
        <v>#REF!</v>
      </c>
      <c r="U68" s="41" t="e">
        <f t="shared" si="2"/>
        <v>#REF!</v>
      </c>
      <c r="V68" s="41" t="str">
        <f t="shared" si="3"/>
        <v/>
      </c>
      <c r="W68" s="42" t="e">
        <f t="shared" si="4"/>
        <v>#REF!</v>
      </c>
      <c r="X68" s="12" t="e">
        <f>SUMIFS('Canjes desagregado'!#REF!,'Canjes desagregado'!#REF!,'Nuevo metod Cupón 2.0'!A68)</f>
        <v>#REF!</v>
      </c>
      <c r="Y68" s="12" t="e">
        <f>SUMIFS('Canjes desagregado'!#REF!,'Canjes desagregado'!#REF!,'Nuevo metod Cupón 2.0'!A68)</f>
        <v>#REF!</v>
      </c>
      <c r="Z68" s="12" t="e">
        <f>SUMIFS('Canjes desagregado'!#REF!,'Canjes desagregado'!#REF!,'Nuevo metod Cupón 2.0'!A68)</f>
        <v>#REF!</v>
      </c>
      <c r="AA68" s="12" t="e">
        <f>SUMIFS('Canjes desagregado'!#REF!,'Canjes desagregado'!#REF!,'Nuevo metod Cupón 2.0'!A68)</f>
        <v>#REF!</v>
      </c>
    </row>
    <row r="69" spans="1:27">
      <c r="A69" s="13">
        <v>64</v>
      </c>
      <c r="B69" s="7" t="s">
        <v>42</v>
      </c>
      <c r="C69" s="67" t="s">
        <v>103</v>
      </c>
      <c r="D69" s="39" t="e">
        <f>VLOOKUP(A69,'Canjes desagregado'!#REF!,6,FALSE)</f>
        <v>#REF!</v>
      </c>
      <c r="E69" s="14" t="e">
        <f>VLOOKUP(A69,'Canjes desagregado'!#REF!,2,FALSE)</f>
        <v>#REF!</v>
      </c>
      <c r="F69" s="15" t="e">
        <f>-SUMIFS('Canjes desagregado'!#REF!,'Canjes desagregado'!#REF!,'Nuevo metod Cupón 2.0'!A69,'Canjes desagregado'!#REF!,"Títulos Recogidos por la Nación")</f>
        <v>#REF!</v>
      </c>
      <c r="G69" s="9" t="e">
        <f>-SUMIFS('Canjes desagregado'!#REF!,'Canjes desagregado'!#REF!,'Nuevo metod Cupón 2.0'!A69)</f>
        <v>#REF!</v>
      </c>
      <c r="H69" s="9" t="e">
        <f>SUMIFS('Canjes desagregado'!#REF!,'Canjes desagregado'!#REF!,'Nuevo metod Cupón 2.0'!A69)</f>
        <v>#REF!</v>
      </c>
      <c r="I69" s="16" t="e">
        <f t="shared" si="18"/>
        <v>#REF!</v>
      </c>
      <c r="J69" s="10" t="e">
        <f>SUMIFS('Canjes desagregado'!#REF!,'Canjes desagregado'!#REF!,'Nuevo metod Cupón 2.0'!A69)</f>
        <v>#REF!</v>
      </c>
      <c r="K69" s="10" t="e">
        <f t="shared" si="14"/>
        <v>#REF!</v>
      </c>
      <c r="L69" s="10" t="e">
        <f>SUMIFS('Canjes desagregado'!#REF!,'Canjes desagregado'!#REF!,'Nuevo metod Cupón 2.0'!A69)</f>
        <v>#REF!</v>
      </c>
      <c r="M69" s="10" t="e">
        <f t="shared" si="19"/>
        <v>#REF!</v>
      </c>
      <c r="N69" s="11" t="e">
        <f t="shared" si="17"/>
        <v>#REF!</v>
      </c>
      <c r="O69" s="11" t="e">
        <f t="shared" si="13"/>
        <v>#REF!</v>
      </c>
      <c r="P69" s="17" t="e">
        <f t="shared" si="20"/>
        <v>#REF!</v>
      </c>
      <c r="Q69" s="17"/>
      <c r="R69" s="17"/>
      <c r="S69" s="17">
        <f>VLOOKUP(A69,'[4]Canjes por canasta'!A$3:S$84,15,FALSE)</f>
        <v>0.1490149999999999</v>
      </c>
      <c r="T69" s="41" t="e">
        <f t="shared" si="1"/>
        <v>#REF!</v>
      </c>
      <c r="U69" s="41" t="e">
        <f t="shared" si="2"/>
        <v>#REF!</v>
      </c>
      <c r="V69" s="41" t="str">
        <f t="shared" si="3"/>
        <v/>
      </c>
      <c r="W69" s="42" t="e">
        <f t="shared" si="4"/>
        <v>#REF!</v>
      </c>
      <c r="X69" s="12" t="e">
        <f>SUMIFS('Canjes desagregado'!#REF!,'Canjes desagregado'!#REF!,'Nuevo metod Cupón 2.0'!A69)</f>
        <v>#REF!</v>
      </c>
      <c r="Y69" s="12" t="e">
        <f>SUMIFS('Canjes desagregado'!#REF!,'Canjes desagregado'!#REF!,'Nuevo metod Cupón 2.0'!A69)</f>
        <v>#REF!</v>
      </c>
      <c r="Z69" s="12" t="e">
        <f>SUMIFS('Canjes desagregado'!#REF!,'Canjes desagregado'!#REF!,'Nuevo metod Cupón 2.0'!A69)</f>
        <v>#REF!</v>
      </c>
      <c r="AA69" s="12" t="e">
        <f>SUMIFS('Canjes desagregado'!#REF!,'Canjes desagregado'!#REF!,'Nuevo metod Cupón 2.0'!A69)</f>
        <v>#REF!</v>
      </c>
    </row>
    <row r="70" spans="1:27">
      <c r="A70" s="13">
        <v>65</v>
      </c>
      <c r="B70" s="7" t="s">
        <v>42</v>
      </c>
      <c r="C70" s="67" t="s">
        <v>104</v>
      </c>
      <c r="D70" s="39" t="e">
        <f>VLOOKUP(A70,'Canjes desagregado'!#REF!,6,FALSE)</f>
        <v>#REF!</v>
      </c>
      <c r="E70" s="14" t="e">
        <f>VLOOKUP(A70,'Canjes desagregado'!#REF!,2,FALSE)</f>
        <v>#REF!</v>
      </c>
      <c r="F70" s="15" t="e">
        <f>-SUMIFS('Canjes desagregado'!#REF!,'Canjes desagregado'!#REF!,'Nuevo metod Cupón 2.0'!A70,'Canjes desagregado'!#REF!,"Títulos Recogidos por la Nación")</f>
        <v>#REF!</v>
      </c>
      <c r="G70" s="9" t="e">
        <f>-SUMIFS('Canjes desagregado'!#REF!,'Canjes desagregado'!#REF!,'Nuevo metod Cupón 2.0'!A70)</f>
        <v>#REF!</v>
      </c>
      <c r="H70" s="9" t="e">
        <f>SUMIFS('Canjes desagregado'!#REF!,'Canjes desagregado'!#REF!,'Nuevo metod Cupón 2.0'!A70)</f>
        <v>#REF!</v>
      </c>
      <c r="I70" s="16" t="e">
        <f t="shared" si="18"/>
        <v>#REF!</v>
      </c>
      <c r="J70" s="10" t="e">
        <f>SUMIFS('Canjes desagregado'!#REF!,'Canjes desagregado'!#REF!,'Nuevo metod Cupón 2.0'!A70)</f>
        <v>#REF!</v>
      </c>
      <c r="K70" s="10" t="e">
        <f t="shared" si="14"/>
        <v>#REF!</v>
      </c>
      <c r="L70" s="10" t="e">
        <f>SUMIFS('Canjes desagregado'!#REF!,'Canjes desagregado'!#REF!,'Nuevo metod Cupón 2.0'!A70)</f>
        <v>#REF!</v>
      </c>
      <c r="M70" s="10" t="e">
        <f t="shared" si="19"/>
        <v>#REF!</v>
      </c>
      <c r="N70" s="11" t="e">
        <f t="shared" si="17"/>
        <v>#REF!</v>
      </c>
      <c r="O70" s="11" t="e">
        <f t="shared" si="13"/>
        <v>#REF!</v>
      </c>
      <c r="P70" s="17" t="e">
        <f t="shared" si="20"/>
        <v>#REF!</v>
      </c>
      <c r="Q70" s="17"/>
      <c r="R70" s="17"/>
      <c r="S70" s="17">
        <f>VLOOKUP(A70,'[4]Canjes por canasta'!A$3:S$84,15,FALSE)</f>
        <v>0.14966600000000008</v>
      </c>
      <c r="T70" s="41" t="e">
        <f t="shared" si="1"/>
        <v>#REF!</v>
      </c>
      <c r="U70" s="41" t="e">
        <f t="shared" si="2"/>
        <v>#REF!</v>
      </c>
      <c r="V70" s="41" t="str">
        <f t="shared" si="3"/>
        <v/>
      </c>
      <c r="W70" s="42" t="e">
        <f t="shared" si="4"/>
        <v>#REF!</v>
      </c>
      <c r="X70" s="12" t="e">
        <f>SUMIFS('Canjes desagregado'!#REF!,'Canjes desagregado'!#REF!,'Nuevo metod Cupón 2.0'!A70)</f>
        <v>#REF!</v>
      </c>
      <c r="Y70" s="12" t="e">
        <f>SUMIFS('Canjes desagregado'!#REF!,'Canjes desagregado'!#REF!,'Nuevo metod Cupón 2.0'!A70)</f>
        <v>#REF!</v>
      </c>
      <c r="Z70" s="12" t="e">
        <f>SUMIFS('Canjes desagregado'!#REF!,'Canjes desagregado'!#REF!,'Nuevo metod Cupón 2.0'!A70)</f>
        <v>#REF!</v>
      </c>
      <c r="AA70" s="12" t="e">
        <f>SUMIFS('Canjes desagregado'!#REF!,'Canjes desagregado'!#REF!,'Nuevo metod Cupón 2.0'!A70)</f>
        <v>#REF!</v>
      </c>
    </row>
    <row r="71" spans="1:27">
      <c r="A71" s="13">
        <v>66</v>
      </c>
      <c r="B71" s="7" t="s">
        <v>42</v>
      </c>
      <c r="C71" s="67" t="s">
        <v>105</v>
      </c>
      <c r="D71" s="39" t="e">
        <f>VLOOKUP(A71,'Canjes desagregado'!#REF!,6,FALSE)</f>
        <v>#REF!</v>
      </c>
      <c r="E71" s="14" t="e">
        <f>VLOOKUP(A71,'Canjes desagregado'!#REF!,2,FALSE)</f>
        <v>#REF!</v>
      </c>
      <c r="F71" s="15" t="e">
        <f>-SUMIFS('Canjes desagregado'!#REF!,'Canjes desagregado'!#REF!,'Nuevo metod Cupón 2.0'!A71,'Canjes desagregado'!#REF!,"Títulos Recogidos por la Nación")</f>
        <v>#REF!</v>
      </c>
      <c r="G71" s="9" t="e">
        <f>-SUMIFS('Canjes desagregado'!#REF!,'Canjes desagregado'!#REF!,'Nuevo metod Cupón 2.0'!A71)</f>
        <v>#REF!</v>
      </c>
      <c r="H71" s="9" t="e">
        <f>SUMIFS('Canjes desagregado'!#REF!,'Canjes desagregado'!#REF!,'Nuevo metod Cupón 2.0'!A71)</f>
        <v>#REF!</v>
      </c>
      <c r="I71" s="16" t="e">
        <f t="shared" si="18"/>
        <v>#REF!</v>
      </c>
      <c r="J71" s="10" t="e">
        <f>SUMIFS('Canjes desagregado'!#REF!,'Canjes desagregado'!#REF!,'Nuevo metod Cupón 2.0'!A71)</f>
        <v>#REF!</v>
      </c>
      <c r="K71" s="10" t="e">
        <f t="shared" si="14"/>
        <v>#REF!</v>
      </c>
      <c r="L71" s="10" t="e">
        <f>SUMIFS('Canjes desagregado'!#REF!,'Canjes desagregado'!#REF!,'Nuevo metod Cupón 2.0'!A71)</f>
        <v>#REF!</v>
      </c>
      <c r="M71" s="10" t="e">
        <f t="shared" si="19"/>
        <v>#REF!</v>
      </c>
      <c r="N71" s="11" t="e">
        <f t="shared" si="17"/>
        <v>#REF!</v>
      </c>
      <c r="O71" s="11" t="e">
        <f t="shared" si="13"/>
        <v>#REF!</v>
      </c>
      <c r="P71" s="17" t="e">
        <f t="shared" si="20"/>
        <v>#REF!</v>
      </c>
      <c r="Q71" s="17"/>
      <c r="R71" s="17"/>
      <c r="S71" s="17">
        <f>VLOOKUP(A71,'[4]Canjes por canasta'!A$3:S$84,15,FALSE)</f>
        <v>0.14989384999999977</v>
      </c>
      <c r="T71" s="41" t="e">
        <f t="shared" ref="T71:T108" si="21">G71+H71+J71+L71</f>
        <v>#REF!</v>
      </c>
      <c r="U71" s="41" t="e">
        <f t="shared" ref="U71:U111" si="22">IF(B71="Tesorería",T71,"")</f>
        <v>#REF!</v>
      </c>
      <c r="V71" s="41" t="str">
        <f t="shared" ref="V71:V111" si="23">IF(B71="Tesorería","",T71)</f>
        <v/>
      </c>
      <c r="W71" s="42" t="e">
        <f t="shared" ref="W71:W108" si="24">(G71+H71+J71+L71)/F71</f>
        <v>#REF!</v>
      </c>
      <c r="X71" s="12" t="e">
        <f>SUMIFS('Canjes desagregado'!#REF!,'Canjes desagregado'!#REF!,'Nuevo metod Cupón 2.0'!A71)</f>
        <v>#REF!</v>
      </c>
      <c r="Y71" s="12" t="e">
        <f>SUMIFS('Canjes desagregado'!#REF!,'Canjes desagregado'!#REF!,'Nuevo metod Cupón 2.0'!A71)</f>
        <v>#REF!</v>
      </c>
      <c r="Z71" s="12" t="e">
        <f>SUMIFS('Canjes desagregado'!#REF!,'Canjes desagregado'!#REF!,'Nuevo metod Cupón 2.0'!A71)</f>
        <v>#REF!</v>
      </c>
      <c r="AA71" s="12" t="e">
        <f>SUMIFS('Canjes desagregado'!#REF!,'Canjes desagregado'!#REF!,'Nuevo metod Cupón 2.0'!A71)</f>
        <v>#REF!</v>
      </c>
    </row>
    <row r="72" spans="1:27">
      <c r="A72" s="13">
        <v>67</v>
      </c>
      <c r="B72" s="7" t="s">
        <v>42</v>
      </c>
      <c r="C72" s="67" t="s">
        <v>106</v>
      </c>
      <c r="D72" s="39" t="e">
        <f>VLOOKUP(A72,'Canjes desagregado'!#REF!,6,FALSE)</f>
        <v>#REF!</v>
      </c>
      <c r="E72" s="14" t="e">
        <f>VLOOKUP(A72,'Canjes desagregado'!#REF!,2,FALSE)</f>
        <v>#REF!</v>
      </c>
      <c r="F72" s="15" t="e">
        <f>-SUMIFS('Canjes desagregado'!#REF!,'Canjes desagregado'!#REF!,'Nuevo metod Cupón 2.0'!A72,'Canjes desagregado'!#REF!,"Títulos Recogidos por la Nación")</f>
        <v>#REF!</v>
      </c>
      <c r="G72" s="9" t="e">
        <f>-SUMIFS('Canjes desagregado'!#REF!,'Canjes desagregado'!#REF!,'Nuevo metod Cupón 2.0'!A72)</f>
        <v>#REF!</v>
      </c>
      <c r="H72" s="9" t="e">
        <f>SUMIFS('Canjes desagregado'!#REF!,'Canjes desagregado'!#REF!,'Nuevo metod Cupón 2.0'!A72)</f>
        <v>#REF!</v>
      </c>
      <c r="I72" s="16" t="e">
        <f t="shared" si="18"/>
        <v>#REF!</v>
      </c>
      <c r="J72" s="10" t="e">
        <f>SUMIFS('Canjes desagregado'!#REF!,'Canjes desagregado'!#REF!,'Nuevo metod Cupón 2.0'!A72)</f>
        <v>#REF!</v>
      </c>
      <c r="K72" s="10" t="e">
        <f t="shared" si="14"/>
        <v>#REF!</v>
      </c>
      <c r="L72" s="10" t="e">
        <f>SUMIFS('Canjes desagregado'!#REF!,'Canjes desagregado'!#REF!,'Nuevo metod Cupón 2.0'!A72)</f>
        <v>#REF!</v>
      </c>
      <c r="M72" s="10" t="e">
        <f t="shared" si="19"/>
        <v>#REF!</v>
      </c>
      <c r="N72" s="11" t="e">
        <f t="shared" si="17"/>
        <v>#REF!</v>
      </c>
      <c r="O72" s="11" t="e">
        <f t="shared" si="13"/>
        <v>#REF!</v>
      </c>
      <c r="P72" s="17" t="e">
        <f t="shared" si="20"/>
        <v>#REF!</v>
      </c>
      <c r="Q72" s="17"/>
      <c r="R72" s="17"/>
      <c r="S72" s="17">
        <f>VLOOKUP(A72,'[4]Canjes por canasta'!A$3:S$84,15,FALSE)</f>
        <v>0.15007829999999989</v>
      </c>
      <c r="T72" s="41" t="e">
        <f t="shared" si="21"/>
        <v>#REF!</v>
      </c>
      <c r="U72" s="41" t="e">
        <f t="shared" si="22"/>
        <v>#REF!</v>
      </c>
      <c r="V72" s="41" t="str">
        <f t="shared" si="23"/>
        <v/>
      </c>
      <c r="W72" s="42" t="e">
        <f t="shared" si="24"/>
        <v>#REF!</v>
      </c>
      <c r="X72" s="12" t="e">
        <f>SUMIFS('Canjes desagregado'!#REF!,'Canjes desagregado'!#REF!,'Nuevo metod Cupón 2.0'!A72)</f>
        <v>#REF!</v>
      </c>
      <c r="Y72" s="12" t="e">
        <f>SUMIFS('Canjes desagregado'!#REF!,'Canjes desagregado'!#REF!,'Nuevo metod Cupón 2.0'!A72)</f>
        <v>#REF!</v>
      </c>
      <c r="Z72" s="12" t="e">
        <f>SUMIFS('Canjes desagregado'!#REF!,'Canjes desagregado'!#REF!,'Nuevo metod Cupón 2.0'!A72)</f>
        <v>#REF!</v>
      </c>
      <c r="AA72" s="12" t="e">
        <f>SUMIFS('Canjes desagregado'!#REF!,'Canjes desagregado'!#REF!,'Nuevo metod Cupón 2.0'!A72)</f>
        <v>#REF!</v>
      </c>
    </row>
    <row r="73" spans="1:27">
      <c r="A73" s="13">
        <v>68</v>
      </c>
      <c r="B73" s="7" t="s">
        <v>42</v>
      </c>
      <c r="C73" s="67" t="s">
        <v>107</v>
      </c>
      <c r="D73" s="39" t="e">
        <f>VLOOKUP(A73,'Canjes desagregado'!#REF!,6,FALSE)</f>
        <v>#REF!</v>
      </c>
      <c r="E73" s="14" t="e">
        <f>VLOOKUP(A73,'Canjes desagregado'!#REF!,2,FALSE)</f>
        <v>#REF!</v>
      </c>
      <c r="F73" s="15" t="e">
        <f>-SUMIFS('Canjes desagregado'!#REF!,'Canjes desagregado'!#REF!,'Nuevo metod Cupón 2.0'!A73,'Canjes desagregado'!#REF!,"Títulos Recogidos por la Nación")</f>
        <v>#REF!</v>
      </c>
      <c r="G73" s="9" t="e">
        <f>-SUMIFS('Canjes desagregado'!#REF!,'Canjes desagregado'!#REF!,'Nuevo metod Cupón 2.0'!A73)</f>
        <v>#REF!</v>
      </c>
      <c r="H73" s="9" t="e">
        <f>SUMIFS('Canjes desagregado'!#REF!,'Canjes desagregado'!#REF!,'Nuevo metod Cupón 2.0'!A73)</f>
        <v>#REF!</v>
      </c>
      <c r="I73" s="16" t="e">
        <f t="shared" si="18"/>
        <v>#REF!</v>
      </c>
      <c r="J73" s="10" t="e">
        <f>SUMIFS('Canjes desagregado'!#REF!,'Canjes desagregado'!#REF!,'Nuevo metod Cupón 2.0'!A73)</f>
        <v>#REF!</v>
      </c>
      <c r="K73" s="10" t="e">
        <f t="shared" si="14"/>
        <v>#REF!</v>
      </c>
      <c r="L73" s="10" t="e">
        <f>SUMIFS('Canjes desagregado'!#REF!,'Canjes desagregado'!#REF!,'Nuevo metod Cupón 2.0'!A73)</f>
        <v>#REF!</v>
      </c>
      <c r="M73" s="10" t="e">
        <f t="shared" si="19"/>
        <v>#REF!</v>
      </c>
      <c r="N73" s="11" t="e">
        <f t="shared" si="17"/>
        <v>#REF!</v>
      </c>
      <c r="O73" s="11" t="e">
        <f t="shared" si="13"/>
        <v>#REF!</v>
      </c>
      <c r="P73" s="17" t="e">
        <f t="shared" si="20"/>
        <v>#REF!</v>
      </c>
      <c r="Q73" s="17"/>
      <c r="R73" s="17"/>
      <c r="S73" s="17">
        <f>VLOOKUP(A73,'[4]Canjes por canasta'!A$3:S$84,15,FALSE)</f>
        <v>0.15020849999999997</v>
      </c>
      <c r="T73" s="41" t="e">
        <f t="shared" si="21"/>
        <v>#REF!</v>
      </c>
      <c r="U73" s="41" t="e">
        <f t="shared" si="22"/>
        <v>#REF!</v>
      </c>
      <c r="V73" s="41" t="str">
        <f t="shared" si="23"/>
        <v/>
      </c>
      <c r="W73" s="42" t="e">
        <f t="shared" si="24"/>
        <v>#REF!</v>
      </c>
      <c r="X73" s="12" t="e">
        <f>SUMIFS('Canjes desagregado'!#REF!,'Canjes desagregado'!#REF!,'Nuevo metod Cupón 2.0'!A73)</f>
        <v>#REF!</v>
      </c>
      <c r="Y73" s="12" t="e">
        <f>SUMIFS('Canjes desagregado'!#REF!,'Canjes desagregado'!#REF!,'Nuevo metod Cupón 2.0'!A73)</f>
        <v>#REF!</v>
      </c>
      <c r="Z73" s="12" t="e">
        <f>SUMIFS('Canjes desagregado'!#REF!,'Canjes desagregado'!#REF!,'Nuevo metod Cupón 2.0'!A73)</f>
        <v>#REF!</v>
      </c>
      <c r="AA73" s="12" t="e">
        <f>SUMIFS('Canjes desagregado'!#REF!,'Canjes desagregado'!#REF!,'Nuevo metod Cupón 2.0'!A73)</f>
        <v>#REF!</v>
      </c>
    </row>
    <row r="74" spans="1:27">
      <c r="A74" s="13">
        <v>69</v>
      </c>
      <c r="B74" s="7" t="s">
        <v>42</v>
      </c>
      <c r="C74" s="67" t="s">
        <v>108</v>
      </c>
      <c r="D74" s="39" t="e">
        <f>VLOOKUP(A74,'Canjes desagregado'!#REF!,6,FALSE)</f>
        <v>#REF!</v>
      </c>
      <c r="E74" s="14" t="e">
        <f>VLOOKUP(A74,'Canjes desagregado'!#REF!,2,FALSE)</f>
        <v>#REF!</v>
      </c>
      <c r="F74" s="15" t="e">
        <f>-SUMIFS('Canjes desagregado'!#REF!,'Canjes desagregado'!#REF!,'Nuevo metod Cupón 2.0'!A74,'Canjes desagregado'!#REF!,"Títulos Recogidos por la Nación")</f>
        <v>#REF!</v>
      </c>
      <c r="G74" s="9" t="e">
        <f>-SUMIFS('Canjes desagregado'!#REF!,'Canjes desagregado'!#REF!,'Nuevo metod Cupón 2.0'!A74)</f>
        <v>#REF!</v>
      </c>
      <c r="H74" s="9" t="e">
        <f>SUMIFS('Canjes desagregado'!#REF!,'Canjes desagregado'!#REF!,'Nuevo metod Cupón 2.0'!A74)</f>
        <v>#REF!</v>
      </c>
      <c r="I74" s="16" t="e">
        <f t="shared" si="18"/>
        <v>#REF!</v>
      </c>
      <c r="J74" s="10" t="e">
        <f>SUMIFS('Canjes desagregado'!#REF!,'Canjes desagregado'!#REF!,'Nuevo metod Cupón 2.0'!A74)</f>
        <v>#REF!</v>
      </c>
      <c r="K74" s="10" t="e">
        <f t="shared" si="14"/>
        <v>#REF!</v>
      </c>
      <c r="L74" s="10" t="e">
        <f>SUMIFS('Canjes desagregado'!#REF!,'Canjes desagregado'!#REF!,'Nuevo metod Cupón 2.0'!A74)</f>
        <v>#REF!</v>
      </c>
      <c r="M74" s="10" t="e">
        <f t="shared" si="19"/>
        <v>#REF!</v>
      </c>
      <c r="N74" s="11" t="e">
        <f t="shared" si="17"/>
        <v>#REF!</v>
      </c>
      <c r="O74" s="11" t="e">
        <f t="shared" si="13"/>
        <v>#REF!</v>
      </c>
      <c r="P74" s="17" t="e">
        <f t="shared" si="20"/>
        <v>#REF!</v>
      </c>
      <c r="Q74" s="17"/>
      <c r="R74" s="17"/>
      <c r="S74" s="17">
        <f>VLOOKUP(A74,'[4]Canjes por canasta'!A$3:S$84,15,FALSE)</f>
        <v>0.15041464999999987</v>
      </c>
      <c r="T74" s="41" t="e">
        <f t="shared" si="21"/>
        <v>#REF!</v>
      </c>
      <c r="U74" s="41" t="e">
        <f t="shared" si="22"/>
        <v>#REF!</v>
      </c>
      <c r="V74" s="41" t="str">
        <f t="shared" si="23"/>
        <v/>
      </c>
      <c r="W74" s="42" t="e">
        <f t="shared" si="24"/>
        <v>#REF!</v>
      </c>
      <c r="X74" s="12" t="e">
        <f>SUMIFS('Canjes desagregado'!#REF!,'Canjes desagregado'!#REF!,'Nuevo metod Cupón 2.0'!A74)</f>
        <v>#REF!</v>
      </c>
      <c r="Y74" s="12" t="e">
        <f>SUMIFS('Canjes desagregado'!#REF!,'Canjes desagregado'!#REF!,'Nuevo metod Cupón 2.0'!A74)</f>
        <v>#REF!</v>
      </c>
      <c r="Z74" s="12" t="e">
        <f>SUMIFS('Canjes desagregado'!#REF!,'Canjes desagregado'!#REF!,'Nuevo metod Cupón 2.0'!A74)</f>
        <v>#REF!</v>
      </c>
      <c r="AA74" s="12" t="e">
        <f>SUMIFS('Canjes desagregado'!#REF!,'Canjes desagregado'!#REF!,'Nuevo metod Cupón 2.0'!A74)</f>
        <v>#REF!</v>
      </c>
    </row>
    <row r="75" spans="1:27">
      <c r="A75" s="13">
        <v>70</v>
      </c>
      <c r="B75" s="7" t="s">
        <v>42</v>
      </c>
      <c r="C75" s="67" t="s">
        <v>109</v>
      </c>
      <c r="D75" s="39" t="e">
        <f>VLOOKUP(A75,'Canjes desagregado'!#REF!,6,FALSE)</f>
        <v>#REF!</v>
      </c>
      <c r="E75" s="14" t="e">
        <f>VLOOKUP(A75,'Canjes desagregado'!#REF!,2,FALSE)</f>
        <v>#REF!</v>
      </c>
      <c r="F75" s="15" t="e">
        <f>-SUMIFS('Canjes desagregado'!#REF!,'Canjes desagregado'!#REF!,'Nuevo metod Cupón 2.0'!A75,'Canjes desagregado'!#REF!,"Títulos Recogidos por la Nación")</f>
        <v>#REF!</v>
      </c>
      <c r="G75" s="9" t="e">
        <f>-SUMIFS('Canjes desagregado'!#REF!,'Canjes desagregado'!#REF!,'Nuevo metod Cupón 2.0'!A75)</f>
        <v>#REF!</v>
      </c>
      <c r="H75" s="9" t="e">
        <f>SUMIFS('Canjes desagregado'!#REF!,'Canjes desagregado'!#REF!,'Nuevo metod Cupón 2.0'!A75)</f>
        <v>#REF!</v>
      </c>
      <c r="I75" s="16" t="e">
        <f t="shared" si="18"/>
        <v>#REF!</v>
      </c>
      <c r="J75" s="10" t="e">
        <f>SUMIFS('Canjes desagregado'!#REF!,'Canjes desagregado'!#REF!,'Nuevo metod Cupón 2.0'!A75)</f>
        <v>#REF!</v>
      </c>
      <c r="K75" s="10" t="e">
        <f t="shared" si="14"/>
        <v>#REF!</v>
      </c>
      <c r="L75" s="10" t="e">
        <f>SUMIFS('Canjes desagregado'!#REF!,'Canjes desagregado'!#REF!,'Nuevo metod Cupón 2.0'!A75)</f>
        <v>#REF!</v>
      </c>
      <c r="M75" s="10" t="e">
        <f t="shared" si="19"/>
        <v>#REF!</v>
      </c>
      <c r="N75" s="11" t="e">
        <f t="shared" si="17"/>
        <v>#REF!</v>
      </c>
      <c r="O75" s="11" t="e">
        <f t="shared" si="13"/>
        <v>#REF!</v>
      </c>
      <c r="P75" s="17" t="e">
        <f t="shared" si="20"/>
        <v>#REF!</v>
      </c>
      <c r="Q75" s="17"/>
      <c r="R75" s="17"/>
      <c r="S75" s="17">
        <f>VLOOKUP(A75,'[4]Canjes por canasta'!A$3:S$84,15,FALSE)</f>
        <v>0.14993725000000002</v>
      </c>
      <c r="T75" s="41" t="e">
        <f t="shared" si="21"/>
        <v>#REF!</v>
      </c>
      <c r="U75" s="41" t="e">
        <f t="shared" si="22"/>
        <v>#REF!</v>
      </c>
      <c r="V75" s="41" t="str">
        <f t="shared" si="23"/>
        <v/>
      </c>
      <c r="W75" s="42" t="e">
        <f t="shared" si="24"/>
        <v>#REF!</v>
      </c>
      <c r="X75" s="12" t="e">
        <f>SUMIFS('Canjes desagregado'!#REF!,'Canjes desagregado'!#REF!,'Nuevo metod Cupón 2.0'!A75)</f>
        <v>#REF!</v>
      </c>
      <c r="Y75" s="12" t="e">
        <f>SUMIFS('Canjes desagregado'!#REF!,'Canjes desagregado'!#REF!,'Nuevo metod Cupón 2.0'!A75)</f>
        <v>#REF!</v>
      </c>
      <c r="Z75" s="12" t="e">
        <f>SUMIFS('Canjes desagregado'!#REF!,'Canjes desagregado'!#REF!,'Nuevo metod Cupón 2.0'!A75)</f>
        <v>#REF!</v>
      </c>
      <c r="AA75" s="12" t="e">
        <f>SUMIFS('Canjes desagregado'!#REF!,'Canjes desagregado'!#REF!,'Nuevo metod Cupón 2.0'!A75)</f>
        <v>#REF!</v>
      </c>
    </row>
    <row r="76" spans="1:27">
      <c r="A76" s="13">
        <v>71</v>
      </c>
      <c r="B76" s="7" t="s">
        <v>42</v>
      </c>
      <c r="C76" s="67" t="s">
        <v>110</v>
      </c>
      <c r="D76" s="39" t="e">
        <f>VLOOKUP(A76,'Canjes desagregado'!#REF!,6,FALSE)</f>
        <v>#REF!</v>
      </c>
      <c r="E76" s="14" t="e">
        <f>VLOOKUP(A76,'Canjes desagregado'!#REF!,2,FALSE)</f>
        <v>#REF!</v>
      </c>
      <c r="F76" s="15" t="e">
        <f>-SUMIFS('Canjes desagregado'!#REF!,'Canjes desagregado'!#REF!,'Nuevo metod Cupón 2.0'!A76,'Canjes desagregado'!#REF!,"Títulos Recogidos por la Nación")</f>
        <v>#REF!</v>
      </c>
      <c r="G76" s="9" t="e">
        <f>-SUMIFS('Canjes desagregado'!#REF!,'Canjes desagregado'!#REF!,'Nuevo metod Cupón 2.0'!A76)</f>
        <v>#REF!</v>
      </c>
      <c r="H76" s="9" t="e">
        <f>SUMIFS('Canjes desagregado'!#REF!,'Canjes desagregado'!#REF!,'Nuevo metod Cupón 2.0'!A76)</f>
        <v>#REF!</v>
      </c>
      <c r="I76" s="16" t="e">
        <f t="shared" si="18"/>
        <v>#REF!</v>
      </c>
      <c r="J76" s="10" t="e">
        <f>SUMIFS('Canjes desagregado'!#REF!,'Canjes desagregado'!#REF!,'Nuevo metod Cupón 2.0'!A76)</f>
        <v>#REF!</v>
      </c>
      <c r="K76" s="10" t="e">
        <f t="shared" si="14"/>
        <v>#REF!</v>
      </c>
      <c r="L76" s="10" t="e">
        <f>SUMIFS('Canjes desagregado'!#REF!,'Canjes desagregado'!#REF!,'Nuevo metod Cupón 2.0'!A76)</f>
        <v>#REF!</v>
      </c>
      <c r="M76" s="10" t="e">
        <f t="shared" si="19"/>
        <v>#REF!</v>
      </c>
      <c r="N76" s="11" t="e">
        <f t="shared" si="17"/>
        <v>#REF!</v>
      </c>
      <c r="O76" s="11" t="e">
        <f t="shared" si="13"/>
        <v>#REF!</v>
      </c>
      <c r="P76" s="17" t="e">
        <f t="shared" si="20"/>
        <v>#REF!</v>
      </c>
      <c r="Q76" s="17"/>
      <c r="R76" s="17"/>
      <c r="S76" s="17">
        <f>VLOOKUP(A76,'[4]Canjes por canasta'!A$3:S$84,15,FALSE)</f>
        <v>0.15013254999999992</v>
      </c>
      <c r="T76" s="41" t="e">
        <f t="shared" si="21"/>
        <v>#REF!</v>
      </c>
      <c r="U76" s="41" t="e">
        <f t="shared" si="22"/>
        <v>#REF!</v>
      </c>
      <c r="V76" s="41" t="str">
        <f t="shared" si="23"/>
        <v/>
      </c>
      <c r="W76" s="42" t="e">
        <f t="shared" si="24"/>
        <v>#REF!</v>
      </c>
      <c r="X76" s="12" t="e">
        <f>SUMIFS('Canjes desagregado'!#REF!,'Canjes desagregado'!#REF!,'Nuevo metod Cupón 2.0'!A76)</f>
        <v>#REF!</v>
      </c>
      <c r="Y76" s="12" t="e">
        <f>SUMIFS('Canjes desagregado'!#REF!,'Canjes desagregado'!#REF!,'Nuevo metod Cupón 2.0'!A76)</f>
        <v>#REF!</v>
      </c>
      <c r="Z76" s="12" t="e">
        <f>SUMIFS('Canjes desagregado'!#REF!,'Canjes desagregado'!#REF!,'Nuevo metod Cupón 2.0'!A76)</f>
        <v>#REF!</v>
      </c>
      <c r="AA76" s="12" t="e">
        <f>SUMIFS('Canjes desagregado'!#REF!,'Canjes desagregado'!#REF!,'Nuevo metod Cupón 2.0'!A76)</f>
        <v>#REF!</v>
      </c>
    </row>
    <row r="77" spans="1:27">
      <c r="A77" s="13">
        <v>72</v>
      </c>
      <c r="B77" s="7" t="s">
        <v>42</v>
      </c>
      <c r="C77" s="67" t="s">
        <v>111</v>
      </c>
      <c r="D77" s="39" t="e">
        <f>VLOOKUP(A77,'Canjes desagregado'!#REF!,6,FALSE)</f>
        <v>#REF!</v>
      </c>
      <c r="E77" s="14" t="e">
        <f>VLOOKUP(A77,'Canjes desagregado'!#REF!,2,FALSE)</f>
        <v>#REF!</v>
      </c>
      <c r="F77" s="15" t="e">
        <f>-SUMIFS('Canjes desagregado'!#REF!,'Canjes desagregado'!#REF!,'Nuevo metod Cupón 2.0'!A77,'Canjes desagregado'!#REF!,"Títulos Recogidos por la Nación")</f>
        <v>#REF!</v>
      </c>
      <c r="G77" s="9" t="e">
        <f>-SUMIFS('Canjes desagregado'!#REF!,'Canjes desagregado'!#REF!,'Nuevo metod Cupón 2.0'!A77)</f>
        <v>#REF!</v>
      </c>
      <c r="H77" s="9" t="e">
        <f>SUMIFS('Canjes desagregado'!#REF!,'Canjes desagregado'!#REF!,'Nuevo metod Cupón 2.0'!A77)</f>
        <v>#REF!</v>
      </c>
      <c r="I77" s="16" t="e">
        <f t="shared" si="18"/>
        <v>#REF!</v>
      </c>
      <c r="J77" s="10" t="e">
        <f>SUMIFS('Canjes desagregado'!#REF!,'Canjes desagregado'!#REF!,'Nuevo metod Cupón 2.0'!A77)</f>
        <v>#REF!</v>
      </c>
      <c r="K77" s="10" t="e">
        <f t="shared" si="14"/>
        <v>#REF!</v>
      </c>
      <c r="L77" s="10" t="e">
        <f>SUMIFS('Canjes desagregado'!#REF!,'Canjes desagregado'!#REF!,'Nuevo metod Cupón 2.0'!A77)</f>
        <v>#REF!</v>
      </c>
      <c r="M77" s="10" t="e">
        <f t="shared" si="19"/>
        <v>#REF!</v>
      </c>
      <c r="N77" s="11" t="e">
        <f t="shared" si="17"/>
        <v>#REF!</v>
      </c>
      <c r="O77" s="11" t="e">
        <f t="shared" si="13"/>
        <v>#REF!</v>
      </c>
      <c r="P77" s="17" t="e">
        <f t="shared" si="20"/>
        <v>#REF!</v>
      </c>
      <c r="Q77" s="17"/>
      <c r="R77" s="17"/>
      <c r="S77" s="17">
        <f>VLOOKUP(A77,'[4]Canjes por canasta'!A$3:S$84,15,FALSE)</f>
        <v>0.14988299999999999</v>
      </c>
      <c r="T77" s="41" t="e">
        <f t="shared" si="21"/>
        <v>#REF!</v>
      </c>
      <c r="U77" s="41" t="e">
        <f t="shared" si="22"/>
        <v>#REF!</v>
      </c>
      <c r="V77" s="41" t="str">
        <f t="shared" si="23"/>
        <v/>
      </c>
      <c r="W77" s="42" t="e">
        <f t="shared" si="24"/>
        <v>#REF!</v>
      </c>
      <c r="X77" s="12" t="e">
        <f>SUMIFS('Canjes desagregado'!#REF!,'Canjes desagregado'!#REF!,'Nuevo metod Cupón 2.0'!A77)</f>
        <v>#REF!</v>
      </c>
      <c r="Y77" s="12" t="e">
        <f>SUMIFS('Canjes desagregado'!#REF!,'Canjes desagregado'!#REF!,'Nuevo metod Cupón 2.0'!A77)</f>
        <v>#REF!</v>
      </c>
      <c r="Z77" s="12" t="e">
        <f>SUMIFS('Canjes desagregado'!#REF!,'Canjes desagregado'!#REF!,'Nuevo metod Cupón 2.0'!A77)</f>
        <v>#REF!</v>
      </c>
      <c r="AA77" s="12" t="e">
        <f>SUMIFS('Canjes desagregado'!#REF!,'Canjes desagregado'!#REF!,'Nuevo metod Cupón 2.0'!A77)</f>
        <v>#REF!</v>
      </c>
    </row>
    <row r="78" spans="1:27">
      <c r="A78" s="13">
        <v>73</v>
      </c>
      <c r="B78" s="7" t="s">
        <v>42</v>
      </c>
      <c r="C78" s="67" t="s">
        <v>112</v>
      </c>
      <c r="D78" s="39" t="e">
        <f>VLOOKUP(A78,'Canjes desagregado'!#REF!,6,FALSE)</f>
        <v>#REF!</v>
      </c>
      <c r="E78" s="14" t="e">
        <f>VLOOKUP(A78,'Canjes desagregado'!#REF!,2,FALSE)</f>
        <v>#REF!</v>
      </c>
      <c r="F78" s="15" t="e">
        <f>-SUMIFS('Canjes desagregado'!#REF!,'Canjes desagregado'!#REF!,'Nuevo metod Cupón 2.0'!A78,'Canjes desagregado'!#REF!,"Títulos Recogidos por la Nación")</f>
        <v>#REF!</v>
      </c>
      <c r="G78" s="9" t="e">
        <f>-SUMIFS('Canjes desagregado'!#REF!,'Canjes desagregado'!#REF!,'Nuevo metod Cupón 2.0'!A78)</f>
        <v>#REF!</v>
      </c>
      <c r="H78" s="9" t="e">
        <f>SUMIFS('Canjes desagregado'!#REF!,'Canjes desagregado'!#REF!,'Nuevo metod Cupón 2.0'!A78)</f>
        <v>#REF!</v>
      </c>
      <c r="I78" s="16" t="e">
        <f t="shared" si="18"/>
        <v>#REF!</v>
      </c>
      <c r="J78" s="10" t="e">
        <f>SUMIFS('Canjes desagregado'!#REF!,'Canjes desagregado'!#REF!,'Nuevo metod Cupón 2.0'!A78)</f>
        <v>#REF!</v>
      </c>
      <c r="K78" s="10" t="e">
        <f t="shared" si="14"/>
        <v>#REF!</v>
      </c>
      <c r="L78" s="10" t="e">
        <f>SUMIFS('Canjes desagregado'!#REF!,'Canjes desagregado'!#REF!,'Nuevo metod Cupón 2.0'!A78)</f>
        <v>#REF!</v>
      </c>
      <c r="M78" s="10" t="e">
        <f t="shared" si="19"/>
        <v>#REF!</v>
      </c>
      <c r="N78" s="11" t="e">
        <f t="shared" si="17"/>
        <v>#REF!</v>
      </c>
      <c r="O78" s="11" t="e">
        <f t="shared" si="13"/>
        <v>#REF!</v>
      </c>
      <c r="P78" s="17" t="e">
        <f t="shared" si="20"/>
        <v>#REF!</v>
      </c>
      <c r="Q78" s="17"/>
      <c r="R78" s="17"/>
      <c r="S78" s="17">
        <f>VLOOKUP(A78,'[4]Canjes por canasta'!A$3:S$84,15,FALSE)</f>
        <v>0.15010000000000012</v>
      </c>
      <c r="T78" s="41" t="e">
        <f t="shared" si="21"/>
        <v>#REF!</v>
      </c>
      <c r="U78" s="41" t="e">
        <f t="shared" si="22"/>
        <v>#REF!</v>
      </c>
      <c r="V78" s="41" t="str">
        <f t="shared" si="23"/>
        <v/>
      </c>
      <c r="W78" s="42" t="e">
        <f t="shared" si="24"/>
        <v>#REF!</v>
      </c>
      <c r="X78" s="12" t="e">
        <f>SUMIFS('Canjes desagregado'!#REF!,'Canjes desagregado'!#REF!,'Nuevo metod Cupón 2.0'!A78)</f>
        <v>#REF!</v>
      </c>
      <c r="Y78" s="12" t="e">
        <f>SUMIFS('Canjes desagregado'!#REF!,'Canjes desagregado'!#REF!,'Nuevo metod Cupón 2.0'!A78)</f>
        <v>#REF!</v>
      </c>
      <c r="Z78" s="12" t="e">
        <f>SUMIFS('Canjes desagregado'!#REF!,'Canjes desagregado'!#REF!,'Nuevo metod Cupón 2.0'!A78)</f>
        <v>#REF!</v>
      </c>
      <c r="AA78" s="12" t="e">
        <f>SUMIFS('Canjes desagregado'!#REF!,'Canjes desagregado'!#REF!,'Nuevo metod Cupón 2.0'!A78)</f>
        <v>#REF!</v>
      </c>
    </row>
    <row r="79" spans="1:27">
      <c r="A79" s="13">
        <v>74</v>
      </c>
      <c r="B79" s="7" t="s">
        <v>42</v>
      </c>
      <c r="C79" s="67" t="s">
        <v>113</v>
      </c>
      <c r="D79" s="39" t="e">
        <f>VLOOKUP(A79,'Canjes desagregado'!#REF!,6,FALSE)</f>
        <v>#REF!</v>
      </c>
      <c r="E79" s="14" t="e">
        <f>VLOOKUP(A79,'Canjes desagregado'!#REF!,2,FALSE)</f>
        <v>#REF!</v>
      </c>
      <c r="F79" s="15" t="e">
        <f>-SUMIFS('Canjes desagregado'!#REF!,'Canjes desagregado'!#REF!,'Nuevo metod Cupón 2.0'!A79,'Canjes desagregado'!#REF!,"Títulos Recogidos por la Nación")</f>
        <v>#REF!</v>
      </c>
      <c r="G79" s="9" t="e">
        <f>-SUMIFS('Canjes desagregado'!#REF!,'Canjes desagregado'!#REF!,'Nuevo metod Cupón 2.0'!A79)</f>
        <v>#REF!</v>
      </c>
      <c r="H79" s="9" t="e">
        <f>SUMIFS('Canjes desagregado'!#REF!,'Canjes desagregado'!#REF!,'Nuevo metod Cupón 2.0'!A79)</f>
        <v>#REF!</v>
      </c>
      <c r="I79" s="16" t="e">
        <f t="shared" si="18"/>
        <v>#REF!</v>
      </c>
      <c r="J79" s="10" t="e">
        <f>SUMIFS('Canjes desagregado'!#REF!,'Canjes desagregado'!#REF!,'Nuevo metod Cupón 2.0'!A79)</f>
        <v>#REF!</v>
      </c>
      <c r="K79" s="10" t="e">
        <f t="shared" si="14"/>
        <v>#REF!</v>
      </c>
      <c r="L79" s="10" t="e">
        <f>SUMIFS('Canjes desagregado'!#REF!,'Canjes desagregado'!#REF!,'Nuevo metod Cupón 2.0'!A79)</f>
        <v>#REF!</v>
      </c>
      <c r="M79" s="10" t="e">
        <f t="shared" si="19"/>
        <v>#REF!</v>
      </c>
      <c r="N79" s="11" t="e">
        <f t="shared" si="17"/>
        <v>#REF!</v>
      </c>
      <c r="O79" s="11" t="e">
        <f>K79/F79</f>
        <v>#REF!</v>
      </c>
      <c r="P79" s="17" t="e">
        <f t="shared" si="20"/>
        <v>#REF!</v>
      </c>
      <c r="Q79" s="17"/>
      <c r="R79" s="17"/>
      <c r="S79" s="17">
        <f>VLOOKUP(A79,'[4]Canjes por canasta'!A$3:S$84,15,FALSE)</f>
        <v>0.16525871000000003</v>
      </c>
      <c r="T79" s="41" t="e">
        <f t="shared" si="21"/>
        <v>#REF!</v>
      </c>
      <c r="U79" s="41" t="e">
        <f t="shared" si="22"/>
        <v>#REF!</v>
      </c>
      <c r="V79" s="41" t="str">
        <f t="shared" si="23"/>
        <v/>
      </c>
      <c r="W79" s="42" t="e">
        <f t="shared" si="24"/>
        <v>#REF!</v>
      </c>
      <c r="X79" s="12" t="e">
        <f>SUMIFS('Canjes desagregado'!#REF!,'Canjes desagregado'!#REF!,'Nuevo metod Cupón 2.0'!A79)</f>
        <v>#REF!</v>
      </c>
      <c r="Y79" s="12" t="e">
        <f>SUMIFS('Canjes desagregado'!#REF!,'Canjes desagregado'!#REF!,'Nuevo metod Cupón 2.0'!A79)</f>
        <v>#REF!</v>
      </c>
      <c r="Z79" s="12" t="e">
        <f>SUMIFS('Canjes desagregado'!#REF!,'Canjes desagregado'!#REF!,'Nuevo metod Cupón 2.0'!A79)</f>
        <v>#REF!</v>
      </c>
      <c r="AA79" s="12" t="e">
        <f>SUMIFS('Canjes desagregado'!#REF!,'Canjes desagregado'!#REF!,'Nuevo metod Cupón 2.0'!A79)</f>
        <v>#REF!</v>
      </c>
    </row>
    <row r="80" spans="1:27">
      <c r="A80" s="13">
        <v>75</v>
      </c>
      <c r="B80" s="7" t="s">
        <v>42</v>
      </c>
      <c r="C80" s="67" t="s">
        <v>114</v>
      </c>
      <c r="D80" s="39" t="e">
        <f>VLOOKUP(A80,'Canjes desagregado'!#REF!,6,FALSE)</f>
        <v>#REF!</v>
      </c>
      <c r="E80" s="14" t="e">
        <f>VLOOKUP(A80,'Canjes desagregado'!#REF!,2,FALSE)</f>
        <v>#REF!</v>
      </c>
      <c r="F80" s="15" t="e">
        <f>-SUMIFS('Canjes desagregado'!#REF!,'Canjes desagregado'!#REF!,'Nuevo metod Cupón 2.0'!A80,'Canjes desagregado'!#REF!,"Títulos Recogidos por la Nación")</f>
        <v>#REF!</v>
      </c>
      <c r="G80" s="9" t="e">
        <f>-SUMIFS('Canjes desagregado'!#REF!,'Canjes desagregado'!#REF!,'Nuevo metod Cupón 2.0'!A80)</f>
        <v>#REF!</v>
      </c>
      <c r="H80" s="9" t="e">
        <f>SUMIFS('Canjes desagregado'!#REF!,'Canjes desagregado'!#REF!,'Nuevo metod Cupón 2.0'!A80)</f>
        <v>#REF!</v>
      </c>
      <c r="I80" s="16" t="e">
        <f t="shared" si="18"/>
        <v>#REF!</v>
      </c>
      <c r="J80" s="10" t="e">
        <f>SUMIFS('Canjes desagregado'!#REF!,'Canjes desagregado'!#REF!,'Nuevo metod Cupón 2.0'!A80)</f>
        <v>#REF!</v>
      </c>
      <c r="K80" s="10" t="e">
        <f t="shared" si="14"/>
        <v>#REF!</v>
      </c>
      <c r="L80" s="10" t="e">
        <f>SUMIFS('Canjes desagregado'!#REF!,'Canjes desagregado'!#REF!,'Nuevo metod Cupón 2.0'!A80)</f>
        <v>#REF!</v>
      </c>
      <c r="M80" s="10" t="e">
        <f t="shared" si="19"/>
        <v>#REF!</v>
      </c>
      <c r="N80" s="11" t="e">
        <f t="shared" si="17"/>
        <v>#REF!</v>
      </c>
      <c r="O80" s="11" t="e">
        <f t="shared" si="13"/>
        <v>#REF!</v>
      </c>
      <c r="P80" s="17" t="e">
        <f t="shared" si="20"/>
        <v>#REF!</v>
      </c>
      <c r="Q80" s="17"/>
      <c r="R80" s="17"/>
      <c r="S80" s="17">
        <f>VLOOKUP(A80,'[4]Canjes por canasta'!A$3:S$84,15,FALSE)</f>
        <v>0.16592909999999983</v>
      </c>
      <c r="T80" s="41" t="e">
        <f t="shared" si="21"/>
        <v>#REF!</v>
      </c>
      <c r="U80" s="41" t="e">
        <f t="shared" si="22"/>
        <v>#REF!</v>
      </c>
      <c r="V80" s="41" t="str">
        <f t="shared" si="23"/>
        <v/>
      </c>
      <c r="W80" s="42" t="e">
        <f t="shared" si="24"/>
        <v>#REF!</v>
      </c>
      <c r="X80" s="12" t="e">
        <f>SUMIFS('Canjes desagregado'!#REF!,'Canjes desagregado'!#REF!,'Nuevo metod Cupón 2.0'!A80)</f>
        <v>#REF!</v>
      </c>
      <c r="Y80" s="12" t="e">
        <f>SUMIFS('Canjes desagregado'!#REF!,'Canjes desagregado'!#REF!,'Nuevo metod Cupón 2.0'!A80)</f>
        <v>#REF!</v>
      </c>
      <c r="Z80" s="12" t="e">
        <f>SUMIFS('Canjes desagregado'!#REF!,'Canjes desagregado'!#REF!,'Nuevo metod Cupón 2.0'!A80)</f>
        <v>#REF!</v>
      </c>
      <c r="AA80" s="12" t="e">
        <f>SUMIFS('Canjes desagregado'!#REF!,'Canjes desagregado'!#REF!,'Nuevo metod Cupón 2.0'!A80)</f>
        <v>#REF!</v>
      </c>
    </row>
    <row r="81" spans="1:27">
      <c r="A81" s="13">
        <v>76</v>
      </c>
      <c r="B81" s="7" t="s">
        <v>42</v>
      </c>
      <c r="C81" s="67" t="s">
        <v>115</v>
      </c>
      <c r="D81" s="39" t="e">
        <f>VLOOKUP(A81,'Canjes desagregado'!#REF!,6,FALSE)</f>
        <v>#REF!</v>
      </c>
      <c r="E81" s="14" t="e">
        <f>VLOOKUP(A81,'Canjes desagregado'!#REF!,2,FALSE)</f>
        <v>#REF!</v>
      </c>
      <c r="F81" s="15" t="e">
        <f>-SUMIFS('Canjes desagregado'!#REF!,'Canjes desagregado'!#REF!,'Nuevo metod Cupón 2.0'!A81,'Canjes desagregado'!#REF!,"Títulos Recogidos por la Nación")</f>
        <v>#REF!</v>
      </c>
      <c r="G81" s="9" t="e">
        <f>-SUMIFS('Canjes desagregado'!#REF!,'Canjes desagregado'!#REF!,'Nuevo metod Cupón 2.0'!A81)</f>
        <v>#REF!</v>
      </c>
      <c r="H81" s="9" t="e">
        <f>SUMIFS('Canjes desagregado'!#REF!,'Canjes desagregado'!#REF!,'Nuevo metod Cupón 2.0'!A81)</f>
        <v>#REF!</v>
      </c>
      <c r="I81" s="16" t="e">
        <f t="shared" si="18"/>
        <v>#REF!</v>
      </c>
      <c r="J81" s="10" t="e">
        <f>SUMIFS('Canjes desagregado'!#REF!,'Canjes desagregado'!#REF!,'Nuevo metod Cupón 2.0'!A81)</f>
        <v>#REF!</v>
      </c>
      <c r="K81" s="10" t="e">
        <f t="shared" si="14"/>
        <v>#REF!</v>
      </c>
      <c r="L81" s="10" t="e">
        <f>SUMIFS('Canjes desagregado'!#REF!,'Canjes desagregado'!#REF!,'Nuevo metod Cupón 2.0'!A81)</f>
        <v>#REF!</v>
      </c>
      <c r="M81" s="10" t="e">
        <f t="shared" si="19"/>
        <v>#REF!</v>
      </c>
      <c r="N81" s="11" t="e">
        <f t="shared" si="17"/>
        <v>#REF!</v>
      </c>
      <c r="O81" s="11" t="e">
        <f t="shared" si="13"/>
        <v>#REF!</v>
      </c>
      <c r="P81" s="17" t="e">
        <f t="shared" si="20"/>
        <v>#REF!</v>
      </c>
      <c r="Q81" s="17"/>
      <c r="R81" s="17"/>
      <c r="S81" s="17">
        <f>VLOOKUP(A81,'[4]Canjes por canasta'!A$3:S$84,15,FALSE)</f>
        <v>0.16603899999999983</v>
      </c>
      <c r="T81" s="41" t="e">
        <f t="shared" si="21"/>
        <v>#REF!</v>
      </c>
      <c r="U81" s="41" t="e">
        <f t="shared" si="22"/>
        <v>#REF!</v>
      </c>
      <c r="V81" s="41" t="str">
        <f t="shared" si="23"/>
        <v/>
      </c>
      <c r="W81" s="42" t="e">
        <f t="shared" si="24"/>
        <v>#REF!</v>
      </c>
      <c r="X81" s="12" t="e">
        <f>SUMIFS('Canjes desagregado'!#REF!,'Canjes desagregado'!#REF!,'Nuevo metod Cupón 2.0'!A81)</f>
        <v>#REF!</v>
      </c>
      <c r="Y81" s="12" t="e">
        <f>SUMIFS('Canjes desagregado'!#REF!,'Canjes desagregado'!#REF!,'Nuevo metod Cupón 2.0'!A81)</f>
        <v>#REF!</v>
      </c>
      <c r="Z81" s="12" t="e">
        <f>SUMIFS('Canjes desagregado'!#REF!,'Canjes desagregado'!#REF!,'Nuevo metod Cupón 2.0'!A81)</f>
        <v>#REF!</v>
      </c>
      <c r="AA81" s="12" t="e">
        <f>SUMIFS('Canjes desagregado'!#REF!,'Canjes desagregado'!#REF!,'Nuevo metod Cupón 2.0'!A81)</f>
        <v>#REF!</v>
      </c>
    </row>
    <row r="82" spans="1:27">
      <c r="A82" s="13">
        <v>77</v>
      </c>
      <c r="B82" s="7" t="s">
        <v>42</v>
      </c>
      <c r="C82" s="67" t="s">
        <v>116</v>
      </c>
      <c r="D82" s="39" t="e">
        <f>VLOOKUP(A82,'Canjes desagregado'!#REF!,6,FALSE)</f>
        <v>#REF!</v>
      </c>
      <c r="E82" s="14" t="e">
        <f>VLOOKUP(A82,'Canjes desagregado'!#REF!,2,FALSE)</f>
        <v>#REF!</v>
      </c>
      <c r="F82" s="15" t="e">
        <f>-SUMIFS('Canjes desagregado'!#REF!,'Canjes desagregado'!#REF!,'Nuevo metod Cupón 2.0'!A82,'Canjes desagregado'!#REF!,"Títulos Recogidos por la Nación")</f>
        <v>#REF!</v>
      </c>
      <c r="G82" s="9" t="e">
        <f>-SUMIFS('Canjes desagregado'!#REF!,'Canjes desagregado'!#REF!,'Nuevo metod Cupón 2.0'!A82)</f>
        <v>#REF!</v>
      </c>
      <c r="H82" s="9" t="e">
        <f>SUMIFS('Canjes desagregado'!#REF!,'Canjes desagregado'!#REF!,'Nuevo metod Cupón 2.0'!A82)</f>
        <v>#REF!</v>
      </c>
      <c r="I82" s="16" t="e">
        <f t="shared" si="18"/>
        <v>#REF!</v>
      </c>
      <c r="J82" s="10" t="e">
        <f>SUMIFS('Canjes desagregado'!#REF!,'Canjes desagregado'!#REF!,'Nuevo metod Cupón 2.0'!A82)</f>
        <v>#REF!</v>
      </c>
      <c r="K82" s="10" t="e">
        <f t="shared" si="14"/>
        <v>#REF!</v>
      </c>
      <c r="L82" s="10" t="e">
        <f>SUMIFS('Canjes desagregado'!#REF!,'Canjes desagregado'!#REF!,'Nuevo metod Cupón 2.0'!A82)</f>
        <v>#REF!</v>
      </c>
      <c r="M82" s="10" t="e">
        <f t="shared" si="19"/>
        <v>#REF!</v>
      </c>
      <c r="N82" s="11" t="e">
        <f t="shared" si="17"/>
        <v>#REF!</v>
      </c>
      <c r="O82" s="11" t="e">
        <f t="shared" si="13"/>
        <v>#REF!</v>
      </c>
      <c r="P82" s="17" t="e">
        <f t="shared" si="20"/>
        <v>#REF!</v>
      </c>
      <c r="Q82" s="17"/>
      <c r="R82" s="17"/>
      <c r="S82" s="17">
        <f>VLOOKUP(A82,'[4]Canjes por canasta'!A$3:S$84,15,FALSE)</f>
        <v>0.16713800000000001</v>
      </c>
      <c r="T82" s="41" t="e">
        <f t="shared" si="21"/>
        <v>#REF!</v>
      </c>
      <c r="U82" s="41" t="e">
        <f t="shared" si="22"/>
        <v>#REF!</v>
      </c>
      <c r="V82" s="41" t="str">
        <f t="shared" si="23"/>
        <v/>
      </c>
      <c r="W82" s="42" t="e">
        <f t="shared" si="24"/>
        <v>#REF!</v>
      </c>
      <c r="X82" s="12" t="e">
        <f>SUMIFS('Canjes desagregado'!#REF!,'Canjes desagregado'!#REF!,'Nuevo metod Cupón 2.0'!A82)</f>
        <v>#REF!</v>
      </c>
      <c r="Y82" s="12" t="e">
        <f>SUMIFS('Canjes desagregado'!#REF!,'Canjes desagregado'!#REF!,'Nuevo metod Cupón 2.0'!A82)</f>
        <v>#REF!</v>
      </c>
      <c r="Z82" s="12" t="e">
        <f>SUMIFS('Canjes desagregado'!#REF!,'Canjes desagregado'!#REF!,'Nuevo metod Cupón 2.0'!A82)</f>
        <v>#REF!</v>
      </c>
      <c r="AA82" s="12" t="e">
        <f>SUMIFS('Canjes desagregado'!#REF!,'Canjes desagregado'!#REF!,'Nuevo metod Cupón 2.0'!A82)</f>
        <v>#REF!</v>
      </c>
    </row>
    <row r="83" spans="1:27">
      <c r="A83" s="13">
        <v>78</v>
      </c>
      <c r="B83" s="7" t="s">
        <v>42</v>
      </c>
      <c r="C83" s="67" t="s">
        <v>117</v>
      </c>
      <c r="D83" s="39" t="e">
        <f>VLOOKUP(A83,'Canjes desagregado'!#REF!,6,FALSE)</f>
        <v>#REF!</v>
      </c>
      <c r="E83" s="14" t="e">
        <f>VLOOKUP(A83,'Canjes desagregado'!#REF!,2,FALSE)</f>
        <v>#REF!</v>
      </c>
      <c r="F83" s="15" t="e">
        <f>-SUMIFS('Canjes desagregado'!#REF!,'Canjes desagregado'!#REF!,'Nuevo metod Cupón 2.0'!A83,'Canjes desagregado'!#REF!,"Títulos Recogidos por la Nación")</f>
        <v>#REF!</v>
      </c>
      <c r="G83" s="9" t="e">
        <f>-SUMIFS('Canjes desagregado'!#REF!,'Canjes desagregado'!#REF!,'Nuevo metod Cupón 2.0'!A83)</f>
        <v>#REF!</v>
      </c>
      <c r="H83" s="9" t="e">
        <f>SUMIFS('Canjes desagregado'!#REF!,'Canjes desagregado'!#REF!,'Nuevo metod Cupón 2.0'!A83)</f>
        <v>#REF!</v>
      </c>
      <c r="I83" s="16" t="e">
        <f t="shared" si="18"/>
        <v>#REF!</v>
      </c>
      <c r="J83" s="10" t="e">
        <f>SUMIFS('Canjes desagregado'!#REF!,'Canjes desagregado'!#REF!,'Nuevo metod Cupón 2.0'!A83)</f>
        <v>#REF!</v>
      </c>
      <c r="K83" s="10" t="e">
        <f t="shared" si="14"/>
        <v>#REF!</v>
      </c>
      <c r="L83" s="10" t="e">
        <f>SUMIFS('Canjes desagregado'!#REF!,'Canjes desagregado'!#REF!,'Nuevo metod Cupón 2.0'!A83)</f>
        <v>#REF!</v>
      </c>
      <c r="M83" s="10" t="e">
        <f t="shared" si="19"/>
        <v>#REF!</v>
      </c>
      <c r="N83" s="11" t="e">
        <f t="shared" si="17"/>
        <v>#REF!</v>
      </c>
      <c r="O83" s="11" t="e">
        <f t="shared" si="13"/>
        <v>#REF!</v>
      </c>
      <c r="P83" s="17" t="e">
        <f t="shared" si="20"/>
        <v>#REF!</v>
      </c>
      <c r="Q83" s="17"/>
      <c r="R83" s="17"/>
      <c r="S83" s="17">
        <f>VLOOKUP(A83,'[4]Canjes por canasta'!A$3:S$84,15,FALSE)</f>
        <v>0.18792240000000016</v>
      </c>
      <c r="T83" s="41" t="e">
        <f t="shared" si="21"/>
        <v>#REF!</v>
      </c>
      <c r="U83" s="41" t="e">
        <f t="shared" si="22"/>
        <v>#REF!</v>
      </c>
      <c r="V83" s="41" t="str">
        <f t="shared" si="23"/>
        <v/>
      </c>
      <c r="W83" s="42" t="e">
        <f t="shared" si="24"/>
        <v>#REF!</v>
      </c>
      <c r="X83" s="12" t="e">
        <f>SUMIFS('Canjes desagregado'!#REF!,'Canjes desagregado'!#REF!,'Nuevo metod Cupón 2.0'!A83)</f>
        <v>#REF!</v>
      </c>
      <c r="Y83" s="12" t="e">
        <f>SUMIFS('Canjes desagregado'!#REF!,'Canjes desagregado'!#REF!,'Nuevo metod Cupón 2.0'!A83)</f>
        <v>#REF!</v>
      </c>
      <c r="Z83" s="12" t="e">
        <f>SUMIFS('Canjes desagregado'!#REF!,'Canjes desagregado'!#REF!,'Nuevo metod Cupón 2.0'!A83)</f>
        <v>#REF!</v>
      </c>
      <c r="AA83" s="12" t="e">
        <f>SUMIFS('Canjes desagregado'!#REF!,'Canjes desagregado'!#REF!,'Nuevo metod Cupón 2.0'!A83)</f>
        <v>#REF!</v>
      </c>
    </row>
    <row r="84" spans="1:27">
      <c r="A84" s="13">
        <v>79</v>
      </c>
      <c r="B84" s="7" t="s">
        <v>42</v>
      </c>
      <c r="C84" s="67" t="s">
        <v>118</v>
      </c>
      <c r="D84" s="39" t="e">
        <f>VLOOKUP(A84,'Canjes desagregado'!#REF!,6,FALSE)</f>
        <v>#REF!</v>
      </c>
      <c r="E84" s="14" t="e">
        <f>VLOOKUP(A84,'Canjes desagregado'!#REF!,2,FALSE)</f>
        <v>#REF!</v>
      </c>
      <c r="F84" s="15" t="e">
        <f>-SUMIFS('Canjes desagregado'!#REF!,'Canjes desagregado'!#REF!,'Nuevo metod Cupón 2.0'!A84,'Canjes desagregado'!#REF!,"Títulos Recogidos por la Nación")</f>
        <v>#REF!</v>
      </c>
      <c r="G84" s="9" t="e">
        <f>-SUMIFS('Canjes desagregado'!#REF!,'Canjes desagregado'!#REF!,'Nuevo metod Cupón 2.0'!A84)</f>
        <v>#REF!</v>
      </c>
      <c r="H84" s="9" t="e">
        <f>SUMIFS('Canjes desagregado'!#REF!,'Canjes desagregado'!#REF!,'Nuevo metod Cupón 2.0'!A84)</f>
        <v>#REF!</v>
      </c>
      <c r="I84" s="16" t="e">
        <f t="shared" si="18"/>
        <v>#REF!</v>
      </c>
      <c r="J84" s="10" t="e">
        <f>SUMIFS('Canjes desagregado'!#REF!,'Canjes desagregado'!#REF!,'Nuevo metod Cupón 2.0'!A84)</f>
        <v>#REF!</v>
      </c>
      <c r="K84" s="10" t="e">
        <f t="shared" si="14"/>
        <v>#REF!</v>
      </c>
      <c r="L84" s="10" t="e">
        <f>SUMIFS('Canjes desagregado'!#REF!,'Canjes desagregado'!#REF!,'Nuevo metod Cupón 2.0'!A84)</f>
        <v>#REF!</v>
      </c>
      <c r="M84" s="10" t="e">
        <f t="shared" si="19"/>
        <v>#REF!</v>
      </c>
      <c r="N84" s="11" t="e">
        <f t="shared" si="17"/>
        <v>#REF!</v>
      </c>
      <c r="O84" s="11" t="e">
        <f t="shared" si="13"/>
        <v>#REF!</v>
      </c>
      <c r="P84" s="17" t="e">
        <f t="shared" si="20"/>
        <v>#REF!</v>
      </c>
      <c r="Q84" s="17"/>
      <c r="R84" s="17"/>
      <c r="S84" s="17">
        <f>VLOOKUP(A84,'[4]Canjes por canasta'!A$3:S$84,15,FALSE)</f>
        <v>0.18870835999999991</v>
      </c>
      <c r="T84" s="41" t="e">
        <f t="shared" si="21"/>
        <v>#REF!</v>
      </c>
      <c r="U84" s="41" t="e">
        <f t="shared" si="22"/>
        <v>#REF!</v>
      </c>
      <c r="V84" s="41" t="str">
        <f t="shared" si="23"/>
        <v/>
      </c>
      <c r="W84" s="42" t="e">
        <f t="shared" si="24"/>
        <v>#REF!</v>
      </c>
      <c r="X84" s="12" t="e">
        <f>SUMIFS('Canjes desagregado'!#REF!,'Canjes desagregado'!#REF!,'Nuevo metod Cupón 2.0'!A84)</f>
        <v>#REF!</v>
      </c>
      <c r="Y84" s="12" t="e">
        <f>SUMIFS('Canjes desagregado'!#REF!,'Canjes desagregado'!#REF!,'Nuevo metod Cupón 2.0'!A84)</f>
        <v>#REF!</v>
      </c>
      <c r="Z84" s="12" t="e">
        <f>SUMIFS('Canjes desagregado'!#REF!,'Canjes desagregado'!#REF!,'Nuevo metod Cupón 2.0'!A84)</f>
        <v>#REF!</v>
      </c>
      <c r="AA84" s="12" t="e">
        <f>SUMIFS('Canjes desagregado'!#REF!,'Canjes desagregado'!#REF!,'Nuevo metod Cupón 2.0'!A84)</f>
        <v>#REF!</v>
      </c>
    </row>
    <row r="85" spans="1:27">
      <c r="A85" s="13">
        <v>80</v>
      </c>
      <c r="B85" s="7" t="s">
        <v>42</v>
      </c>
      <c r="C85" s="67" t="s">
        <v>119</v>
      </c>
      <c r="D85" s="39" t="e">
        <f>VLOOKUP(A85,'Canjes desagregado'!#REF!,6,FALSE)</f>
        <v>#REF!</v>
      </c>
      <c r="E85" s="14" t="e">
        <f>VLOOKUP(A85,'Canjes desagregado'!#REF!,2,FALSE)</f>
        <v>#REF!</v>
      </c>
      <c r="F85" s="15" t="e">
        <f>-SUMIFS('Canjes desagregado'!#REF!,'Canjes desagregado'!#REF!,'Nuevo metod Cupón 2.0'!A85,'Canjes desagregado'!#REF!,"Títulos Recogidos por la Nación")</f>
        <v>#REF!</v>
      </c>
      <c r="G85" s="9" t="e">
        <f>-SUMIFS('Canjes desagregado'!#REF!,'Canjes desagregado'!#REF!,'Nuevo metod Cupón 2.0'!A85)</f>
        <v>#REF!</v>
      </c>
      <c r="H85" s="9" t="e">
        <f>SUMIFS('Canjes desagregado'!#REF!,'Canjes desagregado'!#REF!,'Nuevo metod Cupón 2.0'!A85)</f>
        <v>#REF!</v>
      </c>
      <c r="I85" s="16" t="e">
        <f t="shared" si="18"/>
        <v>#REF!</v>
      </c>
      <c r="J85" s="10" t="e">
        <f>SUMIFS('Canjes desagregado'!#REF!,'Canjes desagregado'!#REF!,'Nuevo metod Cupón 2.0'!A85)</f>
        <v>#REF!</v>
      </c>
      <c r="K85" s="10" t="e">
        <f t="shared" si="14"/>
        <v>#REF!</v>
      </c>
      <c r="L85" s="10" t="e">
        <f>SUMIFS('Canjes desagregado'!#REF!,'Canjes desagregado'!#REF!,'Nuevo metod Cupón 2.0'!A85)</f>
        <v>#REF!</v>
      </c>
      <c r="M85" s="10" t="e">
        <f t="shared" si="19"/>
        <v>#REF!</v>
      </c>
      <c r="N85" s="11" t="e">
        <f t="shared" si="17"/>
        <v>#REF!</v>
      </c>
      <c r="O85" s="11" t="e">
        <f t="shared" si="13"/>
        <v>#REF!</v>
      </c>
      <c r="P85" s="17" t="e">
        <f t="shared" si="20"/>
        <v>#REF!</v>
      </c>
      <c r="Q85" s="17"/>
      <c r="R85" s="17"/>
      <c r="S85" s="17">
        <f>VLOOKUP(A85,'[4]Canjes por canasta'!A$3:S$84,15,FALSE)</f>
        <v>0.19050484000000001</v>
      </c>
      <c r="T85" s="41" t="e">
        <f t="shared" si="21"/>
        <v>#REF!</v>
      </c>
      <c r="U85" s="41" t="e">
        <f t="shared" si="22"/>
        <v>#REF!</v>
      </c>
      <c r="V85" s="41" t="str">
        <f t="shared" si="23"/>
        <v/>
      </c>
      <c r="W85" s="42" t="e">
        <f t="shared" si="24"/>
        <v>#REF!</v>
      </c>
      <c r="X85" s="12" t="e">
        <f>SUMIFS('Canjes desagregado'!#REF!,'Canjes desagregado'!#REF!,'Nuevo metod Cupón 2.0'!A85)</f>
        <v>#REF!</v>
      </c>
      <c r="Y85" s="12" t="e">
        <f>SUMIFS('Canjes desagregado'!#REF!,'Canjes desagregado'!#REF!,'Nuevo metod Cupón 2.0'!A85)</f>
        <v>#REF!</v>
      </c>
      <c r="Z85" s="12" t="e">
        <f>SUMIFS('Canjes desagregado'!#REF!,'Canjes desagregado'!#REF!,'Nuevo metod Cupón 2.0'!A85)</f>
        <v>#REF!</v>
      </c>
      <c r="AA85" s="12" t="e">
        <f>SUMIFS('Canjes desagregado'!#REF!,'Canjes desagregado'!#REF!,'Nuevo metod Cupón 2.0'!A85)</f>
        <v>#REF!</v>
      </c>
    </row>
    <row r="86" spans="1:27">
      <c r="A86" s="13">
        <v>81</v>
      </c>
      <c r="B86" s="7" t="s">
        <v>42</v>
      </c>
      <c r="C86" s="67" t="s">
        <v>120</v>
      </c>
      <c r="D86" s="39" t="e">
        <f>VLOOKUP(A86,'Canjes desagregado'!#REF!,6,FALSE)</f>
        <v>#REF!</v>
      </c>
      <c r="E86" s="14" t="e">
        <f>VLOOKUP(A86,'Canjes desagregado'!#REF!,2,FALSE)</f>
        <v>#REF!</v>
      </c>
      <c r="F86" s="15" t="e">
        <f>-SUMIFS('Canjes desagregado'!#REF!,'Canjes desagregado'!#REF!,'Nuevo metod Cupón 2.0'!A86,'Canjes desagregado'!#REF!,"Títulos Recogidos por la Nación")</f>
        <v>#REF!</v>
      </c>
      <c r="G86" s="9" t="e">
        <f>-SUMIFS('Canjes desagregado'!#REF!,'Canjes desagregado'!#REF!,'Nuevo metod Cupón 2.0'!A86)</f>
        <v>#REF!</v>
      </c>
      <c r="H86" s="9" t="e">
        <f>SUMIFS('Canjes desagregado'!#REF!,'Canjes desagregado'!#REF!,'Nuevo metod Cupón 2.0'!A86)</f>
        <v>#REF!</v>
      </c>
      <c r="I86" s="16" t="e">
        <f t="shared" si="18"/>
        <v>#REF!</v>
      </c>
      <c r="J86" s="10" t="e">
        <f>SUMIFS('Canjes desagregado'!#REF!,'Canjes desagregado'!#REF!,'Nuevo metod Cupón 2.0'!A86)</f>
        <v>#REF!</v>
      </c>
      <c r="K86" s="10" t="e">
        <f t="shared" si="14"/>
        <v>#REF!</v>
      </c>
      <c r="L86" s="10" t="e">
        <f>SUMIFS('Canjes desagregado'!#REF!,'Canjes desagregado'!#REF!,'Nuevo metod Cupón 2.0'!A86)</f>
        <v>#REF!</v>
      </c>
      <c r="M86" s="10" t="e">
        <f t="shared" si="19"/>
        <v>#REF!</v>
      </c>
      <c r="N86" s="11" t="e">
        <f t="shared" si="17"/>
        <v>#REF!</v>
      </c>
      <c r="O86" s="11" t="e">
        <f t="shared" si="13"/>
        <v>#REF!</v>
      </c>
      <c r="P86" s="17" t="e">
        <f t="shared" si="20"/>
        <v>#REF!</v>
      </c>
      <c r="Q86" s="17"/>
      <c r="R86" s="17"/>
      <c r="S86" s="17">
        <f>VLOOKUP(A86,'[4]Canjes por canasta'!A$3:S$84,15,FALSE)</f>
        <v>0.19465920000000003</v>
      </c>
      <c r="T86" s="41" t="e">
        <f t="shared" si="21"/>
        <v>#REF!</v>
      </c>
      <c r="U86" s="41" t="e">
        <f t="shared" si="22"/>
        <v>#REF!</v>
      </c>
      <c r="V86" s="41" t="str">
        <f t="shared" si="23"/>
        <v/>
      </c>
      <c r="W86" s="42" t="e">
        <f t="shared" si="24"/>
        <v>#REF!</v>
      </c>
      <c r="X86" s="12" t="e">
        <f>SUMIFS('Canjes desagregado'!#REF!,'Canjes desagregado'!#REF!,'Nuevo metod Cupón 2.0'!A86)</f>
        <v>#REF!</v>
      </c>
      <c r="Y86" s="12" t="e">
        <f>SUMIFS('Canjes desagregado'!#REF!,'Canjes desagregado'!#REF!,'Nuevo metod Cupón 2.0'!A86)</f>
        <v>#REF!</v>
      </c>
      <c r="Z86" s="12" t="e">
        <f>SUMIFS('Canjes desagregado'!#REF!,'Canjes desagregado'!#REF!,'Nuevo metod Cupón 2.0'!A86)</f>
        <v>#REF!</v>
      </c>
      <c r="AA86" s="12" t="e">
        <f>SUMIFS('Canjes desagregado'!#REF!,'Canjes desagregado'!#REF!,'Nuevo metod Cupón 2.0'!A86)</f>
        <v>#REF!</v>
      </c>
    </row>
    <row r="87" spans="1:27" ht="13.5" customHeight="1">
      <c r="A87" s="13">
        <v>82</v>
      </c>
      <c r="B87" s="7" t="s">
        <v>42</v>
      </c>
      <c r="C87" s="67" t="s">
        <v>121</v>
      </c>
      <c r="D87" s="39" t="e">
        <f>VLOOKUP(A87,'Canjes desagregado'!#REF!,6,FALSE)</f>
        <v>#REF!</v>
      </c>
      <c r="E87" s="14" t="e">
        <f>VLOOKUP(A87,'Canjes desagregado'!#REF!,2,FALSE)</f>
        <v>#REF!</v>
      </c>
      <c r="F87" s="15" t="e">
        <f>-SUMIFS('Canjes desagregado'!#REF!,'Canjes desagregado'!#REF!,'Nuevo metod Cupón 2.0'!A87,'Canjes desagregado'!#REF!,"Títulos Recogidos por la Nación")</f>
        <v>#REF!</v>
      </c>
      <c r="G87" s="9" t="e">
        <f>-SUMIFS('Canjes desagregado'!#REF!,'Canjes desagregado'!#REF!,'Nuevo metod Cupón 2.0'!A87)</f>
        <v>#REF!</v>
      </c>
      <c r="H87" s="9" t="e">
        <f>SUMIFS('Canjes desagregado'!#REF!,'Canjes desagregado'!#REF!,'Nuevo metod Cupón 2.0'!A87)</f>
        <v>#REF!</v>
      </c>
      <c r="I87" s="16" t="e">
        <f t="shared" si="18"/>
        <v>#REF!</v>
      </c>
      <c r="J87" s="10" t="e">
        <f>SUMIFS('Canjes desagregado'!#REF!,'Canjes desagregado'!#REF!,'Nuevo metod Cupón 2.0'!A87)</f>
        <v>#REF!</v>
      </c>
      <c r="K87" s="10" t="e">
        <f t="shared" si="14"/>
        <v>#REF!</v>
      </c>
      <c r="L87" s="10" t="e">
        <f>SUMIFS('Canjes desagregado'!#REF!,'Canjes desagregado'!#REF!,'Nuevo metod Cupón 2.0'!A87)</f>
        <v>#REF!</v>
      </c>
      <c r="M87" s="10" t="e">
        <f t="shared" si="19"/>
        <v>#REF!</v>
      </c>
      <c r="N87" s="11" t="e">
        <f t="shared" si="17"/>
        <v>#REF!</v>
      </c>
      <c r="O87" s="11" t="e">
        <f t="shared" si="13"/>
        <v>#REF!</v>
      </c>
      <c r="P87" s="17" t="e">
        <f t="shared" si="20"/>
        <v>#REF!</v>
      </c>
      <c r="Q87" s="17"/>
      <c r="R87" s="17"/>
      <c r="S87" s="17">
        <f>VLOOKUP(A87,'[4]Canjes por canasta'!A$3:S$84,15,FALSE)</f>
        <v>0.19520937199999988</v>
      </c>
      <c r="T87" s="41" t="e">
        <f t="shared" si="21"/>
        <v>#REF!</v>
      </c>
      <c r="U87" s="41" t="e">
        <f t="shared" si="22"/>
        <v>#REF!</v>
      </c>
      <c r="V87" s="41" t="str">
        <f t="shared" si="23"/>
        <v/>
      </c>
      <c r="W87" s="42" t="e">
        <f t="shared" si="24"/>
        <v>#REF!</v>
      </c>
      <c r="X87" s="12" t="e">
        <f>SUMIFS('Canjes desagregado'!#REF!,'Canjes desagregado'!#REF!,'Nuevo metod Cupón 2.0'!A87)</f>
        <v>#REF!</v>
      </c>
      <c r="Y87" s="12" t="e">
        <f>SUMIFS('Canjes desagregado'!#REF!,'Canjes desagregado'!#REF!,'Nuevo metod Cupón 2.0'!A87)</f>
        <v>#REF!</v>
      </c>
      <c r="Z87" s="12" t="e">
        <f>SUMIFS('Canjes desagregado'!#REF!,'Canjes desagregado'!#REF!,'Nuevo metod Cupón 2.0'!A87)</f>
        <v>#REF!</v>
      </c>
      <c r="AA87" s="12" t="e">
        <f>SUMIFS('Canjes desagregado'!#REF!,'Canjes desagregado'!#REF!,'Nuevo metod Cupón 2.0'!A87)</f>
        <v>#REF!</v>
      </c>
    </row>
    <row r="88" spans="1:27">
      <c r="A88" s="13">
        <v>83</v>
      </c>
      <c r="B88" s="7" t="s">
        <v>42</v>
      </c>
      <c r="C88" s="67" t="s">
        <v>122</v>
      </c>
      <c r="D88" s="39" t="e">
        <f>VLOOKUP(A88,'Canjes desagregado'!#REF!,6,FALSE)</f>
        <v>#REF!</v>
      </c>
      <c r="E88" s="14" t="e">
        <f>VLOOKUP(A88,'Canjes desagregado'!#REF!,2,FALSE)</f>
        <v>#REF!</v>
      </c>
      <c r="F88" s="15" t="e">
        <f>-SUMIFS('Canjes desagregado'!#REF!,'Canjes desagregado'!#REF!,'Nuevo metod Cupón 2.0'!A88,'Canjes desagregado'!#REF!,"Títulos Recogidos por la Nación")</f>
        <v>#REF!</v>
      </c>
      <c r="G88" s="9" t="e">
        <f>-SUMIFS('Canjes desagregado'!#REF!,'Canjes desagregado'!#REF!,'Nuevo metod Cupón 2.0'!A88)</f>
        <v>#REF!</v>
      </c>
      <c r="H88" s="9" t="e">
        <f>SUMIFS('Canjes desagregado'!#REF!,'Canjes desagregado'!#REF!,'Nuevo metod Cupón 2.0'!A88)</f>
        <v>#REF!</v>
      </c>
      <c r="I88" s="16" t="e">
        <f t="shared" si="18"/>
        <v>#REF!</v>
      </c>
      <c r="J88" s="10" t="e">
        <f>SUMIFS('Canjes desagregado'!#REF!,'Canjes desagregado'!#REF!,'Nuevo metod Cupón 2.0'!A88)</f>
        <v>#REF!</v>
      </c>
      <c r="K88" s="10" t="e">
        <f t="shared" si="14"/>
        <v>#REF!</v>
      </c>
      <c r="L88" s="10" t="e">
        <f>SUMIFS('Canjes desagregado'!#REF!,'Canjes desagregado'!#REF!,'Nuevo metod Cupón 2.0'!A88)</f>
        <v>#REF!</v>
      </c>
      <c r="M88" s="10" t="e">
        <f t="shared" si="19"/>
        <v>#REF!</v>
      </c>
      <c r="N88" s="11" t="e">
        <f t="shared" si="17"/>
        <v>#REF!</v>
      </c>
      <c r="O88" s="11" t="e">
        <f t="shared" si="13"/>
        <v>#REF!</v>
      </c>
      <c r="P88" s="17" t="e">
        <f t="shared" si="20"/>
        <v>#REF!</v>
      </c>
      <c r="Q88" s="17"/>
      <c r="R88" s="17"/>
      <c r="S88" s="17">
        <f>VLOOKUP(A88,'[4]Canjes por canasta'!A$3:S$84,15,FALSE)</f>
        <v>0.19522060000000008</v>
      </c>
      <c r="T88" s="41" t="e">
        <f t="shared" si="21"/>
        <v>#REF!</v>
      </c>
      <c r="U88" s="41" t="e">
        <f t="shared" si="22"/>
        <v>#REF!</v>
      </c>
      <c r="V88" s="41" t="str">
        <f t="shared" si="23"/>
        <v/>
      </c>
      <c r="W88" s="42" t="e">
        <f t="shared" si="24"/>
        <v>#REF!</v>
      </c>
      <c r="X88" s="12" t="e">
        <f>SUMIFS('Canjes desagregado'!#REF!,'Canjes desagregado'!#REF!,'Nuevo metod Cupón 2.0'!A88)</f>
        <v>#REF!</v>
      </c>
      <c r="Y88" s="12" t="e">
        <f>SUMIFS('Canjes desagregado'!#REF!,'Canjes desagregado'!#REF!,'Nuevo metod Cupón 2.0'!A88)</f>
        <v>#REF!</v>
      </c>
      <c r="Z88" s="12" t="e">
        <f>SUMIFS('Canjes desagregado'!#REF!,'Canjes desagregado'!#REF!,'Nuevo metod Cupón 2.0'!A88)</f>
        <v>#REF!</v>
      </c>
      <c r="AA88" s="12" t="e">
        <f>SUMIFS('Canjes desagregado'!#REF!,'Canjes desagregado'!#REF!,'Nuevo metod Cupón 2.0'!A88)</f>
        <v>#REF!</v>
      </c>
    </row>
    <row r="89" spans="1:27">
      <c r="A89" s="13">
        <v>84</v>
      </c>
      <c r="B89" s="7" t="s">
        <v>42</v>
      </c>
      <c r="C89" s="67" t="s">
        <v>123</v>
      </c>
      <c r="D89" s="39" t="e">
        <f>VLOOKUP(A89,'Canjes desagregado'!#REF!,6,FALSE)</f>
        <v>#REF!</v>
      </c>
      <c r="E89" s="14" t="e">
        <f>VLOOKUP(A89,'Canjes desagregado'!#REF!,2,FALSE)</f>
        <v>#REF!</v>
      </c>
      <c r="F89" s="15" t="e">
        <f>-SUMIFS('Canjes desagregado'!#REF!,'Canjes desagregado'!#REF!,'Nuevo metod Cupón 2.0'!A89,'Canjes desagregado'!#REF!,"Títulos Recogidos por la Nación")</f>
        <v>#REF!</v>
      </c>
      <c r="G89" s="9" t="e">
        <f>-SUMIFS('Canjes desagregado'!#REF!,'Canjes desagregado'!#REF!,'Nuevo metod Cupón 2.0'!A89)</f>
        <v>#REF!</v>
      </c>
      <c r="H89" s="9" t="e">
        <f>SUMIFS('Canjes desagregado'!#REF!,'Canjes desagregado'!#REF!,'Nuevo metod Cupón 2.0'!A89)</f>
        <v>#REF!</v>
      </c>
      <c r="I89" s="16" t="e">
        <f t="shared" si="18"/>
        <v>#REF!</v>
      </c>
      <c r="J89" s="10" t="e">
        <f>SUMIFS('Canjes desagregado'!#REF!,'Canjes desagregado'!#REF!,'Nuevo metod Cupón 2.0'!A89)</f>
        <v>#REF!</v>
      </c>
      <c r="K89" s="10" t="e">
        <f t="shared" si="14"/>
        <v>#REF!</v>
      </c>
      <c r="L89" s="10" t="e">
        <f>SUMIFS('Canjes desagregado'!#REF!,'Canjes desagregado'!#REF!,'Nuevo metod Cupón 2.0'!A89)</f>
        <v>#REF!</v>
      </c>
      <c r="M89" s="10" t="e">
        <f t="shared" si="19"/>
        <v>#REF!</v>
      </c>
      <c r="N89" s="11" t="e">
        <f t="shared" si="17"/>
        <v>#REF!</v>
      </c>
      <c r="O89" s="11" t="e">
        <f t="shared" si="13"/>
        <v>#REF!</v>
      </c>
      <c r="P89" s="17" t="e">
        <f t="shared" si="20"/>
        <v>#REF!</v>
      </c>
      <c r="Q89" s="17"/>
      <c r="R89" s="17"/>
      <c r="S89" s="17">
        <f>VLOOKUP(A89,'[4]Canjes por canasta'!A$3:S$84,15,FALSE)</f>
        <v>0.19634340000000017</v>
      </c>
      <c r="T89" s="41" t="e">
        <f t="shared" si="21"/>
        <v>#REF!</v>
      </c>
      <c r="U89" s="41" t="e">
        <f t="shared" si="22"/>
        <v>#REF!</v>
      </c>
      <c r="V89" s="41" t="str">
        <f t="shared" si="23"/>
        <v/>
      </c>
      <c r="W89" s="42" t="e">
        <f t="shared" si="24"/>
        <v>#REF!</v>
      </c>
      <c r="X89" s="12" t="e">
        <f>SUMIFS('Canjes desagregado'!#REF!,'Canjes desagregado'!#REF!,'Nuevo metod Cupón 2.0'!A89)</f>
        <v>#REF!</v>
      </c>
      <c r="Y89" s="12" t="e">
        <f>SUMIFS('Canjes desagregado'!#REF!,'Canjes desagregado'!#REF!,'Nuevo metod Cupón 2.0'!A89)</f>
        <v>#REF!</v>
      </c>
      <c r="Z89" s="12" t="e">
        <f>SUMIFS('Canjes desagregado'!#REF!,'Canjes desagregado'!#REF!,'Nuevo metod Cupón 2.0'!A89)</f>
        <v>#REF!</v>
      </c>
      <c r="AA89" s="12" t="e">
        <f>SUMIFS('Canjes desagregado'!#REF!,'Canjes desagregado'!#REF!,'Nuevo metod Cupón 2.0'!A89)</f>
        <v>#REF!</v>
      </c>
    </row>
    <row r="90" spans="1:27" ht="16.5" customHeight="1">
      <c r="A90" s="13">
        <v>85</v>
      </c>
      <c r="B90" s="7" t="s">
        <v>42</v>
      </c>
      <c r="C90" s="67" t="s">
        <v>124</v>
      </c>
      <c r="D90" s="39" t="e">
        <f>VLOOKUP(A90,'Canjes desagregado'!#REF!,6,FALSE)</f>
        <v>#REF!</v>
      </c>
      <c r="E90" s="14" t="e">
        <f>VLOOKUP(A90,'Canjes desagregado'!#REF!,2,FALSE)</f>
        <v>#REF!</v>
      </c>
      <c r="F90" s="15" t="e">
        <f>-SUMIFS('Canjes desagregado'!#REF!,'Canjes desagregado'!#REF!,'Nuevo metod Cupón 2.0'!A90,'Canjes desagregado'!#REF!,"Títulos Recogidos por la Nación")</f>
        <v>#REF!</v>
      </c>
      <c r="G90" s="9" t="e">
        <f>-SUMIFS('Canjes desagregado'!#REF!,'Canjes desagregado'!#REF!,'Nuevo metod Cupón 2.0'!A90)</f>
        <v>#REF!</v>
      </c>
      <c r="H90" s="9" t="e">
        <f>SUMIFS('Canjes desagregado'!#REF!,'Canjes desagregado'!#REF!,'Nuevo metod Cupón 2.0'!A90)</f>
        <v>#REF!</v>
      </c>
      <c r="I90" s="16" t="e">
        <f t="shared" si="18"/>
        <v>#REF!</v>
      </c>
      <c r="J90" s="10" t="e">
        <f>SUMIFS('Canjes desagregado'!#REF!,'Canjes desagregado'!#REF!,'Nuevo metod Cupón 2.0'!A90)</f>
        <v>#REF!</v>
      </c>
      <c r="K90" s="10" t="e">
        <f t="shared" si="14"/>
        <v>#REF!</v>
      </c>
      <c r="L90" s="10" t="e">
        <f>SUMIFS('Canjes desagregado'!#REF!,'Canjes desagregado'!#REF!,'Nuevo metod Cupón 2.0'!A90)</f>
        <v>#REF!</v>
      </c>
      <c r="M90" s="10" t="e">
        <f t="shared" si="19"/>
        <v>#REF!</v>
      </c>
      <c r="N90" s="11" t="e">
        <f t="shared" si="17"/>
        <v>#REF!</v>
      </c>
      <c r="O90" s="11" t="e">
        <f t="shared" si="13"/>
        <v>#REF!</v>
      </c>
      <c r="P90" s="17" t="e">
        <f t="shared" si="20"/>
        <v>#REF!</v>
      </c>
      <c r="Q90" s="17"/>
      <c r="R90" s="17"/>
      <c r="S90" s="17">
        <f>VLOOKUP(A90,'[4]Canjes por canasta'!A$3:S$84,15,FALSE)</f>
        <v>0.19510832000000011</v>
      </c>
      <c r="T90" s="41" t="e">
        <f t="shared" si="21"/>
        <v>#REF!</v>
      </c>
      <c r="U90" s="41" t="e">
        <f t="shared" si="22"/>
        <v>#REF!</v>
      </c>
      <c r="V90" s="41" t="str">
        <f t="shared" si="23"/>
        <v/>
      </c>
      <c r="W90" s="42" t="e">
        <f t="shared" si="24"/>
        <v>#REF!</v>
      </c>
      <c r="X90" s="12" t="e">
        <f>SUMIFS('Canjes desagregado'!#REF!,'Canjes desagregado'!#REF!,'Nuevo metod Cupón 2.0'!A90)</f>
        <v>#REF!</v>
      </c>
      <c r="Y90" s="12" t="e">
        <f>SUMIFS('Canjes desagregado'!#REF!,'Canjes desagregado'!#REF!,'Nuevo metod Cupón 2.0'!A90)</f>
        <v>#REF!</v>
      </c>
      <c r="Z90" s="12" t="e">
        <f>SUMIFS('Canjes desagregado'!#REF!,'Canjes desagregado'!#REF!,'Nuevo metod Cupón 2.0'!A90)</f>
        <v>#REF!</v>
      </c>
      <c r="AA90" s="12" t="e">
        <f>SUMIFS('Canjes desagregado'!#REF!,'Canjes desagregado'!#REF!,'Nuevo metod Cupón 2.0'!A90)</f>
        <v>#REF!</v>
      </c>
    </row>
    <row r="91" spans="1:27">
      <c r="A91" s="13">
        <v>86</v>
      </c>
      <c r="B91" s="7" t="s">
        <v>42</v>
      </c>
      <c r="C91" s="67" t="s">
        <v>125</v>
      </c>
      <c r="D91" s="39" t="e">
        <f>VLOOKUP(A91,'Canjes desagregado'!#REF!,6,FALSE)</f>
        <v>#REF!</v>
      </c>
      <c r="E91" s="14" t="e">
        <f>VLOOKUP(A91,'Canjes desagregado'!#REF!,2,FALSE)</f>
        <v>#REF!</v>
      </c>
      <c r="F91" s="15" t="e">
        <f>-SUMIFS('Canjes desagregado'!#REF!,'Canjes desagregado'!#REF!,'Nuevo metod Cupón 2.0'!A91,'Canjes desagregado'!#REF!,"Títulos Recogidos por la Nación")</f>
        <v>#REF!</v>
      </c>
      <c r="G91" s="9" t="e">
        <f>-SUMIFS('Canjes desagregado'!#REF!,'Canjes desagregado'!#REF!,'Nuevo metod Cupón 2.0'!A91)</f>
        <v>#REF!</v>
      </c>
      <c r="H91" s="9" t="e">
        <f>SUMIFS('Canjes desagregado'!#REF!,'Canjes desagregado'!#REF!,'Nuevo metod Cupón 2.0'!A91)</f>
        <v>#REF!</v>
      </c>
      <c r="I91" s="16" t="e">
        <f t="shared" si="18"/>
        <v>#REF!</v>
      </c>
      <c r="J91" s="10" t="e">
        <f>SUMIFS('Canjes desagregado'!#REF!,'Canjes desagregado'!#REF!,'Nuevo metod Cupón 2.0'!A91)</f>
        <v>#REF!</v>
      </c>
      <c r="K91" s="10" t="e">
        <f t="shared" si="14"/>
        <v>#REF!</v>
      </c>
      <c r="L91" s="91" t="e">
        <f>SUMIFS('Canjes desagregado'!#REF!,'Canjes desagregado'!#REF!,'Nuevo metod Cupón 2.0'!A91)</f>
        <v>#REF!</v>
      </c>
      <c r="M91" s="10" t="e">
        <f>L91+K91</f>
        <v>#REF!</v>
      </c>
      <c r="N91" s="11" t="e">
        <f t="shared" si="17"/>
        <v>#REF!</v>
      </c>
      <c r="O91" s="11" t="e">
        <f t="shared" si="13"/>
        <v>#REF!</v>
      </c>
      <c r="P91" s="17" t="e">
        <f t="shared" si="20"/>
        <v>#REF!</v>
      </c>
      <c r="Q91" s="17"/>
      <c r="R91" s="17"/>
      <c r="S91" s="17">
        <f>VLOOKUP(A91,'[4]Canjes por canasta'!A$3:S$84,15,FALSE)</f>
        <v>0.14609218640000002</v>
      </c>
      <c r="T91" s="41" t="e">
        <f t="shared" si="21"/>
        <v>#REF!</v>
      </c>
      <c r="U91" s="41" t="e">
        <f t="shared" si="22"/>
        <v>#REF!</v>
      </c>
      <c r="V91" s="41" t="str">
        <f t="shared" si="23"/>
        <v/>
      </c>
      <c r="W91" s="42" t="e">
        <f>(G91+H91+J91+L91)/F91</f>
        <v>#REF!</v>
      </c>
      <c r="X91" s="12" t="e">
        <f>SUMIFS('Canjes desagregado'!#REF!,'Canjes desagregado'!#REF!,'Nuevo metod Cupón 2.0'!A91)</f>
        <v>#REF!</v>
      </c>
      <c r="Y91" s="12" t="e">
        <f>SUMIFS('Canjes desagregado'!#REF!,'Canjes desagregado'!#REF!,'Nuevo metod Cupón 2.0'!A91)</f>
        <v>#REF!</v>
      </c>
      <c r="Z91" s="12" t="e">
        <f>SUMIFS('Canjes desagregado'!#REF!,'Canjes desagregado'!#REF!,'Nuevo metod Cupón 2.0'!A91)</f>
        <v>#REF!</v>
      </c>
      <c r="AA91" s="12" t="e">
        <f>SUMIFS('Canjes desagregado'!#REF!,'Canjes desagregado'!#REF!,'Nuevo metod Cupón 2.0'!A91)</f>
        <v>#REF!</v>
      </c>
    </row>
    <row r="92" spans="1:27" ht="19.5" customHeight="1">
      <c r="A92" s="13">
        <v>87</v>
      </c>
      <c r="B92" s="7" t="s">
        <v>42</v>
      </c>
      <c r="C92" s="67" t="s">
        <v>126</v>
      </c>
      <c r="D92" s="39" t="e">
        <f>VLOOKUP(A92,'Canjes desagregado'!#REF!,6,FALSE)</f>
        <v>#REF!</v>
      </c>
      <c r="E92" s="14" t="e">
        <f>VLOOKUP(A92,'Canjes desagregado'!#REF!,2,FALSE)</f>
        <v>#REF!</v>
      </c>
      <c r="F92" s="15" t="e">
        <f>-SUMIFS('Canjes desagregado'!#REF!,'Canjes desagregado'!#REF!,'Nuevo metod Cupón 2.0'!A92,'Canjes desagregado'!#REF!,"Títulos Recogidos por la Nación")</f>
        <v>#REF!</v>
      </c>
      <c r="G92" s="9" t="e">
        <f>-SUMIFS('Canjes desagregado'!#REF!,'Canjes desagregado'!#REF!,'Nuevo metod Cupón 2.0'!A92)</f>
        <v>#REF!</v>
      </c>
      <c r="H92" s="9" t="e">
        <f>SUMIFS('Canjes desagregado'!#REF!,'Canjes desagregado'!#REF!,'Nuevo metod Cupón 2.0'!A92)</f>
        <v>#REF!</v>
      </c>
      <c r="I92" s="16" t="e">
        <f t="shared" si="18"/>
        <v>#REF!</v>
      </c>
      <c r="J92" s="10" t="e">
        <f>SUMIFS('Canjes desagregado'!#REF!,'Canjes desagregado'!#REF!,'Nuevo metod Cupón 2.0'!A92)</f>
        <v>#REF!</v>
      </c>
      <c r="K92" s="10" t="e">
        <f t="shared" si="14"/>
        <v>#REF!</v>
      </c>
      <c r="L92" s="10" t="e">
        <f>SUMIFS('Canjes desagregado'!#REF!,'Canjes desagregado'!#REF!,'Nuevo metod Cupón 2.0'!A92)</f>
        <v>#REF!</v>
      </c>
      <c r="M92" s="10" t="e">
        <f t="shared" si="19"/>
        <v>#REF!</v>
      </c>
      <c r="N92" s="11" t="e">
        <f t="shared" si="17"/>
        <v>#REF!</v>
      </c>
      <c r="O92" s="11" t="e">
        <f t="shared" si="13"/>
        <v>#REF!</v>
      </c>
      <c r="P92" s="17" t="e">
        <f t="shared" si="20"/>
        <v>#REF!</v>
      </c>
      <c r="Q92" s="17"/>
      <c r="R92" s="17"/>
      <c r="S92" s="17">
        <f>VLOOKUP(A92,'[4]Canjes por canasta'!A$3:S$84,15,FALSE)</f>
        <v>0.16913905091957421</v>
      </c>
      <c r="T92" s="41" t="e">
        <f t="shared" si="21"/>
        <v>#REF!</v>
      </c>
      <c r="U92" s="41" t="e">
        <f t="shared" si="22"/>
        <v>#REF!</v>
      </c>
      <c r="V92" s="41" t="str">
        <f t="shared" si="23"/>
        <v/>
      </c>
      <c r="W92" s="42" t="e">
        <f t="shared" si="24"/>
        <v>#REF!</v>
      </c>
      <c r="X92" s="12" t="e">
        <f>SUMIFS('Canjes desagregado'!#REF!,'Canjes desagregado'!#REF!,'Nuevo metod Cupón 2.0'!A92)</f>
        <v>#REF!</v>
      </c>
      <c r="Y92" s="12" t="e">
        <f>SUMIFS('Canjes desagregado'!#REF!,'Canjes desagregado'!#REF!,'Nuevo metod Cupón 2.0'!A92)</f>
        <v>#REF!</v>
      </c>
      <c r="Z92" s="12" t="e">
        <f>SUMIFS('Canjes desagregado'!#REF!,'Canjes desagregado'!#REF!,'Nuevo metod Cupón 2.0'!A92)</f>
        <v>#REF!</v>
      </c>
      <c r="AA92" s="12" t="e">
        <f>SUMIFS('Canjes desagregado'!#REF!,'Canjes desagregado'!#REF!,'Nuevo metod Cupón 2.0'!A92)</f>
        <v>#REF!</v>
      </c>
    </row>
    <row r="93" spans="1:27" ht="21.75" customHeight="1">
      <c r="A93" s="13">
        <v>88</v>
      </c>
      <c r="B93" s="7" t="s">
        <v>42</v>
      </c>
      <c r="C93" s="67" t="s">
        <v>127</v>
      </c>
      <c r="D93" s="39" t="e">
        <f>VLOOKUP(A93,'Canjes desagregado'!#REF!,6,FALSE)</f>
        <v>#REF!</v>
      </c>
      <c r="E93" s="14" t="e">
        <f>VLOOKUP(A93,'Canjes desagregado'!#REF!,2,FALSE)</f>
        <v>#REF!</v>
      </c>
      <c r="F93" s="15" t="e">
        <f>-SUMIFS('Canjes desagregado'!#REF!,'Canjes desagregado'!#REF!,'Nuevo metod Cupón 2.0'!A93,'Canjes desagregado'!#REF!,"Títulos Recogidos por la Nación")</f>
        <v>#REF!</v>
      </c>
      <c r="G93" s="9" t="e">
        <f>-SUMIFS('Canjes desagregado'!#REF!,'Canjes desagregado'!#REF!,'Nuevo metod Cupón 2.0'!A93)</f>
        <v>#REF!</v>
      </c>
      <c r="H93" s="9" t="e">
        <f>SUMIFS('Canjes desagregado'!#REF!,'Canjes desagregado'!#REF!,'Nuevo metod Cupón 2.0'!A93)</f>
        <v>#REF!</v>
      </c>
      <c r="I93" s="16" t="e">
        <f t="shared" si="18"/>
        <v>#REF!</v>
      </c>
      <c r="J93" s="10" t="e">
        <f>SUMIFS('Canjes desagregado'!#REF!,'Canjes desagregado'!#REF!,'Nuevo metod Cupón 2.0'!A93)</f>
        <v>#REF!</v>
      </c>
      <c r="K93" s="10" t="e">
        <f t="shared" si="14"/>
        <v>#REF!</v>
      </c>
      <c r="L93" s="110" t="e">
        <f>SUMIFS('Canjes desagregado'!#REF!,'Canjes desagregado'!#REF!,'Nuevo metod Cupón 2.0'!A93)</f>
        <v>#REF!</v>
      </c>
      <c r="M93" s="10" t="e">
        <f t="shared" si="19"/>
        <v>#REF!</v>
      </c>
      <c r="N93" s="11" t="e">
        <f t="shared" si="17"/>
        <v>#REF!</v>
      </c>
      <c r="O93" s="11" t="e">
        <f t="shared" si="13"/>
        <v>#REF!</v>
      </c>
      <c r="P93" s="17" t="e">
        <f t="shared" si="20"/>
        <v>#REF!</v>
      </c>
      <c r="Q93" s="17"/>
      <c r="R93" s="17"/>
      <c r="S93" s="17">
        <f>VLOOKUP(A93,'[4]Canjes por canasta'!A$3:S$84,15,FALSE)</f>
        <v>0.16750333999999995</v>
      </c>
      <c r="T93" s="41" t="e">
        <f t="shared" si="21"/>
        <v>#REF!</v>
      </c>
      <c r="U93" s="41" t="e">
        <f t="shared" si="22"/>
        <v>#REF!</v>
      </c>
      <c r="V93" s="41" t="str">
        <f t="shared" si="23"/>
        <v/>
      </c>
      <c r="W93" s="42" t="e">
        <f t="shared" si="24"/>
        <v>#REF!</v>
      </c>
      <c r="X93" s="12" t="e">
        <f>SUMIFS('Canjes desagregado'!#REF!,'Canjes desagregado'!#REF!,'Nuevo metod Cupón 2.0'!A93)</f>
        <v>#REF!</v>
      </c>
      <c r="Y93" s="12" t="e">
        <f>SUMIFS('Canjes desagregado'!#REF!,'Canjes desagregado'!#REF!,'Nuevo metod Cupón 2.0'!A93)</f>
        <v>#REF!</v>
      </c>
      <c r="Z93" s="12" t="e">
        <f>SUMIFS('Canjes desagregado'!#REF!,'Canjes desagregado'!#REF!,'Nuevo metod Cupón 2.0'!A93)</f>
        <v>#REF!</v>
      </c>
      <c r="AA93" s="12" t="e">
        <f>SUMIFS('Canjes desagregado'!#REF!,'Canjes desagregado'!#REF!,'Nuevo metod Cupón 2.0'!A93)</f>
        <v>#REF!</v>
      </c>
    </row>
    <row r="94" spans="1:27" ht="21" customHeight="1">
      <c r="A94" s="13">
        <v>89</v>
      </c>
      <c r="B94" s="7" t="s">
        <v>42</v>
      </c>
      <c r="C94" s="67" t="s">
        <v>128</v>
      </c>
      <c r="D94" s="39" t="e">
        <f>VLOOKUP(A94,'Canjes desagregado'!#REF!,6,FALSE)</f>
        <v>#REF!</v>
      </c>
      <c r="E94" s="14" t="e">
        <f>VLOOKUP(A94,'Canjes desagregado'!#REF!,2,FALSE)</f>
        <v>#REF!</v>
      </c>
      <c r="F94" s="15" t="e">
        <f>-SUMIFS('Canjes desagregado'!#REF!,'Canjes desagregado'!#REF!,'Nuevo metod Cupón 2.0'!A94,'Canjes desagregado'!#REF!,"Títulos Recogidos por la Nación")</f>
        <v>#REF!</v>
      </c>
      <c r="G94" s="9" t="e">
        <f>-SUMIFS('Canjes desagregado'!#REF!,'Canjes desagregado'!#REF!,'Nuevo metod Cupón 2.0'!A94)</f>
        <v>#REF!</v>
      </c>
      <c r="H94" s="9" t="e">
        <f>SUMIFS('Canjes desagregado'!#REF!,'Canjes desagregado'!#REF!,'Nuevo metod Cupón 2.0'!A94)</f>
        <v>#REF!</v>
      </c>
      <c r="I94" s="16" t="e">
        <f t="shared" si="18"/>
        <v>#REF!</v>
      </c>
      <c r="J94" s="10" t="e">
        <f>SUMIFS('Canjes desagregado'!#REF!,'Canjes desagregado'!#REF!,'Nuevo metod Cupón 2.0'!A94)</f>
        <v>#REF!</v>
      </c>
      <c r="K94" s="10" t="e">
        <f t="shared" si="14"/>
        <v>#REF!</v>
      </c>
      <c r="L94" s="10" t="e">
        <f>SUMIFS('Canjes desagregado'!#REF!,'Canjes desagregado'!#REF!,'Nuevo metod Cupón 2.0'!A94)</f>
        <v>#REF!</v>
      </c>
      <c r="M94" s="10" t="e">
        <f t="shared" si="19"/>
        <v>#REF!</v>
      </c>
      <c r="N94" s="11" t="e">
        <f t="shared" si="17"/>
        <v>#REF!</v>
      </c>
      <c r="O94" s="11" t="e">
        <f t="shared" si="13"/>
        <v>#REF!</v>
      </c>
      <c r="P94" s="17" t="e">
        <f t="shared" si="20"/>
        <v>#REF!</v>
      </c>
      <c r="Q94" s="17"/>
      <c r="R94" s="17"/>
      <c r="S94" s="17">
        <f>VLOOKUP(A94,'[4]Canjes por canasta'!A$3:S$84,15,FALSE)</f>
        <v>0.18256178844000001</v>
      </c>
      <c r="T94" s="41" t="e">
        <f t="shared" si="21"/>
        <v>#REF!</v>
      </c>
      <c r="U94" s="41" t="e">
        <f t="shared" si="22"/>
        <v>#REF!</v>
      </c>
      <c r="V94" s="41" t="str">
        <f t="shared" si="23"/>
        <v/>
      </c>
      <c r="W94" s="42" t="e">
        <f t="shared" si="24"/>
        <v>#REF!</v>
      </c>
      <c r="X94" s="12" t="e">
        <f>SUMIFS('Canjes desagregado'!#REF!,'Canjes desagregado'!#REF!,'Nuevo metod Cupón 2.0'!A94)</f>
        <v>#REF!</v>
      </c>
      <c r="Y94" s="12" t="e">
        <f>SUMIFS('Canjes desagregado'!#REF!,'Canjes desagregado'!#REF!,'Nuevo metod Cupón 2.0'!A94)</f>
        <v>#REF!</v>
      </c>
      <c r="Z94" s="12" t="e">
        <f>SUMIFS('Canjes desagregado'!#REF!,'Canjes desagregado'!#REF!,'Nuevo metod Cupón 2.0'!A94)</f>
        <v>#REF!</v>
      </c>
      <c r="AA94" s="12" t="e">
        <f>SUMIFS('Canjes desagregado'!#REF!,'Canjes desagregado'!#REF!,'Nuevo metod Cupón 2.0'!A94)</f>
        <v>#REF!</v>
      </c>
    </row>
    <row r="95" spans="1:27">
      <c r="A95" s="13">
        <v>90</v>
      </c>
      <c r="B95" s="7" t="s">
        <v>42</v>
      </c>
      <c r="C95" s="67" t="s">
        <v>129</v>
      </c>
      <c r="D95" s="39" t="e">
        <f>VLOOKUP(A95,'Canjes desagregado'!#REF!,6,FALSE)</f>
        <v>#REF!</v>
      </c>
      <c r="E95" s="14" t="e">
        <f>VLOOKUP(A95,'Canjes desagregado'!#REF!,2,FALSE)</f>
        <v>#REF!</v>
      </c>
      <c r="F95" s="15" t="e">
        <f>-SUMIFS('Canjes desagregado'!#REF!,'Canjes desagregado'!#REF!,'Nuevo metod Cupón 2.0'!A95,'Canjes desagregado'!#REF!,"Títulos Recogidos por la Nación")</f>
        <v>#REF!</v>
      </c>
      <c r="G95" s="9" t="e">
        <f>-SUMIFS('Canjes desagregado'!#REF!,'Canjes desagregado'!#REF!,'Nuevo metod Cupón 2.0'!A95)</f>
        <v>#REF!</v>
      </c>
      <c r="H95" s="9" t="e">
        <f>SUMIFS('Canjes desagregado'!#REF!,'Canjes desagregado'!#REF!,'Nuevo metod Cupón 2.0'!A95)</f>
        <v>#REF!</v>
      </c>
      <c r="I95" s="16" t="e">
        <f t="shared" si="18"/>
        <v>#REF!</v>
      </c>
      <c r="J95" s="10" t="e">
        <f>SUMIFS('Canjes desagregado'!#REF!,'Canjes desagregado'!#REF!,'Nuevo metod Cupón 2.0'!A95)</f>
        <v>#REF!</v>
      </c>
      <c r="K95" s="10" t="e">
        <f t="shared" si="14"/>
        <v>#REF!</v>
      </c>
      <c r="L95" s="10" t="e">
        <f>SUMIFS('Canjes desagregado'!#REF!,'Canjes desagregado'!#REF!,'Nuevo metod Cupón 2.0'!A95)</f>
        <v>#REF!</v>
      </c>
      <c r="M95" s="10" t="e">
        <f t="shared" si="19"/>
        <v>#REF!</v>
      </c>
      <c r="N95" s="11" t="e">
        <f t="shared" si="17"/>
        <v>#REF!</v>
      </c>
      <c r="O95" s="11" t="e">
        <f t="shared" si="13"/>
        <v>#REF!</v>
      </c>
      <c r="P95" s="17" t="e">
        <f t="shared" si="20"/>
        <v>#REF!</v>
      </c>
      <c r="Q95" s="17"/>
      <c r="R95" s="17"/>
      <c r="S95" s="17">
        <f>VLOOKUP(A95,'[4]Canjes por canasta'!A$3:S$84,15,FALSE)</f>
        <v>0.19484354000000015</v>
      </c>
      <c r="T95" s="41" t="e">
        <f t="shared" si="21"/>
        <v>#REF!</v>
      </c>
      <c r="U95" s="41" t="e">
        <f t="shared" si="22"/>
        <v>#REF!</v>
      </c>
      <c r="V95" s="41" t="str">
        <f t="shared" si="23"/>
        <v/>
      </c>
      <c r="W95" s="42" t="e">
        <f t="shared" si="24"/>
        <v>#REF!</v>
      </c>
      <c r="X95" s="12" t="e">
        <f>SUMIFS('Canjes desagregado'!#REF!,'Canjes desagregado'!#REF!,'Nuevo metod Cupón 2.0'!A95)</f>
        <v>#REF!</v>
      </c>
      <c r="Y95" s="12" t="e">
        <f>SUMIFS('Canjes desagregado'!#REF!,'Canjes desagregado'!#REF!,'Nuevo metod Cupón 2.0'!A95)</f>
        <v>#REF!</v>
      </c>
      <c r="Z95" s="12" t="e">
        <f>SUMIFS('Canjes desagregado'!#REF!,'Canjes desagregado'!#REF!,'Nuevo metod Cupón 2.0'!A95)</f>
        <v>#REF!</v>
      </c>
      <c r="AA95" s="12" t="e">
        <f>SUMIFS('Canjes desagregado'!#REF!,'Canjes desagregado'!#REF!,'Nuevo metod Cupón 2.0'!A95)</f>
        <v>#REF!</v>
      </c>
    </row>
    <row r="96" spans="1:27">
      <c r="A96" s="13">
        <v>91</v>
      </c>
      <c r="B96" s="7" t="s">
        <v>42</v>
      </c>
      <c r="C96" s="67" t="s">
        <v>130</v>
      </c>
      <c r="D96" s="39" t="e">
        <f>VLOOKUP(A96,'Canjes desagregado'!#REF!,6,FALSE)</f>
        <v>#REF!</v>
      </c>
      <c r="E96" s="14" t="e">
        <f>VLOOKUP(A96,'Canjes desagregado'!#REF!,2,FALSE)</f>
        <v>#REF!</v>
      </c>
      <c r="F96" s="15" t="e">
        <f>-SUMIFS('Canjes desagregado'!#REF!,'Canjes desagregado'!#REF!,'Nuevo metod Cupón 2.0'!A96,'Canjes desagregado'!#REF!,"Títulos Recogidos por la Nación")</f>
        <v>#REF!</v>
      </c>
      <c r="G96" s="9" t="e">
        <f>-SUMIFS('Canjes desagregado'!#REF!,'Canjes desagregado'!#REF!,'Nuevo metod Cupón 2.0'!A96)</f>
        <v>#REF!</v>
      </c>
      <c r="H96" s="9" t="e">
        <f>SUMIFS('Canjes desagregado'!#REF!,'Canjes desagregado'!#REF!,'Nuevo metod Cupón 2.0'!A96)</f>
        <v>#REF!</v>
      </c>
      <c r="I96" s="16" t="e">
        <f t="shared" si="18"/>
        <v>#REF!</v>
      </c>
      <c r="J96" s="10" t="e">
        <f>SUMIFS('Canjes desagregado'!#REF!,'Canjes desagregado'!#REF!,'Nuevo metod Cupón 2.0'!A96)</f>
        <v>#REF!</v>
      </c>
      <c r="K96" s="10" t="e">
        <f t="shared" si="14"/>
        <v>#REF!</v>
      </c>
      <c r="L96" s="10" t="e">
        <f>SUMIFS('Canjes desagregado'!#REF!,'Canjes desagregado'!#REF!,'Nuevo metod Cupón 2.0'!A96)</f>
        <v>#REF!</v>
      </c>
      <c r="M96" s="10" t="e">
        <f t="shared" si="19"/>
        <v>#REF!</v>
      </c>
      <c r="N96" s="11" t="e">
        <f t="shared" si="17"/>
        <v>#REF!</v>
      </c>
      <c r="O96" s="11" t="e">
        <f t="shared" ref="O96:O108" si="25">K96/F96</f>
        <v>#REF!</v>
      </c>
      <c r="P96" s="17" t="e">
        <f t="shared" si="20"/>
        <v>#REF!</v>
      </c>
      <c r="Q96" s="17"/>
      <c r="R96" s="17"/>
      <c r="S96" s="17">
        <f>VLOOKUP(A96,'[4]Canjes por canasta'!A$3:S$84,15,FALSE)</f>
        <v>0.19844449999999991</v>
      </c>
      <c r="T96" s="41" t="e">
        <f t="shared" si="21"/>
        <v>#REF!</v>
      </c>
      <c r="U96" s="41" t="e">
        <f t="shared" si="22"/>
        <v>#REF!</v>
      </c>
      <c r="V96" s="41" t="str">
        <f t="shared" si="23"/>
        <v/>
      </c>
      <c r="W96" s="42" t="e">
        <f t="shared" si="24"/>
        <v>#REF!</v>
      </c>
      <c r="X96" s="12" t="e">
        <f>SUMIFS('Canjes desagregado'!#REF!,'Canjes desagregado'!#REF!,'Nuevo metod Cupón 2.0'!A96)</f>
        <v>#REF!</v>
      </c>
      <c r="Y96" s="12" t="e">
        <f>SUMIFS('Canjes desagregado'!#REF!,'Canjes desagregado'!#REF!,'Nuevo metod Cupón 2.0'!A96)</f>
        <v>#REF!</v>
      </c>
      <c r="Z96" s="12" t="e">
        <f>SUMIFS('Canjes desagregado'!#REF!,'Canjes desagregado'!#REF!,'Nuevo metod Cupón 2.0'!A96)</f>
        <v>#REF!</v>
      </c>
      <c r="AA96" s="12" t="e">
        <f>SUMIFS('Canjes desagregado'!#REF!,'Canjes desagregado'!#REF!,'Nuevo metod Cupón 2.0'!A96)</f>
        <v>#REF!</v>
      </c>
    </row>
    <row r="97" spans="1:27">
      <c r="A97" s="13">
        <v>92</v>
      </c>
      <c r="B97" s="7" t="s">
        <v>42</v>
      </c>
      <c r="C97" s="67" t="s">
        <v>131</v>
      </c>
      <c r="D97" s="39" t="e">
        <f>VLOOKUP(A97,'Canjes desagregado'!#REF!,6,FALSE)</f>
        <v>#REF!</v>
      </c>
      <c r="E97" s="14" t="e">
        <f>VLOOKUP(A97,'Canjes desagregado'!#REF!,2,FALSE)</f>
        <v>#REF!</v>
      </c>
      <c r="F97" s="15" t="e">
        <f>-SUMIFS('Canjes desagregado'!#REF!,'Canjes desagregado'!#REF!,'Nuevo metod Cupón 2.0'!A97,'Canjes desagregado'!#REF!,"Títulos Recogidos por la Nación")</f>
        <v>#REF!</v>
      </c>
      <c r="G97" s="9" t="e">
        <f>-SUMIFS('Canjes desagregado'!#REF!,'Canjes desagregado'!#REF!,'Nuevo metod Cupón 2.0'!A97)</f>
        <v>#REF!</v>
      </c>
      <c r="H97" s="9" t="e">
        <f>SUMIFS('Canjes desagregado'!#REF!,'Canjes desagregado'!#REF!,'Nuevo metod Cupón 2.0'!A97)</f>
        <v>#REF!</v>
      </c>
      <c r="I97" s="16" t="e">
        <f t="shared" si="18"/>
        <v>#REF!</v>
      </c>
      <c r="J97" s="10" t="e">
        <f>SUMIFS('Canjes desagregado'!#REF!,'Canjes desagregado'!#REF!,'Nuevo metod Cupón 2.0'!A97)</f>
        <v>#REF!</v>
      </c>
      <c r="K97" s="10" t="e">
        <f t="shared" si="14"/>
        <v>#REF!</v>
      </c>
      <c r="L97" s="10" t="e">
        <f>SUMIFS('Canjes desagregado'!#REF!,'Canjes desagregado'!#REF!,'Nuevo metod Cupón 2.0'!A97)</f>
        <v>#REF!</v>
      </c>
      <c r="M97" s="10" t="e">
        <f t="shared" si="19"/>
        <v>#REF!</v>
      </c>
      <c r="N97" s="11" t="e">
        <f t="shared" si="17"/>
        <v>#REF!</v>
      </c>
      <c r="O97" s="11" t="e">
        <f t="shared" si="25"/>
        <v>#REF!</v>
      </c>
      <c r="P97" s="17" t="e">
        <f t="shared" si="20"/>
        <v>#REF!</v>
      </c>
      <c r="Q97" s="17"/>
      <c r="R97" s="17"/>
      <c r="S97" s="17">
        <f>VLOOKUP(A97,'[4]Canjes por canasta'!A$3:S$84,15,FALSE)</f>
        <v>0.19731920000000014</v>
      </c>
      <c r="T97" s="41" t="e">
        <f t="shared" si="21"/>
        <v>#REF!</v>
      </c>
      <c r="U97" s="41" t="e">
        <f t="shared" si="22"/>
        <v>#REF!</v>
      </c>
      <c r="V97" s="41" t="str">
        <f t="shared" si="23"/>
        <v/>
      </c>
      <c r="W97" s="42" t="e">
        <f t="shared" si="24"/>
        <v>#REF!</v>
      </c>
      <c r="X97" s="12" t="e">
        <f>SUMIFS('Canjes desagregado'!#REF!,'Canjes desagregado'!#REF!,'Nuevo metod Cupón 2.0'!A97)</f>
        <v>#REF!</v>
      </c>
      <c r="Y97" s="12" t="e">
        <f>SUMIFS('Canjes desagregado'!#REF!,'Canjes desagregado'!#REF!,'Nuevo metod Cupón 2.0'!A97)</f>
        <v>#REF!</v>
      </c>
      <c r="Z97" s="12" t="e">
        <f>SUMIFS('Canjes desagregado'!#REF!,'Canjes desagregado'!#REF!,'Nuevo metod Cupón 2.0'!A97)</f>
        <v>#REF!</v>
      </c>
      <c r="AA97" s="12" t="e">
        <f>SUMIFS('Canjes desagregado'!#REF!,'Canjes desagregado'!#REF!,'Nuevo metod Cupón 2.0'!A97)</f>
        <v>#REF!</v>
      </c>
    </row>
    <row r="98" spans="1:27" ht="15.75" customHeight="1">
      <c r="A98" s="13">
        <v>93</v>
      </c>
      <c r="B98" s="7" t="s">
        <v>42</v>
      </c>
      <c r="C98" s="67">
        <v>44909</v>
      </c>
      <c r="D98" s="39" t="e">
        <f>VLOOKUP(A98,'Canjes desagregado'!#REF!,6,FALSE)</f>
        <v>#REF!</v>
      </c>
      <c r="E98" s="14" t="e">
        <f>VLOOKUP(A98,'Canjes desagregado'!#REF!,2,FALSE)</f>
        <v>#REF!</v>
      </c>
      <c r="F98" s="15" t="e">
        <f>-SUMIFS('Canjes desagregado'!#REF!,'Canjes desagregado'!#REF!,'Nuevo metod Cupón 2.0'!A98,'Canjes desagregado'!#REF!,"Títulos Recogidos por la Nación")</f>
        <v>#REF!</v>
      </c>
      <c r="G98" s="9" t="e">
        <f>-SUMIFS('Canjes desagregado'!#REF!,'Canjes desagregado'!#REF!,'Nuevo metod Cupón 2.0'!A98)</f>
        <v>#REF!</v>
      </c>
      <c r="H98" s="9" t="e">
        <f>SUMIFS('Canjes desagregado'!#REF!,'Canjes desagregado'!#REF!,'Nuevo metod Cupón 2.0'!A98)</f>
        <v>#REF!</v>
      </c>
      <c r="I98" s="16" t="e">
        <f>H98+G98</f>
        <v>#REF!</v>
      </c>
      <c r="J98" s="10" t="e">
        <f>SUMIFS('Canjes desagregado'!#REF!,'Canjes desagregado'!#REF!,'Nuevo metod Cupón 2.0'!A98)</f>
        <v>#REF!</v>
      </c>
      <c r="K98" s="10" t="e">
        <f>J98+H98+G98</f>
        <v>#REF!</v>
      </c>
      <c r="L98" s="10" t="e">
        <f>SUMIFS('Canjes desagregado'!#REF!,'Canjes desagregado'!#REF!,'Nuevo metod Cupón 2.0'!A98)</f>
        <v>#REF!</v>
      </c>
      <c r="M98" s="10" t="e">
        <f t="shared" si="19"/>
        <v>#REF!</v>
      </c>
      <c r="N98" s="11" t="e">
        <f t="shared" si="17"/>
        <v>#REF!</v>
      </c>
      <c r="O98" s="11" t="e">
        <f t="shared" si="25"/>
        <v>#REF!</v>
      </c>
      <c r="P98" s="17" t="e">
        <f t="shared" si="20"/>
        <v>#REF!</v>
      </c>
      <c r="Q98" s="17"/>
      <c r="R98" s="17"/>
      <c r="S98" s="17">
        <f>VLOOKUP(A98,'[4]Canjes por canasta'!A$3:S$84,15,FALSE)</f>
        <v>0.1765102754899999</v>
      </c>
      <c r="T98" s="41" t="e">
        <f t="shared" si="21"/>
        <v>#REF!</v>
      </c>
      <c r="U98" s="41" t="e">
        <f t="shared" si="22"/>
        <v>#REF!</v>
      </c>
      <c r="V98" s="41" t="str">
        <f t="shared" si="23"/>
        <v/>
      </c>
      <c r="W98" s="42" t="e">
        <f t="shared" si="24"/>
        <v>#REF!</v>
      </c>
      <c r="X98" s="12" t="e">
        <f>SUMIFS('Canjes desagregado'!#REF!,'Canjes desagregado'!#REF!,'Nuevo metod Cupón 2.0'!A98)</f>
        <v>#REF!</v>
      </c>
      <c r="Y98" s="12" t="e">
        <f>SUMIFS('Canjes desagregado'!#REF!,'Canjes desagregado'!#REF!,'Nuevo metod Cupón 2.0'!A98)</f>
        <v>#REF!</v>
      </c>
      <c r="Z98" s="12" t="e">
        <f>SUMIFS('Canjes desagregado'!#REF!,'Canjes desagregado'!#REF!,'Nuevo metod Cupón 2.0'!A98)</f>
        <v>#REF!</v>
      </c>
      <c r="AA98" s="12" t="e">
        <f>SUMIFS('Canjes desagregado'!#REF!,'Canjes desagregado'!#REF!,'Nuevo metod Cupón 2.0'!A98)</f>
        <v>#REF!</v>
      </c>
    </row>
    <row r="99" spans="1:27" ht="16.899999999999999" customHeight="1">
      <c r="A99" s="13">
        <v>94</v>
      </c>
      <c r="B99" s="7" t="s">
        <v>42</v>
      </c>
      <c r="C99" s="67" t="s">
        <v>132</v>
      </c>
      <c r="D99" s="39" t="e">
        <f>VLOOKUP(A99,'Canjes desagregado'!#REF!,6,FALSE)</f>
        <v>#REF!</v>
      </c>
      <c r="E99" s="14" t="e">
        <f>VLOOKUP(A99,'Canjes desagregado'!#REF!,2,FALSE)</f>
        <v>#REF!</v>
      </c>
      <c r="F99" s="15" t="e">
        <f>-SUMIFS('Canjes desagregado'!#REF!,'Canjes desagregado'!#REF!,'Nuevo metod Cupón 2.0'!A99,'Canjes desagregado'!#REF!,"Títulos Recogidos por la Nación")</f>
        <v>#REF!</v>
      </c>
      <c r="G99" s="9" t="e">
        <f>-SUMIFS('Canjes desagregado'!#REF!,'Canjes desagregado'!#REF!,'Nuevo metod Cupón 2.0'!A99)</f>
        <v>#REF!</v>
      </c>
      <c r="H99" s="9" t="e">
        <f>SUMIFS('Canjes desagregado'!#REF!,'Canjes desagregado'!#REF!,'Nuevo metod Cupón 2.0'!A99)</f>
        <v>#REF!</v>
      </c>
      <c r="I99" s="16" t="e">
        <f t="shared" si="18"/>
        <v>#REF!</v>
      </c>
      <c r="J99" s="10" t="e">
        <f>SUMIFS('Canjes desagregado'!#REF!,'Canjes desagregado'!#REF!,'Nuevo metod Cupón 2.0'!A99)</f>
        <v>#REF!</v>
      </c>
      <c r="K99" s="10" t="e">
        <f>J99+H99+G99</f>
        <v>#REF!</v>
      </c>
      <c r="L99" s="10" t="e">
        <f>SUMIFS('Canjes desagregado'!#REF!,'Canjes desagregado'!#REF!,'Nuevo metod Cupón 2.0'!A99)</f>
        <v>#REF!</v>
      </c>
      <c r="M99" s="10" t="e">
        <f t="shared" si="19"/>
        <v>#REF!</v>
      </c>
      <c r="N99" s="11" t="e">
        <f t="shared" si="17"/>
        <v>#REF!</v>
      </c>
      <c r="O99" s="11" t="e">
        <f>K99/F99</f>
        <v>#REF!</v>
      </c>
      <c r="P99" s="17" t="e">
        <f t="shared" ref="P99:P111" si="26">+F99/$F$115</f>
        <v>#REF!</v>
      </c>
      <c r="Q99" s="17"/>
      <c r="R99" s="17"/>
      <c r="S99" s="17">
        <f>VLOOKUP(A99,'[4]Canjes por canasta'!A$3:S$84,15,FALSE)</f>
        <v>0.15024749210000002</v>
      </c>
      <c r="T99" s="41" t="e">
        <f t="shared" si="21"/>
        <v>#REF!</v>
      </c>
      <c r="U99" s="41" t="e">
        <f t="shared" si="22"/>
        <v>#REF!</v>
      </c>
      <c r="V99" s="41" t="str">
        <f t="shared" si="23"/>
        <v/>
      </c>
      <c r="W99" s="42" t="e">
        <f t="shared" si="24"/>
        <v>#REF!</v>
      </c>
      <c r="X99" s="12" t="e">
        <f>SUMIFS('Canjes desagregado'!#REF!,'Canjes desagregado'!#REF!,'Nuevo metod Cupón 2.0'!A99)</f>
        <v>#REF!</v>
      </c>
      <c r="Y99" s="12" t="e">
        <f>SUMIFS('Canjes desagregado'!#REF!,'Canjes desagregado'!#REF!,'Nuevo metod Cupón 2.0'!A99)</f>
        <v>#REF!</v>
      </c>
      <c r="Z99" s="12" t="e">
        <f>SUMIFS('Canjes desagregado'!#REF!,'Canjes desagregado'!#REF!,'Nuevo metod Cupón 2.0'!A99)</f>
        <v>#REF!</v>
      </c>
      <c r="AA99" s="12" t="e">
        <f>SUMIFS('Canjes desagregado'!#REF!,'Canjes desagregado'!#REF!,'Nuevo metod Cupón 2.0'!A99)</f>
        <v>#REF!</v>
      </c>
    </row>
    <row r="100" spans="1:27" ht="17.25" customHeight="1">
      <c r="A100" s="13">
        <v>95</v>
      </c>
      <c r="B100" s="7" t="s">
        <v>42</v>
      </c>
      <c r="C100" s="67" t="s">
        <v>133</v>
      </c>
      <c r="D100" s="39" t="e">
        <f>VLOOKUP(A100,'Canjes desagregado'!$B$2:$G$172,6,FALSE)</f>
        <v>#N/A</v>
      </c>
      <c r="E100" s="14" t="e">
        <f>VLOOKUP(A100,'Canjes desagregado'!$B$2:$C$172,2,FALSE)</f>
        <v>#N/A</v>
      </c>
      <c r="F100" s="15" t="e">
        <f>-SUMIFS('Canjes desagregado'!#REF!,'Canjes desagregado'!#REF!,'Nuevo metod Cupón 2.0'!A100,'Canjes desagregado'!#REF!,"Títulos Recogidos por la Nación")</f>
        <v>#REF!</v>
      </c>
      <c r="G100" s="9" t="e">
        <f>-SUMIFS('Canjes desagregado'!#REF!,'Canjes desagregado'!#REF!,'Nuevo metod Cupón 2.0'!A100)</f>
        <v>#REF!</v>
      </c>
      <c r="H100" s="9" t="e">
        <f>SUMIFS('Canjes desagregado'!#REF!,'Canjes desagregado'!#REF!,'Nuevo metod Cupón 2.0'!A100)</f>
        <v>#REF!</v>
      </c>
      <c r="I100" s="16" t="e">
        <f>H100+G100</f>
        <v>#REF!</v>
      </c>
      <c r="J100" s="10" t="e">
        <f>SUMIFS('Canjes desagregado'!#REF!,'Canjes desagregado'!#REF!,'Nuevo metod Cupón 2.0'!A100)</f>
        <v>#REF!</v>
      </c>
      <c r="K100" s="10" t="e">
        <f>J100+H100+G100</f>
        <v>#REF!</v>
      </c>
      <c r="L100" s="10" t="e">
        <f>SUMIFS('Canjes desagregado'!#REF!,'Canjes desagregado'!#REF!,'Nuevo metod Cupón 2.0'!A100)</f>
        <v>#REF!</v>
      </c>
      <c r="M100" s="10" t="e">
        <f t="shared" si="19"/>
        <v>#REF!</v>
      </c>
      <c r="N100" s="11" t="e">
        <f t="shared" si="17"/>
        <v>#REF!</v>
      </c>
      <c r="O100" s="11" t="e">
        <f t="shared" si="25"/>
        <v>#REF!</v>
      </c>
      <c r="P100" s="17" t="e">
        <f t="shared" si="26"/>
        <v>#REF!</v>
      </c>
      <c r="Q100" s="17">
        <v>-3.1E-2</v>
      </c>
      <c r="R100" s="17">
        <v>0.1305</v>
      </c>
      <c r="S100" s="17">
        <f>VLOOKUP(A100,'[4]Canjes por canasta'!A$3:S$84,15,FALSE)</f>
        <v>0.12404</v>
      </c>
      <c r="T100" s="41" t="e">
        <f t="shared" si="21"/>
        <v>#REF!</v>
      </c>
      <c r="U100" s="41" t="e">
        <f t="shared" si="22"/>
        <v>#REF!</v>
      </c>
      <c r="V100" s="41" t="str">
        <f t="shared" si="23"/>
        <v/>
      </c>
      <c r="W100" s="42" t="e">
        <f t="shared" si="24"/>
        <v>#REF!</v>
      </c>
      <c r="X100" s="12" t="e">
        <f>SUMIFS('Canjes desagregado'!#REF!,'Canjes desagregado'!#REF!,'Nuevo metod Cupón 2.0'!A100)</f>
        <v>#REF!</v>
      </c>
      <c r="Y100" s="12" t="e">
        <f>SUMIFS('Canjes desagregado'!#REF!,'Canjes desagregado'!#REF!,'Nuevo metod Cupón 2.0'!A100)</f>
        <v>#REF!</v>
      </c>
      <c r="Z100" s="12" t="e">
        <f>SUMIFS('Canjes desagregado'!#REF!,'Canjes desagregado'!#REF!,'Nuevo metod Cupón 2.0'!A100)</f>
        <v>#REF!</v>
      </c>
      <c r="AA100" s="12" t="e">
        <f>SUMIFS('Canjes desagregado'!#REF!,'Canjes desagregado'!#REF!,'Nuevo metod Cupón 2.0'!A100)</f>
        <v>#REF!</v>
      </c>
    </row>
    <row r="101" spans="1:27" ht="17.25" customHeight="1">
      <c r="A101" s="13">
        <v>96</v>
      </c>
      <c r="B101" s="7" t="s">
        <v>42</v>
      </c>
      <c r="C101" s="67" t="s">
        <v>134</v>
      </c>
      <c r="D101" s="39" t="e">
        <f>VLOOKUP(A101,'Canjes desagregado'!$B$2:$G$172,6,FALSE)</f>
        <v>#N/A</v>
      </c>
      <c r="E101" s="14" t="e">
        <f>VLOOKUP(A101,'Canjes desagregado'!$B$2:$C$172,2,FALSE)</f>
        <v>#N/A</v>
      </c>
      <c r="F101" s="15" t="e">
        <f>-SUMIFS('Canjes desagregado'!#REF!,'Canjes desagregado'!#REF!,'Nuevo metod Cupón 2.0'!A101,'Canjes desagregado'!#REF!,"Títulos Recogidos por la Nación")</f>
        <v>#REF!</v>
      </c>
      <c r="G101" s="9" t="e">
        <f>-SUMIFS('Canjes desagregado'!#REF!,'Canjes desagregado'!#REF!,'Nuevo metod Cupón 2.0'!A101)</f>
        <v>#REF!</v>
      </c>
      <c r="H101" s="9" t="e">
        <f>SUMIFS('Canjes desagregado'!#REF!,'Canjes desagregado'!#REF!,'Nuevo metod Cupón 2.0'!A101)</f>
        <v>#REF!</v>
      </c>
      <c r="I101" s="16" t="e">
        <f t="shared" si="18"/>
        <v>#REF!</v>
      </c>
      <c r="J101" s="10" t="e">
        <f>SUMIFS('Canjes desagregado'!#REF!,'Canjes desagregado'!#REF!,'Nuevo metod Cupón 2.0'!A101)</f>
        <v>#REF!</v>
      </c>
      <c r="K101" s="10" t="e">
        <f t="shared" si="14"/>
        <v>#REF!</v>
      </c>
      <c r="L101" s="10" t="e">
        <f>SUMIFS('Canjes desagregado'!#REF!,'Canjes desagregado'!#REF!,'Nuevo metod Cupón 2.0'!A101)</f>
        <v>#REF!</v>
      </c>
      <c r="M101" s="10" t="e">
        <f t="shared" si="19"/>
        <v>#REF!</v>
      </c>
      <c r="N101" s="11" t="e">
        <f t="shared" si="17"/>
        <v>#REF!</v>
      </c>
      <c r="O101" s="11" t="e">
        <f t="shared" si="25"/>
        <v>#REF!</v>
      </c>
      <c r="P101" s="17" t="e">
        <f t="shared" si="26"/>
        <v>#REF!</v>
      </c>
      <c r="Q101" s="17">
        <v>-6.1282000000000003E-2</v>
      </c>
      <c r="R101" s="17">
        <v>0.12033882142857143</v>
      </c>
      <c r="S101" s="17">
        <f>VLOOKUP(A101,'[4]Canjes por canasta'!A$3:S$84,15,FALSE)</f>
        <v>0.12330999999999999</v>
      </c>
      <c r="T101" s="41" t="e">
        <f t="shared" si="21"/>
        <v>#REF!</v>
      </c>
      <c r="U101" s="41" t="e">
        <f t="shared" si="22"/>
        <v>#REF!</v>
      </c>
      <c r="V101" s="41" t="str">
        <f t="shared" si="23"/>
        <v/>
      </c>
      <c r="W101" s="42" t="e">
        <f t="shared" si="24"/>
        <v>#REF!</v>
      </c>
      <c r="X101" s="12" t="e">
        <f>SUMIFS('Canjes desagregado'!#REF!,'Canjes desagregado'!#REF!,'Nuevo metod Cupón 2.0'!A101)</f>
        <v>#REF!</v>
      </c>
      <c r="Y101" s="12" t="e">
        <f>SUMIFS('Canjes desagregado'!#REF!,'Canjes desagregado'!#REF!,'Nuevo metod Cupón 2.0'!A101)</f>
        <v>#REF!</v>
      </c>
      <c r="Z101" s="12" t="e">
        <f>SUMIFS('Canjes desagregado'!#REF!,'Canjes desagregado'!#REF!,'Nuevo metod Cupón 2.0'!A101)</f>
        <v>#REF!</v>
      </c>
      <c r="AA101" s="12" t="e">
        <f>SUMIFS('Canjes desagregado'!#REF!,'Canjes desagregado'!#REF!,'Nuevo metod Cupón 2.0'!A101)</f>
        <v>#REF!</v>
      </c>
    </row>
    <row r="102" spans="1:27" ht="17.25" customHeight="1">
      <c r="A102" s="13">
        <v>97</v>
      </c>
      <c r="B102" s="7" t="s">
        <v>42</v>
      </c>
      <c r="C102" s="67" t="s">
        <v>135</v>
      </c>
      <c r="D102" s="39" t="e">
        <f>VLOOKUP(A102,'Canjes desagregado'!$B$2:$G$172,6,FALSE)</f>
        <v>#N/A</v>
      </c>
      <c r="E102" s="14" t="e">
        <f>VLOOKUP(A102,'Canjes desagregado'!$B$2:$C$172,2,FALSE)</f>
        <v>#N/A</v>
      </c>
      <c r="F102" s="15" t="e">
        <f>-SUMIFS('Canjes desagregado'!#REF!,'Canjes desagregado'!#REF!,'Nuevo metod Cupón 2.0'!A102,'Canjes desagregado'!#REF!,"Títulos Recogidos por la Nación")</f>
        <v>#REF!</v>
      </c>
      <c r="G102" s="9" t="e">
        <f>-SUMIFS('Canjes desagregado'!#REF!,'Canjes desagregado'!#REF!,'Nuevo metod Cupón 2.0'!A102)</f>
        <v>#REF!</v>
      </c>
      <c r="H102" s="9" t="e">
        <f>SUMIFS('Canjes desagregado'!#REF!,'Canjes desagregado'!#REF!,'Nuevo metod Cupón 2.0'!A102)</f>
        <v>#REF!</v>
      </c>
      <c r="I102" s="16" t="e">
        <f t="shared" si="18"/>
        <v>#REF!</v>
      </c>
      <c r="J102" s="10" t="e">
        <f>SUMIFS('Canjes desagregado'!#REF!,'Canjes desagregado'!#REF!,'Nuevo metod Cupón 2.0'!A102)</f>
        <v>#REF!</v>
      </c>
      <c r="K102" s="10" t="e">
        <f t="shared" si="14"/>
        <v>#REF!</v>
      </c>
      <c r="L102" s="10" t="e">
        <f>SUMIFS('Canjes desagregado'!#REF!,'Canjes desagregado'!#REF!,'Nuevo metod Cupón 2.0'!A102)</f>
        <v>#REF!</v>
      </c>
      <c r="M102" s="10" t="e">
        <f t="shared" si="19"/>
        <v>#REF!</v>
      </c>
      <c r="N102" s="11" t="e">
        <f t="shared" si="17"/>
        <v>#REF!</v>
      </c>
      <c r="O102" s="11" t="e">
        <f t="shared" si="25"/>
        <v>#REF!</v>
      </c>
      <c r="P102" s="17" t="e">
        <f t="shared" si="26"/>
        <v>#REF!</v>
      </c>
      <c r="Q102" s="17">
        <v>-6.1282000000000003E-2</v>
      </c>
      <c r="R102" s="17">
        <v>0.12033882142857143</v>
      </c>
      <c r="S102" s="17">
        <f>VLOOKUP(A102,'[4]Canjes por canasta'!A$3:S$84,15,FALSE)</f>
        <v>0.12391999999999999</v>
      </c>
      <c r="T102" s="41" t="e">
        <f t="shared" si="21"/>
        <v>#REF!</v>
      </c>
      <c r="U102" s="41" t="e">
        <f t="shared" si="22"/>
        <v>#REF!</v>
      </c>
      <c r="V102" s="41" t="str">
        <f t="shared" si="23"/>
        <v/>
      </c>
      <c r="W102" s="42" t="e">
        <f t="shared" si="24"/>
        <v>#REF!</v>
      </c>
      <c r="X102" s="12" t="e">
        <f>SUMIFS('Canjes desagregado'!#REF!,'Canjes desagregado'!#REF!,'Nuevo metod Cupón 2.0'!A102)</f>
        <v>#REF!</v>
      </c>
      <c r="Y102" s="12" t="e">
        <f>SUMIFS('Canjes desagregado'!#REF!,'Canjes desagregado'!#REF!,'Nuevo metod Cupón 2.0'!A102)</f>
        <v>#REF!</v>
      </c>
      <c r="Z102" s="12" t="e">
        <f>SUMIFS('Canjes desagregado'!#REF!,'Canjes desagregado'!#REF!,'Nuevo metod Cupón 2.0'!A102)</f>
        <v>#REF!</v>
      </c>
      <c r="AA102" s="12" t="e">
        <f>SUMIFS('Canjes desagregado'!#REF!,'Canjes desagregado'!#REF!,'Nuevo metod Cupón 2.0'!A102)</f>
        <v>#REF!</v>
      </c>
    </row>
    <row r="103" spans="1:27" ht="17.25" customHeight="1">
      <c r="A103" s="13">
        <v>98</v>
      </c>
      <c r="B103" s="7" t="s">
        <v>42</v>
      </c>
      <c r="C103" s="67" t="s">
        <v>136</v>
      </c>
      <c r="D103" s="39" t="e">
        <f>VLOOKUP(A103,'Canjes desagregado'!$B$2:$G$172,6,FALSE)</f>
        <v>#N/A</v>
      </c>
      <c r="E103" s="14" t="e">
        <f>VLOOKUP(A103,'Canjes desagregado'!$B$2:$C$172,2,FALSE)</f>
        <v>#N/A</v>
      </c>
      <c r="F103" s="15" t="e">
        <f>-SUMIFS('Canjes desagregado'!#REF!,'Canjes desagregado'!#REF!,'Nuevo metod Cupón 2.0'!A103,'Canjes desagregado'!#REF!,"Títulos Recogidos por la Nación")</f>
        <v>#REF!</v>
      </c>
      <c r="G103" s="9" t="e">
        <f>-SUMIFS('Canjes desagregado'!#REF!,'Canjes desagregado'!#REF!,'Nuevo metod Cupón 2.0'!A103)</f>
        <v>#REF!</v>
      </c>
      <c r="H103" s="9" t="e">
        <f>SUMIFS('Canjes desagregado'!#REF!,'Canjes desagregado'!#REF!,'Nuevo metod Cupón 2.0'!A103)</f>
        <v>#REF!</v>
      </c>
      <c r="I103" s="16" t="e">
        <f t="shared" si="18"/>
        <v>#REF!</v>
      </c>
      <c r="J103" s="10" t="e">
        <f>SUMIFS('Canjes desagregado'!#REF!,'Canjes desagregado'!#REF!,'Nuevo metod Cupón 2.0'!A103)</f>
        <v>#REF!</v>
      </c>
      <c r="K103" s="10" t="e">
        <f t="shared" si="14"/>
        <v>#REF!</v>
      </c>
      <c r="L103" s="10" t="e">
        <f>SUMIFS('Canjes desagregado'!#REF!,'Canjes desagregado'!#REF!,'Nuevo metod Cupón 2.0'!A103)</f>
        <v>#REF!</v>
      </c>
      <c r="M103" s="10" t="e">
        <f t="shared" si="19"/>
        <v>#REF!</v>
      </c>
      <c r="N103" s="11" t="e">
        <f t="shared" si="17"/>
        <v>#REF!</v>
      </c>
      <c r="O103" s="11" t="e">
        <f t="shared" si="25"/>
        <v>#REF!</v>
      </c>
      <c r="P103" s="17" t="e">
        <f t="shared" si="26"/>
        <v>#REF!</v>
      </c>
      <c r="Q103" s="17">
        <v>-6.1282000000000003E-2</v>
      </c>
      <c r="R103" s="17">
        <v>0.12033882142857143</v>
      </c>
      <c r="S103" s="17">
        <f>VLOOKUP(A103,'[4]Canjes por canasta'!A$3:S$84,15,FALSE)</f>
        <v>0.1232</v>
      </c>
      <c r="T103" s="41" t="e">
        <f t="shared" si="21"/>
        <v>#REF!</v>
      </c>
      <c r="U103" s="41" t="e">
        <f t="shared" si="22"/>
        <v>#REF!</v>
      </c>
      <c r="V103" s="41" t="str">
        <f t="shared" si="23"/>
        <v/>
      </c>
      <c r="W103" s="42" t="e">
        <f t="shared" si="24"/>
        <v>#REF!</v>
      </c>
      <c r="X103" s="12" t="e">
        <f>SUMIFS('Canjes desagregado'!#REF!,'Canjes desagregado'!#REF!,'Nuevo metod Cupón 2.0'!A103)</f>
        <v>#REF!</v>
      </c>
      <c r="Y103" s="12" t="e">
        <f>SUMIFS('Canjes desagregado'!#REF!,'Canjes desagregado'!#REF!,'Nuevo metod Cupón 2.0'!A103)</f>
        <v>#REF!</v>
      </c>
      <c r="Z103" s="12" t="e">
        <f>SUMIFS('Canjes desagregado'!#REF!,'Canjes desagregado'!#REF!,'Nuevo metod Cupón 2.0'!A103)</f>
        <v>#REF!</v>
      </c>
      <c r="AA103" s="12" t="e">
        <f>SUMIFS('Canjes desagregado'!#REF!,'Canjes desagregado'!#REF!,'Nuevo metod Cupón 2.0'!A103)</f>
        <v>#REF!</v>
      </c>
    </row>
    <row r="104" spans="1:27" ht="17.25" customHeight="1">
      <c r="A104" s="13">
        <v>99</v>
      </c>
      <c r="B104" s="7" t="s">
        <v>42</v>
      </c>
      <c r="C104" s="67" t="s">
        <v>137</v>
      </c>
      <c r="D104" s="39" t="e">
        <f>VLOOKUP(A104,'Canjes desagregado'!$B$2:$G$172,6,FALSE)</f>
        <v>#N/A</v>
      </c>
      <c r="E104" s="14" t="e">
        <f>VLOOKUP(A104,'Canjes desagregado'!$B$2:$C$172,2,FALSE)</f>
        <v>#N/A</v>
      </c>
      <c r="F104" s="15" t="e">
        <f>-SUMIFS('Canjes desagregado'!#REF!,'Canjes desagregado'!#REF!,'Nuevo metod Cupón 2.0'!A104,'Canjes desagregado'!#REF!,"Títulos Recogidos por la Nación")</f>
        <v>#REF!</v>
      </c>
      <c r="G104" s="9" t="e">
        <f>-SUMIFS('Canjes desagregado'!#REF!,'Canjes desagregado'!#REF!,'Nuevo metod Cupón 2.0'!A104)</f>
        <v>#REF!</v>
      </c>
      <c r="H104" s="9" t="e">
        <f>SUMIFS('Canjes desagregado'!#REF!,'Canjes desagregado'!#REF!,'Nuevo metod Cupón 2.0'!A104)</f>
        <v>#REF!</v>
      </c>
      <c r="I104" s="16" t="e">
        <f t="shared" si="18"/>
        <v>#REF!</v>
      </c>
      <c r="J104" s="10" t="e">
        <f>SUMIFS('Canjes desagregado'!#REF!,'Canjes desagregado'!#REF!,'Nuevo metod Cupón 2.0'!A104)</f>
        <v>#REF!</v>
      </c>
      <c r="K104" s="10" t="e">
        <f t="shared" si="14"/>
        <v>#REF!</v>
      </c>
      <c r="L104" s="10" t="e">
        <f>SUMIFS('Canjes desagregado'!#REF!,'Canjes desagregado'!#REF!,'Nuevo metod Cupón 2.0'!A104)</f>
        <v>#REF!</v>
      </c>
      <c r="M104" s="10" t="e">
        <f t="shared" si="19"/>
        <v>#REF!</v>
      </c>
      <c r="N104" s="11" t="e">
        <f t="shared" si="17"/>
        <v>#REF!</v>
      </c>
      <c r="O104" s="11" t="e">
        <f t="shared" si="25"/>
        <v>#REF!</v>
      </c>
      <c r="P104" s="17" t="e">
        <f t="shared" si="26"/>
        <v>#REF!</v>
      </c>
      <c r="Q104" s="17">
        <v>-6.1282000000000003E-2</v>
      </c>
      <c r="R104" s="17">
        <v>0.12033882142857143</v>
      </c>
      <c r="S104" s="17">
        <f>VLOOKUP(A104,'[4]Canjes por canasta'!A$3:S$84,15,FALSE)</f>
        <v>0.12254</v>
      </c>
      <c r="T104" s="41" t="e">
        <f t="shared" si="21"/>
        <v>#REF!</v>
      </c>
      <c r="U104" s="41" t="e">
        <f t="shared" si="22"/>
        <v>#REF!</v>
      </c>
      <c r="V104" s="41" t="str">
        <f t="shared" si="23"/>
        <v/>
      </c>
      <c r="W104" s="42" t="e">
        <f t="shared" si="24"/>
        <v>#REF!</v>
      </c>
      <c r="X104" s="12" t="e">
        <f>SUMIFS('Canjes desagregado'!#REF!,'Canjes desagregado'!#REF!,'Nuevo metod Cupón 2.0'!A104)</f>
        <v>#REF!</v>
      </c>
      <c r="Y104" s="12" t="e">
        <f>SUMIFS('Canjes desagregado'!#REF!,'Canjes desagregado'!#REF!,'Nuevo metod Cupón 2.0'!A104)</f>
        <v>#REF!</v>
      </c>
      <c r="Z104" s="12" t="e">
        <f>SUMIFS('Canjes desagregado'!#REF!,'Canjes desagregado'!#REF!,'Nuevo metod Cupón 2.0'!A104)</f>
        <v>#REF!</v>
      </c>
      <c r="AA104" s="12" t="e">
        <f>SUMIFS('Canjes desagregado'!#REF!,'Canjes desagregado'!#REF!,'Nuevo metod Cupón 2.0'!A104)</f>
        <v>#REF!</v>
      </c>
    </row>
    <row r="105" spans="1:27" ht="17.25" customHeight="1">
      <c r="A105" s="13">
        <v>100</v>
      </c>
      <c r="B105" s="7" t="s">
        <v>42</v>
      </c>
      <c r="C105" s="67" t="s">
        <v>138</v>
      </c>
      <c r="D105" s="39" t="e">
        <f>VLOOKUP(A105,'Canjes desagregado'!$B$2:$G$172,6,FALSE)</f>
        <v>#N/A</v>
      </c>
      <c r="E105" s="14" t="e">
        <f>VLOOKUP(A105,'Canjes desagregado'!$B$2:$C$172,2,FALSE)</f>
        <v>#N/A</v>
      </c>
      <c r="F105" s="15" t="e">
        <f>-SUMIFS('Canjes desagregado'!#REF!,'Canjes desagregado'!#REF!,'Nuevo metod Cupón 2.0'!A105,'Canjes desagregado'!#REF!,"Títulos Recogidos por la Nación")</f>
        <v>#REF!</v>
      </c>
      <c r="G105" s="9" t="e">
        <f>-SUMIFS('Canjes desagregado'!#REF!,'Canjes desagregado'!#REF!,'Nuevo metod Cupón 2.0'!A105)</f>
        <v>#REF!</v>
      </c>
      <c r="H105" s="9" t="e">
        <f>SUMIFS('Canjes desagregado'!#REF!,'Canjes desagregado'!#REF!,'Nuevo metod Cupón 2.0'!A105)</f>
        <v>#REF!</v>
      </c>
      <c r="I105" s="16" t="e">
        <f t="shared" si="18"/>
        <v>#REF!</v>
      </c>
      <c r="J105" s="10" t="e">
        <f>SUMIFS('Canjes desagregado'!#REF!,'Canjes desagregado'!#REF!,'Nuevo metod Cupón 2.0'!A105)</f>
        <v>#REF!</v>
      </c>
      <c r="K105" s="10" t="e">
        <f t="shared" si="14"/>
        <v>#REF!</v>
      </c>
      <c r="L105" s="10" t="e">
        <f>SUMIFS('Canjes desagregado'!#REF!,'Canjes desagregado'!#REF!,'Nuevo metod Cupón 2.0'!A105)</f>
        <v>#REF!</v>
      </c>
      <c r="M105" s="10" t="e">
        <f t="shared" si="19"/>
        <v>#REF!</v>
      </c>
      <c r="N105" s="11" t="e">
        <f t="shared" si="17"/>
        <v>#REF!</v>
      </c>
      <c r="O105" s="11" t="e">
        <f t="shared" si="25"/>
        <v>#REF!</v>
      </c>
      <c r="P105" s="17" t="e">
        <f t="shared" si="26"/>
        <v>#REF!</v>
      </c>
      <c r="Q105" s="17">
        <v>-6.1282000000000003E-2</v>
      </c>
      <c r="R105" s="17">
        <v>0.12033882142857143</v>
      </c>
      <c r="S105" s="17">
        <f>VLOOKUP(A105,'[4]Canjes por canasta'!A$3:S$84,15,FALSE)</f>
        <v>0.1202</v>
      </c>
      <c r="T105" s="41" t="e">
        <f t="shared" si="21"/>
        <v>#REF!</v>
      </c>
      <c r="U105" s="41" t="e">
        <f t="shared" si="22"/>
        <v>#REF!</v>
      </c>
      <c r="V105" s="41" t="str">
        <f t="shared" si="23"/>
        <v/>
      </c>
      <c r="W105" s="42" t="e">
        <f t="shared" si="24"/>
        <v>#REF!</v>
      </c>
      <c r="X105" s="12" t="e">
        <f>SUMIFS('Canjes desagregado'!#REF!,'Canjes desagregado'!#REF!,'Nuevo metod Cupón 2.0'!A105)</f>
        <v>#REF!</v>
      </c>
      <c r="Y105" s="12" t="e">
        <f>SUMIFS('Canjes desagregado'!#REF!,'Canjes desagregado'!#REF!,'Nuevo metod Cupón 2.0'!A105)</f>
        <v>#REF!</v>
      </c>
      <c r="Z105" s="12" t="e">
        <f>SUMIFS('Canjes desagregado'!#REF!,'Canjes desagregado'!#REF!,'Nuevo metod Cupón 2.0'!A105)</f>
        <v>#REF!</v>
      </c>
      <c r="AA105" s="12" t="e">
        <f>SUMIFS('Canjes desagregado'!#REF!,'Canjes desagregado'!#REF!,'Nuevo metod Cupón 2.0'!A105)</f>
        <v>#REF!</v>
      </c>
    </row>
    <row r="106" spans="1:27" ht="17.25" customHeight="1">
      <c r="A106" s="13">
        <v>101</v>
      </c>
      <c r="B106" s="7" t="s">
        <v>42</v>
      </c>
      <c r="C106" s="67" t="s">
        <v>139</v>
      </c>
      <c r="D106" s="39" t="e">
        <f>VLOOKUP(A106,'Canjes desagregado'!$B$2:$G$172,6,FALSE)</f>
        <v>#N/A</v>
      </c>
      <c r="E106" s="14" t="e">
        <f>VLOOKUP(A106,'Canjes desagregado'!$B$2:$C$172,2,FALSE)</f>
        <v>#N/A</v>
      </c>
      <c r="F106" s="15" t="e">
        <f>-SUMIFS('Canjes desagregado'!#REF!,'Canjes desagregado'!#REF!,'Nuevo metod Cupón 2.0'!A106,'Canjes desagregado'!#REF!,"Títulos Recogidos por la Nación")</f>
        <v>#REF!</v>
      </c>
      <c r="G106" s="9" t="e">
        <f>-SUMIFS('Canjes desagregado'!#REF!,'Canjes desagregado'!#REF!,'Nuevo metod Cupón 2.0'!A106)</f>
        <v>#REF!</v>
      </c>
      <c r="H106" s="9" t="e">
        <f>SUMIFS('Canjes desagregado'!#REF!,'Canjes desagregado'!#REF!,'Nuevo metod Cupón 2.0'!A106)</f>
        <v>#REF!</v>
      </c>
      <c r="I106" s="16" t="e">
        <f t="shared" si="18"/>
        <v>#REF!</v>
      </c>
      <c r="J106" s="10" t="e">
        <f>SUMIFS('Canjes desagregado'!#REF!,'Canjes desagregado'!#REF!,'Nuevo metod Cupón 2.0'!A106)</f>
        <v>#REF!</v>
      </c>
      <c r="K106" s="10" t="e">
        <f t="shared" si="14"/>
        <v>#REF!</v>
      </c>
      <c r="L106" s="10" t="e">
        <f>SUMIFS('Canjes desagregado'!#REF!,'Canjes desagregado'!#REF!,'Nuevo metod Cupón 2.0'!A106)</f>
        <v>#REF!</v>
      </c>
      <c r="M106" s="10" t="e">
        <f t="shared" si="19"/>
        <v>#REF!</v>
      </c>
      <c r="N106" s="11" t="e">
        <f t="shared" si="17"/>
        <v>#REF!</v>
      </c>
      <c r="O106" s="11" t="e">
        <f t="shared" si="25"/>
        <v>#REF!</v>
      </c>
      <c r="P106" s="17" t="e">
        <f t="shared" si="26"/>
        <v>#REF!</v>
      </c>
      <c r="Q106" s="17">
        <v>-7.1580000000000005E-2</v>
      </c>
      <c r="R106" s="17">
        <v>0.118234775974026</v>
      </c>
      <c r="S106" s="17">
        <f>VLOOKUP(A106,'[4]Canjes por canasta'!A$3:S$84,15,FALSE)</f>
        <v>0.11800000000000001</v>
      </c>
      <c r="T106" s="41" t="e">
        <f t="shared" si="21"/>
        <v>#REF!</v>
      </c>
      <c r="U106" s="41" t="e">
        <f t="shared" si="22"/>
        <v>#REF!</v>
      </c>
      <c r="V106" s="41" t="str">
        <f t="shared" si="23"/>
        <v/>
      </c>
      <c r="W106" s="42" t="e">
        <f t="shared" si="24"/>
        <v>#REF!</v>
      </c>
      <c r="X106" s="12" t="e">
        <f>SUMIFS('Canjes desagregado'!#REF!,'Canjes desagregado'!#REF!,'Nuevo metod Cupón 2.0'!A106)</f>
        <v>#REF!</v>
      </c>
      <c r="Y106" s="12" t="e">
        <f>SUMIFS('Canjes desagregado'!#REF!,'Canjes desagregado'!#REF!,'Nuevo metod Cupón 2.0'!A106)</f>
        <v>#REF!</v>
      </c>
      <c r="Z106" s="12" t="e">
        <f>SUMIFS('Canjes desagregado'!#REF!,'Canjes desagregado'!#REF!,'Nuevo metod Cupón 2.0'!A106)</f>
        <v>#REF!</v>
      </c>
      <c r="AA106" s="12" t="e">
        <f>SUMIFS('Canjes desagregado'!#REF!,'Canjes desagregado'!#REF!,'Nuevo metod Cupón 2.0'!A106)</f>
        <v>#REF!</v>
      </c>
    </row>
    <row r="107" spans="1:27" ht="17.25" customHeight="1">
      <c r="A107" s="13">
        <v>102</v>
      </c>
      <c r="B107" s="7" t="s">
        <v>42</v>
      </c>
      <c r="C107" s="67" t="s">
        <v>140</v>
      </c>
      <c r="D107" s="39" t="e">
        <f>VLOOKUP(A107,'Canjes desagregado'!$B$2:$G$172,6,FALSE)</f>
        <v>#N/A</v>
      </c>
      <c r="E107" s="14" t="e">
        <f>VLOOKUP(A107,'Canjes desagregado'!$B$2:$C$172,2,FALSE)</f>
        <v>#N/A</v>
      </c>
      <c r="F107" s="15" t="e">
        <f>-SUMIFS('Canjes desagregado'!#REF!,'Canjes desagregado'!#REF!,'Nuevo metod Cupón 2.0'!A107,'Canjes desagregado'!#REF!,"Títulos Recogidos por la Nación")</f>
        <v>#REF!</v>
      </c>
      <c r="G107" s="9" t="e">
        <f>-SUMIFS('Canjes desagregado'!#REF!,'Canjes desagregado'!#REF!,'Nuevo metod Cupón 2.0'!A107)</f>
        <v>#REF!</v>
      </c>
      <c r="H107" s="9" t="e">
        <f>SUMIFS('Canjes desagregado'!#REF!,'Canjes desagregado'!#REF!,'Nuevo metod Cupón 2.0'!A107)</f>
        <v>#REF!</v>
      </c>
      <c r="I107" s="16" t="e">
        <f t="shared" si="18"/>
        <v>#REF!</v>
      </c>
      <c r="J107" s="10" t="e">
        <f>SUMIFS('Canjes desagregado'!#REF!,'Canjes desagregado'!#REF!,'Nuevo metod Cupón 2.0'!A107)</f>
        <v>#REF!</v>
      </c>
      <c r="K107" s="10" t="e">
        <f t="shared" si="14"/>
        <v>#REF!</v>
      </c>
      <c r="L107" s="10" t="e">
        <f>SUMIFS('Canjes desagregado'!#REF!,'Canjes desagregado'!#REF!,'Nuevo metod Cupón 2.0'!A107)</f>
        <v>#REF!</v>
      </c>
      <c r="M107" s="10" t="e">
        <f t="shared" si="19"/>
        <v>#REF!</v>
      </c>
      <c r="N107" s="11" t="e">
        <f t="shared" si="17"/>
        <v>#REF!</v>
      </c>
      <c r="O107" s="11" t="e">
        <f t="shared" si="25"/>
        <v>#REF!</v>
      </c>
      <c r="P107" s="17" t="e">
        <f t="shared" si="26"/>
        <v>#REF!</v>
      </c>
      <c r="Q107" s="17">
        <v>-7.1580000000000005E-2</v>
      </c>
      <c r="R107" s="17">
        <v>0.118234775974026</v>
      </c>
      <c r="S107" s="17">
        <f>VLOOKUP(A107,'[4]Canjes por canasta'!A$3:S$84,15,FALSE)</f>
        <v>0.1166</v>
      </c>
      <c r="T107" s="41" t="e">
        <f t="shared" si="21"/>
        <v>#REF!</v>
      </c>
      <c r="U107" s="41" t="e">
        <f t="shared" si="22"/>
        <v>#REF!</v>
      </c>
      <c r="V107" s="41" t="str">
        <f t="shared" si="23"/>
        <v/>
      </c>
      <c r="W107" s="42" t="e">
        <f t="shared" si="24"/>
        <v>#REF!</v>
      </c>
      <c r="X107" s="12" t="e">
        <f>SUMIFS('Canjes desagregado'!#REF!,'Canjes desagregado'!#REF!,'Nuevo metod Cupón 2.0'!A107)</f>
        <v>#REF!</v>
      </c>
      <c r="Y107" s="12" t="e">
        <f>SUMIFS('Canjes desagregado'!#REF!,'Canjes desagregado'!#REF!,'Nuevo metod Cupón 2.0'!A107)</f>
        <v>#REF!</v>
      </c>
      <c r="Z107" s="12" t="e">
        <f>SUMIFS('Canjes desagregado'!#REF!,'Canjes desagregado'!#REF!,'Nuevo metod Cupón 2.0'!A107)</f>
        <v>#REF!</v>
      </c>
      <c r="AA107" s="12" t="e">
        <f>SUMIFS('Canjes desagregado'!#REF!,'Canjes desagregado'!#REF!,'Nuevo metod Cupón 2.0'!A107)</f>
        <v>#REF!</v>
      </c>
    </row>
    <row r="108" spans="1:27" ht="17.25" customHeight="1">
      <c r="A108" s="13">
        <v>103</v>
      </c>
      <c r="B108" s="7" t="s">
        <v>42</v>
      </c>
      <c r="C108" s="67" t="s">
        <v>141</v>
      </c>
      <c r="D108" s="39" t="e">
        <f>VLOOKUP(A108,'Canjes desagregado'!$B$2:$G$172,6,FALSE)</f>
        <v>#N/A</v>
      </c>
      <c r="E108" s="14" t="e">
        <f>VLOOKUP(A108,'Canjes desagregado'!$B$2:$C$172,2,FALSE)</f>
        <v>#N/A</v>
      </c>
      <c r="F108" s="15" t="e">
        <f>-SUMIFS('Canjes desagregado'!#REF!,'Canjes desagregado'!#REF!,'Nuevo metod Cupón 2.0'!A108,'Canjes desagregado'!#REF!,"Títulos Recogidos por la Nación")</f>
        <v>#REF!</v>
      </c>
      <c r="G108" s="9" t="e">
        <f>-SUMIFS('Canjes desagregado'!#REF!,'Canjes desagregado'!#REF!,'Nuevo metod Cupón 2.0'!A108)</f>
        <v>#REF!</v>
      </c>
      <c r="H108" s="9" t="e">
        <f>SUMIFS('Canjes desagregado'!#REF!,'Canjes desagregado'!#REF!,'Nuevo metod Cupón 2.0'!A108)</f>
        <v>#REF!</v>
      </c>
      <c r="I108" s="16" t="e">
        <f t="shared" si="18"/>
        <v>#REF!</v>
      </c>
      <c r="J108" s="10" t="e">
        <f>SUMIFS('Canjes desagregado'!#REF!,'Canjes desagregado'!#REF!,'Nuevo metod Cupón 2.0'!A108)</f>
        <v>#REF!</v>
      </c>
      <c r="K108" s="10" t="e">
        <f t="shared" ref="K108:K111" si="27">J108+H108+G108</f>
        <v>#REF!</v>
      </c>
      <c r="L108" s="10" t="e">
        <f>SUMIFS('Canjes desagregado'!#REF!,'Canjes desagregado'!#REF!,'Nuevo metod Cupón 2.0'!A108)</f>
        <v>#REF!</v>
      </c>
      <c r="M108" s="10" t="e">
        <f t="shared" si="19"/>
        <v>#REF!</v>
      </c>
      <c r="N108" s="11" t="e">
        <f t="shared" si="17"/>
        <v>#REF!</v>
      </c>
      <c r="O108" s="11" t="e">
        <f t="shared" si="25"/>
        <v>#REF!</v>
      </c>
      <c r="P108" s="17" t="e">
        <f t="shared" si="26"/>
        <v>#REF!</v>
      </c>
      <c r="Q108" s="17">
        <v>-7.8399999999999997E-2</v>
      </c>
      <c r="R108" s="17">
        <v>0.1166</v>
      </c>
      <c r="S108" s="17">
        <f>VLOOKUP(A108,'[4]Canjes por canasta'!A$3:S$84,15,FALSE)</f>
        <v>0.11800000000000001</v>
      </c>
      <c r="T108" s="41" t="e">
        <f t="shared" si="21"/>
        <v>#REF!</v>
      </c>
      <c r="U108" s="41" t="e">
        <f t="shared" si="22"/>
        <v>#REF!</v>
      </c>
      <c r="V108" s="41" t="str">
        <f t="shared" si="23"/>
        <v/>
      </c>
      <c r="W108" s="42" t="e">
        <f t="shared" si="24"/>
        <v>#REF!</v>
      </c>
      <c r="X108" s="12" t="e">
        <f>SUMIFS('Canjes desagregado'!#REF!,'Canjes desagregado'!#REF!,'Nuevo metod Cupón 2.0'!A108)</f>
        <v>#REF!</v>
      </c>
      <c r="Y108" s="12" t="e">
        <f>SUMIFS('Canjes desagregado'!#REF!,'Canjes desagregado'!#REF!,'Nuevo metod Cupón 2.0'!A108)</f>
        <v>#REF!</v>
      </c>
      <c r="Z108" s="12" t="e">
        <f>SUMIFS('Canjes desagregado'!#REF!,'Canjes desagregado'!#REF!,'Nuevo metod Cupón 2.0'!A108)</f>
        <v>#REF!</v>
      </c>
      <c r="AA108" s="12" t="e">
        <f>SUMIFS('Canjes desagregado'!#REF!,'Canjes desagregado'!#REF!,'Nuevo metod Cupón 2.0'!A108)</f>
        <v>#REF!</v>
      </c>
    </row>
    <row r="109" spans="1:27" ht="17.25" customHeight="1">
      <c r="A109" s="13">
        <v>104</v>
      </c>
      <c r="B109" s="7" t="s">
        <v>42</v>
      </c>
      <c r="C109" s="67" t="s">
        <v>142</v>
      </c>
      <c r="D109" s="39" t="s">
        <v>4</v>
      </c>
      <c r="E109" s="14">
        <v>45027</v>
      </c>
      <c r="F109" s="15" t="e">
        <f>-SUMIFS('Canjes desagregado'!#REF!,'Canjes desagregado'!#REF!,'Nuevo metod Cupón 2.0'!A109,'Canjes desagregado'!#REF!,"Títulos Recogidos por la Nación")</f>
        <v>#REF!</v>
      </c>
      <c r="G109" s="9" t="e">
        <f>-SUMIFS('Canjes desagregado'!#REF!,'Canjes desagregado'!#REF!,'Nuevo metod Cupón 2.0'!A109)</f>
        <v>#REF!</v>
      </c>
      <c r="H109" s="9" t="e">
        <f>SUMIFS('Canjes desagregado'!#REF!,'Canjes desagregado'!#REF!,'Nuevo metod Cupón 2.0'!A109)</f>
        <v>#REF!</v>
      </c>
      <c r="I109" s="16" t="e">
        <f>H109+G109</f>
        <v>#REF!</v>
      </c>
      <c r="J109" s="10" t="e">
        <f>SUMIFS('Canjes desagregado'!#REF!,'Canjes desagregado'!#REF!,'Nuevo metod Cupón 2.0'!A109)</f>
        <v>#REF!</v>
      </c>
      <c r="K109" s="10" t="e">
        <f t="shared" si="27"/>
        <v>#REF!</v>
      </c>
      <c r="L109" s="10" t="e">
        <f>SUMIFS('Canjes desagregado'!#REF!,'Canjes desagregado'!#REF!,'Nuevo metod Cupón 2.0'!A109)</f>
        <v>#REF!</v>
      </c>
      <c r="M109" s="10" t="e">
        <f>L109+K109</f>
        <v>#REF!</v>
      </c>
      <c r="N109" s="11" t="e">
        <f t="shared" si="17"/>
        <v>#REF!</v>
      </c>
      <c r="O109" s="11" t="e">
        <f>K109/F109</f>
        <v>#REF!</v>
      </c>
      <c r="P109" s="17" t="e">
        <f t="shared" si="26"/>
        <v>#REF!</v>
      </c>
      <c r="Q109" s="17">
        <v>-7.8399999999999997E-2</v>
      </c>
      <c r="R109" s="17">
        <v>0.1166</v>
      </c>
      <c r="S109" s="17">
        <f>VLOOKUP(A109,'[4]Canjes por canasta cupón origin'!A$3:S$100006,15,FALSE)</f>
        <v>0.11960000000000001</v>
      </c>
      <c r="T109" s="41" t="e">
        <f>G109+H109+J109+L109</f>
        <v>#REF!</v>
      </c>
      <c r="U109" s="41" t="e">
        <f t="shared" si="22"/>
        <v>#REF!</v>
      </c>
      <c r="V109" s="41" t="str">
        <f t="shared" si="23"/>
        <v/>
      </c>
      <c r="W109" s="42" t="e">
        <f>(G109+H109+J109+L109)/F109</f>
        <v>#REF!</v>
      </c>
      <c r="X109" s="12" t="e">
        <f>SUMIFS('Canjes desagregado'!#REF!,'Canjes desagregado'!#REF!,'Nuevo metod Cupón 2.0'!A109)</f>
        <v>#REF!</v>
      </c>
      <c r="Y109" s="12" t="e">
        <f>SUMIFS('Canjes desagregado'!#REF!,'Canjes desagregado'!#REF!,'Nuevo metod Cupón 2.0'!A109)</f>
        <v>#REF!</v>
      </c>
      <c r="Z109" s="12" t="e">
        <f>SUMIFS('Canjes desagregado'!#REF!,'Canjes desagregado'!#REF!,'Nuevo metod Cupón 2.0'!A109)</f>
        <v>#REF!</v>
      </c>
      <c r="AA109" s="12" t="e">
        <f>SUMIFS('Canjes desagregado'!#REF!,'Canjes desagregado'!#REF!,'Nuevo metod Cupón 2.0'!A109)</f>
        <v>#REF!</v>
      </c>
    </row>
    <row r="110" spans="1:27" ht="17.25" customHeight="1">
      <c r="A110" s="13">
        <v>105</v>
      </c>
      <c r="B110" s="7" t="s">
        <v>42</v>
      </c>
      <c r="C110" s="67" t="s">
        <v>143</v>
      </c>
      <c r="D110" s="39" t="s">
        <v>4</v>
      </c>
      <c r="E110" s="14">
        <v>45028</v>
      </c>
      <c r="F110" s="15" t="e">
        <f>-SUMIFS('Canjes desagregado'!#REF!,'Canjes desagregado'!#REF!,'Nuevo metod Cupón 2.0'!A110,'Canjes desagregado'!#REF!,"Títulos Recogidos por la Nación")</f>
        <v>#REF!</v>
      </c>
      <c r="G110" s="9" t="e">
        <f>-SUMIFS('Canjes desagregado'!#REF!,'Canjes desagregado'!#REF!,'Nuevo metod Cupón 2.0'!A110)</f>
        <v>#REF!</v>
      </c>
      <c r="H110" s="9" t="e">
        <f>SUMIFS('Canjes desagregado'!#REF!,'Canjes desagregado'!#REF!,'Nuevo metod Cupón 2.0'!A110)</f>
        <v>#REF!</v>
      </c>
      <c r="I110" s="16" t="e">
        <f>H110+G110</f>
        <v>#REF!</v>
      </c>
      <c r="J110" s="10" t="e">
        <f>SUMIFS('Canjes desagregado'!#REF!,'Canjes desagregado'!#REF!,'Nuevo metod Cupón 2.0'!A110)</f>
        <v>#REF!</v>
      </c>
      <c r="K110" s="10" t="e">
        <f>J110+H110+G110</f>
        <v>#REF!</v>
      </c>
      <c r="L110" s="10" t="e">
        <f>SUMIFS('Canjes desagregado'!#REF!,'Canjes desagregado'!#REF!,'Nuevo metod Cupón 2.0'!A110)</f>
        <v>#REF!</v>
      </c>
      <c r="M110" s="10" t="e">
        <f>L110+K110</f>
        <v>#REF!</v>
      </c>
      <c r="N110" s="11" t="e">
        <f>+I110/F110</f>
        <v>#REF!</v>
      </c>
      <c r="O110" s="11" t="e">
        <f>K110/F110</f>
        <v>#REF!</v>
      </c>
      <c r="P110" s="17" t="e">
        <f t="shared" si="26"/>
        <v>#REF!</v>
      </c>
      <c r="Q110" s="17">
        <v>-7.8399999999999997E-2</v>
      </c>
      <c r="R110" s="17">
        <v>0.1166</v>
      </c>
      <c r="S110" s="17">
        <f>VLOOKUP(A110,'[4]Canjes por canasta cupón origin'!A$3:S$100006,15,FALSE)</f>
        <v>0.1179</v>
      </c>
      <c r="T110" s="41" t="e">
        <f>G110+H110+J110+L110</f>
        <v>#REF!</v>
      </c>
      <c r="U110" s="41" t="e">
        <f t="shared" si="22"/>
        <v>#REF!</v>
      </c>
      <c r="V110" s="41" t="str">
        <f t="shared" si="23"/>
        <v/>
      </c>
      <c r="W110" s="42" t="e">
        <f>(G110+H110+J110+L110)/F110</f>
        <v>#REF!</v>
      </c>
      <c r="X110" s="12" t="e">
        <f>SUMIFS('Canjes desagregado'!#REF!,'Canjes desagregado'!#REF!,'Nuevo metod Cupón 2.0'!A110)</f>
        <v>#REF!</v>
      </c>
      <c r="Y110" s="12" t="e">
        <f>SUMIFS('Canjes desagregado'!#REF!,'Canjes desagregado'!#REF!,'Nuevo metod Cupón 2.0'!A110)</f>
        <v>#REF!</v>
      </c>
      <c r="Z110" s="12" t="e">
        <f>SUMIFS('Canjes desagregado'!#REF!,'Canjes desagregado'!#REF!,'Nuevo metod Cupón 2.0'!A110)</f>
        <v>#REF!</v>
      </c>
      <c r="AA110" s="12" t="e">
        <f>SUMIFS('Canjes desagregado'!#REF!,'Canjes desagregado'!#REF!,'Nuevo metod Cupón 2.0'!A110)</f>
        <v>#REF!</v>
      </c>
    </row>
    <row r="111" spans="1:27" ht="17.25" customHeight="1">
      <c r="A111" s="13">
        <v>106</v>
      </c>
      <c r="B111" s="7" t="s">
        <v>42</v>
      </c>
      <c r="C111" s="67" t="s">
        <v>144</v>
      </c>
      <c r="D111" s="39" t="s">
        <v>4</v>
      </c>
      <c r="E111" s="14">
        <v>45035</v>
      </c>
      <c r="F111" s="15" t="e">
        <f>-SUMIFS('Canjes desagregado'!#REF!,'Canjes desagregado'!#REF!,'Nuevo metod Cupón 2.0'!A111,'Canjes desagregado'!#REF!,"Títulos Recogidos por la Nación")</f>
        <v>#REF!</v>
      </c>
      <c r="G111" s="9" t="e">
        <f>-SUMIFS('Canjes desagregado'!#REF!,'Canjes desagregado'!#REF!,'Nuevo metod Cupón 2.0'!A111)</f>
        <v>#REF!</v>
      </c>
      <c r="H111" s="9" t="e">
        <f>SUMIFS('Canjes desagregado'!#REF!,'Canjes desagregado'!#REF!,'Nuevo metod Cupón 2.0'!A111)</f>
        <v>#REF!</v>
      </c>
      <c r="I111" s="16" t="e">
        <f>H111+G111</f>
        <v>#REF!</v>
      </c>
      <c r="J111" s="10" t="e">
        <f>SUMIFS('Canjes desagregado'!#REF!,'Canjes desagregado'!#REF!,'Nuevo metod Cupón 2.0'!A111)</f>
        <v>#REF!</v>
      </c>
      <c r="K111" s="10" t="e">
        <f t="shared" si="27"/>
        <v>#REF!</v>
      </c>
      <c r="L111" s="10" t="e">
        <f>SUMIFS('Canjes desagregado'!#REF!,'Canjes desagregado'!#REF!,'Nuevo metod Cupón 2.0'!A111)</f>
        <v>#REF!</v>
      </c>
      <c r="M111" s="10" t="e">
        <f>L111+K111</f>
        <v>#REF!</v>
      </c>
      <c r="N111" s="11" t="e">
        <f>+I111/F111</f>
        <v>#REF!</v>
      </c>
      <c r="O111" s="11" t="e">
        <f>K111/F111</f>
        <v>#REF!</v>
      </c>
      <c r="P111" s="17" t="e">
        <f t="shared" si="26"/>
        <v>#REF!</v>
      </c>
      <c r="Q111" s="17">
        <v>-7.8399999999999997E-2</v>
      </c>
      <c r="R111" s="17">
        <v>0.1166</v>
      </c>
      <c r="S111" s="17">
        <f>VLOOKUP(A111,'[4]Canjes por canasta cupón origin'!A$3:S$100006,15,FALSE)</f>
        <v>0.1164</v>
      </c>
      <c r="T111" s="41" t="e">
        <f>G111+H111+J111+L111</f>
        <v>#REF!</v>
      </c>
      <c r="U111" s="41" t="e">
        <f t="shared" si="22"/>
        <v>#REF!</v>
      </c>
      <c r="V111" s="41" t="str">
        <f t="shared" si="23"/>
        <v/>
      </c>
      <c r="W111" s="42" t="e">
        <f>(G111+H111+J111+L111)/F111</f>
        <v>#REF!</v>
      </c>
      <c r="X111" s="12" t="e">
        <f>SUMIFS('Canjes desagregado'!#REF!,'Canjes desagregado'!#REF!,'Nuevo metod Cupón 2.0'!A111)</f>
        <v>#REF!</v>
      </c>
      <c r="Y111" s="12" t="e">
        <f>SUMIFS('Canjes desagregado'!#REF!,'Canjes desagregado'!#REF!,'Nuevo metod Cupón 2.0'!A111)</f>
        <v>#REF!</v>
      </c>
      <c r="Z111" s="12" t="e">
        <f>SUMIFS('Canjes desagregado'!#REF!,'Canjes desagregado'!#REF!,'Nuevo metod Cupón 2.0'!A111)</f>
        <v>#REF!</v>
      </c>
      <c r="AA111" s="12" t="e">
        <f>SUMIFS('Canjes desagregado'!#REF!,'Canjes desagregado'!#REF!,'Nuevo metod Cupón 2.0'!A111)</f>
        <v>#REF!</v>
      </c>
    </row>
    <row r="112" spans="1:27" ht="17.25" customHeight="1">
      <c r="A112" s="13">
        <v>107</v>
      </c>
      <c r="B112" s="7" t="s">
        <v>42</v>
      </c>
      <c r="C112" s="67" t="s">
        <v>159</v>
      </c>
      <c r="D112" s="39" t="s">
        <v>4</v>
      </c>
      <c r="E112" s="14">
        <v>45030</v>
      </c>
      <c r="F112" s="15" t="e">
        <f>-SUMIFS('Canjes desagregado'!#REF!,'Canjes desagregado'!#REF!,'Nuevo metod Cupón 2.0'!A112,'Canjes desagregado'!#REF!,"Títulos Recogidos por la Nación")</f>
        <v>#REF!</v>
      </c>
      <c r="G112" s="9" t="e">
        <f>-SUMIFS('Canjes desagregado'!#REF!,'Canjes desagregado'!#REF!,'Nuevo metod Cupón 2.0'!A112)</f>
        <v>#REF!</v>
      </c>
      <c r="H112" s="9" t="e">
        <f>SUMIFS('Canjes desagregado'!#REF!,'Canjes desagregado'!#REF!,'Nuevo metod Cupón 2.0'!A112)</f>
        <v>#REF!</v>
      </c>
      <c r="I112" s="16" t="e">
        <f>H112+G112</f>
        <v>#REF!</v>
      </c>
      <c r="J112" s="10" t="e">
        <f>SUMIFS('Canjes desagregado'!#REF!,'Canjes desagregado'!#REF!,'Nuevo metod Cupón 2.0'!A112)</f>
        <v>#REF!</v>
      </c>
      <c r="K112" s="10" t="e">
        <f>J112+H112+G112</f>
        <v>#REF!</v>
      </c>
      <c r="L112" s="10" t="e">
        <f>SUMIFS('Canjes desagregado'!#REF!,'Canjes desagregado'!#REF!,'Nuevo metod Cupón 2.0'!A112)</f>
        <v>#REF!</v>
      </c>
      <c r="M112" s="10" t="e">
        <f>L112+K112</f>
        <v>#REF!</v>
      </c>
      <c r="N112" s="11" t="e">
        <f>+I112/F112</f>
        <v>#REF!</v>
      </c>
      <c r="O112" s="11" t="e">
        <f>K112/F112</f>
        <v>#REF!</v>
      </c>
      <c r="P112" s="17" t="e">
        <f>+F112/$F$115</f>
        <v>#REF!</v>
      </c>
      <c r="Q112" s="17">
        <v>-7.8399999999999997E-2</v>
      </c>
      <c r="R112" s="17"/>
      <c r="S112" s="17">
        <f>VLOOKUP(A112,'[4]Canjes por canasta cupón origin'!A$3:S$100006,15,FALSE)</f>
        <v>0.11753999999999999</v>
      </c>
      <c r="T112" s="41" t="e">
        <f>G112+H112+J112+L112</f>
        <v>#REF!</v>
      </c>
      <c r="U112" s="41" t="e">
        <f>IF(B112="Tesorería",T112,"")</f>
        <v>#REF!</v>
      </c>
      <c r="V112" s="41" t="str">
        <f>IF(B112="Tesorería","",T112)</f>
        <v/>
      </c>
      <c r="W112" s="42" t="e">
        <f>(G112+H112+J112+L112)/F112</f>
        <v>#REF!</v>
      </c>
      <c r="X112" s="12" t="e">
        <f>SUMIFS('Canjes desagregado'!#REF!,'Canjes desagregado'!#REF!,'Nuevo metod Cupón 2.0'!A112)</f>
        <v>#REF!</v>
      </c>
      <c r="Y112" s="12" t="e">
        <f>SUMIFS('Canjes desagregado'!#REF!,'Canjes desagregado'!#REF!,'Nuevo metod Cupón 2.0'!A112)</f>
        <v>#REF!</v>
      </c>
      <c r="Z112" s="12" t="e">
        <f>SUMIFS('Canjes desagregado'!#REF!,'Canjes desagregado'!#REF!,'Nuevo metod Cupón 2.0'!A112)</f>
        <v>#REF!</v>
      </c>
      <c r="AA112" s="12" t="e">
        <f>SUMIFS('Canjes desagregado'!#REF!,'Canjes desagregado'!#REF!,'Nuevo metod Cupón 2.0'!A112)</f>
        <v>#REF!</v>
      </c>
    </row>
    <row r="113" spans="1:27" ht="17.25" customHeight="1">
      <c r="A113" s="13">
        <v>108</v>
      </c>
      <c r="B113" s="7" t="s">
        <v>42</v>
      </c>
      <c r="C113" s="67" t="s">
        <v>160</v>
      </c>
      <c r="D113" s="39" t="s">
        <v>4</v>
      </c>
      <c r="E113" s="14">
        <v>45035</v>
      </c>
      <c r="F113" s="15" t="e">
        <f>-SUMIFS('Canjes desagregado'!#REF!,'Canjes desagregado'!#REF!,'Nuevo metod Cupón 2.0'!A113,'Canjes desagregado'!#REF!,"Títulos Recogidos por la Nación")</f>
        <v>#REF!</v>
      </c>
      <c r="G113" s="9" t="e">
        <f>-SUMIFS('Canjes desagregado'!#REF!,'Canjes desagregado'!#REF!,'Nuevo metod Cupón 2.0'!A113)</f>
        <v>#REF!</v>
      </c>
      <c r="H113" s="9" t="e">
        <f>SUMIFS('Canjes desagregado'!#REF!,'Canjes desagregado'!#REF!,'Nuevo metod Cupón 2.0'!A113)</f>
        <v>#REF!</v>
      </c>
      <c r="I113" s="16" t="e">
        <f>H113+G113</f>
        <v>#REF!</v>
      </c>
      <c r="J113" s="10" t="e">
        <f>SUMIFS('Canjes desagregado'!#REF!,'Canjes desagregado'!#REF!,'Nuevo metod Cupón 2.0'!A113)</f>
        <v>#REF!</v>
      </c>
      <c r="K113" s="10" t="e">
        <f>J113+H113+G113</f>
        <v>#REF!</v>
      </c>
      <c r="L113" s="10" t="e">
        <f>SUMIFS('Canjes desagregado'!#REF!,'Canjes desagregado'!#REF!,'Nuevo metod Cupón 2.0'!A113)</f>
        <v>#REF!</v>
      </c>
      <c r="M113" s="10" t="e">
        <f>L113+K113</f>
        <v>#REF!</v>
      </c>
      <c r="N113" s="11" t="e">
        <f>+I113/F113</f>
        <v>#REF!</v>
      </c>
      <c r="O113" s="11" t="e">
        <f>K113/F113</f>
        <v>#REF!</v>
      </c>
      <c r="P113" s="17" t="e">
        <f>+F113/$F$115</f>
        <v>#REF!</v>
      </c>
      <c r="Q113" s="17"/>
      <c r="R113" s="17"/>
      <c r="S113" s="17">
        <f>VLOOKUP(A113,'[4]Canjes por canasta cupón origin'!A$3:S$100006,15,FALSE)</f>
        <v>0.11743000000000001</v>
      </c>
      <c r="T113" s="41" t="e">
        <f>G113+H113+J113+L113</f>
        <v>#REF!</v>
      </c>
      <c r="U113" s="41" t="e">
        <f>IF(B113="Tesorería",T113,"")</f>
        <v>#REF!</v>
      </c>
      <c r="V113" s="41" t="str">
        <f>IF(B113="Tesorería","",T113)</f>
        <v/>
      </c>
      <c r="W113" s="42" t="e">
        <f>(G113+H113+J113+L113)/F113</f>
        <v>#REF!</v>
      </c>
      <c r="X113" s="12" t="e">
        <f>SUMIFS('Canjes desagregado'!#REF!,'Canjes desagregado'!#REF!,'Nuevo metod Cupón 2.0'!A113)</f>
        <v>#REF!</v>
      </c>
      <c r="Y113" s="12" t="e">
        <f>SUMIFS('Canjes desagregado'!#REF!,'Canjes desagregado'!#REF!,'Nuevo metod Cupón 2.0'!A113)</f>
        <v>#REF!</v>
      </c>
      <c r="Z113" s="12" t="e">
        <f>SUMIFS('Canjes desagregado'!#REF!,'Canjes desagregado'!#REF!,'Nuevo metod Cupón 2.0'!A113)</f>
        <v>#REF!</v>
      </c>
      <c r="AA113" s="12" t="e">
        <f>SUMIFS('Canjes desagregado'!#REF!,'Canjes desagregado'!#REF!,'Nuevo metod Cupón 2.0'!A113)</f>
        <v>#REF!</v>
      </c>
    </row>
    <row r="114" spans="1:27" ht="13.5" customHeight="1">
      <c r="A114" s="1"/>
      <c r="B114" s="1"/>
      <c r="C114" s="1"/>
      <c r="D114" s="1"/>
      <c r="E114" s="105">
        <v>2022</v>
      </c>
      <c r="F114" s="18" t="e">
        <f>SUM(F6:F99)</f>
        <v>#REF!</v>
      </c>
      <c r="G114" s="18"/>
      <c r="H114" s="18"/>
      <c r="I114" s="18" t="s">
        <v>145</v>
      </c>
      <c r="J114" s="18"/>
      <c r="K114" s="18"/>
      <c r="L114" s="18"/>
      <c r="M114" s="18"/>
      <c r="N114" s="19" t="e">
        <f>AVERAGE(N10:N28)</f>
        <v>#REF!</v>
      </c>
      <c r="O114" s="19"/>
      <c r="P114" s="4"/>
      <c r="Q114" s="4"/>
      <c r="R114" s="4"/>
      <c r="S114" s="4"/>
      <c r="T114" s="4"/>
      <c r="U114" s="4"/>
      <c r="V114" s="4"/>
      <c r="W114" s="4"/>
      <c r="X114" s="12"/>
      <c r="Y114" s="12"/>
      <c r="Z114" s="12"/>
      <c r="AA114" s="12"/>
    </row>
    <row r="115" spans="1:27" ht="13.5" customHeight="1">
      <c r="A115" s="1"/>
      <c r="B115" s="1"/>
      <c r="C115" s="1"/>
      <c r="D115" s="1"/>
      <c r="E115" s="105">
        <v>2023</v>
      </c>
      <c r="F115" s="18" t="e">
        <f>SUM(F100:F112)</f>
        <v>#REF!</v>
      </c>
      <c r="G115" s="18"/>
      <c r="H115" s="18"/>
      <c r="I115" s="18" t="e">
        <f>SUM(I100:I108)</f>
        <v>#REF!</v>
      </c>
      <c r="J115" s="18"/>
      <c r="K115" s="18"/>
      <c r="L115" s="18"/>
      <c r="M115" s="18"/>
      <c r="N115" s="19"/>
      <c r="O115" s="19"/>
      <c r="P115" s="4"/>
      <c r="Q115" s="4"/>
      <c r="R115" s="4"/>
      <c r="S115" s="4"/>
      <c r="T115" s="4"/>
      <c r="U115" s="4"/>
      <c r="V115" s="4"/>
      <c r="W115" s="4"/>
    </row>
    <row r="116" spans="1:27">
      <c r="A116" s="20"/>
      <c r="B116" s="20"/>
      <c r="C116" s="20"/>
      <c r="D116" s="20"/>
      <c r="E116" s="21"/>
      <c r="F116" s="22"/>
      <c r="G116" s="23"/>
      <c r="H116" s="23"/>
      <c r="I116" s="24"/>
      <c r="J116" s="24"/>
      <c r="K116" s="24"/>
      <c r="L116" s="24"/>
      <c r="M116" s="24"/>
      <c r="N116" s="25"/>
      <c r="O116" s="25"/>
      <c r="P116" s="26"/>
      <c r="Q116" s="26"/>
      <c r="R116" s="26"/>
      <c r="S116" s="26"/>
      <c r="T116" s="26"/>
      <c r="U116" s="26"/>
      <c r="V116" s="26"/>
      <c r="W116" s="26"/>
    </row>
    <row r="117" spans="1:27">
      <c r="A117" s="20"/>
      <c r="B117" s="20"/>
      <c r="C117" s="20"/>
      <c r="D117" s="51"/>
      <c r="E117" s="87" t="e">
        <f>F44/F119</f>
        <v>#REF!</v>
      </c>
      <c r="F117" s="86" t="e">
        <f>F51/F119</f>
        <v>#REF!</v>
      </c>
      <c r="G117" s="89" t="e">
        <f>SUM(G29:G63)-G44</f>
        <v>#REF!</v>
      </c>
      <c r="H117" s="23" t="e">
        <f>SUM(H29:H63)-H44-H36</f>
        <v>#REF!</v>
      </c>
      <c r="I117" s="23"/>
      <c r="J117" s="23" t="e">
        <f>SUM(J29:J63)-J44-J36</f>
        <v>#REF!</v>
      </c>
      <c r="K117" s="23"/>
      <c r="L117" s="23" t="e">
        <f>SUM(L29:L63)-L44</f>
        <v>#REF!</v>
      </c>
      <c r="M117" s="23"/>
      <c r="N117" s="27"/>
      <c r="O117" s="27"/>
      <c r="P117" s="26"/>
      <c r="Q117" s="26"/>
      <c r="R117" s="26"/>
      <c r="S117" s="26"/>
      <c r="T117" s="26"/>
      <c r="U117" s="23"/>
      <c r="V117" s="26"/>
      <c r="W117" s="26"/>
    </row>
    <row r="118" spans="1:27">
      <c r="A118" s="20"/>
      <c r="B118" s="20"/>
      <c r="C118" s="20"/>
      <c r="D118" s="20"/>
      <c r="E118" s="21"/>
      <c r="F118" s="22"/>
      <c r="G118" s="22"/>
      <c r="H118" s="22"/>
      <c r="I118" s="23"/>
      <c r="J118" s="23"/>
      <c r="K118" s="23"/>
      <c r="L118" s="23"/>
      <c r="M118" s="23"/>
      <c r="N118" s="23"/>
      <c r="O118" s="23"/>
      <c r="P118" s="26"/>
      <c r="Q118" s="26"/>
      <c r="R118" s="26"/>
      <c r="S118" s="26"/>
      <c r="T118" s="26"/>
      <c r="U118" s="26"/>
      <c r="V118" s="26"/>
      <c r="W118" s="26"/>
    </row>
    <row r="119" spans="1:27">
      <c r="A119" s="20"/>
      <c r="B119" s="20"/>
      <c r="C119" s="20"/>
      <c r="D119" s="20"/>
      <c r="E119" s="21"/>
      <c r="F119" s="22" t="e">
        <f>SUM(F45:F63)+SUM(F29:F43)</f>
        <v>#REF!</v>
      </c>
      <c r="G119" s="107" t="e">
        <f>+I115/F115</f>
        <v>#REF!</v>
      </c>
      <c r="H119" s="23" t="e">
        <f>SUM(H37:H62)+SUM(H29:H35)</f>
        <v>#REF!</v>
      </c>
      <c r="I119" s="23" t="e">
        <f>SUM(I37:I62)+SUM(I34:I35)</f>
        <v>#REF!</v>
      </c>
      <c r="J119" s="23" t="e">
        <f t="shared" ref="J119:L119" si="28">SUM(J37:J62)+SUM(J34:J35)</f>
        <v>#REF!</v>
      </c>
      <c r="K119" s="23" t="e">
        <f t="shared" si="28"/>
        <v>#REF!</v>
      </c>
      <c r="L119" s="23" t="e">
        <f t="shared" si="28"/>
        <v>#REF!</v>
      </c>
      <c r="M119" s="24"/>
      <c r="N119" s="25"/>
      <c r="O119" s="25"/>
      <c r="P119" s="26"/>
      <c r="Q119" s="26"/>
      <c r="R119" s="26"/>
      <c r="S119" s="26"/>
      <c r="T119" s="26"/>
      <c r="U119" s="26"/>
      <c r="V119" s="26"/>
      <c r="W119" s="26"/>
    </row>
    <row r="120" spans="1:27">
      <c r="A120" s="20"/>
      <c r="B120" s="20"/>
      <c r="C120" s="20"/>
      <c r="D120" s="20"/>
      <c r="E120" s="28"/>
      <c r="F120" s="23"/>
      <c r="G120" s="23"/>
      <c r="H120" s="23"/>
      <c r="I120" s="24"/>
      <c r="J120" s="24"/>
      <c r="K120" s="24"/>
      <c r="L120" s="24"/>
      <c r="M120" s="24"/>
      <c r="N120" s="25"/>
      <c r="O120" s="25"/>
      <c r="P120" s="43"/>
      <c r="Q120" s="43"/>
      <c r="R120" s="43"/>
      <c r="S120" s="43"/>
      <c r="T120" s="28"/>
      <c r="U120" s="28"/>
      <c r="V120" s="28"/>
      <c r="W120" s="28"/>
    </row>
    <row r="121" spans="1:27">
      <c r="A121" s="20"/>
      <c r="B121" s="20"/>
      <c r="C121" s="20"/>
      <c r="D121" s="20"/>
      <c r="E121" s="2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8"/>
      <c r="Q121" s="28"/>
      <c r="R121" s="28"/>
      <c r="S121" s="28"/>
      <c r="T121" s="28"/>
      <c r="U121" s="28"/>
      <c r="V121" s="28"/>
      <c r="W121" s="28"/>
    </row>
    <row r="122" spans="1:27">
      <c r="A122" s="20"/>
      <c r="B122" s="20"/>
      <c r="C122" s="20"/>
      <c r="D122" s="20"/>
      <c r="E122" s="2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8"/>
      <c r="Q122" s="28"/>
      <c r="R122" s="28"/>
      <c r="S122" s="28"/>
      <c r="T122" s="28"/>
      <c r="U122" s="28"/>
      <c r="V122" s="28"/>
      <c r="W122" s="28"/>
    </row>
    <row r="123" spans="1:27">
      <c r="A123" s="20"/>
      <c r="B123" s="20"/>
      <c r="C123" s="20"/>
      <c r="D123" s="20"/>
      <c r="E123" s="2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8"/>
      <c r="Q123" s="28"/>
      <c r="R123" s="28"/>
      <c r="S123" s="28"/>
      <c r="T123" s="28"/>
      <c r="U123" s="28"/>
      <c r="V123" s="28"/>
      <c r="W123" s="28"/>
    </row>
    <row r="124" spans="1:27">
      <c r="A124" s="20"/>
      <c r="B124" s="20"/>
      <c r="C124" s="20"/>
      <c r="D124" s="20"/>
      <c r="E124" s="2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8"/>
      <c r="Q124" s="28"/>
      <c r="R124" s="28"/>
      <c r="S124" s="28"/>
      <c r="T124" s="28"/>
      <c r="U124" s="28"/>
      <c r="V124" s="28"/>
      <c r="W124" s="28"/>
    </row>
    <row r="125" spans="1:27">
      <c r="A125" s="20"/>
      <c r="B125" s="20"/>
      <c r="C125" s="20"/>
      <c r="D125" s="20"/>
      <c r="E125" s="2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8"/>
      <c r="Q125" s="28"/>
      <c r="R125" s="28"/>
      <c r="S125" s="28"/>
      <c r="T125" s="28"/>
      <c r="U125" s="28"/>
      <c r="V125" s="28"/>
      <c r="W125" s="28"/>
    </row>
    <row r="126" spans="1:27">
      <c r="A126" s="20"/>
      <c r="B126" s="20"/>
      <c r="C126" s="20"/>
      <c r="D126" s="20"/>
      <c r="E126" s="2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8"/>
      <c r="Q126" s="28"/>
      <c r="R126" s="28"/>
      <c r="S126" s="28"/>
      <c r="T126" s="28"/>
      <c r="U126" s="28"/>
      <c r="V126" s="28"/>
      <c r="W126" s="28"/>
    </row>
    <row r="127" spans="1:27">
      <c r="A127" s="20"/>
      <c r="B127" s="20"/>
      <c r="C127" s="20"/>
      <c r="D127" s="20"/>
      <c r="E127" s="2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8"/>
      <c r="Q127" s="28"/>
      <c r="R127" s="28"/>
      <c r="S127" s="28"/>
      <c r="T127" s="28"/>
      <c r="U127" s="28"/>
      <c r="V127" s="28"/>
      <c r="W127" s="28"/>
    </row>
    <row r="128" spans="1:27">
      <c r="A128" s="20"/>
      <c r="B128" s="20"/>
      <c r="C128" s="20"/>
      <c r="D128" s="20"/>
      <c r="E128" s="2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8"/>
      <c r="Q128" s="28"/>
      <c r="R128" s="28"/>
      <c r="S128" s="28"/>
      <c r="T128" s="28"/>
      <c r="U128" s="28"/>
      <c r="V128" s="28"/>
      <c r="W128" s="28"/>
    </row>
    <row r="129" spans="1:23">
      <c r="A129" s="28"/>
      <c r="B129" s="28"/>
      <c r="C129" s="28"/>
      <c r="D129" s="28"/>
      <c r="E129" s="2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8"/>
      <c r="Q129" s="28"/>
      <c r="R129" s="28"/>
      <c r="S129" s="28"/>
      <c r="T129" s="28"/>
      <c r="U129" s="28"/>
      <c r="V129" s="28"/>
      <c r="W129" s="28"/>
    </row>
    <row r="130" spans="1:23">
      <c r="A130" s="28"/>
      <c r="B130" s="28"/>
      <c r="C130" s="28"/>
      <c r="D130" s="28"/>
      <c r="E130" s="2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8"/>
      <c r="Q130" s="28"/>
      <c r="R130" s="28"/>
      <c r="S130" s="28"/>
      <c r="T130" s="28"/>
      <c r="U130" s="28"/>
      <c r="V130" s="28"/>
      <c r="W130" s="28"/>
    </row>
    <row r="132" spans="1:23">
      <c r="O132" s="40">
        <v>4.548286248444567E-2</v>
      </c>
    </row>
    <row r="133" spans="1:23">
      <c r="A133" s="44"/>
      <c r="O133" s="40">
        <v>-3.6347573407013778E-2</v>
      </c>
    </row>
    <row r="134" spans="1:23">
      <c r="O134" s="40">
        <v>7.4867798132015662E-2</v>
      </c>
    </row>
    <row r="135" spans="1:23">
      <c r="O135" s="40">
        <v>-1.8230733402144834E-2</v>
      </c>
    </row>
    <row r="136" spans="1:23">
      <c r="O136" s="40">
        <v>-4.135215046544234E-3</v>
      </c>
    </row>
    <row r="137" spans="1:23">
      <c r="O137" s="40">
        <v>-1.6407826112865219E-4</v>
      </c>
    </row>
    <row r="138" spans="1:23">
      <c r="O138" s="40">
        <v>1.2205179842050842E-2</v>
      </c>
    </row>
    <row r="139" spans="1:23">
      <c r="O139" s="40">
        <v>6.902052384326994E-2</v>
      </c>
    </row>
    <row r="140" spans="1:23">
      <c r="O140" s="40">
        <v>-2.7385308570351728E-2</v>
      </c>
    </row>
    <row r="141" spans="1:23">
      <c r="O141" s="40">
        <v>6.9749552230959591E-2</v>
      </c>
    </row>
    <row r="142" spans="1:23">
      <c r="O142" s="40">
        <v>4.143766021217727E-2</v>
      </c>
    </row>
    <row r="143" spans="1:23">
      <c r="O143" s="40">
        <v>2.2167009417327934E-2</v>
      </c>
    </row>
    <row r="144" spans="1:23">
      <c r="O144" s="40">
        <v>3.368768759997149E-2</v>
      </c>
    </row>
    <row r="145" spans="15:15">
      <c r="O145" s="40">
        <v>3.7534341323955361E-2</v>
      </c>
    </row>
    <row r="146" spans="15:15">
      <c r="O146" s="40">
        <v>3.0368173972600686E-2</v>
      </c>
    </row>
    <row r="147" spans="15:15">
      <c r="O147" s="40">
        <v>7.2652294526941456E-4</v>
      </c>
    </row>
    <row r="148" spans="15:15">
      <c r="O148" s="40">
        <v>2.5106362086586349E-2</v>
      </c>
    </row>
    <row r="149" spans="15:15">
      <c r="O149" s="40">
        <v>-5.0878087636694756E-4</v>
      </c>
    </row>
    <row r="150" spans="15:15">
      <c r="O150" s="40">
        <v>5.7496580460751442E-2</v>
      </c>
    </row>
    <row r="151" spans="15:15">
      <c r="O151" s="40">
        <v>4.2931896800160026E-2</v>
      </c>
    </row>
    <row r="152" spans="15:15">
      <c r="O152" s="40">
        <v>4.3344885739840008E-2</v>
      </c>
    </row>
    <row r="153" spans="15:15">
      <c r="O153" s="40">
        <v>4.4258495227870818E-3</v>
      </c>
    </row>
    <row r="154" spans="15:15">
      <c r="O154" s="40">
        <v>2.5365988114978877E-3</v>
      </c>
    </row>
    <row r="155" spans="15:15">
      <c r="O155" s="40">
        <v>6.3649997359851135E-2</v>
      </c>
    </row>
    <row r="156" spans="15:15">
      <c r="O156" s="40">
        <v>5.676400736527612E-2</v>
      </c>
    </row>
    <row r="157" spans="15:15">
      <c r="O157" s="40">
        <v>5.8170249531317109E-2</v>
      </c>
    </row>
  </sheetData>
  <mergeCells count="2">
    <mergeCell ref="X4:Y4"/>
    <mergeCell ref="Z4:AA4"/>
  </mergeCells>
  <conditionalFormatting sqref="O6:O1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9" location="'Canjes desagregado (19 ope.)'!A2" display="'Canjes desagregado (19 ope.)'!A2" xr:uid="{0064669B-AF8F-4F55-BD8E-06B281481E43}"/>
    <hyperlink ref="A10" location="'Canjes desagregado (19 ope.)'!A12" display="'Canjes desagregado (19 ope.)'!A12" xr:uid="{3201C8B1-AE49-4F22-A7F0-ECDC2760D008}"/>
    <hyperlink ref="A11" location="'Costo Historico (23 ope.)'!A20" display="'Costo Historico (23 ope.)'!A20" xr:uid="{97F8981A-5752-41AD-AEC2-5CFA127AF999}"/>
    <hyperlink ref="A12" location="'Costo Historico (23 ope.)'!A23" display="'Costo Historico (23 ope.)'!A23" xr:uid="{B6460E90-955C-4E23-9A1F-461ACFD5D883}"/>
    <hyperlink ref="A13" location="'Costo Historico (23 ope.)'!A28" display="'Costo Historico (23 ope.)'!A28" xr:uid="{51218BC9-66E4-4E64-9038-C9B91643208A}"/>
    <hyperlink ref="A14" location="'Costo Historico (23 ope.)'!A32" display="'Costo Historico (23 ope.)'!A32" xr:uid="{9A2D4546-7804-4EEF-83D0-FE2199910FC1}"/>
    <hyperlink ref="A15" location="'Costo Historico (23 ope.)'!A38" display="'Costo Historico (23 ope.)'!A38" xr:uid="{36DB3C6B-BA76-4F92-B0D2-A5CF78F2F2C8}"/>
    <hyperlink ref="A16" location="'Costo Historico (23 ope.)'!A41" display="'Costo Historico (23 ope.)'!A41" xr:uid="{6CA64E93-F4B7-4B62-9288-7DFDAF0074BB}"/>
    <hyperlink ref="A17" location="'Costo Historico (23 ope.)'!A46" display="'Costo Historico (23 ope.)'!A46" xr:uid="{EA76B3FA-EFCF-41A3-B521-6B34BF21EE27}"/>
    <hyperlink ref="A18" location="'Costo Historico (23 ope.)'!A50" display="'Costo Historico (23 ope.)'!A50" xr:uid="{53E44143-A525-4124-B417-0FA85DA388ED}"/>
    <hyperlink ref="A19" location="'Costo Historico (23 ope.)'!A54" display="'Costo Historico (23 ope.)'!A54" xr:uid="{DC4C24BC-B9EB-481A-AEED-458AFA242D8B}"/>
    <hyperlink ref="A20" location="'Costo Historico (23 ope.)'!A58" display="'Costo Historico (23 ope.)'!A58" xr:uid="{9B551D22-FEB8-4F07-8B56-0734B97AA401}"/>
    <hyperlink ref="A21" location="'Costo Historico (23 ope.)'!A66" display="'Costo Historico (23 ope.)'!A66" xr:uid="{97121375-2F71-44B0-8A34-AE42577426D2}"/>
    <hyperlink ref="A22" location="'Costo Historico (23 ope.)'!A68" display="'Costo Historico (23 ope.)'!A68" xr:uid="{1BDE81A9-929A-4957-949B-B3F745ABB6F8}"/>
    <hyperlink ref="A23" location="'Costo Historico (23 ope.)'!A76" display="'Costo Historico (23 ope.)'!A76" xr:uid="{73A1939F-E1E5-4AE0-A60B-9F18D10E8E5B}"/>
    <hyperlink ref="A24" location="'Costo Historico (23 ope.)'!A78" display="'Costo Historico (23 ope.)'!A78" xr:uid="{2979634B-8991-400D-BE4D-57A10C436684}"/>
    <hyperlink ref="A25" location="'Costo Historico (23 ope.)'!A85" display="'Costo Historico (23 ope.)'!A85" xr:uid="{B287EA9E-C932-419A-AB84-21FC256CCB93}"/>
    <hyperlink ref="A26" location="'Costo Historico (23 ope.)'!A93" display="'Costo Historico (23 ope.)'!A93" xr:uid="{CE8A8D7C-E6B5-46F0-BE39-D33373128E8E}"/>
    <hyperlink ref="A27" location="'Costo Historico (23 ope.)'!A100" display="'Costo Historico (23 ope.)'!A100" xr:uid="{CA374CAA-3890-4F65-9B6F-9C03CA975D90}"/>
  </hyperlinks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0B15-FE55-4259-A75E-A1EC3C34931A}">
  <sheetPr codeName="Hoja5">
    <tabColor theme="4" tint="0.39997558519241921"/>
  </sheetPr>
  <dimension ref="A1:J393"/>
  <sheetViews>
    <sheetView workbookViewId="0">
      <selection activeCell="H38" sqref="H38"/>
    </sheetView>
  </sheetViews>
  <sheetFormatPr baseColWidth="10" defaultColWidth="11.42578125" defaultRowHeight="15"/>
  <sheetData>
    <row r="1" spans="1:10" ht="15.75" thickBot="1"/>
    <row r="2" spans="1:10" ht="15.75" thickBot="1">
      <c r="E2" s="513" t="s">
        <v>235</v>
      </c>
      <c r="F2" s="514"/>
      <c r="G2" s="514"/>
      <c r="H2" s="514"/>
      <c r="I2" s="514"/>
      <c r="J2" s="515"/>
    </row>
    <row r="5" spans="1:10">
      <c r="A5" s="92" t="s">
        <v>18</v>
      </c>
      <c r="B5" s="92" t="s">
        <v>236</v>
      </c>
      <c r="C5" s="92" t="s">
        <v>370</v>
      </c>
    </row>
    <row r="6" spans="1:10">
      <c r="A6" s="93">
        <v>34000</v>
      </c>
      <c r="B6" s="92">
        <v>24.82</v>
      </c>
      <c r="C6" s="93"/>
    </row>
    <row r="7" spans="1:10">
      <c r="A7" s="93">
        <v>34028</v>
      </c>
      <c r="B7" s="92">
        <v>24.71</v>
      </c>
      <c r="C7" s="93"/>
    </row>
    <row r="8" spans="1:10">
      <c r="A8" s="93">
        <v>34059</v>
      </c>
      <c r="B8" s="92">
        <v>24.18</v>
      </c>
      <c r="C8" s="93"/>
    </row>
    <row r="9" spans="1:10">
      <c r="A9" s="93">
        <v>34089</v>
      </c>
      <c r="B9" s="92">
        <v>23.08</v>
      </c>
      <c r="C9" s="93"/>
    </row>
    <row r="10" spans="1:10">
      <c r="A10" s="93">
        <v>34120</v>
      </c>
      <c r="B10" s="92">
        <v>22.21</v>
      </c>
      <c r="C10" s="93"/>
    </row>
    <row r="11" spans="1:10">
      <c r="A11" s="93">
        <v>34150</v>
      </c>
      <c r="B11" s="92">
        <v>21.38</v>
      </c>
      <c r="C11" s="93"/>
    </row>
    <row r="12" spans="1:10">
      <c r="A12" s="93">
        <v>34181</v>
      </c>
      <c r="B12" s="92">
        <v>20.46</v>
      </c>
      <c r="C12" s="93"/>
    </row>
    <row r="13" spans="1:10">
      <c r="A13" s="93">
        <v>34212</v>
      </c>
      <c r="B13" s="92">
        <v>21.07</v>
      </c>
      <c r="C13" s="93"/>
    </row>
    <row r="14" spans="1:10">
      <c r="A14" s="93">
        <v>34242</v>
      </c>
      <c r="B14" s="92">
        <v>21.43</v>
      </c>
      <c r="C14" s="93"/>
    </row>
    <row r="15" spans="1:10">
      <c r="A15" s="93">
        <v>34273</v>
      </c>
      <c r="B15" s="92">
        <v>21.69</v>
      </c>
      <c r="C15" s="93"/>
    </row>
    <row r="16" spans="1:10">
      <c r="A16" s="93">
        <v>34303</v>
      </c>
      <c r="B16" s="92">
        <v>22.37</v>
      </c>
      <c r="C16" s="93"/>
    </row>
    <row r="17" spans="1:3">
      <c r="A17" s="93">
        <v>34334</v>
      </c>
      <c r="B17" s="92">
        <v>22.6</v>
      </c>
      <c r="C17" s="93"/>
    </row>
    <row r="18" spans="1:3">
      <c r="A18" s="93">
        <v>34365</v>
      </c>
      <c r="B18" s="92">
        <v>22.5</v>
      </c>
      <c r="C18" s="93"/>
    </row>
    <row r="19" spans="1:3">
      <c r="A19" s="93">
        <v>34393</v>
      </c>
      <c r="B19" s="92">
        <v>23.01</v>
      </c>
      <c r="C19" s="93"/>
    </row>
    <row r="20" spans="1:3">
      <c r="A20" s="93">
        <v>34424</v>
      </c>
      <c r="B20" s="92">
        <v>23.41</v>
      </c>
      <c r="C20" s="93"/>
    </row>
    <row r="21" spans="1:3">
      <c r="A21" s="93">
        <v>34454</v>
      </c>
      <c r="B21" s="92">
        <v>23.94</v>
      </c>
      <c r="C21" s="93"/>
    </row>
    <row r="22" spans="1:3">
      <c r="A22" s="93">
        <v>34485</v>
      </c>
      <c r="B22" s="92">
        <v>23.86</v>
      </c>
      <c r="C22" s="93"/>
    </row>
    <row r="23" spans="1:3">
      <c r="A23" s="93">
        <v>34515</v>
      </c>
      <c r="B23" s="92">
        <v>23.08</v>
      </c>
      <c r="C23" s="93"/>
    </row>
    <row r="24" spans="1:3">
      <c r="A24" s="93">
        <v>34546</v>
      </c>
      <c r="B24" s="92">
        <v>22.69</v>
      </c>
      <c r="C24" s="93"/>
    </row>
    <row r="25" spans="1:3">
      <c r="A25" s="93">
        <v>34577</v>
      </c>
      <c r="B25" s="92">
        <v>22.35</v>
      </c>
      <c r="C25" s="93"/>
    </row>
    <row r="26" spans="1:3">
      <c r="A26" s="93">
        <v>34607</v>
      </c>
      <c r="B26" s="92">
        <v>22.31</v>
      </c>
      <c r="C26" s="93"/>
    </row>
    <row r="27" spans="1:3">
      <c r="A27" s="93">
        <v>34638</v>
      </c>
      <c r="B27" s="92">
        <v>22.37</v>
      </c>
      <c r="C27" s="93"/>
    </row>
    <row r="28" spans="1:3">
      <c r="A28" s="93">
        <v>34668</v>
      </c>
      <c r="B28" s="92">
        <v>22.16</v>
      </c>
      <c r="C28" s="93"/>
    </row>
    <row r="29" spans="1:3">
      <c r="A29" s="93">
        <v>34699</v>
      </c>
      <c r="B29" s="92">
        <v>22.59</v>
      </c>
      <c r="C29" s="93"/>
    </row>
    <row r="30" spans="1:3">
      <c r="A30" s="93">
        <v>34730</v>
      </c>
      <c r="B30" s="92">
        <v>21.04</v>
      </c>
      <c r="C30" s="93"/>
    </row>
    <row r="31" spans="1:3">
      <c r="A31" s="93">
        <v>34758</v>
      </c>
      <c r="B31" s="92">
        <v>20.86</v>
      </c>
      <c r="C31" s="93"/>
    </row>
    <row r="32" spans="1:3">
      <c r="A32" s="93">
        <v>34789</v>
      </c>
      <c r="B32" s="92">
        <v>21.33</v>
      </c>
      <c r="C32" s="93"/>
    </row>
    <row r="33" spans="1:3">
      <c r="A33" s="93">
        <v>34819</v>
      </c>
      <c r="B33" s="92">
        <v>21.17</v>
      </c>
      <c r="C33" s="93"/>
    </row>
    <row r="34" spans="1:3">
      <c r="A34" s="93">
        <v>34850</v>
      </c>
      <c r="B34" s="92">
        <v>21.3</v>
      </c>
      <c r="C34" s="93"/>
    </row>
    <row r="35" spans="1:3">
      <c r="A35" s="93">
        <v>34880</v>
      </c>
      <c r="B35" s="92">
        <v>21.66</v>
      </c>
      <c r="C35" s="93"/>
    </row>
    <row r="36" spans="1:3">
      <c r="A36" s="93">
        <v>34911</v>
      </c>
      <c r="B36" s="92">
        <v>21.5</v>
      </c>
      <c r="C36" s="93"/>
    </row>
    <row r="37" spans="1:3">
      <c r="A37" s="93">
        <v>34942</v>
      </c>
      <c r="B37" s="92">
        <v>21.09</v>
      </c>
      <c r="C37" s="93"/>
    </row>
    <row r="38" spans="1:3">
      <c r="A38" s="93">
        <v>34972</v>
      </c>
      <c r="B38" s="92">
        <v>20.79</v>
      </c>
      <c r="C38" s="93"/>
    </row>
    <row r="39" spans="1:3">
      <c r="A39" s="93">
        <v>35003</v>
      </c>
      <c r="B39" s="92">
        <v>20.52</v>
      </c>
      <c r="C39" s="93"/>
    </row>
    <row r="40" spans="1:3">
      <c r="A40" s="93">
        <v>35033</v>
      </c>
      <c r="B40" s="92">
        <v>20.13</v>
      </c>
      <c r="C40" s="93"/>
    </row>
    <row r="41" spans="1:3">
      <c r="A41" s="93">
        <v>35064</v>
      </c>
      <c r="B41" s="92">
        <v>19.46</v>
      </c>
      <c r="C41" s="93"/>
    </row>
    <row r="42" spans="1:3">
      <c r="A42" s="93">
        <v>35095</v>
      </c>
      <c r="B42" s="92">
        <v>20.239999999999998</v>
      </c>
      <c r="C42" s="93"/>
    </row>
    <row r="43" spans="1:3">
      <c r="A43" s="93">
        <v>35124</v>
      </c>
      <c r="B43" s="92">
        <v>20.81</v>
      </c>
      <c r="C43" s="93"/>
    </row>
    <row r="44" spans="1:3">
      <c r="A44" s="93">
        <v>35155</v>
      </c>
      <c r="B44" s="92">
        <v>20.2</v>
      </c>
      <c r="C44" s="93"/>
    </row>
    <row r="45" spans="1:3">
      <c r="A45" s="93">
        <v>35185</v>
      </c>
      <c r="B45" s="92">
        <v>19.899999999999999</v>
      </c>
      <c r="C45" s="93"/>
    </row>
    <row r="46" spans="1:3">
      <c r="A46" s="93">
        <v>35216</v>
      </c>
      <c r="B46" s="92">
        <v>19.78</v>
      </c>
      <c r="C46" s="93"/>
    </row>
    <row r="47" spans="1:3">
      <c r="A47" s="93">
        <v>35246</v>
      </c>
      <c r="B47" s="92">
        <v>19.7</v>
      </c>
      <c r="C47" s="93"/>
    </row>
    <row r="48" spans="1:3">
      <c r="A48" s="93">
        <v>35277</v>
      </c>
      <c r="B48" s="92">
        <v>20.57</v>
      </c>
      <c r="C48" s="93"/>
    </row>
    <row r="49" spans="1:3">
      <c r="A49" s="93">
        <v>35308</v>
      </c>
      <c r="B49" s="92">
        <v>21.13</v>
      </c>
      <c r="C49" s="93"/>
    </row>
    <row r="50" spans="1:3">
      <c r="A50" s="93">
        <v>35338</v>
      </c>
      <c r="B50" s="92">
        <v>21.55</v>
      </c>
      <c r="C50" s="93"/>
    </row>
    <row r="51" spans="1:3">
      <c r="A51" s="93">
        <v>35369</v>
      </c>
      <c r="B51" s="92">
        <v>21.87</v>
      </c>
      <c r="C51" s="93"/>
    </row>
    <row r="52" spans="1:3">
      <c r="A52" s="93">
        <v>35399</v>
      </c>
      <c r="B52" s="92">
        <v>21.88</v>
      </c>
      <c r="C52" s="93"/>
    </row>
    <row r="53" spans="1:3">
      <c r="A53" s="93">
        <v>35430</v>
      </c>
      <c r="B53" s="92">
        <v>21.63</v>
      </c>
      <c r="C53" s="93"/>
    </row>
    <row r="54" spans="1:3">
      <c r="A54" s="93">
        <v>35461</v>
      </c>
      <c r="B54" s="92">
        <v>20.62</v>
      </c>
      <c r="C54" s="93"/>
    </row>
    <row r="55" spans="1:3">
      <c r="A55" s="93">
        <v>35489</v>
      </c>
      <c r="B55" s="92">
        <v>19.579999999999998</v>
      </c>
      <c r="C55" s="93"/>
    </row>
    <row r="56" spans="1:3">
      <c r="A56" s="93">
        <v>35520</v>
      </c>
      <c r="B56" s="92">
        <v>18.93</v>
      </c>
      <c r="C56" s="93"/>
    </row>
    <row r="57" spans="1:3">
      <c r="A57" s="93">
        <v>35550</v>
      </c>
      <c r="B57" s="92">
        <v>18.52</v>
      </c>
      <c r="C57" s="93"/>
    </row>
    <row r="58" spans="1:3">
      <c r="A58" s="93">
        <v>35581</v>
      </c>
      <c r="B58" s="92">
        <v>18.600000000000001</v>
      </c>
      <c r="C58" s="93"/>
    </row>
    <row r="59" spans="1:3">
      <c r="A59" s="93">
        <v>35611</v>
      </c>
      <c r="B59" s="92">
        <v>18.670000000000002</v>
      </c>
      <c r="C59" s="93"/>
    </row>
    <row r="60" spans="1:3">
      <c r="A60" s="93">
        <v>35642</v>
      </c>
      <c r="B60" s="92">
        <v>17.88</v>
      </c>
      <c r="C60" s="93"/>
    </row>
    <row r="61" spans="1:3">
      <c r="A61" s="93">
        <v>35673</v>
      </c>
      <c r="B61" s="92">
        <v>17.93</v>
      </c>
      <c r="C61" s="93"/>
    </row>
    <row r="62" spans="1:3">
      <c r="A62" s="93">
        <v>35703</v>
      </c>
      <c r="B62" s="92">
        <v>18.010000000000002</v>
      </c>
      <c r="C62" s="93"/>
    </row>
    <row r="63" spans="1:3">
      <c r="A63" s="93">
        <v>35734</v>
      </c>
      <c r="B63" s="92">
        <v>17.8</v>
      </c>
      <c r="C63" s="93"/>
    </row>
    <row r="64" spans="1:3">
      <c r="A64" s="93">
        <v>35764</v>
      </c>
      <c r="B64" s="92">
        <v>17.809999999999999</v>
      </c>
      <c r="C64" s="93"/>
    </row>
    <row r="65" spans="1:3">
      <c r="A65" s="93">
        <v>35795</v>
      </c>
      <c r="B65" s="92">
        <v>17.68</v>
      </c>
      <c r="C65" s="93"/>
    </row>
    <row r="66" spans="1:3">
      <c r="A66" s="93">
        <v>35826</v>
      </c>
      <c r="B66" s="92">
        <v>17.84</v>
      </c>
      <c r="C66" s="93"/>
    </row>
    <row r="67" spans="1:3">
      <c r="A67" s="93">
        <v>35854</v>
      </c>
      <c r="B67" s="92">
        <v>18.03</v>
      </c>
      <c r="C67" s="93"/>
    </row>
    <row r="68" spans="1:3">
      <c r="A68" s="93">
        <v>35885</v>
      </c>
      <c r="B68" s="92">
        <v>19.239999999999998</v>
      </c>
      <c r="C68" s="93"/>
    </row>
    <row r="69" spans="1:3">
      <c r="A69" s="93">
        <v>35915</v>
      </c>
      <c r="B69" s="92">
        <v>20.74</v>
      </c>
      <c r="C69" s="93"/>
    </row>
    <row r="70" spans="1:3">
      <c r="A70" s="93">
        <v>35946</v>
      </c>
      <c r="B70" s="92">
        <v>20.67</v>
      </c>
      <c r="C70" s="93"/>
    </row>
    <row r="71" spans="1:3">
      <c r="A71" s="93">
        <v>35976</v>
      </c>
      <c r="B71" s="92">
        <v>20.69</v>
      </c>
      <c r="C71" s="93"/>
    </row>
    <row r="72" spans="1:3">
      <c r="A72" s="93">
        <v>36007</v>
      </c>
      <c r="B72" s="92">
        <v>20.27</v>
      </c>
      <c r="C72" s="93"/>
    </row>
    <row r="73" spans="1:3">
      <c r="A73" s="93">
        <v>36038</v>
      </c>
      <c r="B73" s="92">
        <v>18.940000000000001</v>
      </c>
      <c r="C73" s="93"/>
    </row>
    <row r="74" spans="1:3">
      <c r="A74" s="93">
        <v>36068</v>
      </c>
      <c r="B74" s="92">
        <v>17.8</v>
      </c>
      <c r="C74" s="93"/>
    </row>
    <row r="75" spans="1:3">
      <c r="A75" s="93">
        <v>36099</v>
      </c>
      <c r="B75" s="92">
        <v>17.09</v>
      </c>
      <c r="C75" s="93"/>
    </row>
    <row r="76" spans="1:3">
      <c r="A76" s="93">
        <v>36129</v>
      </c>
      <c r="B76" s="92">
        <v>16.350000000000001</v>
      </c>
      <c r="C76" s="93"/>
    </row>
    <row r="77" spans="1:3">
      <c r="A77" s="93">
        <v>36160</v>
      </c>
      <c r="B77" s="92">
        <v>16.7</v>
      </c>
      <c r="C77" s="93"/>
    </row>
    <row r="78" spans="1:3">
      <c r="A78" s="93">
        <v>36191</v>
      </c>
      <c r="B78" s="92">
        <v>17.18</v>
      </c>
      <c r="C78" s="93"/>
    </row>
    <row r="79" spans="1:3">
      <c r="A79" s="93">
        <v>36219</v>
      </c>
      <c r="B79" s="92">
        <v>15.38</v>
      </c>
      <c r="C79" s="93"/>
    </row>
    <row r="80" spans="1:3">
      <c r="A80" s="93">
        <v>36250</v>
      </c>
      <c r="B80" s="92">
        <v>13.51</v>
      </c>
      <c r="C80" s="93"/>
    </row>
    <row r="81" spans="1:3">
      <c r="A81" s="93">
        <v>36280</v>
      </c>
      <c r="B81" s="92">
        <v>11.17</v>
      </c>
      <c r="C81" s="93"/>
    </row>
    <row r="82" spans="1:3">
      <c r="A82" s="93">
        <v>36311</v>
      </c>
      <c r="B82" s="92">
        <v>9.98</v>
      </c>
      <c r="C82" s="93"/>
    </row>
    <row r="83" spans="1:3">
      <c r="A83" s="93">
        <v>36341</v>
      </c>
      <c r="B83" s="92">
        <v>8.9600000000000009</v>
      </c>
      <c r="C83" s="93"/>
    </row>
    <row r="84" spans="1:3">
      <c r="A84" s="93">
        <v>36372</v>
      </c>
      <c r="B84" s="92">
        <v>8.7799999999999994</v>
      </c>
      <c r="C84" s="93"/>
    </row>
    <row r="85" spans="1:3">
      <c r="A85" s="93">
        <v>36403</v>
      </c>
      <c r="B85" s="92">
        <v>9.2799999999999994</v>
      </c>
      <c r="C85" s="93"/>
    </row>
    <row r="86" spans="1:3">
      <c r="A86" s="93">
        <v>36433</v>
      </c>
      <c r="B86" s="92">
        <v>9.33</v>
      </c>
      <c r="C86" s="93"/>
    </row>
    <row r="87" spans="1:3">
      <c r="A87" s="93">
        <v>36464</v>
      </c>
      <c r="B87" s="92">
        <v>9.32</v>
      </c>
      <c r="C87" s="93"/>
    </row>
    <row r="88" spans="1:3">
      <c r="A88" s="93">
        <v>36494</v>
      </c>
      <c r="B88" s="92">
        <v>9.65</v>
      </c>
      <c r="C88" s="93"/>
    </row>
    <row r="89" spans="1:3">
      <c r="A89" s="93">
        <v>36525</v>
      </c>
      <c r="B89" s="92">
        <v>9.23</v>
      </c>
      <c r="C89" s="93"/>
    </row>
    <row r="90" spans="1:3">
      <c r="A90" s="93">
        <v>36556</v>
      </c>
      <c r="B90" s="92">
        <v>8.25</v>
      </c>
      <c r="C90" s="93"/>
    </row>
    <row r="91" spans="1:3">
      <c r="A91" s="93">
        <v>36585</v>
      </c>
      <c r="B91" s="92">
        <v>8.89</v>
      </c>
      <c r="C91" s="93"/>
    </row>
    <row r="92" spans="1:3">
      <c r="A92" s="93">
        <v>36616</v>
      </c>
      <c r="B92" s="92">
        <v>9.73</v>
      </c>
      <c r="C92" s="93"/>
    </row>
    <row r="93" spans="1:3">
      <c r="A93" s="93">
        <v>36646</v>
      </c>
      <c r="B93" s="92">
        <v>9.9600000000000009</v>
      </c>
      <c r="C93" s="93"/>
    </row>
    <row r="94" spans="1:3">
      <c r="A94" s="93">
        <v>36677</v>
      </c>
      <c r="B94" s="92">
        <v>10</v>
      </c>
      <c r="C94" s="93"/>
    </row>
    <row r="95" spans="1:3">
      <c r="A95" s="93">
        <v>36707</v>
      </c>
      <c r="B95" s="92">
        <v>9.68</v>
      </c>
      <c r="C95" s="93"/>
    </row>
    <row r="96" spans="1:3">
      <c r="A96" s="93">
        <v>36738</v>
      </c>
      <c r="B96" s="92">
        <v>9.2899999999999991</v>
      </c>
      <c r="C96" s="93"/>
    </row>
    <row r="97" spans="1:3">
      <c r="A97" s="93">
        <v>36769</v>
      </c>
      <c r="B97" s="92">
        <v>9.1</v>
      </c>
      <c r="C97" s="93"/>
    </row>
    <row r="98" spans="1:3">
      <c r="A98" s="93">
        <v>36799</v>
      </c>
      <c r="B98" s="92">
        <v>9.1999999999999993</v>
      </c>
      <c r="C98" s="93"/>
    </row>
    <row r="99" spans="1:3">
      <c r="A99" s="93">
        <v>36830</v>
      </c>
      <c r="B99" s="92">
        <v>8.99</v>
      </c>
      <c r="C99" s="93"/>
    </row>
    <row r="100" spans="1:3">
      <c r="A100" s="93">
        <v>36860</v>
      </c>
      <c r="B100" s="92">
        <v>8.82</v>
      </c>
      <c r="C100" s="93"/>
    </row>
    <row r="101" spans="1:3">
      <c r="A101" s="93">
        <v>36891</v>
      </c>
      <c r="B101" s="92">
        <v>8.75</v>
      </c>
      <c r="C101" s="93"/>
    </row>
    <row r="102" spans="1:3">
      <c r="A102" s="93">
        <v>36922</v>
      </c>
      <c r="B102" s="92">
        <v>8.49</v>
      </c>
      <c r="C102" s="93"/>
    </row>
    <row r="103" spans="1:3">
      <c r="A103" s="93">
        <v>36950</v>
      </c>
      <c r="B103" s="92">
        <v>8.06</v>
      </c>
      <c r="C103" s="93"/>
    </row>
    <row r="104" spans="1:3">
      <c r="A104" s="93">
        <v>36981</v>
      </c>
      <c r="B104" s="92">
        <v>7.81</v>
      </c>
      <c r="C104" s="93"/>
    </row>
    <row r="105" spans="1:3">
      <c r="A105" s="93">
        <v>37011</v>
      </c>
      <c r="B105" s="92">
        <v>7.98</v>
      </c>
      <c r="C105" s="93"/>
    </row>
    <row r="106" spans="1:3">
      <c r="A106" s="93">
        <v>37042</v>
      </c>
      <c r="B106" s="92">
        <v>7.87</v>
      </c>
      <c r="C106" s="93"/>
    </row>
    <row r="107" spans="1:3">
      <c r="A107" s="93">
        <v>37072</v>
      </c>
      <c r="B107" s="92">
        <v>7.93</v>
      </c>
      <c r="C107" s="93"/>
    </row>
    <row r="108" spans="1:3">
      <c r="A108" s="93">
        <v>37103</v>
      </c>
      <c r="B108" s="92">
        <v>8.09</v>
      </c>
      <c r="C108" s="93"/>
    </row>
    <row r="109" spans="1:3">
      <c r="A109" s="93">
        <v>37134</v>
      </c>
      <c r="B109" s="92">
        <v>8.0299999999999994</v>
      </c>
      <c r="C109" s="93"/>
    </row>
    <row r="110" spans="1:3">
      <c r="A110" s="93">
        <v>37164</v>
      </c>
      <c r="B110" s="92">
        <v>7.97</v>
      </c>
      <c r="C110" s="93"/>
    </row>
    <row r="111" spans="1:3">
      <c r="A111" s="93">
        <v>37195</v>
      </c>
      <c r="B111" s="92">
        <v>8.01</v>
      </c>
      <c r="C111" s="93"/>
    </row>
    <row r="112" spans="1:3">
      <c r="A112" s="93">
        <v>37225</v>
      </c>
      <c r="B112" s="92">
        <v>7.78</v>
      </c>
      <c r="C112" s="93"/>
    </row>
    <row r="113" spans="1:3">
      <c r="A113" s="93">
        <v>37256</v>
      </c>
      <c r="B113" s="92">
        <v>7.65</v>
      </c>
      <c r="C113" s="93"/>
    </row>
    <row r="114" spans="1:3">
      <c r="A114" s="93">
        <v>37287</v>
      </c>
      <c r="B114" s="92">
        <v>7.37</v>
      </c>
      <c r="C114" s="93"/>
    </row>
    <row r="115" spans="1:3">
      <c r="A115" s="93">
        <v>37315</v>
      </c>
      <c r="B115" s="92">
        <v>6.7</v>
      </c>
      <c r="C115" s="93"/>
    </row>
    <row r="116" spans="1:3">
      <c r="A116" s="93">
        <v>37346</v>
      </c>
      <c r="B116" s="92">
        <v>5.89</v>
      </c>
      <c r="C116" s="93"/>
    </row>
    <row r="117" spans="1:3">
      <c r="A117" s="93">
        <v>37376</v>
      </c>
      <c r="B117" s="92">
        <v>5.65</v>
      </c>
      <c r="C117" s="93"/>
    </row>
    <row r="118" spans="1:3">
      <c r="A118" s="93">
        <v>37407</v>
      </c>
      <c r="B118" s="92">
        <v>5.84</v>
      </c>
      <c r="C118" s="93"/>
    </row>
    <row r="119" spans="1:3">
      <c r="A119" s="93">
        <v>37437</v>
      </c>
      <c r="B119" s="92">
        <v>6.25</v>
      </c>
      <c r="C119" s="93"/>
    </row>
    <row r="120" spans="1:3">
      <c r="A120" s="93">
        <v>37468</v>
      </c>
      <c r="B120" s="92">
        <v>6.16</v>
      </c>
      <c r="C120" s="93"/>
    </row>
    <row r="121" spans="1:3">
      <c r="A121" s="93">
        <v>37499</v>
      </c>
      <c r="B121" s="92">
        <v>5.98</v>
      </c>
      <c r="C121" s="93"/>
    </row>
    <row r="122" spans="1:3">
      <c r="A122" s="93">
        <v>37529</v>
      </c>
      <c r="B122" s="92">
        <v>5.97</v>
      </c>
      <c r="C122" s="93"/>
    </row>
    <row r="123" spans="1:3">
      <c r="A123" s="93">
        <v>37560</v>
      </c>
      <c r="B123" s="92">
        <v>6.37</v>
      </c>
      <c r="C123" s="93"/>
    </row>
    <row r="124" spans="1:3">
      <c r="A124" s="93">
        <v>37590</v>
      </c>
      <c r="B124" s="92">
        <v>7.07</v>
      </c>
      <c r="C124" s="93"/>
    </row>
    <row r="125" spans="1:3">
      <c r="A125" s="93">
        <v>37621</v>
      </c>
      <c r="B125" s="92">
        <v>6.99</v>
      </c>
      <c r="C125" s="93"/>
    </row>
    <row r="126" spans="1:3">
      <c r="A126" s="93">
        <v>37652</v>
      </c>
      <c r="B126" s="92">
        <v>7.39</v>
      </c>
      <c r="C126" s="93"/>
    </row>
    <row r="127" spans="1:3">
      <c r="A127" s="93">
        <v>37680</v>
      </c>
      <c r="B127" s="92">
        <v>7.24</v>
      </c>
      <c r="C127" s="93"/>
    </row>
    <row r="128" spans="1:3">
      <c r="A128" s="93">
        <v>37711</v>
      </c>
      <c r="B128" s="92">
        <v>7.6</v>
      </c>
      <c r="C128" s="93"/>
    </row>
    <row r="129" spans="1:3">
      <c r="A129" s="93">
        <v>37741</v>
      </c>
      <c r="B129" s="92">
        <v>7.85</v>
      </c>
      <c r="C129" s="93"/>
    </row>
    <row r="130" spans="1:3">
      <c r="A130" s="93">
        <v>37772</v>
      </c>
      <c r="B130" s="92">
        <v>7.73</v>
      </c>
      <c r="C130" s="93"/>
    </row>
    <row r="131" spans="1:3">
      <c r="A131" s="93">
        <v>37802</v>
      </c>
      <c r="B131" s="92">
        <v>7.21</v>
      </c>
      <c r="C131" s="93"/>
    </row>
    <row r="132" spans="1:3">
      <c r="A132" s="93">
        <v>37833</v>
      </c>
      <c r="B132" s="92">
        <v>7.04</v>
      </c>
      <c r="C132" s="93"/>
    </row>
    <row r="133" spans="1:3">
      <c r="A133" s="93">
        <v>37864</v>
      </c>
      <c r="B133" s="92">
        <v>7.26</v>
      </c>
      <c r="C133" s="93"/>
    </row>
    <row r="134" spans="1:3">
      <c r="A134" s="93">
        <v>37894</v>
      </c>
      <c r="B134" s="92">
        <v>7.11</v>
      </c>
      <c r="C134" s="93"/>
    </row>
    <row r="135" spans="1:3">
      <c r="A135" s="93">
        <v>37925</v>
      </c>
      <c r="B135" s="92">
        <v>6.58</v>
      </c>
      <c r="C135" s="93"/>
    </row>
    <row r="136" spans="1:3">
      <c r="A136" s="93">
        <v>37955</v>
      </c>
      <c r="B136" s="92">
        <v>6.13</v>
      </c>
      <c r="C136" s="93"/>
    </row>
    <row r="137" spans="1:3">
      <c r="A137" s="93">
        <v>37986</v>
      </c>
      <c r="B137" s="92">
        <v>6.49</v>
      </c>
      <c r="C137" s="93"/>
    </row>
    <row r="138" spans="1:3">
      <c r="A138" s="93">
        <v>38017</v>
      </c>
      <c r="B138" s="92">
        <v>6.19</v>
      </c>
      <c r="C138" s="93"/>
    </row>
    <row r="139" spans="1:3">
      <c r="A139" s="93">
        <v>38046</v>
      </c>
      <c r="B139" s="92">
        <v>6.28</v>
      </c>
      <c r="C139" s="93"/>
    </row>
    <row r="140" spans="1:3">
      <c r="A140" s="93">
        <v>38077</v>
      </c>
      <c r="B140" s="92">
        <v>6.21</v>
      </c>
      <c r="C140" s="93"/>
    </row>
    <row r="141" spans="1:3">
      <c r="A141" s="93">
        <v>38107</v>
      </c>
      <c r="B141" s="92">
        <v>5.49</v>
      </c>
      <c r="C141" s="93"/>
    </row>
    <row r="142" spans="1:3">
      <c r="A142" s="93">
        <v>38138</v>
      </c>
      <c r="B142" s="92">
        <v>5.37</v>
      </c>
      <c r="C142" s="93"/>
    </row>
    <row r="143" spans="1:3">
      <c r="A143" s="93">
        <v>38168</v>
      </c>
      <c r="B143" s="92">
        <v>6.07</v>
      </c>
      <c r="C143" s="93"/>
    </row>
    <row r="144" spans="1:3">
      <c r="A144" s="93">
        <v>38199</v>
      </c>
      <c r="B144" s="92">
        <v>6.19</v>
      </c>
      <c r="C144" s="93"/>
    </row>
    <row r="145" spans="1:3">
      <c r="A145" s="93">
        <v>38230</v>
      </c>
      <c r="B145" s="92">
        <v>5.89</v>
      </c>
      <c r="C145" s="93"/>
    </row>
    <row r="146" spans="1:3">
      <c r="A146" s="93">
        <v>38260</v>
      </c>
      <c r="B146" s="92">
        <v>5.97</v>
      </c>
      <c r="C146" s="93"/>
    </row>
    <row r="147" spans="1:3">
      <c r="A147" s="93">
        <v>38291</v>
      </c>
      <c r="B147" s="92">
        <v>5.9</v>
      </c>
      <c r="C147" s="93"/>
    </row>
    <row r="148" spans="1:3">
      <c r="A148" s="93">
        <v>38321</v>
      </c>
      <c r="B148" s="92">
        <v>5.82</v>
      </c>
      <c r="C148" s="93"/>
    </row>
    <row r="149" spans="1:3">
      <c r="A149" s="93">
        <v>38352</v>
      </c>
      <c r="B149" s="92">
        <v>5.5</v>
      </c>
      <c r="C149" s="93"/>
    </row>
    <row r="150" spans="1:3">
      <c r="A150" s="93">
        <v>38383</v>
      </c>
      <c r="B150" s="92">
        <v>5.43</v>
      </c>
      <c r="C150" s="93"/>
    </row>
    <row r="151" spans="1:3">
      <c r="A151" s="93">
        <v>38411</v>
      </c>
      <c r="B151" s="92">
        <v>5.25</v>
      </c>
      <c r="C151" s="93"/>
    </row>
    <row r="152" spans="1:3">
      <c r="A152" s="93">
        <v>38442</v>
      </c>
      <c r="B152" s="92">
        <v>5.03</v>
      </c>
      <c r="C152" s="93"/>
    </row>
    <row r="153" spans="1:3">
      <c r="A153" s="93">
        <v>38472</v>
      </c>
      <c r="B153" s="92">
        <v>5.01</v>
      </c>
      <c r="C153" s="93"/>
    </row>
    <row r="154" spans="1:3">
      <c r="A154" s="93">
        <v>38503</v>
      </c>
      <c r="B154" s="92">
        <v>5.04</v>
      </c>
      <c r="C154" s="93"/>
    </row>
    <row r="155" spans="1:3">
      <c r="A155" s="93">
        <v>38533</v>
      </c>
      <c r="B155" s="92">
        <v>4.83</v>
      </c>
      <c r="C155" s="93"/>
    </row>
    <row r="156" spans="1:3">
      <c r="A156" s="93">
        <v>38564</v>
      </c>
      <c r="B156" s="92">
        <v>4.91</v>
      </c>
      <c r="C156" s="93"/>
    </row>
    <row r="157" spans="1:3">
      <c r="A157" s="93">
        <v>38595</v>
      </c>
      <c r="B157" s="92">
        <v>4.88</v>
      </c>
      <c r="C157" s="93"/>
    </row>
    <row r="158" spans="1:3">
      <c r="A158" s="93">
        <v>38625</v>
      </c>
      <c r="B158" s="92">
        <v>5.0199999999999996</v>
      </c>
      <c r="C158" s="93"/>
    </row>
    <row r="159" spans="1:3">
      <c r="A159" s="93">
        <v>38656</v>
      </c>
      <c r="B159" s="92">
        <v>5.27</v>
      </c>
      <c r="C159" s="93"/>
    </row>
    <row r="160" spans="1:3">
      <c r="A160" s="93">
        <v>38686</v>
      </c>
      <c r="B160" s="92">
        <v>5.0999999999999996</v>
      </c>
      <c r="C160" s="93"/>
    </row>
    <row r="161" spans="1:3">
      <c r="A161" s="93">
        <v>38717</v>
      </c>
      <c r="B161" s="92">
        <v>4.8499999999999996</v>
      </c>
      <c r="C161" s="93"/>
    </row>
    <row r="162" spans="1:3">
      <c r="A162" s="93">
        <v>38748</v>
      </c>
      <c r="B162" s="92">
        <v>4.5599999999999996</v>
      </c>
      <c r="C162" s="93"/>
    </row>
    <row r="163" spans="1:3">
      <c r="A163" s="93">
        <v>38776</v>
      </c>
      <c r="B163" s="92">
        <v>4.1900000000000004</v>
      </c>
      <c r="C163" s="93"/>
    </row>
    <row r="164" spans="1:3">
      <c r="A164" s="93">
        <v>38807</v>
      </c>
      <c r="B164" s="92">
        <v>4.1100000000000003</v>
      </c>
      <c r="C164" s="93"/>
    </row>
    <row r="165" spans="1:3">
      <c r="A165" s="93">
        <v>38837</v>
      </c>
      <c r="B165" s="92">
        <v>4.12</v>
      </c>
      <c r="C165" s="93"/>
    </row>
    <row r="166" spans="1:3">
      <c r="A166" s="93">
        <v>38868</v>
      </c>
      <c r="B166" s="92">
        <v>4.04</v>
      </c>
      <c r="C166" s="93"/>
    </row>
    <row r="167" spans="1:3">
      <c r="A167" s="93">
        <v>38898</v>
      </c>
      <c r="B167" s="92">
        <v>3.94</v>
      </c>
      <c r="C167" s="93"/>
    </row>
    <row r="168" spans="1:3">
      <c r="A168" s="93">
        <v>38929</v>
      </c>
      <c r="B168" s="92">
        <v>4.32</v>
      </c>
      <c r="C168" s="93"/>
    </row>
    <row r="169" spans="1:3">
      <c r="A169" s="93">
        <v>38960</v>
      </c>
      <c r="B169" s="92">
        <v>4.72</v>
      </c>
      <c r="C169" s="93"/>
    </row>
    <row r="170" spans="1:3">
      <c r="A170" s="93">
        <v>38990</v>
      </c>
      <c r="B170" s="92">
        <v>4.58</v>
      </c>
      <c r="C170" s="93"/>
    </row>
    <row r="171" spans="1:3">
      <c r="A171" s="93">
        <v>39021</v>
      </c>
      <c r="B171" s="92">
        <v>4.1900000000000004</v>
      </c>
      <c r="C171" s="93"/>
    </row>
    <row r="172" spans="1:3">
      <c r="A172" s="93">
        <v>39051</v>
      </c>
      <c r="B172" s="92">
        <v>4.3099999999999996</v>
      </c>
      <c r="C172" s="93"/>
    </row>
    <row r="173" spans="1:3">
      <c r="A173" s="93">
        <v>39082</v>
      </c>
      <c r="B173" s="92">
        <v>4.4800000000000004</v>
      </c>
      <c r="C173" s="93"/>
    </row>
    <row r="174" spans="1:3">
      <c r="A174" s="93">
        <v>39113</v>
      </c>
      <c r="B174" s="92">
        <v>4.71</v>
      </c>
      <c r="C174" s="93"/>
    </row>
    <row r="175" spans="1:3">
      <c r="A175" s="93">
        <v>39141</v>
      </c>
      <c r="B175" s="92">
        <v>5.25</v>
      </c>
      <c r="C175" s="93"/>
    </row>
    <row r="176" spans="1:3">
      <c r="A176" s="93">
        <v>39172</v>
      </c>
      <c r="B176" s="92">
        <v>5.78</v>
      </c>
      <c r="C176" s="93"/>
    </row>
    <row r="177" spans="1:3">
      <c r="A177" s="93">
        <v>39202</v>
      </c>
      <c r="B177" s="92">
        <v>6.26</v>
      </c>
      <c r="C177" s="93"/>
    </row>
    <row r="178" spans="1:3">
      <c r="A178" s="93">
        <v>39233</v>
      </c>
      <c r="B178" s="92">
        <v>6.23</v>
      </c>
      <c r="C178" s="93"/>
    </row>
    <row r="179" spans="1:3">
      <c r="A179" s="93">
        <v>39263</v>
      </c>
      <c r="B179" s="92">
        <v>6.03</v>
      </c>
      <c r="C179" s="93"/>
    </row>
    <row r="180" spans="1:3">
      <c r="A180" s="93">
        <v>39294</v>
      </c>
      <c r="B180" s="92">
        <v>5.77</v>
      </c>
      <c r="C180" s="93"/>
    </row>
    <row r="181" spans="1:3">
      <c r="A181" s="93">
        <v>39325</v>
      </c>
      <c r="B181" s="92">
        <v>5.22</v>
      </c>
      <c r="C181" s="93"/>
    </row>
    <row r="182" spans="1:3">
      <c r="A182" s="93">
        <v>39355</v>
      </c>
      <c r="B182" s="92">
        <v>5.01</v>
      </c>
      <c r="C182" s="93"/>
    </row>
    <row r="183" spans="1:3">
      <c r="A183" s="93">
        <v>39386</v>
      </c>
      <c r="B183" s="92">
        <v>5.16</v>
      </c>
      <c r="C183" s="93"/>
    </row>
    <row r="184" spans="1:3">
      <c r="A184" s="93">
        <v>39416</v>
      </c>
      <c r="B184" s="92">
        <v>5.41</v>
      </c>
      <c r="C184" s="93"/>
    </row>
    <row r="185" spans="1:3">
      <c r="A185" s="93">
        <v>39447</v>
      </c>
      <c r="B185" s="92">
        <v>5.69</v>
      </c>
      <c r="C185" s="93"/>
    </row>
    <row r="186" spans="1:3">
      <c r="A186" s="93">
        <v>39478</v>
      </c>
      <c r="B186" s="92">
        <v>6</v>
      </c>
      <c r="C186" s="93"/>
    </row>
    <row r="187" spans="1:3">
      <c r="A187" s="93">
        <v>39507</v>
      </c>
      <c r="B187" s="92">
        <v>6.35</v>
      </c>
      <c r="C187" s="93"/>
    </row>
    <row r="188" spans="1:3">
      <c r="A188" s="93">
        <v>39538</v>
      </c>
      <c r="B188" s="92">
        <v>5.93</v>
      </c>
      <c r="C188" s="93"/>
    </row>
    <row r="189" spans="1:3">
      <c r="A189" s="93">
        <v>39568</v>
      </c>
      <c r="B189" s="92">
        <v>5.73</v>
      </c>
      <c r="C189" s="93"/>
    </row>
    <row r="190" spans="1:3">
      <c r="A190" s="93">
        <v>39599</v>
      </c>
      <c r="B190" s="92">
        <v>6.39</v>
      </c>
      <c r="C190" s="93"/>
    </row>
    <row r="191" spans="1:3">
      <c r="A191" s="93">
        <v>39629</v>
      </c>
      <c r="B191" s="92">
        <v>7.18</v>
      </c>
      <c r="C191" s="93"/>
    </row>
    <row r="192" spans="1:3">
      <c r="A192" s="93">
        <v>39660</v>
      </c>
      <c r="B192" s="92">
        <v>7.52</v>
      </c>
      <c r="C192" s="93"/>
    </row>
    <row r="193" spans="1:3">
      <c r="A193" s="93">
        <v>39691</v>
      </c>
      <c r="B193" s="92">
        <v>7.87</v>
      </c>
      <c r="C193" s="93"/>
    </row>
    <row r="194" spans="1:3">
      <c r="A194" s="93">
        <v>39721</v>
      </c>
      <c r="B194" s="92">
        <v>7.57</v>
      </c>
      <c r="C194" s="93"/>
    </row>
    <row r="195" spans="1:3">
      <c r="A195" s="93">
        <v>39752</v>
      </c>
      <c r="B195" s="92">
        <v>7.94</v>
      </c>
      <c r="C195" s="93"/>
    </row>
    <row r="196" spans="1:3">
      <c r="A196" s="93">
        <v>39782</v>
      </c>
      <c r="B196" s="92">
        <v>7.73</v>
      </c>
      <c r="C196" s="93"/>
    </row>
    <row r="197" spans="1:3">
      <c r="A197" s="93">
        <v>39813</v>
      </c>
      <c r="B197" s="92">
        <v>7.67</v>
      </c>
      <c r="C197" s="93"/>
    </row>
    <row r="198" spans="1:3">
      <c r="A198" s="93">
        <v>39844</v>
      </c>
      <c r="B198" s="92">
        <v>7.18</v>
      </c>
      <c r="C198" s="93"/>
    </row>
    <row r="199" spans="1:3">
      <c r="A199" s="93">
        <v>39872</v>
      </c>
      <c r="B199" s="92">
        <v>6.47</v>
      </c>
      <c r="C199" s="93"/>
    </row>
    <row r="200" spans="1:3">
      <c r="A200" s="93">
        <v>39903</v>
      </c>
      <c r="B200" s="92">
        <v>6.14</v>
      </c>
      <c r="C200" s="93"/>
    </row>
    <row r="201" spans="1:3">
      <c r="A201" s="93">
        <v>39933</v>
      </c>
      <c r="B201" s="92">
        <v>5.73</v>
      </c>
      <c r="C201" s="93"/>
    </row>
    <row r="202" spans="1:3">
      <c r="A202" s="93">
        <v>39964</v>
      </c>
      <c r="B202" s="92">
        <v>4.7699999999999996</v>
      </c>
      <c r="C202" s="93"/>
    </row>
    <row r="203" spans="1:3">
      <c r="A203" s="93">
        <v>39994</v>
      </c>
      <c r="B203" s="92">
        <v>3.81</v>
      </c>
      <c r="C203" s="93"/>
    </row>
    <row r="204" spans="1:3">
      <c r="A204" s="93">
        <v>40025</v>
      </c>
      <c r="B204" s="92">
        <v>3.28</v>
      </c>
      <c r="C204" s="93"/>
    </row>
    <row r="205" spans="1:3">
      <c r="A205" s="93">
        <v>40056</v>
      </c>
      <c r="B205" s="92">
        <v>3.13</v>
      </c>
      <c r="C205" s="93"/>
    </row>
    <row r="206" spans="1:3">
      <c r="A206" s="93">
        <v>40086</v>
      </c>
      <c r="B206" s="92">
        <v>3.21</v>
      </c>
      <c r="C206" s="93"/>
    </row>
    <row r="207" spans="1:3">
      <c r="A207" s="93">
        <v>40117</v>
      </c>
      <c r="B207" s="92">
        <v>2.72</v>
      </c>
      <c r="C207" s="93"/>
    </row>
    <row r="208" spans="1:3">
      <c r="A208" s="93">
        <v>40147</v>
      </c>
      <c r="B208" s="92">
        <v>2.37</v>
      </c>
      <c r="C208" s="93"/>
    </row>
    <row r="209" spans="1:3">
      <c r="A209" s="93">
        <v>40178</v>
      </c>
      <c r="B209" s="92">
        <v>2</v>
      </c>
      <c r="C209" s="93"/>
    </row>
    <row r="210" spans="1:3">
      <c r="A210" s="93">
        <v>40209</v>
      </c>
      <c r="B210" s="92">
        <v>2.1</v>
      </c>
      <c r="C210" s="93"/>
    </row>
    <row r="211" spans="1:3">
      <c r="A211" s="93">
        <v>40237</v>
      </c>
      <c r="B211" s="92">
        <v>2.09</v>
      </c>
      <c r="C211" s="93"/>
    </row>
    <row r="212" spans="1:3">
      <c r="A212" s="93">
        <v>40268</v>
      </c>
      <c r="B212" s="92">
        <v>1.84</v>
      </c>
      <c r="C212" s="93"/>
    </row>
    <row r="213" spans="1:3">
      <c r="A213" s="93">
        <v>40298</v>
      </c>
      <c r="B213" s="92">
        <v>1.98</v>
      </c>
      <c r="C213" s="93"/>
    </row>
    <row r="214" spans="1:3">
      <c r="A214" s="93">
        <v>40329</v>
      </c>
      <c r="B214" s="92">
        <v>2.0699999999999998</v>
      </c>
      <c r="C214" s="93"/>
    </row>
    <row r="215" spans="1:3">
      <c r="A215" s="93">
        <v>40359</v>
      </c>
      <c r="B215" s="92">
        <v>2.25</v>
      </c>
      <c r="C215" s="93"/>
    </row>
    <row r="216" spans="1:3">
      <c r="A216" s="93">
        <v>40390</v>
      </c>
      <c r="B216" s="92">
        <v>2.2400000000000002</v>
      </c>
      <c r="C216" s="93"/>
    </row>
    <row r="217" spans="1:3">
      <c r="A217" s="93">
        <v>40421</v>
      </c>
      <c r="B217" s="92">
        <v>2.31</v>
      </c>
      <c r="C217" s="93"/>
    </row>
    <row r="218" spans="1:3">
      <c r="A218" s="93">
        <v>40451</v>
      </c>
      <c r="B218" s="92">
        <v>2.2799999999999998</v>
      </c>
      <c r="C218" s="93"/>
    </row>
    <row r="219" spans="1:3">
      <c r="A219" s="93">
        <v>40482</v>
      </c>
      <c r="B219" s="92">
        <v>2.33</v>
      </c>
      <c r="C219" s="93"/>
    </row>
    <row r="220" spans="1:3">
      <c r="A220" s="93">
        <v>40512</v>
      </c>
      <c r="B220" s="92">
        <v>2.59</v>
      </c>
      <c r="C220" s="93"/>
    </row>
    <row r="221" spans="1:3">
      <c r="A221" s="93">
        <v>40543</v>
      </c>
      <c r="B221" s="92">
        <v>3.17</v>
      </c>
      <c r="C221" s="93"/>
    </row>
    <row r="222" spans="1:3">
      <c r="A222" s="93">
        <v>40574</v>
      </c>
      <c r="B222" s="92">
        <v>3.4</v>
      </c>
      <c r="C222" s="93"/>
    </row>
    <row r="223" spans="1:3">
      <c r="A223" s="93">
        <v>40602</v>
      </c>
      <c r="B223" s="92">
        <v>3.17</v>
      </c>
      <c r="C223" s="93"/>
    </row>
    <row r="224" spans="1:3">
      <c r="A224" s="93">
        <v>40633</v>
      </c>
      <c r="B224" s="92">
        <v>3.19</v>
      </c>
      <c r="C224" s="93"/>
    </row>
    <row r="225" spans="1:3">
      <c r="A225" s="93">
        <v>40663</v>
      </c>
      <c r="B225" s="92">
        <v>2.84</v>
      </c>
      <c r="C225" s="93"/>
    </row>
    <row r="226" spans="1:3">
      <c r="A226" s="93">
        <v>40694</v>
      </c>
      <c r="B226" s="92">
        <v>3.02</v>
      </c>
      <c r="C226" s="93"/>
    </row>
    <row r="227" spans="1:3">
      <c r="A227" s="93">
        <v>40724</v>
      </c>
      <c r="B227" s="92">
        <v>3.23</v>
      </c>
      <c r="C227" s="93"/>
    </row>
    <row r="228" spans="1:3">
      <c r="A228" s="93">
        <v>40755</v>
      </c>
      <c r="B228" s="92">
        <v>3.42</v>
      </c>
      <c r="C228" s="93"/>
    </row>
    <row r="229" spans="1:3">
      <c r="A229" s="93">
        <v>40786</v>
      </c>
      <c r="B229" s="92">
        <v>3.27</v>
      </c>
      <c r="C229" s="93"/>
    </row>
    <row r="230" spans="1:3">
      <c r="A230" s="93">
        <v>40816</v>
      </c>
      <c r="B230" s="92">
        <v>3.73</v>
      </c>
      <c r="C230" s="93"/>
    </row>
    <row r="231" spans="1:3">
      <c r="A231" s="93">
        <v>40847</v>
      </c>
      <c r="B231" s="92">
        <v>4.0199999999999996</v>
      </c>
      <c r="C231" s="93"/>
    </row>
    <row r="232" spans="1:3">
      <c r="A232" s="93">
        <v>40877</v>
      </c>
      <c r="B232" s="92">
        <v>3.96</v>
      </c>
      <c r="C232" s="93"/>
    </row>
    <row r="233" spans="1:3">
      <c r="A233" s="93">
        <v>40908</v>
      </c>
      <c r="B233" s="92">
        <v>3.73</v>
      </c>
      <c r="C233" s="93"/>
    </row>
    <row r="234" spans="1:3">
      <c r="A234" s="93">
        <v>40939</v>
      </c>
      <c r="B234" s="92">
        <v>3.54</v>
      </c>
      <c r="C234" s="93"/>
    </row>
    <row r="235" spans="1:3">
      <c r="A235" s="93">
        <v>40968</v>
      </c>
      <c r="B235" s="92">
        <v>3.55</v>
      </c>
      <c r="C235" s="93"/>
    </row>
    <row r="236" spans="1:3">
      <c r="A236" s="93">
        <v>40999</v>
      </c>
      <c r="B236" s="92">
        <v>3.4</v>
      </c>
      <c r="C236" s="93"/>
    </row>
    <row r="237" spans="1:3">
      <c r="A237" s="93">
        <v>41029</v>
      </c>
      <c r="B237" s="92">
        <v>3.43</v>
      </c>
      <c r="C237" s="93"/>
    </row>
    <row r="238" spans="1:3">
      <c r="A238" s="93">
        <v>41060</v>
      </c>
      <c r="B238" s="92">
        <v>3.44</v>
      </c>
      <c r="C238" s="93"/>
    </row>
    <row r="239" spans="1:3">
      <c r="A239" s="93">
        <v>41090</v>
      </c>
      <c r="B239" s="92">
        <v>3.2</v>
      </c>
      <c r="C239" s="93"/>
    </row>
    <row r="240" spans="1:3">
      <c r="A240" s="93">
        <v>41121</v>
      </c>
      <c r="B240" s="92">
        <v>3.03</v>
      </c>
      <c r="C240" s="93"/>
    </row>
    <row r="241" spans="1:3">
      <c r="A241" s="93">
        <v>41152</v>
      </c>
      <c r="B241" s="92">
        <v>3.11</v>
      </c>
      <c r="C241" s="93"/>
    </row>
    <row r="242" spans="1:3">
      <c r="A242" s="93">
        <v>41182</v>
      </c>
      <c r="B242" s="92">
        <v>3.08</v>
      </c>
      <c r="C242" s="93"/>
    </row>
    <row r="243" spans="1:3">
      <c r="A243" s="93">
        <v>41213</v>
      </c>
      <c r="B243" s="92">
        <v>3.06</v>
      </c>
      <c r="C243" s="93"/>
    </row>
    <row r="244" spans="1:3">
      <c r="A244" s="93">
        <v>41243</v>
      </c>
      <c r="B244" s="92">
        <v>2.77</v>
      </c>
      <c r="C244" s="93"/>
    </row>
    <row r="245" spans="1:3">
      <c r="A245" s="93">
        <v>41274</v>
      </c>
      <c r="B245" s="92">
        <v>2.44</v>
      </c>
      <c r="C245" s="93"/>
    </row>
    <row r="246" spans="1:3">
      <c r="A246" s="93">
        <v>41305</v>
      </c>
      <c r="B246" s="92">
        <v>2</v>
      </c>
      <c r="C246" s="93"/>
    </row>
    <row r="247" spans="1:3">
      <c r="A247" s="93">
        <v>41333</v>
      </c>
      <c r="B247" s="92">
        <v>1.83</v>
      </c>
      <c r="C247" s="93"/>
    </row>
    <row r="248" spans="1:3">
      <c r="A248" s="93">
        <v>41364</v>
      </c>
      <c r="B248" s="92">
        <v>1.91</v>
      </c>
      <c r="C248" s="93"/>
    </row>
    <row r="249" spans="1:3">
      <c r="A249" s="93">
        <v>41394</v>
      </c>
      <c r="B249" s="92">
        <v>2.02</v>
      </c>
      <c r="C249" s="93"/>
    </row>
    <row r="250" spans="1:3">
      <c r="A250" s="93">
        <v>41425</v>
      </c>
      <c r="B250" s="92">
        <v>2</v>
      </c>
      <c r="C250" s="93"/>
    </row>
    <row r="251" spans="1:3">
      <c r="A251" s="93">
        <v>41455</v>
      </c>
      <c r="B251" s="92">
        <v>2.16</v>
      </c>
      <c r="C251" s="93"/>
    </row>
    <row r="252" spans="1:3">
      <c r="A252" s="93">
        <v>41486</v>
      </c>
      <c r="B252" s="92">
        <v>2.2200000000000002</v>
      </c>
      <c r="C252" s="93"/>
    </row>
    <row r="253" spans="1:3">
      <c r="A253" s="93">
        <v>41517</v>
      </c>
      <c r="B253" s="92">
        <v>2.27</v>
      </c>
      <c r="C253" s="93"/>
    </row>
    <row r="254" spans="1:3">
      <c r="A254" s="93">
        <v>41547</v>
      </c>
      <c r="B254" s="92">
        <v>2.27</v>
      </c>
      <c r="C254" s="93"/>
    </row>
    <row r="255" spans="1:3">
      <c r="A255" s="93">
        <v>41578</v>
      </c>
      <c r="B255" s="92">
        <v>1.84</v>
      </c>
      <c r="C255" s="93"/>
    </row>
    <row r="256" spans="1:3">
      <c r="A256" s="93">
        <v>41608</v>
      </c>
      <c r="B256" s="92">
        <v>1.76</v>
      </c>
      <c r="C256" s="93"/>
    </row>
    <row r="257" spans="1:3">
      <c r="A257" s="93">
        <v>41639</v>
      </c>
      <c r="B257" s="92">
        <v>1.94</v>
      </c>
      <c r="C257" s="93"/>
    </row>
    <row r="258" spans="1:3">
      <c r="A258" s="93">
        <v>41670</v>
      </c>
      <c r="B258" s="92">
        <v>2.13</v>
      </c>
      <c r="C258" s="93"/>
    </row>
    <row r="259" spans="1:3">
      <c r="A259" s="93">
        <v>41698</v>
      </c>
      <c r="B259" s="92">
        <v>2.3199999999999998</v>
      </c>
      <c r="C259" s="93"/>
    </row>
    <row r="260" spans="1:3">
      <c r="A260" s="93">
        <v>41729</v>
      </c>
      <c r="B260" s="92">
        <v>2.5099999999999998</v>
      </c>
      <c r="C260" s="93"/>
    </row>
    <row r="261" spans="1:3">
      <c r="A261" s="93">
        <v>41759</v>
      </c>
      <c r="B261" s="92">
        <v>2.72</v>
      </c>
      <c r="C261" s="93"/>
    </row>
    <row r="262" spans="1:3">
      <c r="A262" s="93">
        <v>41790</v>
      </c>
      <c r="B262" s="92">
        <v>2.93</v>
      </c>
      <c r="C262" s="93"/>
    </row>
    <row r="263" spans="1:3">
      <c r="A263" s="93">
        <v>41820</v>
      </c>
      <c r="B263" s="92">
        <v>2.79</v>
      </c>
      <c r="C263" s="93"/>
    </row>
    <row r="264" spans="1:3">
      <c r="A264" s="93">
        <v>41851</v>
      </c>
      <c r="B264" s="92">
        <v>2.89</v>
      </c>
      <c r="C264" s="93"/>
    </row>
    <row r="265" spans="1:3">
      <c r="A265" s="93">
        <v>41882</v>
      </c>
      <c r="B265" s="92">
        <v>3.02</v>
      </c>
      <c r="C265" s="93"/>
    </row>
    <row r="266" spans="1:3">
      <c r="A266" s="93">
        <v>41912</v>
      </c>
      <c r="B266" s="92">
        <v>2.86</v>
      </c>
      <c r="C266" s="93"/>
    </row>
    <row r="267" spans="1:3">
      <c r="A267" s="93">
        <v>41943</v>
      </c>
      <c r="B267" s="92">
        <v>3.29</v>
      </c>
      <c r="C267" s="93"/>
    </row>
    <row r="268" spans="1:3">
      <c r="A268" s="93">
        <v>41973</v>
      </c>
      <c r="B268" s="92">
        <v>3.65</v>
      </c>
      <c r="C268" s="93"/>
    </row>
    <row r="269" spans="1:3">
      <c r="A269" s="93">
        <v>42004</v>
      </c>
      <c r="B269" s="92">
        <v>3.66</v>
      </c>
      <c r="C269" s="93"/>
    </row>
    <row r="270" spans="1:3">
      <c r="A270" s="93">
        <v>42035</v>
      </c>
      <c r="B270" s="92">
        <v>3.82</v>
      </c>
      <c r="C270" s="93"/>
    </row>
    <row r="271" spans="1:3">
      <c r="A271" s="93">
        <v>42063</v>
      </c>
      <c r="B271" s="92">
        <v>4.3600000000000003</v>
      </c>
      <c r="C271" s="93"/>
    </row>
    <row r="272" spans="1:3">
      <c r="A272" s="93">
        <v>42094</v>
      </c>
      <c r="B272" s="92">
        <v>4.5599999999999996</v>
      </c>
      <c r="C272" s="93"/>
    </row>
    <row r="273" spans="1:3">
      <c r="A273" s="93">
        <v>42124</v>
      </c>
      <c r="B273" s="92">
        <v>4.6399999999999997</v>
      </c>
      <c r="C273" s="93"/>
    </row>
    <row r="274" spans="1:3">
      <c r="A274" s="93">
        <v>42155</v>
      </c>
      <c r="B274" s="92">
        <v>4.41</v>
      </c>
      <c r="C274" s="93"/>
    </row>
    <row r="275" spans="1:3">
      <c r="A275" s="93">
        <v>42185</v>
      </c>
      <c r="B275" s="92">
        <v>4.42</v>
      </c>
      <c r="C275" s="93"/>
    </row>
    <row r="276" spans="1:3">
      <c r="A276" s="93">
        <v>42216</v>
      </c>
      <c r="B276" s="92">
        <v>4.46</v>
      </c>
      <c r="C276" s="93"/>
    </row>
    <row r="277" spans="1:3">
      <c r="A277" s="93">
        <v>42247</v>
      </c>
      <c r="B277" s="92">
        <v>4.74</v>
      </c>
      <c r="C277" s="93"/>
    </row>
    <row r="278" spans="1:3">
      <c r="A278" s="93">
        <v>42277</v>
      </c>
      <c r="B278" s="92">
        <v>5.35</v>
      </c>
      <c r="C278" s="93"/>
    </row>
    <row r="279" spans="1:3">
      <c r="A279" s="93">
        <v>42308</v>
      </c>
      <c r="B279" s="92">
        <v>5.89</v>
      </c>
      <c r="C279" s="93"/>
    </row>
    <row r="280" spans="1:3">
      <c r="A280" s="93">
        <v>42338</v>
      </c>
      <c r="B280" s="92">
        <v>6.39</v>
      </c>
      <c r="C280" s="93"/>
    </row>
    <row r="281" spans="1:3">
      <c r="A281" s="93">
        <v>42369</v>
      </c>
      <c r="B281" s="92">
        <v>6.77</v>
      </c>
      <c r="C281" s="93"/>
    </row>
    <row r="282" spans="1:3">
      <c r="A282" s="93">
        <v>42400</v>
      </c>
      <c r="B282" s="92">
        <v>7.45</v>
      </c>
      <c r="C282" s="93"/>
    </row>
    <row r="283" spans="1:3">
      <c r="A283" s="93">
        <v>42429</v>
      </c>
      <c r="B283" s="92">
        <v>7.59</v>
      </c>
      <c r="C283" s="93"/>
    </row>
    <row r="284" spans="1:3">
      <c r="A284" s="93">
        <v>42460</v>
      </c>
      <c r="B284" s="92">
        <v>7.98</v>
      </c>
      <c r="C284" s="93"/>
    </row>
    <row r="285" spans="1:3">
      <c r="A285" s="93">
        <v>42490</v>
      </c>
      <c r="B285" s="92">
        <v>7.93</v>
      </c>
      <c r="C285" s="93"/>
    </row>
    <row r="286" spans="1:3">
      <c r="A286" s="93">
        <v>42521</v>
      </c>
      <c r="B286" s="92">
        <v>8.1999999999999993</v>
      </c>
      <c r="C286" s="93"/>
    </row>
    <row r="287" spans="1:3">
      <c r="A287" s="93">
        <v>42551</v>
      </c>
      <c r="B287" s="92">
        <v>8.6</v>
      </c>
      <c r="C287" s="93"/>
    </row>
    <row r="288" spans="1:3">
      <c r="A288" s="93">
        <v>42582</v>
      </c>
      <c r="B288" s="92">
        <v>8.9700000000000006</v>
      </c>
      <c r="C288" s="93"/>
    </row>
    <row r="289" spans="1:3">
      <c r="A289" s="93">
        <v>42613</v>
      </c>
      <c r="B289" s="92">
        <v>8.1</v>
      </c>
      <c r="C289" s="93"/>
    </row>
    <row r="290" spans="1:3">
      <c r="A290" s="93">
        <v>42643</v>
      </c>
      <c r="B290" s="92">
        <v>7.27</v>
      </c>
      <c r="C290" s="93"/>
    </row>
    <row r="291" spans="1:3">
      <c r="A291" s="93">
        <v>42674</v>
      </c>
      <c r="B291" s="92">
        <v>6.48</v>
      </c>
      <c r="C291" s="93"/>
    </row>
    <row r="292" spans="1:3">
      <c r="A292" s="93">
        <v>42704</v>
      </c>
      <c r="B292" s="92">
        <v>5.96</v>
      </c>
      <c r="C292" s="93"/>
    </row>
    <row r="293" spans="1:3">
      <c r="A293" s="93">
        <v>42735</v>
      </c>
      <c r="B293" s="92">
        <v>5.75</v>
      </c>
      <c r="C293" s="93"/>
    </row>
    <row r="294" spans="1:3">
      <c r="A294" s="93">
        <v>42766</v>
      </c>
      <c r="B294" s="92">
        <v>5.47</v>
      </c>
      <c r="C294" s="93"/>
    </row>
    <row r="295" spans="1:3">
      <c r="A295" s="93">
        <v>42794</v>
      </c>
      <c r="B295" s="92">
        <v>5.18</v>
      </c>
      <c r="C295" s="93"/>
    </row>
    <row r="296" spans="1:3">
      <c r="A296" s="93">
        <v>42825</v>
      </c>
      <c r="B296" s="92">
        <v>4.6900000000000004</v>
      </c>
      <c r="C296" s="93"/>
    </row>
    <row r="297" spans="1:3">
      <c r="A297" s="93">
        <v>42855</v>
      </c>
      <c r="B297" s="92">
        <v>4.66</v>
      </c>
      <c r="C297" s="93"/>
    </row>
    <row r="298" spans="1:3">
      <c r="A298" s="93">
        <v>42886</v>
      </c>
      <c r="B298" s="92">
        <v>4.37</v>
      </c>
      <c r="C298" s="93"/>
    </row>
    <row r="299" spans="1:3">
      <c r="A299" s="93">
        <v>42916</v>
      </c>
      <c r="B299" s="92">
        <v>3.99</v>
      </c>
      <c r="C299" s="93"/>
    </row>
    <row r="300" spans="1:3">
      <c r="A300" s="93">
        <v>42947</v>
      </c>
      <c r="B300" s="92">
        <v>3.4</v>
      </c>
      <c r="C300" s="93"/>
    </row>
    <row r="301" spans="1:3">
      <c r="A301" s="93">
        <v>42978</v>
      </c>
      <c r="B301" s="92">
        <v>3.87</v>
      </c>
      <c r="C301" s="93"/>
    </row>
    <row r="302" spans="1:3">
      <c r="A302" s="93">
        <v>43008</v>
      </c>
      <c r="B302" s="92">
        <v>3.97</v>
      </c>
      <c r="C302" s="93"/>
    </row>
    <row r="303" spans="1:3">
      <c r="A303" s="93">
        <v>43039</v>
      </c>
      <c r="B303" s="92">
        <v>4.05</v>
      </c>
      <c r="C303" s="93"/>
    </row>
    <row r="304" spans="1:3">
      <c r="A304" s="93">
        <v>43069</v>
      </c>
      <c r="B304" s="92">
        <v>4.12</v>
      </c>
      <c r="C304" s="93"/>
    </row>
    <row r="305" spans="1:3">
      <c r="A305" s="93">
        <v>43100</v>
      </c>
      <c r="B305" s="92">
        <v>4.09</v>
      </c>
      <c r="C305" s="93"/>
    </row>
    <row r="306" spans="1:3">
      <c r="A306" s="93">
        <v>43131</v>
      </c>
      <c r="B306" s="92">
        <v>3.68</v>
      </c>
      <c r="C306" s="93"/>
    </row>
    <row r="307" spans="1:3">
      <c r="A307" s="93">
        <v>43159</v>
      </c>
      <c r="B307" s="92">
        <v>3.37</v>
      </c>
      <c r="C307" s="93"/>
    </row>
    <row r="308" spans="1:3">
      <c r="A308" s="93">
        <v>43190</v>
      </c>
      <c r="B308" s="92">
        <v>3.14</v>
      </c>
      <c r="C308" s="93"/>
    </row>
    <row r="309" spans="1:3">
      <c r="A309" s="93">
        <v>43220</v>
      </c>
      <c r="B309" s="92">
        <v>3.13</v>
      </c>
      <c r="C309" s="93"/>
    </row>
    <row r="310" spans="1:3">
      <c r="A310" s="93">
        <v>43251</v>
      </c>
      <c r="B310" s="92">
        <v>3.16</v>
      </c>
      <c r="C310" s="93"/>
    </row>
    <row r="311" spans="1:3">
      <c r="A311" s="93">
        <v>43281</v>
      </c>
      <c r="B311" s="92">
        <v>3.2</v>
      </c>
      <c r="C311" s="93"/>
    </row>
    <row r="312" spans="1:3">
      <c r="A312" s="93">
        <v>43312</v>
      </c>
      <c r="B312" s="92">
        <v>3.12</v>
      </c>
      <c r="C312" s="93"/>
    </row>
    <row r="313" spans="1:3">
      <c r="A313" s="93">
        <v>43343</v>
      </c>
      <c r="B313" s="92">
        <v>3.1</v>
      </c>
      <c r="C313" s="93"/>
    </row>
    <row r="314" spans="1:3">
      <c r="A314" s="93">
        <v>43373</v>
      </c>
      <c r="B314" s="92">
        <v>3.23</v>
      </c>
      <c r="C314" s="93"/>
    </row>
    <row r="315" spans="1:3">
      <c r="A315" s="93">
        <v>43404</v>
      </c>
      <c r="B315" s="92">
        <v>3.33</v>
      </c>
      <c r="C315" s="93"/>
    </row>
    <row r="316" spans="1:3">
      <c r="A316" s="93">
        <v>43434</v>
      </c>
      <c r="B316" s="92">
        <v>3.27</v>
      </c>
      <c r="C316" s="93"/>
    </row>
    <row r="317" spans="1:3">
      <c r="A317" s="93">
        <v>43465</v>
      </c>
      <c r="B317" s="92">
        <v>3.18</v>
      </c>
      <c r="C317" s="93"/>
    </row>
    <row r="318" spans="1:3">
      <c r="A318" s="93">
        <v>43496</v>
      </c>
      <c r="B318" s="92">
        <v>3.15</v>
      </c>
      <c r="C318" s="93"/>
    </row>
    <row r="319" spans="1:3">
      <c r="A319" s="93">
        <v>43524</v>
      </c>
      <c r="B319" s="92">
        <v>3.01</v>
      </c>
      <c r="C319" s="93"/>
    </row>
    <row r="320" spans="1:3">
      <c r="A320" s="93">
        <v>43555</v>
      </c>
      <c r="B320" s="92">
        <v>3.21</v>
      </c>
      <c r="C320" s="93"/>
    </row>
    <row r="321" spans="1:3">
      <c r="A321" s="93">
        <v>43585</v>
      </c>
      <c r="B321" s="92">
        <v>3.25</v>
      </c>
      <c r="C321" s="93"/>
    </row>
    <row r="322" spans="1:3">
      <c r="A322" s="93">
        <v>43616</v>
      </c>
      <c r="B322" s="92">
        <v>3.31</v>
      </c>
      <c r="C322" s="93"/>
    </row>
    <row r="323" spans="1:3">
      <c r="A323" s="93">
        <v>43646</v>
      </c>
      <c r="B323" s="92">
        <v>3.43</v>
      </c>
      <c r="C323" s="93"/>
    </row>
    <row r="324" spans="1:3">
      <c r="A324" s="93">
        <v>43677</v>
      </c>
      <c r="B324" s="92">
        <v>3.79</v>
      </c>
      <c r="C324" s="93"/>
    </row>
    <row r="325" spans="1:3">
      <c r="A325" s="93">
        <v>43708</v>
      </c>
      <c r="B325" s="92">
        <v>3.75</v>
      </c>
      <c r="C325" s="93"/>
    </row>
    <row r="326" spans="1:3">
      <c r="A326" s="93">
        <v>43738</v>
      </c>
      <c r="B326" s="92">
        <v>3.82</v>
      </c>
      <c r="C326" s="93"/>
    </row>
    <row r="327" spans="1:3">
      <c r="A327" s="93">
        <v>43769</v>
      </c>
      <c r="B327" s="92">
        <v>3.86</v>
      </c>
      <c r="C327" s="93"/>
    </row>
    <row r="328" spans="1:3">
      <c r="A328" s="93">
        <v>43799</v>
      </c>
      <c r="B328" s="92">
        <v>3.84</v>
      </c>
      <c r="C328" s="93"/>
    </row>
    <row r="329" spans="1:3">
      <c r="A329" s="93">
        <v>43830</v>
      </c>
      <c r="B329" s="92">
        <v>3.8</v>
      </c>
      <c r="C329" s="93"/>
    </row>
    <row r="330" spans="1:3">
      <c r="A330" s="93">
        <v>43861</v>
      </c>
      <c r="B330" s="92">
        <v>3.62</v>
      </c>
      <c r="C330" s="93"/>
    </row>
    <row r="331" spans="1:3">
      <c r="A331" s="93">
        <v>43890</v>
      </c>
      <c r="B331" s="92">
        <v>3.72</v>
      </c>
      <c r="C331" s="93"/>
    </row>
    <row r="332" spans="1:3">
      <c r="A332" s="93">
        <v>43921</v>
      </c>
      <c r="B332" s="92">
        <v>3.86</v>
      </c>
      <c r="C332" s="93"/>
    </row>
    <row r="333" spans="1:3">
      <c r="A333" s="93">
        <v>43951</v>
      </c>
      <c r="B333" s="92">
        <v>3.51</v>
      </c>
      <c r="C333" s="93"/>
    </row>
    <row r="334" spans="1:3">
      <c r="A334" s="93">
        <v>43982</v>
      </c>
      <c r="B334" s="92">
        <v>2.85</v>
      </c>
      <c r="C334" s="93"/>
    </row>
    <row r="335" spans="1:3">
      <c r="A335" s="93">
        <v>44012</v>
      </c>
      <c r="B335" s="92">
        <v>2.19</v>
      </c>
      <c r="C335" s="93"/>
    </row>
    <row r="336" spans="1:3">
      <c r="A336" s="93">
        <v>44043</v>
      </c>
      <c r="B336" s="92">
        <v>1.97</v>
      </c>
      <c r="C336" s="93"/>
    </row>
    <row r="337" spans="1:3">
      <c r="A337" s="93">
        <v>44074</v>
      </c>
      <c r="B337" s="92">
        <v>1.88</v>
      </c>
      <c r="C337" s="93"/>
    </row>
    <row r="338" spans="1:3">
      <c r="A338" s="93">
        <v>44104</v>
      </c>
      <c r="B338" s="92">
        <v>1.97</v>
      </c>
      <c r="C338" s="93"/>
    </row>
    <row r="339" spans="1:3">
      <c r="A339" s="93">
        <v>44135</v>
      </c>
      <c r="B339" s="92">
        <v>1.75</v>
      </c>
      <c r="C339" s="93"/>
    </row>
    <row r="340" spans="1:3">
      <c r="A340" s="93">
        <v>44165</v>
      </c>
      <c r="B340" s="92">
        <v>1.49</v>
      </c>
      <c r="C340" s="93"/>
    </row>
    <row r="341" spans="1:3">
      <c r="A341" s="93">
        <v>44196</v>
      </c>
      <c r="B341" s="92">
        <v>1.61</v>
      </c>
      <c r="C341" s="93"/>
    </row>
    <row r="342" spans="1:3">
      <c r="A342" s="93">
        <v>44227</v>
      </c>
      <c r="B342" s="92">
        <v>1.6</v>
      </c>
      <c r="C342" s="93"/>
    </row>
    <row r="343" spans="1:3">
      <c r="A343" s="93">
        <v>44255</v>
      </c>
      <c r="B343" s="92">
        <v>1.56</v>
      </c>
      <c r="C343" s="93"/>
    </row>
    <row r="344" spans="1:3">
      <c r="A344" s="93">
        <v>44286</v>
      </c>
      <c r="B344" s="92">
        <v>1.51</v>
      </c>
      <c r="C344" s="93"/>
    </row>
    <row r="345" spans="1:3">
      <c r="A345" s="93">
        <v>44316</v>
      </c>
      <c r="B345" s="92">
        <v>1.95</v>
      </c>
      <c r="C345" s="93"/>
    </row>
    <row r="346" spans="1:3">
      <c r="A346" s="93">
        <v>44347</v>
      </c>
      <c r="B346" s="92">
        <v>3.3</v>
      </c>
      <c r="C346" s="93"/>
    </row>
    <row r="347" spans="1:3">
      <c r="A347" s="93">
        <v>44377</v>
      </c>
      <c r="B347" s="92">
        <v>3.63</v>
      </c>
      <c r="C347" s="93"/>
    </row>
    <row r="348" spans="1:3">
      <c r="A348" s="93">
        <v>44408</v>
      </c>
      <c r="B348" s="92">
        <v>3.97</v>
      </c>
      <c r="C348" s="93"/>
    </row>
    <row r="349" spans="1:3">
      <c r="A349" s="93">
        <v>44439</v>
      </c>
      <c r="B349" s="92">
        <v>4.4400000000000004</v>
      </c>
      <c r="C349" s="93"/>
    </row>
    <row r="350" spans="1:3">
      <c r="A350" s="93">
        <v>44469</v>
      </c>
      <c r="B350" s="92">
        <v>4.51</v>
      </c>
      <c r="C350" s="93"/>
    </row>
    <row r="351" spans="1:3">
      <c r="A351" s="93">
        <v>44500</v>
      </c>
      <c r="B351" s="92">
        <v>4.58</v>
      </c>
      <c r="C351" s="93"/>
    </row>
    <row r="352" spans="1:3">
      <c r="A352" s="93">
        <v>44530</v>
      </c>
      <c r="B352" s="92">
        <v>5.26</v>
      </c>
      <c r="C352" s="93"/>
    </row>
    <row r="353" spans="1:3">
      <c r="A353" s="93">
        <v>44561</v>
      </c>
      <c r="B353" s="92">
        <v>5.62</v>
      </c>
      <c r="C353" s="93"/>
    </row>
    <row r="354" spans="1:3">
      <c r="A354" s="93">
        <v>44592</v>
      </c>
      <c r="B354" s="92">
        <v>6.94</v>
      </c>
      <c r="C354" s="93"/>
    </row>
    <row r="355" spans="1:3">
      <c r="A355" s="93">
        <v>44620</v>
      </c>
      <c r="B355" s="92">
        <v>8.01</v>
      </c>
      <c r="C355" s="93"/>
    </row>
    <row r="356" spans="1:3">
      <c r="A356" s="93">
        <v>44651</v>
      </c>
      <c r="B356" s="92">
        <v>8.5299999999999994</v>
      </c>
      <c r="C356" s="93"/>
    </row>
    <row r="357" spans="1:3">
      <c r="A357" s="93">
        <v>44681</v>
      </c>
      <c r="B357" s="92">
        <v>9.23</v>
      </c>
      <c r="C357" s="93"/>
    </row>
    <row r="358" spans="1:3">
      <c r="A358" s="93">
        <v>44712</v>
      </c>
      <c r="B358" s="92">
        <v>9.07</v>
      </c>
      <c r="C358" s="93"/>
    </row>
    <row r="359" spans="1:3">
      <c r="A359" s="93">
        <v>44742</v>
      </c>
      <c r="B359" s="92">
        <v>9.67</v>
      </c>
      <c r="C359" s="93"/>
    </row>
    <row r="360" spans="1:3">
      <c r="A360" s="93">
        <v>44773</v>
      </c>
      <c r="B360" s="92">
        <v>10.210000000000001</v>
      </c>
      <c r="C360" s="93"/>
    </row>
    <row r="361" spans="1:3">
      <c r="A361" s="93">
        <v>44804</v>
      </c>
      <c r="B361" s="92">
        <v>10.84</v>
      </c>
      <c r="C361" s="93"/>
    </row>
    <row r="362" spans="1:3">
      <c r="A362" s="93">
        <v>44834</v>
      </c>
      <c r="B362" s="92">
        <v>11.44</v>
      </c>
      <c r="C362" s="93"/>
    </row>
    <row r="363" spans="1:3">
      <c r="A363" s="93">
        <v>44865</v>
      </c>
      <c r="B363" s="92">
        <v>12.22</v>
      </c>
      <c r="C363" s="93"/>
    </row>
    <row r="364" spans="1:3">
      <c r="A364" s="93">
        <v>44895</v>
      </c>
      <c r="B364" s="92">
        <v>12.53</v>
      </c>
      <c r="C364" s="93"/>
    </row>
    <row r="365" spans="1:3">
      <c r="A365" s="93">
        <v>44926</v>
      </c>
      <c r="B365" s="92">
        <v>13.12</v>
      </c>
      <c r="C365" s="93"/>
    </row>
    <row r="366" spans="1:3">
      <c r="A366" s="93">
        <v>44957</v>
      </c>
      <c r="B366" s="92">
        <v>13.25</v>
      </c>
      <c r="C366" s="93"/>
    </row>
    <row r="367" spans="1:3">
      <c r="A367" s="93">
        <v>44985</v>
      </c>
      <c r="B367" s="92">
        <v>13.28</v>
      </c>
      <c r="C367" s="93"/>
    </row>
    <row r="368" spans="1:3">
      <c r="A368" s="93">
        <v>45016</v>
      </c>
      <c r="B368" s="92">
        <v>13.34</v>
      </c>
      <c r="C368" s="93"/>
    </row>
    <row r="369" spans="1:3">
      <c r="A369" s="93">
        <v>45046</v>
      </c>
      <c r="B369" s="92">
        <v>12.82</v>
      </c>
      <c r="C369" s="93"/>
    </row>
    <row r="370" spans="1:3">
      <c r="A370" s="93">
        <v>45077</v>
      </c>
      <c r="B370" s="92">
        <v>12.36</v>
      </c>
      <c r="C370" s="93"/>
    </row>
    <row r="371" spans="1:3">
      <c r="A371" s="93">
        <v>45107</v>
      </c>
      <c r="B371" s="92">
        <v>12.13</v>
      </c>
      <c r="C371" s="93"/>
    </row>
    <row r="372" spans="1:3">
      <c r="A372" s="93">
        <v>45138</v>
      </c>
      <c r="B372" s="92">
        <v>11.78</v>
      </c>
      <c r="C372" s="93"/>
    </row>
    <row r="373" spans="1:3">
      <c r="A373" s="93">
        <v>45169</v>
      </c>
      <c r="B373" s="92">
        <v>11.43</v>
      </c>
      <c r="C373" s="93"/>
    </row>
    <row r="374" spans="1:3">
      <c r="A374" s="93">
        <v>45199</v>
      </c>
      <c r="B374" s="92">
        <v>10.99</v>
      </c>
      <c r="C374" s="93"/>
    </row>
    <row r="375" spans="1:3">
      <c r="A375" s="93">
        <v>45230</v>
      </c>
      <c r="B375" s="92">
        <v>10.48</v>
      </c>
      <c r="C375" s="93"/>
    </row>
    <row r="376" spans="1:3">
      <c r="A376" s="93">
        <v>45260</v>
      </c>
      <c r="B376" s="92">
        <v>10.15</v>
      </c>
      <c r="C376" s="93"/>
    </row>
    <row r="377" spans="1:3">
      <c r="A377" s="93">
        <v>45291</v>
      </c>
      <c r="B377" s="92">
        <v>9.2799999999999994</v>
      </c>
      <c r="C377" s="93"/>
    </row>
    <row r="378" spans="1:3">
      <c r="A378" s="93">
        <v>45322</v>
      </c>
      <c r="B378" s="92">
        <v>8.35</v>
      </c>
      <c r="C378" s="93"/>
    </row>
    <row r="379" spans="1:3">
      <c r="A379" s="93">
        <v>45351</v>
      </c>
      <c r="B379" s="92">
        <v>7.74</v>
      </c>
      <c r="C379" s="93"/>
    </row>
    <row r="380" spans="1:3">
      <c r="A380" s="93">
        <v>45382</v>
      </c>
      <c r="B380" s="92">
        <v>7.36</v>
      </c>
      <c r="C380" s="93"/>
    </row>
    <row r="381" spans="1:3">
      <c r="A381" s="93">
        <v>45412</v>
      </c>
      <c r="B381" s="92">
        <v>7.16</v>
      </c>
      <c r="C381" s="93"/>
    </row>
    <row r="382" spans="1:3">
      <c r="A382" s="93">
        <v>45443</v>
      </c>
      <c r="B382" s="92">
        <v>7.16</v>
      </c>
      <c r="C382" s="93"/>
    </row>
    <row r="383" spans="1:3">
      <c r="A383" s="93">
        <v>45473</v>
      </c>
      <c r="B383" s="92">
        <v>7.18</v>
      </c>
      <c r="C383" s="93"/>
    </row>
    <row r="384" spans="1:3">
      <c r="A384" s="93">
        <v>45504</v>
      </c>
      <c r="B384" s="92">
        <v>6.86</v>
      </c>
      <c r="C384" s="93"/>
    </row>
    <row r="385" spans="1:3">
      <c r="A385" s="93">
        <v>45535</v>
      </c>
      <c r="B385" s="92">
        <v>6.12</v>
      </c>
      <c r="C385" s="93"/>
    </row>
    <row r="386" spans="1:3">
      <c r="A386" s="93">
        <v>45565</v>
      </c>
      <c r="B386" s="92">
        <v>5.81</v>
      </c>
      <c r="C386" s="93"/>
    </row>
    <row r="387" spans="1:3">
      <c r="A387" s="93">
        <v>45596</v>
      </c>
      <c r="B387" s="92">
        <v>5.41</v>
      </c>
      <c r="C387" s="93"/>
    </row>
    <row r="388" spans="1:3">
      <c r="A388" s="135">
        <v>45626</v>
      </c>
      <c r="B388" s="92">
        <v>5.2</v>
      </c>
      <c r="C388" s="93"/>
    </row>
    <row r="389" spans="1:3">
      <c r="A389" s="135">
        <v>45657</v>
      </c>
      <c r="B389" s="92">
        <v>5.2</v>
      </c>
      <c r="C389" s="93"/>
    </row>
    <row r="390" spans="1:3">
      <c r="A390" s="135">
        <v>45688</v>
      </c>
      <c r="B390" s="92">
        <v>5.22</v>
      </c>
      <c r="C390" s="93">
        <v>45695</v>
      </c>
    </row>
    <row r="391" spans="1:3">
      <c r="A391" s="135">
        <v>45716</v>
      </c>
      <c r="B391" s="92">
        <v>5.28</v>
      </c>
      <c r="C391" s="93">
        <v>45723</v>
      </c>
    </row>
    <row r="392" spans="1:3">
      <c r="A392" s="135">
        <v>45747</v>
      </c>
      <c r="B392" s="92">
        <v>5.09</v>
      </c>
      <c r="C392" s="93"/>
    </row>
    <row r="393" spans="1:3">
      <c r="A393" s="135">
        <v>45777</v>
      </c>
      <c r="B393" s="92">
        <v>5.16</v>
      </c>
      <c r="C393" s="93">
        <v>45785</v>
      </c>
    </row>
  </sheetData>
  <mergeCells count="1">
    <mergeCell ref="E2:J2"/>
  </mergeCells>
  <hyperlinks>
    <hyperlink ref="E2" r:id="rId1" xr:uid="{1DBA9159-3991-4D0E-AE28-B61BA3E5FBA1}"/>
  </hyperlinks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B79C-4483-46C0-BAF1-F5ADC54BE51D}">
  <sheetPr codeName="Hoja7">
    <tabColor theme="9" tint="0.39997558519241921"/>
  </sheetPr>
  <dimension ref="B1:EK313"/>
  <sheetViews>
    <sheetView topLeftCell="A16" zoomScaleNormal="100" workbookViewId="0">
      <pane xSplit="3" ySplit="3" topLeftCell="DK295" activePane="bottomRight" state="frozen"/>
      <selection activeCell="A17" sqref="A17"/>
      <selection pane="topRight" activeCell="D17" sqref="D17"/>
      <selection pane="bottomLeft" activeCell="A19" sqref="A19"/>
      <selection pane="bottomRight" activeCell="DN310" sqref="DN310"/>
    </sheetView>
  </sheetViews>
  <sheetFormatPr baseColWidth="10" defaultColWidth="11.42578125" defaultRowHeight="15.75"/>
  <cols>
    <col min="1" max="1" width="11.42578125" style="195"/>
    <col min="2" max="2" width="45.28515625" style="195" customWidth="1"/>
    <col min="3" max="3" width="26" style="195" bestFit="1" customWidth="1"/>
    <col min="4" max="4" width="22.42578125" style="195" customWidth="1"/>
    <col min="5" max="5" width="21.140625" style="195" customWidth="1"/>
    <col min="6" max="23" width="18.140625" style="195" customWidth="1"/>
    <col min="24" max="26" width="18.5703125" style="195" customWidth="1"/>
    <col min="27" max="31" width="18.140625" style="195" customWidth="1"/>
    <col min="32" max="32" width="27.85546875" style="195" customWidth="1"/>
    <col min="33" max="33" width="2.28515625" style="195" customWidth="1"/>
    <col min="34" max="51" width="31.42578125" style="195" customWidth="1"/>
    <col min="52" max="54" width="31.85546875" style="195" customWidth="1"/>
    <col min="55" max="55" width="34.42578125" style="195" bestFit="1" customWidth="1"/>
    <col min="56" max="60" width="31.42578125" style="195" customWidth="1"/>
    <col min="61" max="61" width="16.42578125" style="195" customWidth="1"/>
    <col min="62" max="62" width="17.42578125" style="195" customWidth="1"/>
    <col min="63" max="84" width="20" style="195" customWidth="1"/>
    <col min="85" max="89" width="19.5703125" style="195" customWidth="1"/>
    <col min="90" max="90" width="19" style="264" customWidth="1"/>
    <col min="91" max="91" width="18.85546875" style="264" customWidth="1"/>
    <col min="92" max="92" width="18" style="264" customWidth="1"/>
    <col min="93" max="97" width="23.5703125" style="265" customWidth="1"/>
    <col min="98" max="98" width="23.140625" style="265" customWidth="1"/>
    <col min="99" max="104" width="23.5703125" style="265" customWidth="1"/>
    <col min="105" max="108" width="23.85546875" style="265" customWidth="1"/>
    <col min="109" max="114" width="23.42578125" style="265" customWidth="1"/>
    <col min="115" max="115" width="22.85546875" style="265" customWidth="1"/>
    <col min="116" max="118" width="23.42578125" style="265" customWidth="1"/>
    <col min="119" max="129" width="22.42578125" style="195" customWidth="1"/>
    <col min="130" max="130" width="30.140625" style="195" customWidth="1"/>
    <col min="131" max="131" width="31" style="195" customWidth="1"/>
    <col min="132" max="135" width="17.42578125" style="195" customWidth="1"/>
    <col min="136" max="136" width="11.42578125" style="195"/>
    <col min="137" max="137" width="13.5703125" style="195" customWidth="1"/>
    <col min="138" max="146" width="11.42578125" style="195"/>
    <col min="147" max="147" width="14.85546875" style="195" bestFit="1" customWidth="1"/>
    <col min="148" max="148" width="16.42578125" style="195" bestFit="1" customWidth="1"/>
    <col min="149" max="16384" width="11.42578125" style="195"/>
  </cols>
  <sheetData>
    <row r="1" spans="3:135" hidden="1">
      <c r="C1" s="259"/>
      <c r="CL1" s="196"/>
      <c r="CM1" s="196"/>
      <c r="CN1" s="196"/>
      <c r="CO1" s="197">
        <v>2</v>
      </c>
      <c r="CP1" s="197"/>
      <c r="CQ1" s="197"/>
      <c r="CR1" s="197"/>
      <c r="CS1" s="197"/>
      <c r="CT1" s="197"/>
      <c r="CU1" s="197"/>
      <c r="CV1" s="197"/>
      <c r="CW1" s="197"/>
      <c r="CX1" s="197"/>
      <c r="CY1" s="197"/>
      <c r="CZ1" s="197"/>
      <c r="DA1" s="197">
        <v>3</v>
      </c>
      <c r="DB1" s="197"/>
      <c r="DC1" s="197"/>
      <c r="DD1" s="197"/>
      <c r="DE1" s="197"/>
      <c r="DF1" s="197">
        <v>5</v>
      </c>
      <c r="DG1" s="197"/>
      <c r="DH1" s="197"/>
      <c r="DI1" s="197">
        <v>6</v>
      </c>
      <c r="DJ1" s="197">
        <v>7</v>
      </c>
      <c r="DK1" s="197"/>
      <c r="DL1" s="197"/>
      <c r="DM1" s="197"/>
      <c r="DN1" s="197"/>
    </row>
    <row r="2" spans="3:135" hidden="1">
      <c r="C2" s="259"/>
      <c r="R2" s="195">
        <v>35</v>
      </c>
      <c r="V2" s="195">
        <v>37</v>
      </c>
      <c r="X2" s="195">
        <v>35</v>
      </c>
      <c r="AA2" s="195">
        <v>37</v>
      </c>
      <c r="AH2" s="195" t="s">
        <v>375</v>
      </c>
      <c r="CL2" s="196"/>
      <c r="CM2" s="196"/>
      <c r="CN2" s="196"/>
      <c r="CO2" s="197"/>
      <c r="CP2" s="197"/>
      <c r="CQ2" s="197"/>
      <c r="CR2" s="197"/>
      <c r="CS2" s="197"/>
      <c r="CT2" s="197"/>
      <c r="CU2" s="197"/>
      <c r="CV2" s="197"/>
      <c r="CW2" s="197"/>
      <c r="CX2" s="197"/>
      <c r="CY2" s="197"/>
      <c r="CZ2" s="197"/>
      <c r="DA2" s="197"/>
      <c r="DB2" s="197"/>
      <c r="DC2" s="197"/>
      <c r="DD2" s="197"/>
      <c r="DE2" s="197"/>
      <c r="DF2" s="197"/>
      <c r="DG2" s="197"/>
      <c r="DH2" s="197"/>
      <c r="DI2" s="197"/>
      <c r="DJ2" s="197"/>
      <c r="DK2" s="197"/>
      <c r="DL2" s="197"/>
      <c r="DM2" s="197"/>
      <c r="DN2" s="197"/>
    </row>
    <row r="3" spans="3:135" hidden="1">
      <c r="C3" s="259" t="s">
        <v>6</v>
      </c>
      <c r="F3" s="195" t="s">
        <v>359</v>
      </c>
      <c r="R3" s="195">
        <v>4025</v>
      </c>
      <c r="V3" s="195">
        <v>6500</v>
      </c>
      <c r="X3" s="198">
        <v>0.05</v>
      </c>
      <c r="Y3" s="198"/>
      <c r="Z3" s="198"/>
      <c r="AA3" s="198">
        <v>0.06</v>
      </c>
      <c r="AB3" s="195" t="s">
        <v>376</v>
      </c>
      <c r="AG3" s="195" t="s">
        <v>377</v>
      </c>
      <c r="AH3" s="198">
        <v>0.11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/>
      <c r="AS3" s="198"/>
      <c r="CL3" s="196"/>
      <c r="CM3" s="196"/>
      <c r="CN3" s="196"/>
      <c r="CO3" s="197"/>
      <c r="CP3" s="197"/>
      <c r="CQ3" s="197"/>
      <c r="CR3" s="197"/>
      <c r="CS3" s="197"/>
      <c r="CT3" s="197"/>
      <c r="CU3" s="197"/>
      <c r="CV3" s="197"/>
      <c r="CW3" s="197"/>
      <c r="CX3" s="197"/>
      <c r="CY3" s="197"/>
      <c r="CZ3" s="197"/>
      <c r="DA3" s="197"/>
      <c r="DB3" s="197"/>
      <c r="DC3" s="197"/>
      <c r="DD3" s="197"/>
      <c r="DE3" s="197"/>
      <c r="DF3" s="197"/>
      <c r="DG3" s="197"/>
      <c r="DH3" s="197"/>
      <c r="DI3" s="197"/>
      <c r="DJ3" s="197"/>
      <c r="DK3" s="197"/>
      <c r="DL3" s="197"/>
      <c r="DM3" s="197"/>
      <c r="DN3" s="197"/>
    </row>
    <row r="4" spans="3:135" hidden="1">
      <c r="C4" s="260">
        <f>+AA24+AB24</f>
        <v>0.51215695508157366</v>
      </c>
      <c r="D4" s="198"/>
      <c r="E4" s="198"/>
      <c r="F4" s="198">
        <f>+R24</f>
        <v>0.48784304491842634</v>
      </c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5">
        <f>+AA24/C4</f>
        <v>0.61983471074380159</v>
      </c>
      <c r="V4" s="195">
        <f>1-R4</f>
        <v>0.38016528925619841</v>
      </c>
      <c r="AB4" s="195">
        <f>+SUMPRODUCT(R3:V3,R4:V4)</f>
        <v>4965.909090909091</v>
      </c>
      <c r="AG4" s="195">
        <f>+X3+((AA3-X3)*((AB4-$R$3)/(V3-R3)))</f>
        <v>5.3801652892561988E-2</v>
      </c>
      <c r="AH4" s="195">
        <f>+(AH3*F4)+(((1+8.5%)*(1+AG4))-1)*C4</f>
        <v>0.1270931325582948</v>
      </c>
      <c r="CL4" s="196"/>
      <c r="CM4" s="196"/>
      <c r="CN4" s="196"/>
      <c r="CO4" s="197"/>
      <c r="CP4" s="197"/>
      <c r="CQ4" s="197"/>
      <c r="CR4" s="197"/>
      <c r="CS4" s="197"/>
      <c r="CT4" s="197"/>
      <c r="CU4" s="197"/>
      <c r="CV4" s="197"/>
      <c r="CW4" s="197"/>
      <c r="CX4" s="197"/>
      <c r="CY4" s="197"/>
      <c r="CZ4" s="197"/>
      <c r="DA4" s="197"/>
      <c r="DB4" s="197"/>
      <c r="DC4" s="197"/>
      <c r="DD4" s="197"/>
      <c r="DE4" s="197"/>
      <c r="DF4" s="197"/>
      <c r="DG4" s="197"/>
      <c r="DH4" s="197"/>
      <c r="DI4" s="197"/>
      <c r="DJ4" s="197"/>
      <c r="DK4" s="197"/>
      <c r="DL4" s="197"/>
      <c r="DM4" s="197"/>
      <c r="DN4" s="197"/>
    </row>
    <row r="5" spans="3:135" hidden="1">
      <c r="C5" s="259"/>
      <c r="CL5" s="196"/>
      <c r="CM5" s="196"/>
      <c r="CN5" s="196"/>
      <c r="CO5" s="197"/>
      <c r="CP5" s="197"/>
      <c r="CQ5" s="197"/>
      <c r="CR5" s="197"/>
      <c r="CS5" s="197"/>
      <c r="CT5" s="197"/>
      <c r="CU5" s="197"/>
      <c r="CV5" s="197"/>
      <c r="CW5" s="197"/>
      <c r="CX5" s="197"/>
      <c r="CY5" s="197"/>
      <c r="CZ5" s="197"/>
      <c r="DA5" s="197"/>
      <c r="DB5" s="197"/>
      <c r="DC5" s="197"/>
      <c r="DD5" s="197"/>
      <c r="DE5" s="197"/>
      <c r="DF5" s="197"/>
      <c r="DG5" s="197"/>
      <c r="DH5" s="197"/>
      <c r="DI5" s="197"/>
      <c r="DJ5" s="197"/>
      <c r="DK5" s="197"/>
      <c r="DL5" s="197"/>
      <c r="DM5" s="197"/>
      <c r="DN5" s="197"/>
    </row>
    <row r="6" spans="3:135" hidden="1">
      <c r="C6" s="259"/>
      <c r="CL6" s="196"/>
      <c r="CM6" s="196"/>
      <c r="CN6" s="196"/>
      <c r="CO6" s="197"/>
      <c r="CP6" s="197"/>
      <c r="CQ6" s="197"/>
      <c r="CR6" s="197"/>
      <c r="CS6" s="197"/>
      <c r="CT6" s="197"/>
      <c r="CU6" s="197"/>
      <c r="CV6" s="197"/>
      <c r="CW6" s="197"/>
      <c r="CX6" s="197"/>
      <c r="CY6" s="197"/>
      <c r="CZ6" s="197"/>
      <c r="DA6" s="197"/>
      <c r="DB6" s="197"/>
      <c r="DC6" s="197"/>
      <c r="DD6" s="197"/>
      <c r="DE6" s="197"/>
      <c r="DF6" s="197"/>
      <c r="DG6" s="197"/>
      <c r="DH6" s="197"/>
      <c r="DI6" s="197"/>
      <c r="DJ6" s="197"/>
      <c r="DK6" s="197"/>
      <c r="DL6" s="197"/>
      <c r="DM6" s="197"/>
      <c r="DN6" s="197"/>
    </row>
    <row r="7" spans="3:135" hidden="1">
      <c r="C7" s="259"/>
      <c r="CL7" s="196"/>
      <c r="CM7" s="196"/>
      <c r="CN7" s="196"/>
      <c r="CO7" s="197"/>
      <c r="CP7" s="197"/>
      <c r="CQ7" s="197"/>
      <c r="CR7" s="197"/>
      <c r="CS7" s="197"/>
      <c r="CT7" s="197"/>
      <c r="CU7" s="197"/>
      <c r="CV7" s="197"/>
      <c r="CW7" s="197"/>
      <c r="CX7" s="197"/>
      <c r="CY7" s="197"/>
      <c r="CZ7" s="197"/>
      <c r="DA7" s="197"/>
      <c r="DB7" s="197"/>
      <c r="DC7" s="197"/>
      <c r="DD7" s="197"/>
      <c r="DE7" s="197"/>
      <c r="DF7" s="197"/>
      <c r="DG7" s="197"/>
      <c r="DH7" s="197"/>
      <c r="DI7" s="197"/>
      <c r="DJ7" s="197"/>
      <c r="DK7" s="197"/>
      <c r="DL7" s="197"/>
      <c r="DM7" s="197"/>
      <c r="DN7" s="197"/>
    </row>
    <row r="8" spans="3:135" hidden="1">
      <c r="C8" s="259"/>
      <c r="CL8" s="196"/>
      <c r="CM8" s="196"/>
      <c r="CN8" s="196"/>
      <c r="CO8" s="197"/>
      <c r="CP8" s="197"/>
      <c r="CQ8" s="197"/>
      <c r="CR8" s="197"/>
      <c r="CS8" s="197"/>
      <c r="CT8" s="197"/>
      <c r="CU8" s="197"/>
      <c r="CV8" s="197"/>
      <c r="CW8" s="197"/>
      <c r="CX8" s="197"/>
      <c r="CY8" s="197"/>
      <c r="CZ8" s="197"/>
      <c r="DA8" s="197"/>
      <c r="DB8" s="197"/>
      <c r="DC8" s="197"/>
      <c r="DD8" s="197"/>
      <c r="DE8" s="197"/>
      <c r="DF8" s="197"/>
      <c r="DG8" s="197"/>
      <c r="DH8" s="197"/>
      <c r="DI8" s="197"/>
      <c r="DJ8" s="197"/>
      <c r="DK8" s="197"/>
      <c r="DL8" s="197"/>
      <c r="DM8" s="197"/>
      <c r="DN8" s="197"/>
    </row>
    <row r="9" spans="3:135" hidden="1">
      <c r="C9" s="259"/>
      <c r="CL9" s="196"/>
      <c r="CM9" s="196"/>
      <c r="CN9" s="196"/>
      <c r="CO9" s="197"/>
      <c r="CP9" s="197"/>
      <c r="CQ9" s="197"/>
      <c r="CR9" s="197"/>
      <c r="CS9" s="197"/>
      <c r="CT9" s="197"/>
      <c r="CU9" s="197"/>
      <c r="CV9" s="197"/>
      <c r="CW9" s="197"/>
      <c r="CX9" s="197"/>
      <c r="CY9" s="197"/>
      <c r="CZ9" s="197"/>
      <c r="DA9" s="197"/>
      <c r="DB9" s="197"/>
      <c r="DC9" s="197"/>
      <c r="DD9" s="197"/>
      <c r="DE9" s="197"/>
      <c r="DF9" s="197"/>
      <c r="DG9" s="197"/>
      <c r="DH9" s="197"/>
      <c r="DI9" s="197"/>
      <c r="DJ9" s="197"/>
      <c r="DK9" s="197"/>
      <c r="DL9" s="197"/>
      <c r="DM9" s="197"/>
      <c r="DN9" s="197"/>
    </row>
    <row r="10" spans="3:135" hidden="1">
      <c r="C10" s="259"/>
      <c r="CL10" s="196"/>
      <c r="CM10" s="196"/>
      <c r="CN10" s="196"/>
      <c r="CO10" s="197"/>
      <c r="CP10" s="197"/>
      <c r="CQ10" s="197"/>
      <c r="CR10" s="197"/>
      <c r="CS10" s="197"/>
      <c r="CT10" s="197"/>
      <c r="CU10" s="197"/>
      <c r="CV10" s="197"/>
      <c r="CW10" s="197"/>
      <c r="CX10" s="197"/>
      <c r="CY10" s="197"/>
      <c r="CZ10" s="197"/>
      <c r="DA10" s="197"/>
      <c r="DB10" s="197"/>
      <c r="DC10" s="197"/>
      <c r="DD10" s="197"/>
      <c r="DE10" s="197"/>
      <c r="DF10" s="197"/>
      <c r="DG10" s="197"/>
      <c r="DH10" s="197"/>
      <c r="DI10" s="197"/>
      <c r="DJ10" s="197"/>
      <c r="DK10" s="197"/>
      <c r="DL10" s="197"/>
      <c r="DM10" s="197"/>
      <c r="DN10" s="197"/>
    </row>
    <row r="11" spans="3:135" hidden="1">
      <c r="C11" s="259"/>
      <c r="CL11" s="196"/>
      <c r="CM11" s="196"/>
      <c r="CN11" s="196"/>
      <c r="CO11" s="197"/>
      <c r="CP11" s="197"/>
      <c r="CQ11" s="197"/>
      <c r="CR11" s="197"/>
      <c r="CS11" s="197"/>
      <c r="CT11" s="197"/>
      <c r="CU11" s="197"/>
      <c r="CV11" s="197"/>
      <c r="CW11" s="197"/>
      <c r="CX11" s="197"/>
      <c r="CY11" s="197"/>
      <c r="CZ11" s="197"/>
      <c r="DA11" s="197"/>
      <c r="DB11" s="197"/>
      <c r="DC11" s="197"/>
      <c r="DD11" s="197"/>
      <c r="DE11" s="197"/>
      <c r="DF11" s="197"/>
      <c r="DG11" s="197"/>
      <c r="DH11" s="197"/>
      <c r="DI11" s="197"/>
      <c r="DJ11" s="197"/>
      <c r="DK11" s="197"/>
      <c r="DL11" s="197"/>
      <c r="DM11" s="197"/>
      <c r="DN11" s="197"/>
    </row>
    <row r="12" spans="3:135" hidden="1">
      <c r="C12" s="259"/>
      <c r="CL12" s="196"/>
      <c r="CM12" s="196"/>
      <c r="CN12" s="196"/>
      <c r="CO12" s="197"/>
      <c r="CP12" s="197"/>
      <c r="CQ12" s="197"/>
      <c r="CR12" s="197"/>
      <c r="CS12" s="197"/>
      <c r="CT12" s="197"/>
      <c r="CU12" s="197"/>
      <c r="CV12" s="197"/>
      <c r="CW12" s="197"/>
      <c r="CX12" s="197"/>
      <c r="CY12" s="197"/>
      <c r="CZ12" s="197"/>
      <c r="DA12" s="197"/>
      <c r="DB12" s="197"/>
      <c r="DC12" s="197"/>
      <c r="DD12" s="197"/>
      <c r="DE12" s="197"/>
      <c r="DF12" s="197"/>
      <c r="DG12" s="197"/>
      <c r="DH12" s="197"/>
      <c r="DI12" s="197"/>
      <c r="DJ12" s="197"/>
      <c r="DK12" s="197"/>
      <c r="DL12" s="197"/>
      <c r="DM12" s="197"/>
      <c r="DN12" s="197"/>
    </row>
    <row r="13" spans="3:135" hidden="1">
      <c r="C13" s="259"/>
      <c r="CL13" s="196"/>
      <c r="CM13" s="196"/>
      <c r="CN13" s="196"/>
      <c r="CO13" s="197"/>
      <c r="CP13" s="197"/>
      <c r="CQ13" s="197"/>
      <c r="CR13" s="197"/>
      <c r="CS13" s="197"/>
      <c r="CT13" s="197"/>
      <c r="CU13" s="197"/>
      <c r="CV13" s="197"/>
      <c r="CW13" s="197"/>
      <c r="CX13" s="197"/>
      <c r="CY13" s="197"/>
      <c r="CZ13" s="197"/>
      <c r="DA13" s="197"/>
      <c r="DB13" s="197"/>
      <c r="DC13" s="197"/>
      <c r="DD13" s="197"/>
      <c r="DE13" s="197"/>
      <c r="DF13" s="197"/>
      <c r="DG13" s="197"/>
      <c r="DH13" s="197"/>
      <c r="DI13" s="197"/>
      <c r="DJ13" s="197"/>
      <c r="DK13" s="197"/>
      <c r="DL13" s="197"/>
      <c r="DM13" s="197"/>
      <c r="DN13" s="197"/>
    </row>
    <row r="14" spans="3:135" hidden="1">
      <c r="C14" s="259"/>
      <c r="CL14" s="196"/>
      <c r="CM14" s="196"/>
      <c r="CN14" s="196"/>
      <c r="CO14" s="197"/>
      <c r="CP14" s="197"/>
      <c r="CQ14" s="197"/>
      <c r="CR14" s="197"/>
      <c r="CS14" s="197"/>
      <c r="CT14" s="197"/>
      <c r="CU14" s="197"/>
      <c r="CV14" s="197"/>
      <c r="CW14" s="197"/>
      <c r="CX14" s="197"/>
      <c r="CY14" s="197"/>
      <c r="CZ14" s="197"/>
      <c r="DA14" s="197"/>
      <c r="DB14" s="197"/>
      <c r="DC14" s="197"/>
      <c r="DD14" s="197"/>
      <c r="DE14" s="197"/>
      <c r="DF14" s="197"/>
      <c r="DG14" s="197"/>
      <c r="DH14" s="197"/>
      <c r="DI14" s="197"/>
      <c r="DJ14" s="197"/>
      <c r="DK14" s="197"/>
      <c r="DL14" s="197"/>
      <c r="DM14" s="197"/>
      <c r="DN14" s="197"/>
      <c r="DZ14" s="199" t="s">
        <v>378</v>
      </c>
      <c r="EA14" s="199"/>
      <c r="EB14" s="199"/>
      <c r="EC14" s="199"/>
      <c r="ED14" s="199"/>
      <c r="EE14" s="199"/>
    </row>
    <row r="15" spans="3:135" ht="14.25" hidden="1" customHeight="1">
      <c r="C15" s="259"/>
      <c r="CL15" s="196"/>
      <c r="CM15" s="196"/>
      <c r="CN15" s="196"/>
      <c r="CO15" s="197"/>
      <c r="CP15" s="197"/>
      <c r="CQ15" s="197"/>
      <c r="CR15" s="197"/>
      <c r="CS15" s="197"/>
      <c r="CT15" s="197"/>
      <c r="CU15" s="197"/>
      <c r="CV15" s="197"/>
      <c r="CW15" s="197"/>
      <c r="CX15" s="197"/>
      <c r="CY15" s="197"/>
      <c r="CZ15" s="197"/>
      <c r="DA15" s="197"/>
      <c r="DB15" s="197"/>
      <c r="DC15" s="197"/>
      <c r="DD15" s="197"/>
      <c r="DE15" s="197"/>
      <c r="DF15" s="197"/>
      <c r="DG15" s="197"/>
      <c r="DH15" s="197"/>
      <c r="DI15" s="197"/>
      <c r="DJ15" s="197"/>
      <c r="DK15" s="197"/>
      <c r="DL15" s="197"/>
      <c r="DM15" s="197"/>
      <c r="DN15" s="197"/>
    </row>
    <row r="16" spans="3:135" ht="14.25" customHeight="1">
      <c r="C16" s="259" t="s">
        <v>7</v>
      </c>
      <c r="D16" s="195" t="s">
        <v>553</v>
      </c>
      <c r="E16" s="195" t="s">
        <v>554</v>
      </c>
      <c r="F16" s="195" t="s">
        <v>211</v>
      </c>
      <c r="G16" s="195" t="s">
        <v>203</v>
      </c>
      <c r="H16" s="195" t="s">
        <v>212</v>
      </c>
      <c r="I16" s="195" t="s">
        <v>484</v>
      </c>
      <c r="J16" s="195" t="s">
        <v>199</v>
      </c>
      <c r="K16" s="195" t="s">
        <v>207</v>
      </c>
      <c r="L16" s="195" t="s">
        <v>197</v>
      </c>
      <c r="M16" s="195" t="s">
        <v>213</v>
      </c>
      <c r="N16" s="195" t="s">
        <v>196</v>
      </c>
      <c r="O16" s="195" t="s">
        <v>552</v>
      </c>
      <c r="P16" s="195" t="s">
        <v>321</v>
      </c>
      <c r="Q16" s="195" t="s">
        <v>486</v>
      </c>
      <c r="R16" s="195" t="s">
        <v>209</v>
      </c>
      <c r="S16" s="195" t="s">
        <v>360</v>
      </c>
      <c r="T16" s="195" t="s">
        <v>324</v>
      </c>
      <c r="U16" s="195" t="s">
        <v>540</v>
      </c>
      <c r="V16" s="195" t="s">
        <v>208</v>
      </c>
      <c r="W16" s="195" t="s">
        <v>205</v>
      </c>
      <c r="X16" s="195" t="s">
        <v>204</v>
      </c>
      <c r="Y16" s="195" t="s">
        <v>499</v>
      </c>
      <c r="Z16" s="195" t="s">
        <v>206</v>
      </c>
      <c r="AA16" s="195" t="s">
        <v>201</v>
      </c>
      <c r="AB16" s="195" t="s">
        <v>198</v>
      </c>
      <c r="AC16" s="195" t="s">
        <v>371</v>
      </c>
      <c r="AD16" s="195" t="s">
        <v>333</v>
      </c>
      <c r="AE16" s="195" t="s">
        <v>373</v>
      </c>
      <c r="AF16" s="195" t="s">
        <v>497</v>
      </c>
      <c r="CL16" s="196"/>
      <c r="CM16" s="196"/>
      <c r="CN16" s="196"/>
      <c r="CO16" s="197"/>
      <c r="CP16" s="197"/>
      <c r="CQ16" s="197"/>
      <c r="CR16" s="197"/>
      <c r="CS16" s="197"/>
      <c r="CT16" s="197"/>
      <c r="CU16" s="197"/>
      <c r="CV16" s="197"/>
      <c r="CW16" s="197"/>
      <c r="CX16" s="197"/>
      <c r="CY16" s="197"/>
      <c r="CZ16" s="197"/>
      <c r="DA16" s="197"/>
      <c r="DB16" s="197"/>
      <c r="DC16" s="197"/>
      <c r="DD16" s="197"/>
      <c r="DE16" s="197"/>
      <c r="DF16" s="197"/>
      <c r="DG16" s="197"/>
      <c r="DH16" s="197"/>
      <c r="DI16" s="197"/>
      <c r="DJ16" s="197"/>
      <c r="DK16" s="197"/>
      <c r="DL16" s="197"/>
      <c r="DM16" s="197"/>
      <c r="DN16" s="197"/>
    </row>
    <row r="17" spans="2:137" ht="23.1" customHeight="1">
      <c r="C17" s="259"/>
      <c r="D17" s="256">
        <f>_xlfn.XLOOKUP(D16,Emisiones!$G:$G,Emisiones!$I:$I)</f>
        <v>46084</v>
      </c>
      <c r="E17" s="256">
        <f>_xlfn.XLOOKUP(E16,Emisiones!$G:$G,Emisiones!$I:$I)</f>
        <v>46175</v>
      </c>
      <c r="F17" s="256">
        <v>46260</v>
      </c>
      <c r="G17" s="256">
        <v>46694</v>
      </c>
      <c r="H17" s="256">
        <v>46871</v>
      </c>
      <c r="I17" s="256">
        <v>47352</v>
      </c>
      <c r="J17" s="256">
        <v>47744</v>
      </c>
      <c r="K17" s="256">
        <v>47933</v>
      </c>
      <c r="L17" s="256">
        <v>48395</v>
      </c>
      <c r="M17" s="256">
        <v>48619</v>
      </c>
      <c r="N17" s="256">
        <v>49235</v>
      </c>
      <c r="O17" s="256">
        <v>49313</v>
      </c>
      <c r="P17" s="256">
        <v>49865</v>
      </c>
      <c r="Q17" s="256">
        <v>51468</v>
      </c>
      <c r="R17" s="257">
        <v>52014</v>
      </c>
      <c r="S17" s="257">
        <v>53533</v>
      </c>
      <c r="T17" s="257">
        <v>55087</v>
      </c>
      <c r="U17" s="257">
        <v>57782</v>
      </c>
      <c r="V17" s="257">
        <v>45784</v>
      </c>
      <c r="W17" s="257">
        <v>46463</v>
      </c>
      <c r="X17" s="257">
        <v>47226</v>
      </c>
      <c r="Y17" s="257">
        <v>47870</v>
      </c>
      <c r="Z17" s="257">
        <v>48663</v>
      </c>
      <c r="AA17" s="257">
        <v>49403</v>
      </c>
      <c r="AB17" s="256">
        <v>50096</v>
      </c>
      <c r="AC17" s="256">
        <v>51580</v>
      </c>
      <c r="AD17" s="256">
        <v>54590</v>
      </c>
      <c r="AE17" s="256">
        <v>56753</v>
      </c>
      <c r="AF17" s="256">
        <v>59203</v>
      </c>
      <c r="BK17" s="516" t="s">
        <v>379</v>
      </c>
      <c r="BL17" s="516"/>
      <c r="BM17" s="516"/>
      <c r="BN17" s="516"/>
      <c r="BO17" s="516"/>
      <c r="BP17" s="516"/>
      <c r="BQ17" s="516"/>
      <c r="BR17" s="516"/>
      <c r="BS17" s="516"/>
      <c r="BT17" s="516"/>
      <c r="BU17" s="516"/>
      <c r="BV17" s="516"/>
      <c r="BW17" s="516"/>
      <c r="BX17" s="516"/>
      <c r="BY17" s="516"/>
      <c r="BZ17" s="516"/>
      <c r="CA17" s="516"/>
      <c r="CB17" s="516"/>
      <c r="CC17" s="516"/>
      <c r="CD17" s="516"/>
      <c r="CE17" s="516"/>
      <c r="CF17" s="516"/>
      <c r="CG17" s="516"/>
      <c r="CH17" s="200"/>
      <c r="CI17" s="200"/>
      <c r="CJ17" s="200"/>
      <c r="CK17" s="200"/>
      <c r="CL17" s="201"/>
      <c r="CM17" s="196"/>
      <c r="CN17" s="196"/>
      <c r="CO17" s="197"/>
      <c r="CP17" s="197"/>
      <c r="CQ17" s="197"/>
      <c r="CR17" s="197"/>
      <c r="CS17" s="197"/>
      <c r="CT17" s="197"/>
      <c r="CU17" s="197"/>
      <c r="CV17" s="197"/>
      <c r="CW17" s="197"/>
      <c r="CX17" s="197"/>
      <c r="CY17" s="197"/>
      <c r="CZ17" s="197"/>
      <c r="DA17" s="197"/>
      <c r="DB17" s="197"/>
      <c r="DC17" s="197"/>
      <c r="DD17" s="197"/>
      <c r="DE17" s="197"/>
      <c r="DF17" s="197"/>
      <c r="DG17" s="197"/>
      <c r="DH17" s="197"/>
      <c r="DI17" s="197"/>
      <c r="DJ17" s="197"/>
      <c r="DK17" s="197"/>
      <c r="DL17" s="197"/>
      <c r="DM17" s="197"/>
      <c r="DN17" s="197"/>
    </row>
    <row r="18" spans="2:137">
      <c r="B18" s="273" t="s">
        <v>195</v>
      </c>
      <c r="C18" s="258" t="s">
        <v>18</v>
      </c>
      <c r="D18" s="269" t="s">
        <v>555</v>
      </c>
      <c r="E18" s="269" t="s">
        <v>556</v>
      </c>
      <c r="F18" s="269" t="s">
        <v>380</v>
      </c>
      <c r="G18" s="269" t="s">
        <v>381</v>
      </c>
      <c r="H18" s="269" t="s">
        <v>382</v>
      </c>
      <c r="I18" s="269" t="s">
        <v>488</v>
      </c>
      <c r="J18" s="269" t="s">
        <v>383</v>
      </c>
      <c r="K18" s="269" t="s">
        <v>384</v>
      </c>
      <c r="L18" s="269" t="s">
        <v>385</v>
      </c>
      <c r="M18" s="269" t="s">
        <v>386</v>
      </c>
      <c r="N18" s="269" t="s">
        <v>387</v>
      </c>
      <c r="O18" s="269" t="s">
        <v>551</v>
      </c>
      <c r="P18" s="269" t="s">
        <v>388</v>
      </c>
      <c r="Q18" s="269" t="s">
        <v>492</v>
      </c>
      <c r="R18" s="269" t="s">
        <v>389</v>
      </c>
      <c r="S18" s="269" t="s">
        <v>390</v>
      </c>
      <c r="T18" s="269" t="s">
        <v>391</v>
      </c>
      <c r="U18" s="269" t="s">
        <v>537</v>
      </c>
      <c r="V18" s="270" t="s">
        <v>392</v>
      </c>
      <c r="W18" s="270" t="s">
        <v>393</v>
      </c>
      <c r="X18" s="270" t="s">
        <v>394</v>
      </c>
      <c r="Y18" s="270" t="s">
        <v>501</v>
      </c>
      <c r="Z18" s="270" t="s">
        <v>395</v>
      </c>
      <c r="AA18" s="270" t="s">
        <v>396</v>
      </c>
      <c r="AB18" s="270" t="s">
        <v>397</v>
      </c>
      <c r="AC18" s="270" t="s">
        <v>460</v>
      </c>
      <c r="AD18" s="270" t="s">
        <v>398</v>
      </c>
      <c r="AE18" s="270" t="s">
        <v>461</v>
      </c>
      <c r="AF18" s="270" t="s">
        <v>500</v>
      </c>
      <c r="AG18" s="261"/>
      <c r="AH18" s="485" t="s">
        <v>399</v>
      </c>
      <c r="AI18" s="485" t="s">
        <v>400</v>
      </c>
      <c r="AJ18" s="485" t="s">
        <v>401</v>
      </c>
      <c r="AK18" s="485" t="s">
        <v>489</v>
      </c>
      <c r="AL18" s="485" t="s">
        <v>402</v>
      </c>
      <c r="AM18" s="485" t="s">
        <v>403</v>
      </c>
      <c r="AN18" s="485" t="s">
        <v>404</v>
      </c>
      <c r="AO18" s="485" t="s">
        <v>405</v>
      </c>
      <c r="AP18" s="485" t="s">
        <v>406</v>
      </c>
      <c r="AQ18" s="485" t="s">
        <v>573</v>
      </c>
      <c r="AR18" s="485" t="s">
        <v>407</v>
      </c>
      <c r="AS18" s="485" t="s">
        <v>493</v>
      </c>
      <c r="AT18" s="485" t="s">
        <v>408</v>
      </c>
      <c r="AU18" s="485" t="s">
        <v>409</v>
      </c>
      <c r="AV18" s="485" t="s">
        <v>410</v>
      </c>
      <c r="AW18" s="485" t="s">
        <v>538</v>
      </c>
      <c r="AX18" s="486" t="s">
        <v>411</v>
      </c>
      <c r="AY18" s="486" t="s">
        <v>412</v>
      </c>
      <c r="AZ18" s="486" t="s">
        <v>413</v>
      </c>
      <c r="BA18" s="486" t="s">
        <v>502</v>
      </c>
      <c r="BB18" s="486" t="s">
        <v>414</v>
      </c>
      <c r="BC18" s="486" t="s">
        <v>415</v>
      </c>
      <c r="BD18" s="486" t="s">
        <v>416</v>
      </c>
      <c r="BE18" s="486" t="s">
        <v>462</v>
      </c>
      <c r="BF18" s="486" t="s">
        <v>417</v>
      </c>
      <c r="BG18" s="486" t="s">
        <v>463</v>
      </c>
      <c r="BH18" s="486" t="s">
        <v>503</v>
      </c>
      <c r="BI18" s="487" t="s">
        <v>418</v>
      </c>
      <c r="BJ18" s="487" t="s">
        <v>419</v>
      </c>
      <c r="BK18" s="487" t="s">
        <v>380</v>
      </c>
      <c r="BL18" s="487" t="s">
        <v>381</v>
      </c>
      <c r="BM18" s="487" t="s">
        <v>382</v>
      </c>
      <c r="BN18" s="487" t="s">
        <v>488</v>
      </c>
      <c r="BO18" s="487" t="s">
        <v>383</v>
      </c>
      <c r="BP18" s="487" t="s">
        <v>384</v>
      </c>
      <c r="BQ18" s="487" t="s">
        <v>385</v>
      </c>
      <c r="BR18" s="487" t="s">
        <v>386</v>
      </c>
      <c r="BS18" s="487" t="s">
        <v>387</v>
      </c>
      <c r="BT18" s="487" t="s">
        <v>551</v>
      </c>
      <c r="BU18" s="487" t="s">
        <v>388</v>
      </c>
      <c r="BV18" s="487" t="s">
        <v>492</v>
      </c>
      <c r="BW18" s="487" t="s">
        <v>574</v>
      </c>
      <c r="BX18" s="487" t="s">
        <v>390</v>
      </c>
      <c r="BY18" s="487" t="s">
        <v>391</v>
      </c>
      <c r="BZ18" s="487" t="s">
        <v>537</v>
      </c>
      <c r="CA18" s="488" t="s">
        <v>392</v>
      </c>
      <c r="CB18" s="488" t="s">
        <v>393</v>
      </c>
      <c r="CC18" s="488" t="s">
        <v>394</v>
      </c>
      <c r="CD18" s="488" t="s">
        <v>501</v>
      </c>
      <c r="CE18" s="488" t="s">
        <v>395</v>
      </c>
      <c r="CF18" s="488" t="s">
        <v>396</v>
      </c>
      <c r="CG18" s="488" t="s">
        <v>397</v>
      </c>
      <c r="CH18" s="488" t="s">
        <v>460</v>
      </c>
      <c r="CI18" s="488" t="s">
        <v>398</v>
      </c>
      <c r="CJ18" s="488" t="s">
        <v>461</v>
      </c>
      <c r="CK18" s="488" t="s">
        <v>500</v>
      </c>
      <c r="CL18" s="489" t="s">
        <v>420</v>
      </c>
      <c r="CM18" s="489" t="s">
        <v>421</v>
      </c>
      <c r="CN18" s="489" t="s">
        <v>542</v>
      </c>
      <c r="CO18" s="490" t="s">
        <v>422</v>
      </c>
      <c r="CP18" s="490" t="s">
        <v>423</v>
      </c>
      <c r="CQ18" s="490" t="s">
        <v>424</v>
      </c>
      <c r="CR18" s="490" t="s">
        <v>490</v>
      </c>
      <c r="CS18" s="490" t="s">
        <v>425</v>
      </c>
      <c r="CT18" s="490" t="s">
        <v>426</v>
      </c>
      <c r="CU18" s="490" t="s">
        <v>427</v>
      </c>
      <c r="CV18" s="490" t="s">
        <v>428</v>
      </c>
      <c r="CW18" s="490" t="s">
        <v>429</v>
      </c>
      <c r="CX18" s="490" t="s">
        <v>541</v>
      </c>
      <c r="CY18" s="490" t="s">
        <v>430</v>
      </c>
      <c r="CZ18" s="490" t="s">
        <v>491</v>
      </c>
      <c r="DA18" s="490" t="s">
        <v>431</v>
      </c>
      <c r="DB18" s="490" t="s">
        <v>432</v>
      </c>
      <c r="DC18" s="490" t="s">
        <v>433</v>
      </c>
      <c r="DD18" s="490" t="s">
        <v>539</v>
      </c>
      <c r="DE18" s="490" t="s">
        <v>434</v>
      </c>
      <c r="DF18" s="490" t="s">
        <v>435</v>
      </c>
      <c r="DG18" s="490" t="s">
        <v>575</v>
      </c>
      <c r="DH18" s="490" t="s">
        <v>436</v>
      </c>
      <c r="DI18" s="490" t="s">
        <v>437</v>
      </c>
      <c r="DJ18" s="490" t="s">
        <v>438</v>
      </c>
      <c r="DK18" s="490" t="s">
        <v>458</v>
      </c>
      <c r="DL18" s="490" t="s">
        <v>439</v>
      </c>
      <c r="DM18" s="490" t="s">
        <v>459</v>
      </c>
      <c r="DN18" s="490" t="s">
        <v>536</v>
      </c>
      <c r="DO18" s="491" t="s">
        <v>4</v>
      </c>
      <c r="DP18" s="492" t="s">
        <v>543</v>
      </c>
      <c r="DQ18" s="492" t="s">
        <v>544</v>
      </c>
      <c r="DR18" s="492" t="s">
        <v>545</v>
      </c>
      <c r="DS18" s="493" t="s">
        <v>546</v>
      </c>
      <c r="DT18" s="494" t="s">
        <v>6</v>
      </c>
      <c r="DU18" s="495" t="s">
        <v>547</v>
      </c>
      <c r="DV18" s="495" t="s">
        <v>548</v>
      </c>
      <c r="DW18" s="495" t="s">
        <v>549</v>
      </c>
      <c r="DX18" s="496" t="s">
        <v>550</v>
      </c>
      <c r="DY18" s="497" t="s">
        <v>236</v>
      </c>
      <c r="DZ18" s="497" t="s">
        <v>440</v>
      </c>
      <c r="EA18" s="498" t="s">
        <v>441</v>
      </c>
      <c r="EG18" s="202" t="s">
        <v>442</v>
      </c>
    </row>
    <row r="19" spans="2:137">
      <c r="B19" s="272">
        <v>44634</v>
      </c>
      <c r="C19" s="271">
        <v>44634</v>
      </c>
      <c r="D19" s="263" t="e">
        <f>+SUMIFS(Tabla6[Nominal COP],Tabla6[Concepto],COSTO_OPORTUNIDAD!$B$18,Tabla6[Nemotécnico],COSTO_OPORTUNIDAD!D$16,Tabla6[Fecha Cumplimiento y/ liquidacion],COSTO_OPORTUNIDAD!$C19)/+SUMIFS(Tabla6[Nominal COP],Tabla6[Concepto],COSTO_OPORTUNIDAD!$B$18,Tabla6[Fecha Cumplimiento y/ liquidacion],COSTO_OPORTUNIDAD!$C19)</f>
        <v>#DIV/0!</v>
      </c>
      <c r="E19" s="263" t="e">
        <f>+SUMIFS(Tabla6[Nominal COP],Tabla6[Concepto],COSTO_OPORTUNIDAD!$B$18,Tabla6[Nemotécnico],COSTO_OPORTUNIDAD!E$16,Tabla6[Fecha Cumplimiento y/ liquidacion],COSTO_OPORTUNIDAD!$C19)/+SUMIFS(Tabla6[Nominal COP],Tabla6[Concepto],COSTO_OPORTUNIDAD!$B$18,Tabla6[Fecha Cumplimiento y/ liquidacion],COSTO_OPORTUNIDAD!$C19)</f>
        <v>#DIV/0!</v>
      </c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2"/>
      <c r="R19" s="266">
        <v>0.80847535712135166</v>
      </c>
      <c r="S19" s="266"/>
      <c r="T19" s="266"/>
      <c r="U19" s="266"/>
      <c r="V19" s="262"/>
      <c r="W19" s="262"/>
      <c r="X19" s="262"/>
      <c r="Y19" s="262"/>
      <c r="Z19" s="262"/>
      <c r="AA19" s="266">
        <v>9.5762321439324144E-2</v>
      </c>
      <c r="AB19" s="266">
        <v>9.5762321439324144E-2</v>
      </c>
      <c r="AC19" s="266"/>
      <c r="AD19" s="266"/>
      <c r="AE19" s="266"/>
      <c r="AF19" s="266"/>
      <c r="AG19" s="262"/>
      <c r="AH19" s="274">
        <f t="shared" ref="AH19:AH82" si="0">(F$17-$B19)</f>
        <v>1626</v>
      </c>
      <c r="AI19" s="274">
        <f t="shared" ref="AI19:AI82" si="1">(G$17-$B19)</f>
        <v>2060</v>
      </c>
      <c r="AJ19" s="274">
        <f t="shared" ref="AJ19:AJ82" si="2">(H$17-$B19)</f>
        <v>2237</v>
      </c>
      <c r="AK19" s="274"/>
      <c r="AL19" s="274">
        <f t="shared" ref="AL19:AL82" si="3">(J$17-$B19)</f>
        <v>3110</v>
      </c>
      <c r="AM19" s="274">
        <f t="shared" ref="AM19:AM82" si="4">(K$17-$B19)</f>
        <v>3299</v>
      </c>
      <c r="AN19" s="274">
        <f t="shared" ref="AN19:AN82" si="5">(L$17-$B19)</f>
        <v>3761</v>
      </c>
      <c r="AO19" s="274"/>
      <c r="AP19" s="274">
        <f t="shared" ref="AP19:AP82" si="6">(N$17-$B19)</f>
        <v>4601</v>
      </c>
      <c r="AQ19" s="274"/>
      <c r="AR19" s="274">
        <f t="shared" ref="AR19:AR82" si="7">(P$17-$B19)</f>
        <v>5231</v>
      </c>
      <c r="AS19" s="274"/>
      <c r="AT19" s="274">
        <f t="shared" ref="AT19:AT82" si="8">(R$17-$B19)</f>
        <v>7380</v>
      </c>
      <c r="AU19" s="274"/>
      <c r="AV19" s="274">
        <f t="shared" ref="AV19:AV82" si="9">(T$17-$B19)</f>
        <v>10453</v>
      </c>
      <c r="AW19" s="274"/>
      <c r="AX19" s="274">
        <f t="shared" ref="AX19:AX82" si="10">(V$17-$B19)</f>
        <v>1150</v>
      </c>
      <c r="AY19" s="274">
        <f t="shared" ref="AY19:AY82" si="11">(W$17-$B19)</f>
        <v>1829</v>
      </c>
      <c r="AZ19" s="274">
        <f t="shared" ref="AZ19:AZ82" si="12">(X$17-$B19)</f>
        <v>2592</v>
      </c>
      <c r="BA19" s="274"/>
      <c r="BB19" s="274">
        <f t="shared" ref="BB19:BB82" si="13">(Z$17-$B19)</f>
        <v>4029</v>
      </c>
      <c r="BC19" s="274">
        <f t="shared" ref="BC19:BC82" si="14">(AA$17-$B19)</f>
        <v>4769</v>
      </c>
      <c r="BD19" s="274">
        <f t="shared" ref="BD19:BD82" si="15">(AB$17-$B19)</f>
        <v>5462</v>
      </c>
      <c r="BE19" s="274"/>
      <c r="BF19" s="274">
        <f t="shared" ref="BF19:BF82" si="16">(AD$17-$B19)</f>
        <v>9956</v>
      </c>
      <c r="BG19" s="274"/>
      <c r="BH19" s="274"/>
      <c r="BI19" s="266">
        <f t="shared" ref="BI19:BI82" si="17">+SUM(V19:AF19)</f>
        <v>0.19152464287864829</v>
      </c>
      <c r="BJ19" s="266" t="e">
        <f t="shared" ref="BJ19:BJ82" si="18">+SUM(D19:T19)</f>
        <v>#DIV/0!</v>
      </c>
      <c r="BK19" s="266" t="str">
        <f t="shared" ref="BK19:BK82" si="19">IFERROR(F19/$BJ19,"")</f>
        <v/>
      </c>
      <c r="BL19" s="266" t="str">
        <f t="shared" ref="BL19:BL82" si="20">IFERROR(G19/$BJ19,"")</f>
        <v/>
      </c>
      <c r="BM19" s="266" t="str">
        <f t="shared" ref="BM19:BM82" si="21">IFERROR(H19/$BJ19,"")</f>
        <v/>
      </c>
      <c r="BN19" s="266"/>
      <c r="BO19" s="266" t="str">
        <f t="shared" ref="BO19:BO82" si="22">IFERROR(J19/$BJ19,"")</f>
        <v/>
      </c>
      <c r="BP19" s="266" t="str">
        <f t="shared" ref="BP19:BP82" si="23">IFERROR(K19/$BJ19,"")</f>
        <v/>
      </c>
      <c r="BQ19" s="266" t="str">
        <f t="shared" ref="BQ19:BQ82" si="24">IFERROR(L19/$BJ19,"")</f>
        <v/>
      </c>
      <c r="BR19" s="266" t="str">
        <f t="shared" ref="BR19:BR82" si="25">IFERROR(M19/$BJ19,"")</f>
        <v/>
      </c>
      <c r="BS19" s="266" t="str">
        <f t="shared" ref="BS19:BS82" si="26">IFERROR(N19/$BJ19,"")</f>
        <v/>
      </c>
      <c r="BT19" s="266" t="str">
        <f t="shared" ref="BT19:BT82" si="27">IFERROR(P19/$BJ19,"")</f>
        <v/>
      </c>
      <c r="BU19" s="266" t="str">
        <f t="shared" ref="BU19:BU82" si="28">IFERROR(P19/$BJ19,"")</f>
        <v/>
      </c>
      <c r="BV19" s="266"/>
      <c r="BW19" s="266" t="str">
        <f t="shared" ref="BW19:BW82" si="29">IFERROR(R19/$BJ19,"")</f>
        <v/>
      </c>
      <c r="BX19" s="266"/>
      <c r="BY19" s="266" t="str">
        <f t="shared" ref="BY19:BY82" si="30">IFERROR(T19/$BJ19,"")</f>
        <v/>
      </c>
      <c r="BZ19" s="266"/>
      <c r="CA19" s="263">
        <f t="shared" ref="CA19:CA50" si="31">V19/$BI19</f>
        <v>0</v>
      </c>
      <c r="CB19" s="263">
        <f t="shared" ref="CB19:CB82" si="32">IFERROR(W19/$BI19,"")</f>
        <v>0</v>
      </c>
      <c r="CC19" s="263">
        <f t="shared" ref="CC19:CC50" si="33">X19/$BI19</f>
        <v>0</v>
      </c>
      <c r="CD19" s="263">
        <f t="shared" ref="CD19:CD82" si="34">IFERROR(Y19/$BI19,"")</f>
        <v>0</v>
      </c>
      <c r="CE19" s="263">
        <f t="shared" ref="CE19:CE50" si="35">Z19/$BI19</f>
        <v>0</v>
      </c>
      <c r="CF19" s="263">
        <f t="shared" ref="CF19:CF50" si="36">AA19/$BI19</f>
        <v>0.5</v>
      </c>
      <c r="CG19" s="263">
        <f t="shared" ref="CG19:CG50" si="37">AB19/$BI19</f>
        <v>0.5</v>
      </c>
      <c r="CH19" s="263"/>
      <c r="CI19" s="263">
        <f t="shared" ref="CI19:CI82" si="38">IFERROR(AD19/$BI19,"")</f>
        <v>0</v>
      </c>
      <c r="CJ19" s="263"/>
      <c r="CK19" s="263">
        <f t="shared" ref="CK19:CK82" si="39">IFERROR(AF19/$BI19,"")</f>
        <v>0</v>
      </c>
      <c r="CL19" s="264">
        <f t="shared" ref="CL19:CL50" si="40">ROUND(IFERROR((_xlfn.DAYS($F$17,B19)*BK19),0)+IFERROR((_xlfn.DAYS($G$17,B19)*BL19),0)+IFERROR((_xlfn.DAYS($H$17,B19)*BM19),0)+IFERROR((_xlfn.DAYS($J$17,B19)*BO19),0)+IFERROR((_xlfn.DAYS($K$17,B19)*BP19),0)+IFERROR((_xlfn.DAYS($L$17,B19)*BQ19),0)+IFERROR((_xlfn.DAYS($N$17,B19)*BS19),0)+IFERROR((_xlfn.DAYS($P$17,B19)*BU19),0)+IFERROR((_xlfn.DAYS($R$17,B19)*BW19),0)+IFERROR((_xlfn.DAYS($T$17,B19)*BY19),0),0)</f>
        <v>0</v>
      </c>
      <c r="CM19" s="264">
        <f t="shared" ref="CM19:CM82" si="41">ROUND(IFERROR((_xlfn.DAYS($V$17,B19)*CA19),0)+IFERROR((_xlfn.DAYS($Z$17,B19)*CB19),0)+IFERROR((_xlfn.DAYS($W$17,B19)*CC19),0)+IFERROR((_xlfn.DAYS($X$17,B19)*CE19),0)+IFERROR((_xlfn.DAYS($AA$17,B19)*CF19),0)+IFERROR((_xlfn.DAYS($AB$17,B19)*CG19),0)+IFERROR((_xlfn.DAYS($AD$17,B19)*CI19),0),0)</f>
        <v>5116</v>
      </c>
      <c r="CO19" s="265">
        <v>9.4570000000000001E-2</v>
      </c>
      <c r="CP19" s="265">
        <v>9.5280000000000004E-2</v>
      </c>
      <c r="CQ19" s="265">
        <v>9.6500000000000002E-2</v>
      </c>
      <c r="CS19" s="265">
        <v>9.7200000000000009E-2</v>
      </c>
      <c r="CT19" s="265">
        <v>9.5199999999999993E-2</v>
      </c>
      <c r="CU19" s="265">
        <v>9.7699999999999995E-2</v>
      </c>
      <c r="CW19" s="265">
        <v>9.7899999999999987E-2</v>
      </c>
      <c r="CY19" s="265">
        <v>9.7699999999999995E-2</v>
      </c>
      <c r="DA19" s="265">
        <v>9.8800000000000013E-2</v>
      </c>
      <c r="DC19" s="265">
        <v>9.9000000000000005E-2</v>
      </c>
      <c r="DE19" s="265">
        <v>3.1349999999999996E-2</v>
      </c>
      <c r="DF19" s="265">
        <v>3.635E-2</v>
      </c>
      <c r="DH19" s="265">
        <v>4.0399999999999998E-2</v>
      </c>
      <c r="DI19" s="265">
        <v>4.1399999999999999E-2</v>
      </c>
      <c r="DJ19" s="265">
        <v>4.138E-2</v>
      </c>
      <c r="DL19" s="265">
        <v>4.2389999999999997E-2</v>
      </c>
      <c r="DO19" s="267"/>
      <c r="DP19" s="267"/>
      <c r="DQ19" s="267"/>
      <c r="DR19" s="267"/>
      <c r="DS19" s="267"/>
      <c r="DT19" s="267"/>
      <c r="DU19" s="267"/>
      <c r="DV19" s="267"/>
      <c r="DW19" s="267"/>
      <c r="DX19" s="267"/>
      <c r="DY19" s="267"/>
      <c r="DZ19" s="205">
        <f t="shared" ref="DZ19:DZ33" si="42">DI19+((DJ19-DI19)*((CM19-BC19)/(BD19-BC19)))</f>
        <v>4.138998556998557E-2</v>
      </c>
      <c r="EA19" s="205" t="e">
        <f t="shared" ref="EA19:EA29" si="43">DA19*BJ19+(((1+$EE$55)*(1+DZ19))-1)*BI19</f>
        <v>#DIV/0!</v>
      </c>
      <c r="EB19" s="199"/>
      <c r="EC19" s="199"/>
      <c r="ED19" s="199"/>
      <c r="EE19" s="199"/>
      <c r="EG19" s="199" t="s">
        <v>443</v>
      </c>
    </row>
    <row r="20" spans="2:137">
      <c r="B20" s="272">
        <v>44635</v>
      </c>
      <c r="C20" s="271">
        <v>44635</v>
      </c>
      <c r="D20" s="263" t="e">
        <f>+SUMIFS(Tabla6[Nominal COP],Tabla6[Concepto],COSTO_OPORTUNIDAD!$B$18,Tabla6[Nemotécnico],COSTO_OPORTUNIDAD!D$16,Tabla6[Fecha Cumplimiento y/ liquidacion],COSTO_OPORTUNIDAD!$C20)/+SUMIFS(Tabla6[Nominal COP],Tabla6[Concepto],COSTO_OPORTUNIDAD!$B$18,Tabla6[Fecha Cumplimiento y/ liquidacion],COSTO_OPORTUNIDAD!$C20)</f>
        <v>#DIV/0!</v>
      </c>
      <c r="E20" s="263" t="e">
        <f>+SUMIFS(Tabla6[Nominal COP],Tabla6[Concepto],COSTO_OPORTUNIDAD!$B$18,Tabla6[Nemotécnico],COSTO_OPORTUNIDAD!E$16,Tabla6[Fecha Cumplimiento y/ liquidacion],COSTO_OPORTUNIDAD!$C20)/+SUMIFS(Tabla6[Nominal COP],Tabla6[Concepto],COSTO_OPORTUNIDAD!$B$18,Tabla6[Fecha Cumplimiento y/ liquidacion],COSTO_OPORTUNIDAD!$C20)</f>
        <v>#DIV/0!</v>
      </c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6">
        <v>0.79958308161481906</v>
      </c>
      <c r="S20" s="266"/>
      <c r="T20" s="266"/>
      <c r="U20" s="266"/>
      <c r="V20" s="262"/>
      <c r="W20" s="262"/>
      <c r="X20" s="262"/>
      <c r="Y20" s="262"/>
      <c r="Z20" s="262"/>
      <c r="AA20" s="266">
        <v>0.10020845919259046</v>
      </c>
      <c r="AB20" s="266">
        <v>0.10020845919259046</v>
      </c>
      <c r="AC20" s="266"/>
      <c r="AD20" s="266"/>
      <c r="AE20" s="266"/>
      <c r="AF20" s="266"/>
      <c r="AG20" s="262"/>
      <c r="AH20" s="274">
        <f t="shared" si="0"/>
        <v>1625</v>
      </c>
      <c r="AI20" s="274">
        <f t="shared" si="1"/>
        <v>2059</v>
      </c>
      <c r="AJ20" s="274">
        <f t="shared" si="2"/>
        <v>2236</v>
      </c>
      <c r="AK20" s="274"/>
      <c r="AL20" s="274">
        <f t="shared" si="3"/>
        <v>3109</v>
      </c>
      <c r="AM20" s="274">
        <f t="shared" si="4"/>
        <v>3298</v>
      </c>
      <c r="AN20" s="274">
        <f t="shared" si="5"/>
        <v>3760</v>
      </c>
      <c r="AO20" s="274"/>
      <c r="AP20" s="274">
        <f t="shared" si="6"/>
        <v>4600</v>
      </c>
      <c r="AQ20" s="274"/>
      <c r="AR20" s="274">
        <f t="shared" si="7"/>
        <v>5230</v>
      </c>
      <c r="AS20" s="274"/>
      <c r="AT20" s="274">
        <f t="shared" si="8"/>
        <v>7379</v>
      </c>
      <c r="AU20" s="274"/>
      <c r="AV20" s="274">
        <f t="shared" si="9"/>
        <v>10452</v>
      </c>
      <c r="AW20" s="274"/>
      <c r="AX20" s="274">
        <f t="shared" si="10"/>
        <v>1149</v>
      </c>
      <c r="AY20" s="274">
        <f t="shared" si="11"/>
        <v>1828</v>
      </c>
      <c r="AZ20" s="274">
        <f t="shared" si="12"/>
        <v>2591</v>
      </c>
      <c r="BA20" s="274"/>
      <c r="BB20" s="274">
        <f t="shared" si="13"/>
        <v>4028</v>
      </c>
      <c r="BC20" s="274">
        <f t="shared" si="14"/>
        <v>4768</v>
      </c>
      <c r="BD20" s="274">
        <f t="shared" si="15"/>
        <v>5461</v>
      </c>
      <c r="BE20" s="274"/>
      <c r="BF20" s="274">
        <f t="shared" si="16"/>
        <v>9955</v>
      </c>
      <c r="BG20" s="274"/>
      <c r="BH20" s="274"/>
      <c r="BI20" s="266">
        <f t="shared" si="17"/>
        <v>0.20041691838518091</v>
      </c>
      <c r="BJ20" s="266" t="e">
        <f t="shared" si="18"/>
        <v>#DIV/0!</v>
      </c>
      <c r="BK20" s="266" t="str">
        <f t="shared" si="19"/>
        <v/>
      </c>
      <c r="BL20" s="266" t="str">
        <f t="shared" si="20"/>
        <v/>
      </c>
      <c r="BM20" s="266" t="str">
        <f t="shared" si="21"/>
        <v/>
      </c>
      <c r="BN20" s="266"/>
      <c r="BO20" s="266" t="str">
        <f t="shared" si="22"/>
        <v/>
      </c>
      <c r="BP20" s="266" t="str">
        <f t="shared" si="23"/>
        <v/>
      </c>
      <c r="BQ20" s="266" t="str">
        <f t="shared" si="24"/>
        <v/>
      </c>
      <c r="BR20" s="266" t="str">
        <f t="shared" si="25"/>
        <v/>
      </c>
      <c r="BS20" s="266" t="str">
        <f t="shared" si="26"/>
        <v/>
      </c>
      <c r="BT20" s="266" t="str">
        <f t="shared" si="27"/>
        <v/>
      </c>
      <c r="BU20" s="266" t="str">
        <f t="shared" si="28"/>
        <v/>
      </c>
      <c r="BV20" s="266"/>
      <c r="BW20" s="266" t="str">
        <f t="shared" si="29"/>
        <v/>
      </c>
      <c r="BX20" s="266"/>
      <c r="BY20" s="266" t="str">
        <f t="shared" si="30"/>
        <v/>
      </c>
      <c r="BZ20" s="266"/>
      <c r="CA20" s="263">
        <f t="shared" si="31"/>
        <v>0</v>
      </c>
      <c r="CB20" s="263">
        <f t="shared" si="32"/>
        <v>0</v>
      </c>
      <c r="CC20" s="263">
        <f t="shared" si="33"/>
        <v>0</v>
      </c>
      <c r="CD20" s="263">
        <f t="shared" si="34"/>
        <v>0</v>
      </c>
      <c r="CE20" s="263">
        <f t="shared" si="35"/>
        <v>0</v>
      </c>
      <c r="CF20" s="263">
        <f t="shared" si="36"/>
        <v>0.5</v>
      </c>
      <c r="CG20" s="263">
        <f t="shared" si="37"/>
        <v>0.5</v>
      </c>
      <c r="CH20" s="263"/>
      <c r="CI20" s="263">
        <f t="shared" si="38"/>
        <v>0</v>
      </c>
      <c r="CJ20" s="263"/>
      <c r="CK20" s="263">
        <f t="shared" si="39"/>
        <v>0</v>
      </c>
      <c r="CL20" s="264">
        <f t="shared" si="40"/>
        <v>0</v>
      </c>
      <c r="CM20" s="264">
        <f t="shared" si="41"/>
        <v>5115</v>
      </c>
      <c r="CO20" s="265">
        <v>9.4299999999999995E-2</v>
      </c>
      <c r="CP20" s="265">
        <v>9.4899999999999998E-2</v>
      </c>
      <c r="CQ20" s="265">
        <v>9.5600000000000004E-2</v>
      </c>
      <c r="CS20" s="265">
        <v>9.6519999999999995E-2</v>
      </c>
      <c r="CT20" s="265">
        <v>9.5199999999999993E-2</v>
      </c>
      <c r="CU20" s="265">
        <v>9.7200000000000009E-2</v>
      </c>
      <c r="CW20" s="265">
        <v>9.74E-2</v>
      </c>
      <c r="CY20" s="265">
        <v>9.7850000000000006E-2</v>
      </c>
      <c r="DA20" s="265">
        <v>9.8320000000000005E-2</v>
      </c>
      <c r="DC20" s="265">
        <v>9.8470000000000002E-2</v>
      </c>
      <c r="DE20" s="265">
        <v>3.1200000000000002E-2</v>
      </c>
      <c r="DF20" s="265">
        <v>3.56E-2</v>
      </c>
      <c r="DH20" s="265">
        <v>4.0199999999999993E-2</v>
      </c>
      <c r="DI20" s="265">
        <v>4.095E-2</v>
      </c>
      <c r="DJ20" s="265">
        <v>4.07E-2</v>
      </c>
      <c r="DL20" s="265">
        <v>4.1700000000000001E-2</v>
      </c>
      <c r="DO20" s="267"/>
      <c r="DP20" s="267"/>
      <c r="DQ20" s="267"/>
      <c r="DR20" s="267"/>
      <c r="DS20" s="267"/>
      <c r="DT20" s="267"/>
      <c r="DU20" s="267"/>
      <c r="DV20" s="267"/>
      <c r="DW20" s="267"/>
      <c r="DX20" s="267"/>
      <c r="DY20" s="267"/>
      <c r="DZ20" s="205">
        <f t="shared" si="42"/>
        <v>4.0824819624819625E-2</v>
      </c>
      <c r="EA20" s="205" t="e">
        <f t="shared" si="43"/>
        <v>#DIV/0!</v>
      </c>
    </row>
    <row r="21" spans="2:137">
      <c r="B21" s="272">
        <v>44636</v>
      </c>
      <c r="C21" s="271">
        <v>44636</v>
      </c>
      <c r="D21" s="263" t="e">
        <f>+SUMIFS(Tabla6[Nominal COP],Tabla6[Concepto],COSTO_OPORTUNIDAD!$B$18,Tabla6[Nemotécnico],COSTO_OPORTUNIDAD!D$16,Tabla6[Fecha Cumplimiento y/ liquidacion],COSTO_OPORTUNIDAD!$C21)/+SUMIFS(Tabla6[Nominal COP],Tabla6[Concepto],COSTO_OPORTUNIDAD!$B$18,Tabla6[Fecha Cumplimiento y/ liquidacion],COSTO_OPORTUNIDAD!$C21)</f>
        <v>#DIV/0!</v>
      </c>
      <c r="E21" s="263" t="e">
        <f>+SUMIFS(Tabla6[Nominal COP],Tabla6[Concepto],COSTO_OPORTUNIDAD!$B$18,Tabla6[Nemotécnico],COSTO_OPORTUNIDAD!E$16,Tabla6[Fecha Cumplimiento y/ liquidacion],COSTO_OPORTUNIDAD!$C21)/+SUMIFS(Tabla6[Nominal COP],Tabla6[Concepto],COSTO_OPORTUNIDAD!$B$18,Tabla6[Fecha Cumplimiento y/ liquidacion],COSTO_OPORTUNIDAD!$C21)</f>
        <v>#DIV/0!</v>
      </c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6">
        <v>0.79958308161481906</v>
      </c>
      <c r="S21" s="266"/>
      <c r="T21" s="266"/>
      <c r="U21" s="266"/>
      <c r="V21" s="262"/>
      <c r="W21" s="262"/>
      <c r="X21" s="262"/>
      <c r="Y21" s="262"/>
      <c r="Z21" s="262"/>
      <c r="AA21" s="266">
        <v>0.10020845919259046</v>
      </c>
      <c r="AB21" s="266">
        <v>0.10020845919259046</v>
      </c>
      <c r="AC21" s="266"/>
      <c r="AD21" s="266"/>
      <c r="AE21" s="266"/>
      <c r="AF21" s="266"/>
      <c r="AG21" s="262"/>
      <c r="AH21" s="274">
        <f t="shared" si="0"/>
        <v>1624</v>
      </c>
      <c r="AI21" s="274">
        <f t="shared" si="1"/>
        <v>2058</v>
      </c>
      <c r="AJ21" s="274">
        <f t="shared" si="2"/>
        <v>2235</v>
      </c>
      <c r="AK21" s="274"/>
      <c r="AL21" s="274">
        <f t="shared" si="3"/>
        <v>3108</v>
      </c>
      <c r="AM21" s="274">
        <f t="shared" si="4"/>
        <v>3297</v>
      </c>
      <c r="AN21" s="274">
        <f t="shared" si="5"/>
        <v>3759</v>
      </c>
      <c r="AO21" s="274"/>
      <c r="AP21" s="274">
        <f t="shared" si="6"/>
        <v>4599</v>
      </c>
      <c r="AQ21" s="274"/>
      <c r="AR21" s="274">
        <f t="shared" si="7"/>
        <v>5229</v>
      </c>
      <c r="AS21" s="274"/>
      <c r="AT21" s="274">
        <f t="shared" si="8"/>
        <v>7378</v>
      </c>
      <c r="AU21" s="274"/>
      <c r="AV21" s="274">
        <f t="shared" si="9"/>
        <v>10451</v>
      </c>
      <c r="AW21" s="274"/>
      <c r="AX21" s="274">
        <f t="shared" si="10"/>
        <v>1148</v>
      </c>
      <c r="AY21" s="274">
        <f t="shared" si="11"/>
        <v>1827</v>
      </c>
      <c r="AZ21" s="274">
        <f t="shared" si="12"/>
        <v>2590</v>
      </c>
      <c r="BA21" s="274"/>
      <c r="BB21" s="274">
        <f t="shared" si="13"/>
        <v>4027</v>
      </c>
      <c r="BC21" s="274">
        <f t="shared" si="14"/>
        <v>4767</v>
      </c>
      <c r="BD21" s="274">
        <f t="shared" si="15"/>
        <v>5460</v>
      </c>
      <c r="BE21" s="274"/>
      <c r="BF21" s="274">
        <f t="shared" si="16"/>
        <v>9954</v>
      </c>
      <c r="BG21" s="274"/>
      <c r="BH21" s="274"/>
      <c r="BI21" s="266">
        <f t="shared" si="17"/>
        <v>0.20041691838518091</v>
      </c>
      <c r="BJ21" s="266" t="e">
        <f t="shared" si="18"/>
        <v>#DIV/0!</v>
      </c>
      <c r="BK21" s="266" t="str">
        <f t="shared" si="19"/>
        <v/>
      </c>
      <c r="BL21" s="266" t="str">
        <f t="shared" si="20"/>
        <v/>
      </c>
      <c r="BM21" s="266" t="str">
        <f t="shared" si="21"/>
        <v/>
      </c>
      <c r="BN21" s="266"/>
      <c r="BO21" s="266" t="str">
        <f t="shared" si="22"/>
        <v/>
      </c>
      <c r="BP21" s="266" t="str">
        <f t="shared" si="23"/>
        <v/>
      </c>
      <c r="BQ21" s="266" t="str">
        <f t="shared" si="24"/>
        <v/>
      </c>
      <c r="BR21" s="266" t="str">
        <f t="shared" si="25"/>
        <v/>
      </c>
      <c r="BS21" s="266" t="str">
        <f t="shared" si="26"/>
        <v/>
      </c>
      <c r="BT21" s="266" t="str">
        <f t="shared" si="27"/>
        <v/>
      </c>
      <c r="BU21" s="266" t="str">
        <f t="shared" si="28"/>
        <v/>
      </c>
      <c r="BV21" s="266"/>
      <c r="BW21" s="266" t="str">
        <f t="shared" si="29"/>
        <v/>
      </c>
      <c r="BX21" s="266"/>
      <c r="BY21" s="266" t="str">
        <f t="shared" si="30"/>
        <v/>
      </c>
      <c r="BZ21" s="266"/>
      <c r="CA21" s="263">
        <f t="shared" si="31"/>
        <v>0</v>
      </c>
      <c r="CB21" s="263">
        <f t="shared" si="32"/>
        <v>0</v>
      </c>
      <c r="CC21" s="263">
        <f t="shared" si="33"/>
        <v>0</v>
      </c>
      <c r="CD21" s="263">
        <f t="shared" si="34"/>
        <v>0</v>
      </c>
      <c r="CE21" s="263">
        <f t="shared" si="35"/>
        <v>0</v>
      </c>
      <c r="CF21" s="263">
        <f t="shared" si="36"/>
        <v>0.5</v>
      </c>
      <c r="CG21" s="263">
        <f t="shared" si="37"/>
        <v>0.5</v>
      </c>
      <c r="CH21" s="263"/>
      <c r="CI21" s="263">
        <f t="shared" si="38"/>
        <v>0</v>
      </c>
      <c r="CJ21" s="263"/>
      <c r="CK21" s="263">
        <f t="shared" si="39"/>
        <v>0</v>
      </c>
      <c r="CL21" s="264">
        <f t="shared" si="40"/>
        <v>0</v>
      </c>
      <c r="CM21" s="264">
        <f t="shared" si="41"/>
        <v>5114</v>
      </c>
      <c r="CO21" s="265">
        <v>9.3770000000000006E-2</v>
      </c>
      <c r="CP21" s="265">
        <v>9.484999999999999E-2</v>
      </c>
      <c r="CQ21" s="265">
        <v>9.5799999999999996E-2</v>
      </c>
      <c r="CS21" s="265">
        <v>9.6000000000000002E-2</v>
      </c>
      <c r="CT21" s="265">
        <v>9.5199999999999993E-2</v>
      </c>
      <c r="CU21" s="265">
        <v>9.6950000000000008E-2</v>
      </c>
      <c r="CW21" s="265">
        <v>9.7520000000000009E-2</v>
      </c>
      <c r="CY21" s="265">
        <v>9.7799999999999998E-2</v>
      </c>
      <c r="DA21" s="265">
        <v>9.9030000000000007E-2</v>
      </c>
      <c r="DC21" s="265">
        <v>9.9000000000000005E-2</v>
      </c>
      <c r="DE21" s="265">
        <v>3.1E-2</v>
      </c>
      <c r="DF21" s="265">
        <v>3.5549999999999998E-2</v>
      </c>
      <c r="DH21" s="265">
        <v>4.0199999999999993E-2</v>
      </c>
      <c r="DI21" s="265">
        <v>4.095E-2</v>
      </c>
      <c r="DJ21" s="265">
        <v>4.0719999999999999E-2</v>
      </c>
      <c r="DL21" s="265">
        <v>4.1500000000000002E-2</v>
      </c>
      <c r="DO21" s="267"/>
      <c r="DP21" s="267"/>
      <c r="DQ21" s="267"/>
      <c r="DR21" s="267"/>
      <c r="DS21" s="267"/>
      <c r="DT21" s="267"/>
      <c r="DU21" s="267"/>
      <c r="DV21" s="267"/>
      <c r="DW21" s="267"/>
      <c r="DX21" s="267"/>
      <c r="DY21" s="267"/>
      <c r="DZ21" s="205">
        <f t="shared" si="42"/>
        <v>4.0834834054834054E-2</v>
      </c>
      <c r="EA21" s="205" t="e">
        <f t="shared" si="43"/>
        <v>#DIV/0!</v>
      </c>
    </row>
    <row r="22" spans="2:137">
      <c r="B22" s="272">
        <v>44637</v>
      </c>
      <c r="C22" s="271">
        <v>44637</v>
      </c>
      <c r="D22" s="263" t="e">
        <f>+SUMIFS(Tabla6[Nominal COP],Tabla6[Concepto],COSTO_OPORTUNIDAD!$B$18,Tabla6[Nemotécnico],COSTO_OPORTUNIDAD!D$16,Tabla6[Fecha Cumplimiento y/ liquidacion],COSTO_OPORTUNIDAD!$C22)/+SUMIFS(Tabla6[Nominal COP],Tabla6[Concepto],COSTO_OPORTUNIDAD!$B$18,Tabla6[Fecha Cumplimiento y/ liquidacion],COSTO_OPORTUNIDAD!$C22)</f>
        <v>#DIV/0!</v>
      </c>
      <c r="E22" s="263" t="e">
        <f>+SUMIFS(Tabla6[Nominal COP],Tabla6[Concepto],COSTO_OPORTUNIDAD!$B$18,Tabla6[Nemotécnico],COSTO_OPORTUNIDAD!E$16,Tabla6[Fecha Cumplimiento y/ liquidacion],COSTO_OPORTUNIDAD!$C22)/+SUMIFS(Tabla6[Nominal COP],Tabla6[Concepto],COSTO_OPORTUNIDAD!$B$18,Tabla6[Fecha Cumplimiento y/ liquidacion],COSTO_OPORTUNIDAD!$C22)</f>
        <v>#DIV/0!</v>
      </c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6">
        <v>0.79958308161481906</v>
      </c>
      <c r="S22" s="266"/>
      <c r="T22" s="266"/>
      <c r="U22" s="266"/>
      <c r="V22" s="262"/>
      <c r="W22" s="262"/>
      <c r="X22" s="262"/>
      <c r="Y22" s="262"/>
      <c r="Z22" s="262"/>
      <c r="AA22" s="266">
        <v>0.10020845919259046</v>
      </c>
      <c r="AB22" s="266">
        <v>0.10020845919259046</v>
      </c>
      <c r="AC22" s="266"/>
      <c r="AD22" s="266"/>
      <c r="AE22" s="266"/>
      <c r="AF22" s="266"/>
      <c r="AG22" s="262"/>
      <c r="AH22" s="274">
        <f t="shared" si="0"/>
        <v>1623</v>
      </c>
      <c r="AI22" s="274">
        <f t="shared" si="1"/>
        <v>2057</v>
      </c>
      <c r="AJ22" s="274">
        <f t="shared" si="2"/>
        <v>2234</v>
      </c>
      <c r="AK22" s="274"/>
      <c r="AL22" s="274">
        <f t="shared" si="3"/>
        <v>3107</v>
      </c>
      <c r="AM22" s="274">
        <f t="shared" si="4"/>
        <v>3296</v>
      </c>
      <c r="AN22" s="274">
        <f t="shared" si="5"/>
        <v>3758</v>
      </c>
      <c r="AO22" s="274"/>
      <c r="AP22" s="274">
        <f t="shared" si="6"/>
        <v>4598</v>
      </c>
      <c r="AQ22" s="274"/>
      <c r="AR22" s="274">
        <f t="shared" si="7"/>
        <v>5228</v>
      </c>
      <c r="AS22" s="274"/>
      <c r="AT22" s="274">
        <f t="shared" si="8"/>
        <v>7377</v>
      </c>
      <c r="AU22" s="274"/>
      <c r="AV22" s="274">
        <f t="shared" si="9"/>
        <v>10450</v>
      </c>
      <c r="AW22" s="274"/>
      <c r="AX22" s="274">
        <f t="shared" si="10"/>
        <v>1147</v>
      </c>
      <c r="AY22" s="274">
        <f t="shared" si="11"/>
        <v>1826</v>
      </c>
      <c r="AZ22" s="274">
        <f t="shared" si="12"/>
        <v>2589</v>
      </c>
      <c r="BA22" s="274"/>
      <c r="BB22" s="274">
        <f t="shared" si="13"/>
        <v>4026</v>
      </c>
      <c r="BC22" s="274">
        <f t="shared" si="14"/>
        <v>4766</v>
      </c>
      <c r="BD22" s="274">
        <f t="shared" si="15"/>
        <v>5459</v>
      </c>
      <c r="BE22" s="274"/>
      <c r="BF22" s="274">
        <f t="shared" si="16"/>
        <v>9953</v>
      </c>
      <c r="BG22" s="274"/>
      <c r="BH22" s="274"/>
      <c r="BI22" s="266">
        <f t="shared" si="17"/>
        <v>0.20041691838518091</v>
      </c>
      <c r="BJ22" s="266" t="e">
        <f t="shared" si="18"/>
        <v>#DIV/0!</v>
      </c>
      <c r="BK22" s="266" t="str">
        <f t="shared" si="19"/>
        <v/>
      </c>
      <c r="BL22" s="266" t="str">
        <f t="shared" si="20"/>
        <v/>
      </c>
      <c r="BM22" s="266" t="str">
        <f t="shared" si="21"/>
        <v/>
      </c>
      <c r="BN22" s="266"/>
      <c r="BO22" s="266" t="str">
        <f t="shared" si="22"/>
        <v/>
      </c>
      <c r="BP22" s="266" t="str">
        <f t="shared" si="23"/>
        <v/>
      </c>
      <c r="BQ22" s="266" t="str">
        <f t="shared" si="24"/>
        <v/>
      </c>
      <c r="BR22" s="266" t="str">
        <f t="shared" si="25"/>
        <v/>
      </c>
      <c r="BS22" s="266" t="str">
        <f t="shared" si="26"/>
        <v/>
      </c>
      <c r="BT22" s="266" t="str">
        <f t="shared" si="27"/>
        <v/>
      </c>
      <c r="BU22" s="266" t="str">
        <f t="shared" si="28"/>
        <v/>
      </c>
      <c r="BV22" s="266"/>
      <c r="BW22" s="266" t="str">
        <f t="shared" si="29"/>
        <v/>
      </c>
      <c r="BX22" s="266"/>
      <c r="BY22" s="266" t="str">
        <f t="shared" si="30"/>
        <v/>
      </c>
      <c r="BZ22" s="266"/>
      <c r="CA22" s="263">
        <f t="shared" si="31"/>
        <v>0</v>
      </c>
      <c r="CB22" s="263">
        <f t="shared" si="32"/>
        <v>0</v>
      </c>
      <c r="CC22" s="263">
        <f t="shared" si="33"/>
        <v>0</v>
      </c>
      <c r="CD22" s="263">
        <f t="shared" si="34"/>
        <v>0</v>
      </c>
      <c r="CE22" s="263">
        <f t="shared" si="35"/>
        <v>0</v>
      </c>
      <c r="CF22" s="263">
        <f t="shared" si="36"/>
        <v>0.5</v>
      </c>
      <c r="CG22" s="263">
        <f t="shared" si="37"/>
        <v>0.5</v>
      </c>
      <c r="CH22" s="263"/>
      <c r="CI22" s="263">
        <f t="shared" si="38"/>
        <v>0</v>
      </c>
      <c r="CJ22" s="263"/>
      <c r="CK22" s="263">
        <f t="shared" si="39"/>
        <v>0</v>
      </c>
      <c r="CL22" s="264">
        <f t="shared" si="40"/>
        <v>0</v>
      </c>
      <c r="CM22" s="264">
        <f t="shared" si="41"/>
        <v>5113</v>
      </c>
      <c r="CO22" s="265">
        <v>9.3599999999999989E-2</v>
      </c>
      <c r="CP22" s="265">
        <v>9.4649999999999998E-2</v>
      </c>
      <c r="CQ22" s="265">
        <v>9.554E-2</v>
      </c>
      <c r="CS22" s="265">
        <v>9.597E-2</v>
      </c>
      <c r="CT22" s="265">
        <v>9.4899999999999998E-2</v>
      </c>
      <c r="CU22" s="265">
        <v>9.6600000000000005E-2</v>
      </c>
      <c r="CW22" s="265">
        <v>9.7349999999999992E-2</v>
      </c>
      <c r="CY22" s="265">
        <v>9.7470000000000001E-2</v>
      </c>
      <c r="DA22" s="265">
        <v>9.9139999999999992E-2</v>
      </c>
      <c r="DC22" s="265">
        <v>9.9090000000000011E-2</v>
      </c>
      <c r="DE22" s="265">
        <v>3.1E-2</v>
      </c>
      <c r="DF22" s="265">
        <v>3.5409999999999997E-2</v>
      </c>
      <c r="DH22" s="265">
        <v>4.0199999999999993E-2</v>
      </c>
      <c r="DI22" s="265">
        <v>4.0999999999999995E-2</v>
      </c>
      <c r="DJ22" s="265">
        <v>4.0800000000000003E-2</v>
      </c>
      <c r="DL22" s="265">
        <v>4.1599999999999998E-2</v>
      </c>
      <c r="DO22" s="267"/>
      <c r="DP22" s="267"/>
      <c r="DQ22" s="267"/>
      <c r="DR22" s="267"/>
      <c r="DS22" s="267"/>
      <c r="DT22" s="267"/>
      <c r="DU22" s="267"/>
      <c r="DV22" s="267"/>
      <c r="DW22" s="267"/>
      <c r="DX22" s="267"/>
      <c r="DY22" s="267"/>
      <c r="DZ22" s="205">
        <f t="shared" si="42"/>
        <v>4.08998556998557E-2</v>
      </c>
      <c r="EA22" s="205" t="e">
        <f t="shared" si="43"/>
        <v>#DIV/0!</v>
      </c>
    </row>
    <row r="23" spans="2:137">
      <c r="B23" s="272">
        <v>44638</v>
      </c>
      <c r="C23" s="271">
        <v>44638</v>
      </c>
      <c r="D23" s="263" t="e">
        <f>+SUMIFS(Tabla6[Nominal COP],Tabla6[Concepto],COSTO_OPORTUNIDAD!$B$18,Tabla6[Nemotécnico],COSTO_OPORTUNIDAD!D$16,Tabla6[Fecha Cumplimiento y/ liquidacion],COSTO_OPORTUNIDAD!$C23)/+SUMIFS(Tabla6[Nominal COP],Tabla6[Concepto],COSTO_OPORTUNIDAD!$B$18,Tabla6[Fecha Cumplimiento y/ liquidacion],COSTO_OPORTUNIDAD!$C23)</f>
        <v>#DIV/0!</v>
      </c>
      <c r="E23" s="263" t="e">
        <f>+SUMIFS(Tabla6[Nominal COP],Tabla6[Concepto],COSTO_OPORTUNIDAD!$B$18,Tabla6[Nemotécnico],COSTO_OPORTUNIDAD!E$16,Tabla6[Fecha Cumplimiento y/ liquidacion],COSTO_OPORTUNIDAD!$C23)/+SUMIFS(Tabla6[Nominal COP],Tabla6[Concepto],COSTO_OPORTUNIDAD!$B$18,Tabla6[Fecha Cumplimiento y/ liquidacion],COSTO_OPORTUNIDAD!$C23)</f>
        <v>#DIV/0!</v>
      </c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6">
        <v>0.79958308161481906</v>
      </c>
      <c r="S23" s="266"/>
      <c r="T23" s="266"/>
      <c r="U23" s="266"/>
      <c r="V23" s="262"/>
      <c r="W23" s="262"/>
      <c r="X23" s="262"/>
      <c r="Y23" s="262"/>
      <c r="Z23" s="262"/>
      <c r="AA23" s="266">
        <v>0.10020845919259046</v>
      </c>
      <c r="AB23" s="266">
        <v>0.10020845919259046</v>
      </c>
      <c r="AC23" s="266"/>
      <c r="AD23" s="266"/>
      <c r="AE23" s="266"/>
      <c r="AF23" s="266"/>
      <c r="AG23" s="262"/>
      <c r="AH23" s="274">
        <f t="shared" si="0"/>
        <v>1622</v>
      </c>
      <c r="AI23" s="274">
        <f t="shared" si="1"/>
        <v>2056</v>
      </c>
      <c r="AJ23" s="274">
        <f t="shared" si="2"/>
        <v>2233</v>
      </c>
      <c r="AK23" s="274"/>
      <c r="AL23" s="274">
        <f t="shared" si="3"/>
        <v>3106</v>
      </c>
      <c r="AM23" s="274">
        <f t="shared" si="4"/>
        <v>3295</v>
      </c>
      <c r="AN23" s="274">
        <f t="shared" si="5"/>
        <v>3757</v>
      </c>
      <c r="AO23" s="274"/>
      <c r="AP23" s="274">
        <f t="shared" si="6"/>
        <v>4597</v>
      </c>
      <c r="AQ23" s="274"/>
      <c r="AR23" s="274">
        <f t="shared" si="7"/>
        <v>5227</v>
      </c>
      <c r="AS23" s="274"/>
      <c r="AT23" s="274">
        <f t="shared" si="8"/>
        <v>7376</v>
      </c>
      <c r="AU23" s="274"/>
      <c r="AV23" s="274">
        <f t="shared" si="9"/>
        <v>10449</v>
      </c>
      <c r="AW23" s="274"/>
      <c r="AX23" s="274">
        <f t="shared" si="10"/>
        <v>1146</v>
      </c>
      <c r="AY23" s="274">
        <f t="shared" si="11"/>
        <v>1825</v>
      </c>
      <c r="AZ23" s="274">
        <f t="shared" si="12"/>
        <v>2588</v>
      </c>
      <c r="BA23" s="274"/>
      <c r="BB23" s="274">
        <f t="shared" si="13"/>
        <v>4025</v>
      </c>
      <c r="BC23" s="274">
        <f t="shared" si="14"/>
        <v>4765</v>
      </c>
      <c r="BD23" s="274">
        <f t="shared" si="15"/>
        <v>5458</v>
      </c>
      <c r="BE23" s="274"/>
      <c r="BF23" s="274">
        <f t="shared" si="16"/>
        <v>9952</v>
      </c>
      <c r="BG23" s="274"/>
      <c r="BH23" s="274"/>
      <c r="BI23" s="266">
        <f t="shared" si="17"/>
        <v>0.20041691838518091</v>
      </c>
      <c r="BJ23" s="266" t="e">
        <f t="shared" si="18"/>
        <v>#DIV/0!</v>
      </c>
      <c r="BK23" s="266" t="str">
        <f t="shared" si="19"/>
        <v/>
      </c>
      <c r="BL23" s="266" t="str">
        <f t="shared" si="20"/>
        <v/>
      </c>
      <c r="BM23" s="266" t="str">
        <f t="shared" si="21"/>
        <v/>
      </c>
      <c r="BN23" s="266"/>
      <c r="BO23" s="266" t="str">
        <f t="shared" si="22"/>
        <v/>
      </c>
      <c r="BP23" s="266" t="str">
        <f t="shared" si="23"/>
        <v/>
      </c>
      <c r="BQ23" s="266" t="str">
        <f t="shared" si="24"/>
        <v/>
      </c>
      <c r="BR23" s="266" t="str">
        <f t="shared" si="25"/>
        <v/>
      </c>
      <c r="BS23" s="266" t="str">
        <f t="shared" si="26"/>
        <v/>
      </c>
      <c r="BT23" s="266" t="str">
        <f t="shared" si="27"/>
        <v/>
      </c>
      <c r="BU23" s="266" t="str">
        <f t="shared" si="28"/>
        <v/>
      </c>
      <c r="BV23" s="266"/>
      <c r="BW23" s="266" t="str">
        <f t="shared" si="29"/>
        <v/>
      </c>
      <c r="BX23" s="266"/>
      <c r="BY23" s="266" t="str">
        <f t="shared" si="30"/>
        <v/>
      </c>
      <c r="BZ23" s="266"/>
      <c r="CA23" s="263">
        <f t="shared" si="31"/>
        <v>0</v>
      </c>
      <c r="CB23" s="263">
        <f t="shared" si="32"/>
        <v>0</v>
      </c>
      <c r="CC23" s="263">
        <f t="shared" si="33"/>
        <v>0</v>
      </c>
      <c r="CD23" s="263">
        <f t="shared" si="34"/>
        <v>0</v>
      </c>
      <c r="CE23" s="263">
        <f t="shared" si="35"/>
        <v>0</v>
      </c>
      <c r="CF23" s="263">
        <f t="shared" si="36"/>
        <v>0.5</v>
      </c>
      <c r="CG23" s="263">
        <f t="shared" si="37"/>
        <v>0.5</v>
      </c>
      <c r="CH23" s="263"/>
      <c r="CI23" s="263">
        <f t="shared" si="38"/>
        <v>0</v>
      </c>
      <c r="CJ23" s="263"/>
      <c r="CK23" s="263">
        <f t="shared" si="39"/>
        <v>0</v>
      </c>
      <c r="CL23" s="264">
        <f t="shared" si="40"/>
        <v>0</v>
      </c>
      <c r="CM23" s="264">
        <f t="shared" si="41"/>
        <v>5112</v>
      </c>
      <c r="CO23" s="265">
        <v>9.3200000000000005E-2</v>
      </c>
      <c r="CP23" s="265">
        <v>9.4E-2</v>
      </c>
      <c r="CQ23" s="265">
        <v>9.4819999999999988E-2</v>
      </c>
      <c r="CS23" s="265">
        <v>9.5660000000000009E-2</v>
      </c>
      <c r="CT23" s="265">
        <v>9.4899999999999998E-2</v>
      </c>
      <c r="CU23" s="265">
        <v>9.6699999999999994E-2</v>
      </c>
      <c r="CW23" s="265">
        <v>9.7699999999999995E-2</v>
      </c>
      <c r="CY23" s="265">
        <v>9.7929999999999989E-2</v>
      </c>
      <c r="DA23" s="265">
        <v>9.9000000000000005E-2</v>
      </c>
      <c r="DC23" s="265">
        <v>9.9250000000000005E-2</v>
      </c>
      <c r="DE23" s="265">
        <v>3.2029999999999996E-2</v>
      </c>
      <c r="DF23" s="265">
        <v>3.5299999999999998E-2</v>
      </c>
      <c r="DH23" s="265">
        <v>4.0199999999999993E-2</v>
      </c>
      <c r="DI23" s="265">
        <v>4.0849999999999997E-2</v>
      </c>
      <c r="DJ23" s="265">
        <v>4.0750000000000001E-2</v>
      </c>
      <c r="DL23" s="265">
        <v>4.1500000000000002E-2</v>
      </c>
      <c r="DO23" s="267"/>
      <c r="DP23" s="267"/>
      <c r="DQ23" s="267"/>
      <c r="DR23" s="267"/>
      <c r="DS23" s="267"/>
      <c r="DT23" s="267"/>
      <c r="DU23" s="267"/>
      <c r="DV23" s="267"/>
      <c r="DW23" s="267"/>
      <c r="DX23" s="267"/>
      <c r="DY23" s="267"/>
      <c r="DZ23" s="205">
        <f t="shared" si="42"/>
        <v>4.079992784992785E-2</v>
      </c>
      <c r="EA23" s="205" t="e">
        <f t="shared" si="43"/>
        <v>#DIV/0!</v>
      </c>
    </row>
    <row r="24" spans="2:137">
      <c r="B24" s="272">
        <v>44649</v>
      </c>
      <c r="C24" s="271">
        <v>44649</v>
      </c>
      <c r="D24" s="263" t="e">
        <f>+SUMIFS(Tabla6[Nominal COP],Tabla6[Concepto],COSTO_OPORTUNIDAD!$B$18,Tabla6[Nemotécnico],COSTO_OPORTUNIDAD!D$16,Tabla6[Fecha Cumplimiento y/ liquidacion],COSTO_OPORTUNIDAD!$C24)/+SUMIFS(Tabla6[Nominal COP],Tabla6[Concepto],COSTO_OPORTUNIDAD!$B$18,Tabla6[Fecha Cumplimiento y/ liquidacion],COSTO_OPORTUNIDAD!$C24)</f>
        <v>#DIV/0!</v>
      </c>
      <c r="E24" s="263" t="e">
        <f>+SUMIFS(Tabla6[Nominal COP],Tabla6[Concepto],COSTO_OPORTUNIDAD!$B$18,Tabla6[Nemotécnico],COSTO_OPORTUNIDAD!E$16,Tabla6[Fecha Cumplimiento y/ liquidacion],COSTO_OPORTUNIDAD!$C24)/+SUMIFS(Tabla6[Nominal COP],Tabla6[Concepto],COSTO_OPORTUNIDAD!$B$18,Tabla6[Fecha Cumplimiento y/ liquidacion],COSTO_OPORTUNIDAD!$C24)</f>
        <v>#DIV/0!</v>
      </c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262"/>
      <c r="R24" s="263">
        <v>0.48784304491842634</v>
      </c>
      <c r="S24" s="263"/>
      <c r="T24" s="263"/>
      <c r="U24" s="263"/>
      <c r="V24" s="262"/>
      <c r="W24" s="262"/>
      <c r="X24" s="262"/>
      <c r="Y24" s="262"/>
      <c r="Z24" s="262"/>
      <c r="AA24" s="263">
        <v>0.31745265810841339</v>
      </c>
      <c r="AB24" s="263">
        <v>0.19470429697316022</v>
      </c>
      <c r="AC24" s="263"/>
      <c r="AD24" s="263"/>
      <c r="AE24" s="263"/>
      <c r="AF24" s="263"/>
      <c r="AG24" s="262"/>
      <c r="AH24" s="274">
        <f t="shared" si="0"/>
        <v>1611</v>
      </c>
      <c r="AI24" s="274">
        <f t="shared" si="1"/>
        <v>2045</v>
      </c>
      <c r="AJ24" s="274">
        <f t="shared" si="2"/>
        <v>2222</v>
      </c>
      <c r="AK24" s="274"/>
      <c r="AL24" s="274">
        <f t="shared" si="3"/>
        <v>3095</v>
      </c>
      <c r="AM24" s="274">
        <f t="shared" si="4"/>
        <v>3284</v>
      </c>
      <c r="AN24" s="274">
        <f t="shared" si="5"/>
        <v>3746</v>
      </c>
      <c r="AO24" s="274"/>
      <c r="AP24" s="274">
        <f t="shared" si="6"/>
        <v>4586</v>
      </c>
      <c r="AQ24" s="274"/>
      <c r="AR24" s="274">
        <f t="shared" si="7"/>
        <v>5216</v>
      </c>
      <c r="AS24" s="274"/>
      <c r="AT24" s="274">
        <f t="shared" si="8"/>
        <v>7365</v>
      </c>
      <c r="AU24" s="274"/>
      <c r="AV24" s="274">
        <f t="shared" si="9"/>
        <v>10438</v>
      </c>
      <c r="AW24" s="274"/>
      <c r="AX24" s="274">
        <f t="shared" si="10"/>
        <v>1135</v>
      </c>
      <c r="AY24" s="274">
        <f t="shared" si="11"/>
        <v>1814</v>
      </c>
      <c r="AZ24" s="274">
        <f t="shared" si="12"/>
        <v>2577</v>
      </c>
      <c r="BA24" s="274"/>
      <c r="BB24" s="274">
        <f t="shared" si="13"/>
        <v>4014</v>
      </c>
      <c r="BC24" s="274">
        <f t="shared" si="14"/>
        <v>4754</v>
      </c>
      <c r="BD24" s="274">
        <f t="shared" si="15"/>
        <v>5447</v>
      </c>
      <c r="BE24" s="274"/>
      <c r="BF24" s="274">
        <f t="shared" si="16"/>
        <v>9941</v>
      </c>
      <c r="BG24" s="274"/>
      <c r="BH24" s="274"/>
      <c r="BI24" s="266">
        <f t="shared" si="17"/>
        <v>0.51215695508157366</v>
      </c>
      <c r="BJ24" s="266" t="e">
        <f t="shared" si="18"/>
        <v>#DIV/0!</v>
      </c>
      <c r="BK24" s="266" t="str">
        <f t="shared" si="19"/>
        <v/>
      </c>
      <c r="BL24" s="266" t="str">
        <f t="shared" si="20"/>
        <v/>
      </c>
      <c r="BM24" s="266" t="str">
        <f t="shared" si="21"/>
        <v/>
      </c>
      <c r="BN24" s="266"/>
      <c r="BO24" s="266" t="str">
        <f t="shared" si="22"/>
        <v/>
      </c>
      <c r="BP24" s="266" t="str">
        <f t="shared" si="23"/>
        <v/>
      </c>
      <c r="BQ24" s="266" t="str">
        <f t="shared" si="24"/>
        <v/>
      </c>
      <c r="BR24" s="266" t="str">
        <f t="shared" si="25"/>
        <v/>
      </c>
      <c r="BS24" s="266" t="str">
        <f t="shared" si="26"/>
        <v/>
      </c>
      <c r="BT24" s="266" t="str">
        <f t="shared" si="27"/>
        <v/>
      </c>
      <c r="BU24" s="266" t="str">
        <f t="shared" si="28"/>
        <v/>
      </c>
      <c r="BV24" s="266"/>
      <c r="BW24" s="266" t="str">
        <f t="shared" si="29"/>
        <v/>
      </c>
      <c r="BX24" s="266"/>
      <c r="BY24" s="266" t="str">
        <f t="shared" si="30"/>
        <v/>
      </c>
      <c r="BZ24" s="266"/>
      <c r="CA24" s="263">
        <f t="shared" si="31"/>
        <v>0</v>
      </c>
      <c r="CB24" s="263">
        <f t="shared" si="32"/>
        <v>0</v>
      </c>
      <c r="CC24" s="263">
        <f t="shared" si="33"/>
        <v>0</v>
      </c>
      <c r="CD24" s="263">
        <f t="shared" si="34"/>
        <v>0</v>
      </c>
      <c r="CE24" s="263">
        <f t="shared" si="35"/>
        <v>0</v>
      </c>
      <c r="CF24" s="263">
        <f t="shared" si="36"/>
        <v>0.61983471074380159</v>
      </c>
      <c r="CG24" s="263">
        <f t="shared" si="37"/>
        <v>0.3801652892561983</v>
      </c>
      <c r="CH24" s="263"/>
      <c r="CI24" s="263">
        <f t="shared" si="38"/>
        <v>0</v>
      </c>
      <c r="CJ24" s="263"/>
      <c r="CK24" s="263">
        <f t="shared" si="39"/>
        <v>0</v>
      </c>
      <c r="CL24" s="264">
        <f t="shared" si="40"/>
        <v>0</v>
      </c>
      <c r="CM24" s="264">
        <f t="shared" si="41"/>
        <v>5017</v>
      </c>
      <c r="CO24" s="265">
        <v>9.6300000000000011E-2</v>
      </c>
      <c r="CP24" s="265">
        <v>9.5700000000000007E-2</v>
      </c>
      <c r="CQ24" s="265">
        <v>9.6149999999999999E-2</v>
      </c>
      <c r="CS24" s="265">
        <v>9.6999999999999989E-2</v>
      </c>
      <c r="CT24" s="265">
        <v>0.10045</v>
      </c>
      <c r="CU24" s="265">
        <v>9.7200000000000009E-2</v>
      </c>
      <c r="CW24" s="265">
        <v>9.7619999999999998E-2</v>
      </c>
      <c r="CY24" s="265">
        <v>9.8100000000000007E-2</v>
      </c>
      <c r="DA24" s="265">
        <v>0.10027</v>
      </c>
      <c r="DC24" s="265">
        <v>9.9700000000000011E-2</v>
      </c>
      <c r="DE24" s="265">
        <v>3.2829999999999998E-2</v>
      </c>
      <c r="DF24" s="265">
        <v>3.5299999999999998E-2</v>
      </c>
      <c r="DH24" s="265">
        <v>4.0529999999999997E-2</v>
      </c>
      <c r="DI24" s="265">
        <v>4.2599999999999999E-2</v>
      </c>
      <c r="DJ24" s="265">
        <v>4.2430000000000002E-2</v>
      </c>
      <c r="DL24" s="265">
        <v>4.2880000000000001E-2</v>
      </c>
      <c r="DO24" s="267"/>
      <c r="DP24" s="267"/>
      <c r="DQ24" s="267"/>
      <c r="DR24" s="267"/>
      <c r="DS24" s="267"/>
      <c r="DT24" s="267"/>
      <c r="DU24" s="267"/>
      <c r="DV24" s="267"/>
      <c r="DW24" s="267"/>
      <c r="DX24" s="267"/>
      <c r="DY24" s="267"/>
      <c r="DZ24" s="205">
        <f t="shared" si="42"/>
        <v>4.2535483405483403E-2</v>
      </c>
      <c r="EA24" s="205" t="e">
        <f t="shared" si="43"/>
        <v>#DIV/0!</v>
      </c>
    </row>
    <row r="25" spans="2:137">
      <c r="B25" s="272">
        <v>44650</v>
      </c>
      <c r="C25" s="271">
        <v>44650</v>
      </c>
      <c r="D25" s="263" t="e">
        <f>+SUMIFS(Tabla6[Nominal COP],Tabla6[Concepto],COSTO_OPORTUNIDAD!$B$18,Tabla6[Nemotécnico],COSTO_OPORTUNIDAD!D$16,Tabla6[Fecha Cumplimiento y/ liquidacion],COSTO_OPORTUNIDAD!$C25)/+SUMIFS(Tabla6[Nominal COP],Tabla6[Concepto],COSTO_OPORTUNIDAD!$B$18,Tabla6[Fecha Cumplimiento y/ liquidacion],COSTO_OPORTUNIDAD!$C25)</f>
        <v>#DIV/0!</v>
      </c>
      <c r="E25" s="263" t="e">
        <f>+SUMIFS(Tabla6[Nominal COP],Tabla6[Concepto],COSTO_OPORTUNIDAD!$B$18,Tabla6[Nemotécnico],COSTO_OPORTUNIDAD!E$16,Tabla6[Fecha Cumplimiento y/ liquidacion],COSTO_OPORTUNIDAD!$C25)/+SUMIFS(Tabla6[Nominal COP],Tabla6[Concepto],COSTO_OPORTUNIDAD!$B$18,Tabla6[Fecha Cumplimiento y/ liquidacion],COSTO_OPORTUNIDAD!$C25)</f>
        <v>#DIV/0!</v>
      </c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63">
        <v>0.49720453867196673</v>
      </c>
      <c r="S25" s="263"/>
      <c r="T25" s="263"/>
      <c r="U25" s="263"/>
      <c r="V25" s="262"/>
      <c r="W25" s="262"/>
      <c r="X25" s="262"/>
      <c r="Y25" s="262"/>
      <c r="Z25" s="262"/>
      <c r="AA25" s="263">
        <v>0.3070764226902753</v>
      </c>
      <c r="AB25" s="263">
        <v>0.19571903863775791</v>
      </c>
      <c r="AC25" s="263"/>
      <c r="AD25" s="263"/>
      <c r="AE25" s="263"/>
      <c r="AF25" s="263"/>
      <c r="AG25" s="262"/>
      <c r="AH25" s="274">
        <f t="shared" si="0"/>
        <v>1610</v>
      </c>
      <c r="AI25" s="274">
        <f t="shared" si="1"/>
        <v>2044</v>
      </c>
      <c r="AJ25" s="274">
        <f t="shared" si="2"/>
        <v>2221</v>
      </c>
      <c r="AK25" s="274"/>
      <c r="AL25" s="274">
        <f t="shared" si="3"/>
        <v>3094</v>
      </c>
      <c r="AM25" s="274">
        <f t="shared" si="4"/>
        <v>3283</v>
      </c>
      <c r="AN25" s="274">
        <f t="shared" si="5"/>
        <v>3745</v>
      </c>
      <c r="AO25" s="274"/>
      <c r="AP25" s="274">
        <f t="shared" si="6"/>
        <v>4585</v>
      </c>
      <c r="AQ25" s="274"/>
      <c r="AR25" s="274">
        <f t="shared" si="7"/>
        <v>5215</v>
      </c>
      <c r="AS25" s="274"/>
      <c r="AT25" s="274">
        <f t="shared" si="8"/>
        <v>7364</v>
      </c>
      <c r="AU25" s="274"/>
      <c r="AV25" s="274">
        <f t="shared" si="9"/>
        <v>10437</v>
      </c>
      <c r="AW25" s="274"/>
      <c r="AX25" s="274">
        <f t="shared" si="10"/>
        <v>1134</v>
      </c>
      <c r="AY25" s="274">
        <f t="shared" si="11"/>
        <v>1813</v>
      </c>
      <c r="AZ25" s="274">
        <f t="shared" si="12"/>
        <v>2576</v>
      </c>
      <c r="BA25" s="274"/>
      <c r="BB25" s="274">
        <f t="shared" si="13"/>
        <v>4013</v>
      </c>
      <c r="BC25" s="274">
        <f t="shared" si="14"/>
        <v>4753</v>
      </c>
      <c r="BD25" s="274">
        <f t="shared" si="15"/>
        <v>5446</v>
      </c>
      <c r="BE25" s="274"/>
      <c r="BF25" s="274">
        <f t="shared" si="16"/>
        <v>9940</v>
      </c>
      <c r="BG25" s="274"/>
      <c r="BH25" s="274"/>
      <c r="BI25" s="266">
        <f t="shared" si="17"/>
        <v>0.50279546132803321</v>
      </c>
      <c r="BJ25" s="266" t="e">
        <f t="shared" si="18"/>
        <v>#DIV/0!</v>
      </c>
      <c r="BK25" s="266" t="str">
        <f t="shared" si="19"/>
        <v/>
      </c>
      <c r="BL25" s="266" t="str">
        <f t="shared" si="20"/>
        <v/>
      </c>
      <c r="BM25" s="266" t="str">
        <f t="shared" si="21"/>
        <v/>
      </c>
      <c r="BN25" s="266"/>
      <c r="BO25" s="266" t="str">
        <f t="shared" si="22"/>
        <v/>
      </c>
      <c r="BP25" s="266" t="str">
        <f t="shared" si="23"/>
        <v/>
      </c>
      <c r="BQ25" s="266" t="str">
        <f t="shared" si="24"/>
        <v/>
      </c>
      <c r="BR25" s="266" t="str">
        <f t="shared" si="25"/>
        <v/>
      </c>
      <c r="BS25" s="266" t="str">
        <f t="shared" si="26"/>
        <v/>
      </c>
      <c r="BT25" s="266" t="str">
        <f t="shared" si="27"/>
        <v/>
      </c>
      <c r="BU25" s="266" t="str">
        <f t="shared" si="28"/>
        <v/>
      </c>
      <c r="BV25" s="266"/>
      <c r="BW25" s="266" t="str">
        <f t="shared" si="29"/>
        <v/>
      </c>
      <c r="BX25" s="266"/>
      <c r="BY25" s="266" t="str">
        <f t="shared" si="30"/>
        <v/>
      </c>
      <c r="BZ25" s="266"/>
      <c r="CA25" s="263">
        <f t="shared" si="31"/>
        <v>0</v>
      </c>
      <c r="CB25" s="263">
        <f t="shared" si="32"/>
        <v>0</v>
      </c>
      <c r="CC25" s="263">
        <f t="shared" si="33"/>
        <v>0</v>
      </c>
      <c r="CD25" s="263">
        <f t="shared" si="34"/>
        <v>0</v>
      </c>
      <c r="CE25" s="263">
        <f t="shared" si="35"/>
        <v>0</v>
      </c>
      <c r="CF25" s="263">
        <f t="shared" si="36"/>
        <v>0.61073825503355705</v>
      </c>
      <c r="CG25" s="263">
        <f t="shared" si="37"/>
        <v>0.389261744966443</v>
      </c>
      <c r="CH25" s="263"/>
      <c r="CI25" s="263">
        <f t="shared" si="38"/>
        <v>0</v>
      </c>
      <c r="CJ25" s="263"/>
      <c r="CK25" s="263">
        <f t="shared" si="39"/>
        <v>0</v>
      </c>
      <c r="CL25" s="264">
        <f t="shared" si="40"/>
        <v>0</v>
      </c>
      <c r="CM25" s="264">
        <f t="shared" si="41"/>
        <v>5023</v>
      </c>
      <c r="CO25" s="265">
        <v>9.4600000000000004E-2</v>
      </c>
      <c r="CP25" s="265">
        <v>9.4810000000000005E-2</v>
      </c>
      <c r="CQ25" s="265">
        <v>9.5390000000000003E-2</v>
      </c>
      <c r="CS25" s="265">
        <v>9.6519999999999995E-2</v>
      </c>
      <c r="CT25" s="265">
        <v>0.10045</v>
      </c>
      <c r="CU25" s="265">
        <v>9.7659999999999997E-2</v>
      </c>
      <c r="CW25" s="265">
        <v>9.7550000000000012E-2</v>
      </c>
      <c r="CY25" s="265">
        <v>9.8470000000000002E-2</v>
      </c>
      <c r="DA25" s="265">
        <v>0.10021000000000001</v>
      </c>
      <c r="DC25" s="265">
        <v>9.9710000000000007E-2</v>
      </c>
      <c r="DE25" s="265">
        <v>3.2910000000000002E-2</v>
      </c>
      <c r="DF25" s="265">
        <v>3.5430000000000003E-2</v>
      </c>
      <c r="DH25" s="265">
        <v>4.0529999999999997E-2</v>
      </c>
      <c r="DI25" s="265">
        <v>4.2849999999999999E-2</v>
      </c>
      <c r="DJ25" s="265">
        <v>4.2800000000000005E-2</v>
      </c>
      <c r="DL25" s="265">
        <v>4.3150000000000001E-2</v>
      </c>
      <c r="DO25" s="267"/>
      <c r="DP25" s="267"/>
      <c r="DQ25" s="267"/>
      <c r="DR25" s="267"/>
      <c r="DS25" s="267"/>
      <c r="DT25" s="267"/>
      <c r="DU25" s="267"/>
      <c r="DV25" s="267"/>
      <c r="DW25" s="267"/>
      <c r="DX25" s="267"/>
      <c r="DY25" s="267"/>
      <c r="DZ25" s="205">
        <f t="shared" si="42"/>
        <v>4.2830519480519483E-2</v>
      </c>
      <c r="EA25" s="205" t="e">
        <f t="shared" si="43"/>
        <v>#DIV/0!</v>
      </c>
    </row>
    <row r="26" spans="2:137">
      <c r="B26" s="272">
        <v>44651</v>
      </c>
      <c r="C26" s="271">
        <v>44651</v>
      </c>
      <c r="D26" s="263" t="e">
        <f>+SUMIFS(Tabla6[Nominal COP],Tabla6[Concepto],COSTO_OPORTUNIDAD!$B$18,Tabla6[Nemotécnico],COSTO_OPORTUNIDAD!D$16,Tabla6[Fecha Cumplimiento y/ liquidacion],COSTO_OPORTUNIDAD!$C26)/+SUMIFS(Tabla6[Nominal COP],Tabla6[Concepto],COSTO_OPORTUNIDAD!$B$18,Tabla6[Fecha Cumplimiento y/ liquidacion],COSTO_OPORTUNIDAD!$C26)</f>
        <v>#DIV/0!</v>
      </c>
      <c r="E26" s="263" t="e">
        <f>+SUMIFS(Tabla6[Nominal COP],Tabla6[Concepto],COSTO_OPORTUNIDAD!$B$18,Tabla6[Nemotécnico],COSTO_OPORTUNIDAD!E$16,Tabla6[Fecha Cumplimiento y/ liquidacion],COSTO_OPORTUNIDAD!$C26)/+SUMIFS(Tabla6[Nominal COP],Tabla6[Concepto],COSTO_OPORTUNIDAD!$B$18,Tabla6[Fecha Cumplimiento y/ liquidacion],COSTO_OPORTUNIDAD!$C26)</f>
        <v>#DIV/0!</v>
      </c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266">
        <v>0.50000008092774639</v>
      </c>
      <c r="S26" s="266"/>
      <c r="T26" s="266"/>
      <c r="U26" s="266"/>
      <c r="V26" s="262"/>
      <c r="W26" s="262"/>
      <c r="X26" s="262"/>
      <c r="Y26" s="262"/>
      <c r="Z26" s="262"/>
      <c r="AA26" s="266">
        <v>0.30004551491550846</v>
      </c>
      <c r="AB26" s="266">
        <v>0.19995440415674506</v>
      </c>
      <c r="AC26" s="266"/>
      <c r="AD26" s="266"/>
      <c r="AE26" s="266"/>
      <c r="AF26" s="266"/>
      <c r="AG26" s="262"/>
      <c r="AH26" s="274">
        <f t="shared" si="0"/>
        <v>1609</v>
      </c>
      <c r="AI26" s="274">
        <f t="shared" si="1"/>
        <v>2043</v>
      </c>
      <c r="AJ26" s="274">
        <f t="shared" si="2"/>
        <v>2220</v>
      </c>
      <c r="AK26" s="274"/>
      <c r="AL26" s="274">
        <f t="shared" si="3"/>
        <v>3093</v>
      </c>
      <c r="AM26" s="274">
        <f t="shared" si="4"/>
        <v>3282</v>
      </c>
      <c r="AN26" s="274">
        <f t="shared" si="5"/>
        <v>3744</v>
      </c>
      <c r="AO26" s="274"/>
      <c r="AP26" s="274">
        <f t="shared" si="6"/>
        <v>4584</v>
      </c>
      <c r="AQ26" s="274"/>
      <c r="AR26" s="274">
        <f t="shared" si="7"/>
        <v>5214</v>
      </c>
      <c r="AS26" s="274"/>
      <c r="AT26" s="274">
        <f t="shared" si="8"/>
        <v>7363</v>
      </c>
      <c r="AU26" s="274"/>
      <c r="AV26" s="274">
        <f t="shared" si="9"/>
        <v>10436</v>
      </c>
      <c r="AW26" s="274"/>
      <c r="AX26" s="274">
        <f t="shared" si="10"/>
        <v>1133</v>
      </c>
      <c r="AY26" s="274">
        <f t="shared" si="11"/>
        <v>1812</v>
      </c>
      <c r="AZ26" s="274">
        <f t="shared" si="12"/>
        <v>2575</v>
      </c>
      <c r="BA26" s="274"/>
      <c r="BB26" s="274">
        <f t="shared" si="13"/>
        <v>4012</v>
      </c>
      <c r="BC26" s="274">
        <f t="shared" si="14"/>
        <v>4752</v>
      </c>
      <c r="BD26" s="274">
        <f t="shared" si="15"/>
        <v>5445</v>
      </c>
      <c r="BE26" s="274"/>
      <c r="BF26" s="274">
        <f t="shared" si="16"/>
        <v>9939</v>
      </c>
      <c r="BG26" s="274"/>
      <c r="BH26" s="274"/>
      <c r="BI26" s="266">
        <f t="shared" si="17"/>
        <v>0.4999999190722535</v>
      </c>
      <c r="BJ26" s="266" t="e">
        <f t="shared" si="18"/>
        <v>#DIV/0!</v>
      </c>
      <c r="BK26" s="266" t="str">
        <f t="shared" si="19"/>
        <v/>
      </c>
      <c r="BL26" s="266" t="str">
        <f t="shared" si="20"/>
        <v/>
      </c>
      <c r="BM26" s="266" t="str">
        <f t="shared" si="21"/>
        <v/>
      </c>
      <c r="BN26" s="266"/>
      <c r="BO26" s="266" t="str">
        <f t="shared" si="22"/>
        <v/>
      </c>
      <c r="BP26" s="266" t="str">
        <f t="shared" si="23"/>
        <v/>
      </c>
      <c r="BQ26" s="266" t="str">
        <f t="shared" si="24"/>
        <v/>
      </c>
      <c r="BR26" s="266" t="str">
        <f t="shared" si="25"/>
        <v/>
      </c>
      <c r="BS26" s="266" t="str">
        <f t="shared" si="26"/>
        <v/>
      </c>
      <c r="BT26" s="266" t="str">
        <f t="shared" si="27"/>
        <v/>
      </c>
      <c r="BU26" s="266" t="str">
        <f t="shared" si="28"/>
        <v/>
      </c>
      <c r="BV26" s="266"/>
      <c r="BW26" s="266" t="str">
        <f t="shared" si="29"/>
        <v/>
      </c>
      <c r="BX26" s="266"/>
      <c r="BY26" s="266" t="str">
        <f t="shared" si="30"/>
        <v/>
      </c>
      <c r="BZ26" s="266"/>
      <c r="CA26" s="263">
        <f t="shared" si="31"/>
        <v>0</v>
      </c>
      <c r="CB26" s="263">
        <f t="shared" si="32"/>
        <v>0</v>
      </c>
      <c r="CC26" s="263">
        <f t="shared" si="33"/>
        <v>0</v>
      </c>
      <c r="CD26" s="263">
        <f t="shared" si="34"/>
        <v>0</v>
      </c>
      <c r="CE26" s="263">
        <f t="shared" si="35"/>
        <v>0</v>
      </c>
      <c r="CF26" s="263">
        <f t="shared" si="36"/>
        <v>0.60009112695906208</v>
      </c>
      <c r="CG26" s="263">
        <f t="shared" si="37"/>
        <v>0.39990887304093792</v>
      </c>
      <c r="CH26" s="263"/>
      <c r="CI26" s="263">
        <f t="shared" si="38"/>
        <v>0</v>
      </c>
      <c r="CJ26" s="263"/>
      <c r="CK26" s="263">
        <f t="shared" si="39"/>
        <v>0</v>
      </c>
      <c r="CL26" s="264">
        <f t="shared" si="40"/>
        <v>0</v>
      </c>
      <c r="CM26" s="264">
        <f t="shared" si="41"/>
        <v>5029</v>
      </c>
      <c r="CO26" s="265">
        <v>9.2349999999999988E-2</v>
      </c>
      <c r="CP26" s="265">
        <v>9.3000000000000013E-2</v>
      </c>
      <c r="CQ26" s="265">
        <v>9.3900000000000011E-2</v>
      </c>
      <c r="CS26" s="265">
        <v>9.5749999999999988E-2</v>
      </c>
      <c r="CT26" s="265">
        <v>9.6039999999999986E-2</v>
      </c>
      <c r="CU26" s="265">
        <v>9.7299999999999998E-2</v>
      </c>
      <c r="CW26" s="265">
        <v>9.7599999999999992E-2</v>
      </c>
      <c r="CY26" s="265">
        <v>9.9229999999999999E-2</v>
      </c>
      <c r="DA26" s="265">
        <v>0.10048</v>
      </c>
      <c r="DC26" s="265">
        <v>9.9970000000000003E-2</v>
      </c>
      <c r="DE26" s="265">
        <v>3.32E-2</v>
      </c>
      <c r="DF26" s="265">
        <v>3.5659999999999997E-2</v>
      </c>
      <c r="DH26" s="265">
        <v>4.0529999999999997E-2</v>
      </c>
      <c r="DI26" s="265">
        <v>4.3339999999999997E-2</v>
      </c>
      <c r="DJ26" s="265">
        <v>4.3700000000000003E-2</v>
      </c>
      <c r="DL26" s="265">
        <v>4.36E-2</v>
      </c>
      <c r="DO26" s="267"/>
      <c r="DP26" s="267"/>
      <c r="DQ26" s="267"/>
      <c r="DR26" s="267"/>
      <c r="DS26" s="267"/>
      <c r="DT26" s="267"/>
      <c r="DU26" s="267"/>
      <c r="DV26" s="267"/>
      <c r="DW26" s="267"/>
      <c r="DX26" s="267"/>
      <c r="DY26" s="267"/>
      <c r="DZ26" s="205">
        <f t="shared" si="42"/>
        <v>4.3483896103896101E-2</v>
      </c>
      <c r="EA26" s="205" t="e">
        <f t="shared" si="43"/>
        <v>#DIV/0!</v>
      </c>
    </row>
    <row r="27" spans="2:137">
      <c r="B27" s="272">
        <v>44652</v>
      </c>
      <c r="C27" s="271">
        <v>44652</v>
      </c>
      <c r="D27" s="263" t="e">
        <f>+SUMIFS(Tabla6[Nominal COP],Tabla6[Concepto],COSTO_OPORTUNIDAD!$B$18,Tabla6[Nemotécnico],COSTO_OPORTUNIDAD!D$16,Tabla6[Fecha Cumplimiento y/ liquidacion],COSTO_OPORTUNIDAD!$C27)/+SUMIFS(Tabla6[Nominal COP],Tabla6[Concepto],COSTO_OPORTUNIDAD!$B$18,Tabla6[Fecha Cumplimiento y/ liquidacion],COSTO_OPORTUNIDAD!$C27)</f>
        <v>#DIV/0!</v>
      </c>
      <c r="E27" s="263" t="e">
        <f>+SUMIFS(Tabla6[Nominal COP],Tabla6[Concepto],COSTO_OPORTUNIDAD!$B$18,Tabla6[Nemotécnico],COSTO_OPORTUNIDAD!E$16,Tabla6[Fecha Cumplimiento y/ liquidacion],COSTO_OPORTUNIDAD!$C27)/+SUMIFS(Tabla6[Nominal COP],Tabla6[Concepto],COSTO_OPORTUNIDAD!$B$18,Tabla6[Fecha Cumplimiento y/ liquidacion],COSTO_OPORTUNIDAD!$C27)</f>
        <v>#DIV/0!</v>
      </c>
      <c r="F27" s="262"/>
      <c r="G27" s="262"/>
      <c r="H27" s="262"/>
      <c r="I27" s="262"/>
      <c r="J27" s="262"/>
      <c r="K27" s="262"/>
      <c r="L27" s="262"/>
      <c r="M27" s="262"/>
      <c r="N27" s="262"/>
      <c r="O27" s="262"/>
      <c r="P27" s="262"/>
      <c r="Q27" s="262"/>
      <c r="R27" s="263">
        <v>0.49720453867196673</v>
      </c>
      <c r="S27" s="263"/>
      <c r="T27" s="263"/>
      <c r="U27" s="263"/>
      <c r="V27" s="262"/>
      <c r="W27" s="262"/>
      <c r="X27" s="262"/>
      <c r="Y27" s="262"/>
      <c r="Z27" s="262"/>
      <c r="AA27" s="263">
        <v>0.29388720340747043</v>
      </c>
      <c r="AB27" s="263">
        <v>0.19571903863775791</v>
      </c>
      <c r="AC27" s="263"/>
      <c r="AD27" s="263"/>
      <c r="AE27" s="263"/>
      <c r="AF27" s="263"/>
      <c r="AG27" s="262"/>
      <c r="AH27" s="274">
        <f t="shared" si="0"/>
        <v>1608</v>
      </c>
      <c r="AI27" s="274">
        <f t="shared" si="1"/>
        <v>2042</v>
      </c>
      <c r="AJ27" s="274">
        <f t="shared" si="2"/>
        <v>2219</v>
      </c>
      <c r="AK27" s="274"/>
      <c r="AL27" s="274">
        <f t="shared" si="3"/>
        <v>3092</v>
      </c>
      <c r="AM27" s="274">
        <f t="shared" si="4"/>
        <v>3281</v>
      </c>
      <c r="AN27" s="274">
        <f t="shared" si="5"/>
        <v>3743</v>
      </c>
      <c r="AO27" s="274"/>
      <c r="AP27" s="274">
        <f t="shared" si="6"/>
        <v>4583</v>
      </c>
      <c r="AQ27" s="274"/>
      <c r="AR27" s="274">
        <f t="shared" si="7"/>
        <v>5213</v>
      </c>
      <c r="AS27" s="274"/>
      <c r="AT27" s="274">
        <f t="shared" si="8"/>
        <v>7362</v>
      </c>
      <c r="AU27" s="274"/>
      <c r="AV27" s="274">
        <f t="shared" si="9"/>
        <v>10435</v>
      </c>
      <c r="AW27" s="274"/>
      <c r="AX27" s="274">
        <f t="shared" si="10"/>
        <v>1132</v>
      </c>
      <c r="AY27" s="274">
        <f t="shared" si="11"/>
        <v>1811</v>
      </c>
      <c r="AZ27" s="274">
        <f t="shared" si="12"/>
        <v>2574</v>
      </c>
      <c r="BA27" s="274"/>
      <c r="BB27" s="274">
        <f t="shared" si="13"/>
        <v>4011</v>
      </c>
      <c r="BC27" s="274">
        <f t="shared" si="14"/>
        <v>4751</v>
      </c>
      <c r="BD27" s="274">
        <f t="shared" si="15"/>
        <v>5444</v>
      </c>
      <c r="BE27" s="274"/>
      <c r="BF27" s="274">
        <f t="shared" si="16"/>
        <v>9938</v>
      </c>
      <c r="BG27" s="274"/>
      <c r="BH27" s="274"/>
      <c r="BI27" s="266">
        <f t="shared" si="17"/>
        <v>0.48960624204522835</v>
      </c>
      <c r="BJ27" s="266" t="e">
        <f t="shared" si="18"/>
        <v>#DIV/0!</v>
      </c>
      <c r="BK27" s="266" t="str">
        <f t="shared" si="19"/>
        <v/>
      </c>
      <c r="BL27" s="266" t="str">
        <f t="shared" si="20"/>
        <v/>
      </c>
      <c r="BM27" s="266" t="str">
        <f t="shared" si="21"/>
        <v/>
      </c>
      <c r="BN27" s="266"/>
      <c r="BO27" s="266" t="str">
        <f t="shared" si="22"/>
        <v/>
      </c>
      <c r="BP27" s="266" t="str">
        <f t="shared" si="23"/>
        <v/>
      </c>
      <c r="BQ27" s="266" t="str">
        <f t="shared" si="24"/>
        <v/>
      </c>
      <c r="BR27" s="266" t="str">
        <f t="shared" si="25"/>
        <v/>
      </c>
      <c r="BS27" s="266" t="str">
        <f t="shared" si="26"/>
        <v/>
      </c>
      <c r="BT27" s="266" t="str">
        <f t="shared" si="27"/>
        <v/>
      </c>
      <c r="BU27" s="266" t="str">
        <f t="shared" si="28"/>
        <v/>
      </c>
      <c r="BV27" s="266"/>
      <c r="BW27" s="266" t="str">
        <f t="shared" si="29"/>
        <v/>
      </c>
      <c r="BX27" s="266"/>
      <c r="BY27" s="266" t="str">
        <f t="shared" si="30"/>
        <v/>
      </c>
      <c r="BZ27" s="266"/>
      <c r="CA27" s="263">
        <f t="shared" si="31"/>
        <v>0</v>
      </c>
      <c r="CB27" s="263">
        <f t="shared" si="32"/>
        <v>0</v>
      </c>
      <c r="CC27" s="263">
        <f t="shared" si="33"/>
        <v>0</v>
      </c>
      <c r="CD27" s="263">
        <f t="shared" si="34"/>
        <v>0</v>
      </c>
      <c r="CE27" s="263">
        <f t="shared" si="35"/>
        <v>0</v>
      </c>
      <c r="CF27" s="263">
        <f t="shared" si="36"/>
        <v>0.60025215810120747</v>
      </c>
      <c r="CG27" s="263">
        <f t="shared" si="37"/>
        <v>0.39974784189879259</v>
      </c>
      <c r="CH27" s="263"/>
      <c r="CI27" s="263">
        <f t="shared" si="38"/>
        <v>0</v>
      </c>
      <c r="CJ27" s="263"/>
      <c r="CK27" s="263">
        <f t="shared" si="39"/>
        <v>0</v>
      </c>
      <c r="CL27" s="264">
        <f t="shared" si="40"/>
        <v>0</v>
      </c>
      <c r="CM27" s="264">
        <f t="shared" si="41"/>
        <v>5028</v>
      </c>
      <c r="CO27" s="265">
        <v>8.929999999999999E-2</v>
      </c>
      <c r="CP27" s="265">
        <v>9.11E-2</v>
      </c>
      <c r="CQ27" s="265">
        <v>9.2600000000000002E-2</v>
      </c>
      <c r="CS27" s="265">
        <v>9.444000000000001E-2</v>
      </c>
      <c r="CT27" s="265">
        <v>9.6039999999999986E-2</v>
      </c>
      <c r="CU27" s="265">
        <v>9.5670000000000005E-2</v>
      </c>
      <c r="CW27" s="265">
        <v>9.6359999999999987E-2</v>
      </c>
      <c r="CY27" s="265">
        <v>9.7599999999999992E-2</v>
      </c>
      <c r="DA27" s="265">
        <v>0.10042</v>
      </c>
      <c r="DC27" s="265">
        <v>9.9700000000000011E-2</v>
      </c>
      <c r="DE27" s="265">
        <v>3.3309999999999999E-2</v>
      </c>
      <c r="DF27" s="265">
        <v>3.4790000000000001E-2</v>
      </c>
      <c r="DH27" s="265">
        <v>4.0529999999999997E-2</v>
      </c>
      <c r="DI27" s="265">
        <v>4.3299999999999998E-2</v>
      </c>
      <c r="DJ27" s="265">
        <v>4.3499999999999997E-2</v>
      </c>
      <c r="DL27" s="265">
        <v>4.36E-2</v>
      </c>
      <c r="DO27" s="267"/>
      <c r="DP27" s="267"/>
      <c r="DQ27" s="267"/>
      <c r="DR27" s="267"/>
      <c r="DS27" s="267"/>
      <c r="DT27" s="267"/>
      <c r="DU27" s="267"/>
      <c r="DV27" s="267"/>
      <c r="DW27" s="267"/>
      <c r="DX27" s="267"/>
      <c r="DY27" s="267"/>
      <c r="DZ27" s="205">
        <f t="shared" si="42"/>
        <v>4.3379942279942275E-2</v>
      </c>
      <c r="EA27" s="205" t="e">
        <f t="shared" si="43"/>
        <v>#DIV/0!</v>
      </c>
    </row>
    <row r="28" spans="2:137">
      <c r="B28" s="272">
        <v>44655</v>
      </c>
      <c r="C28" s="271">
        <v>44655</v>
      </c>
      <c r="D28" s="263" t="e">
        <f>+SUMIFS(Tabla6[Nominal COP],Tabla6[Concepto],COSTO_OPORTUNIDAD!$B$18,Tabla6[Nemotécnico],COSTO_OPORTUNIDAD!D$16,Tabla6[Fecha Cumplimiento y/ liquidacion],COSTO_OPORTUNIDAD!$C28)/+SUMIFS(Tabla6[Nominal COP],Tabla6[Concepto],COSTO_OPORTUNIDAD!$B$18,Tabla6[Fecha Cumplimiento y/ liquidacion],COSTO_OPORTUNIDAD!$C28)</f>
        <v>#DIV/0!</v>
      </c>
      <c r="E28" s="263" t="e">
        <f>+SUMIFS(Tabla6[Nominal COP],Tabla6[Concepto],COSTO_OPORTUNIDAD!$B$18,Tabla6[Nemotécnico],COSTO_OPORTUNIDAD!E$16,Tabla6[Fecha Cumplimiento y/ liquidacion],COSTO_OPORTUNIDAD!$C28)/+SUMIFS(Tabla6[Nominal COP],Tabla6[Concepto],COSTO_OPORTUNIDAD!$B$18,Tabla6[Fecha Cumplimiento y/ liquidacion],COSTO_OPORTUNIDAD!$C28)</f>
        <v>#DIV/0!</v>
      </c>
      <c r="F28" s="262"/>
      <c r="G28" s="262"/>
      <c r="H28" s="262"/>
      <c r="I28" s="262"/>
      <c r="J28" s="262"/>
      <c r="K28" s="262"/>
      <c r="L28" s="262"/>
      <c r="M28" s="262"/>
      <c r="N28" s="262"/>
      <c r="O28" s="262"/>
      <c r="P28" s="262"/>
      <c r="Q28" s="262"/>
      <c r="R28" s="263">
        <v>0.50524912409506595</v>
      </c>
      <c r="S28" s="263"/>
      <c r="T28" s="263"/>
      <c r="U28" s="263"/>
      <c r="V28" s="262"/>
      <c r="W28" s="262"/>
      <c r="X28" s="262"/>
      <c r="Y28" s="262"/>
      <c r="Z28" s="262"/>
      <c r="AA28" s="263">
        <v>0.29898614083463643</v>
      </c>
      <c r="AB28" s="263">
        <v>0.19576473507029762</v>
      </c>
      <c r="AC28" s="263"/>
      <c r="AD28" s="263"/>
      <c r="AE28" s="263"/>
      <c r="AF28" s="263"/>
      <c r="AG28" s="262"/>
      <c r="AH28" s="274">
        <f t="shared" si="0"/>
        <v>1605</v>
      </c>
      <c r="AI28" s="274">
        <f t="shared" si="1"/>
        <v>2039</v>
      </c>
      <c r="AJ28" s="274">
        <f t="shared" si="2"/>
        <v>2216</v>
      </c>
      <c r="AK28" s="274"/>
      <c r="AL28" s="274">
        <f t="shared" si="3"/>
        <v>3089</v>
      </c>
      <c r="AM28" s="274">
        <f t="shared" si="4"/>
        <v>3278</v>
      </c>
      <c r="AN28" s="274">
        <f t="shared" si="5"/>
        <v>3740</v>
      </c>
      <c r="AO28" s="274"/>
      <c r="AP28" s="274">
        <f t="shared" si="6"/>
        <v>4580</v>
      </c>
      <c r="AQ28" s="274"/>
      <c r="AR28" s="274">
        <f t="shared" si="7"/>
        <v>5210</v>
      </c>
      <c r="AS28" s="274"/>
      <c r="AT28" s="274">
        <f t="shared" si="8"/>
        <v>7359</v>
      </c>
      <c r="AU28" s="274"/>
      <c r="AV28" s="274">
        <f t="shared" si="9"/>
        <v>10432</v>
      </c>
      <c r="AW28" s="274"/>
      <c r="AX28" s="274">
        <f t="shared" si="10"/>
        <v>1129</v>
      </c>
      <c r="AY28" s="274">
        <f t="shared" si="11"/>
        <v>1808</v>
      </c>
      <c r="AZ28" s="274">
        <f t="shared" si="12"/>
        <v>2571</v>
      </c>
      <c r="BA28" s="274"/>
      <c r="BB28" s="274">
        <f t="shared" si="13"/>
        <v>4008</v>
      </c>
      <c r="BC28" s="274">
        <f t="shared" si="14"/>
        <v>4748</v>
      </c>
      <c r="BD28" s="274">
        <f t="shared" si="15"/>
        <v>5441</v>
      </c>
      <c r="BE28" s="274"/>
      <c r="BF28" s="274">
        <f t="shared" si="16"/>
        <v>9935</v>
      </c>
      <c r="BG28" s="274"/>
      <c r="BH28" s="274"/>
      <c r="BI28" s="266">
        <f t="shared" si="17"/>
        <v>0.49475087590493405</v>
      </c>
      <c r="BJ28" s="266" t="e">
        <f t="shared" si="18"/>
        <v>#DIV/0!</v>
      </c>
      <c r="BK28" s="266" t="str">
        <f t="shared" si="19"/>
        <v/>
      </c>
      <c r="BL28" s="266" t="str">
        <f t="shared" si="20"/>
        <v/>
      </c>
      <c r="BM28" s="266" t="str">
        <f t="shared" si="21"/>
        <v/>
      </c>
      <c r="BN28" s="266"/>
      <c r="BO28" s="266" t="str">
        <f t="shared" si="22"/>
        <v/>
      </c>
      <c r="BP28" s="266" t="str">
        <f t="shared" si="23"/>
        <v/>
      </c>
      <c r="BQ28" s="266" t="str">
        <f t="shared" si="24"/>
        <v/>
      </c>
      <c r="BR28" s="266" t="str">
        <f t="shared" si="25"/>
        <v/>
      </c>
      <c r="BS28" s="266" t="str">
        <f t="shared" si="26"/>
        <v/>
      </c>
      <c r="BT28" s="266" t="str">
        <f t="shared" si="27"/>
        <v/>
      </c>
      <c r="BU28" s="266" t="str">
        <f t="shared" si="28"/>
        <v/>
      </c>
      <c r="BV28" s="266"/>
      <c r="BW28" s="266" t="str">
        <f t="shared" si="29"/>
        <v/>
      </c>
      <c r="BX28" s="266"/>
      <c r="BY28" s="266" t="str">
        <f t="shared" si="30"/>
        <v/>
      </c>
      <c r="BZ28" s="266"/>
      <c r="CA28" s="263">
        <f t="shared" si="31"/>
        <v>0</v>
      </c>
      <c r="CB28" s="263">
        <f t="shared" si="32"/>
        <v>0</v>
      </c>
      <c r="CC28" s="263">
        <f t="shared" si="33"/>
        <v>0</v>
      </c>
      <c r="CD28" s="263">
        <f t="shared" si="34"/>
        <v>0</v>
      </c>
      <c r="CE28" s="263">
        <f t="shared" si="35"/>
        <v>0</v>
      </c>
      <c r="CF28" s="263">
        <f t="shared" si="36"/>
        <v>0.60431654676258995</v>
      </c>
      <c r="CG28" s="263">
        <f t="shared" si="37"/>
        <v>0.39568345323741005</v>
      </c>
      <c r="CH28" s="263"/>
      <c r="CI28" s="263">
        <f t="shared" si="38"/>
        <v>0</v>
      </c>
      <c r="CJ28" s="263"/>
      <c r="CK28" s="263">
        <f t="shared" si="39"/>
        <v>0</v>
      </c>
      <c r="CL28" s="264">
        <f t="shared" si="40"/>
        <v>0</v>
      </c>
      <c r="CM28" s="264">
        <f t="shared" si="41"/>
        <v>5022</v>
      </c>
      <c r="CO28" s="265">
        <v>8.5999999999999993E-2</v>
      </c>
      <c r="CP28" s="265">
        <v>8.7410000000000002E-2</v>
      </c>
      <c r="CQ28" s="265">
        <v>8.8499999999999995E-2</v>
      </c>
      <c r="CS28" s="265">
        <v>9.1300000000000006E-2</v>
      </c>
      <c r="CT28" s="265">
        <v>9.2660000000000006E-2</v>
      </c>
      <c r="CU28" s="265">
        <v>9.3000000000000013E-2</v>
      </c>
      <c r="CW28" s="265">
        <v>9.4499999999999987E-2</v>
      </c>
      <c r="CY28" s="265">
        <v>9.5000000000000001E-2</v>
      </c>
      <c r="DA28" s="265">
        <v>9.7040000000000001E-2</v>
      </c>
      <c r="DC28" s="265">
        <v>9.7360000000000002E-2</v>
      </c>
      <c r="DE28" s="265">
        <v>3.2189999999999996E-2</v>
      </c>
      <c r="DF28" s="265">
        <v>3.3820000000000003E-2</v>
      </c>
      <c r="DH28" s="265">
        <v>4.0529999999999997E-2</v>
      </c>
      <c r="DI28" s="265">
        <v>4.4000000000000004E-2</v>
      </c>
      <c r="DJ28" s="265">
        <v>4.3609999999999996E-2</v>
      </c>
      <c r="DL28" s="265">
        <v>4.3700000000000003E-2</v>
      </c>
      <c r="DO28" s="267"/>
      <c r="DP28" s="267"/>
      <c r="DQ28" s="267"/>
      <c r="DR28" s="267"/>
      <c r="DS28" s="267"/>
      <c r="DT28" s="267"/>
      <c r="DU28" s="267"/>
      <c r="DV28" s="267"/>
      <c r="DW28" s="267"/>
      <c r="DX28" s="267"/>
      <c r="DY28" s="267"/>
      <c r="DZ28" s="205">
        <f t="shared" si="42"/>
        <v>4.3845800865800866E-2</v>
      </c>
      <c r="EA28" s="205" t="e">
        <f t="shared" si="43"/>
        <v>#DIV/0!</v>
      </c>
    </row>
    <row r="29" spans="2:137">
      <c r="B29" s="272">
        <v>44656</v>
      </c>
      <c r="C29" s="271">
        <v>44656</v>
      </c>
      <c r="D29" s="263" t="e">
        <f>+SUMIFS(Tabla6[Nominal COP],Tabla6[Concepto],COSTO_OPORTUNIDAD!$B$18,Tabla6[Nemotécnico],COSTO_OPORTUNIDAD!D$16,Tabla6[Fecha Cumplimiento y/ liquidacion],COSTO_OPORTUNIDAD!$C29)/+SUMIFS(Tabla6[Nominal COP],Tabla6[Concepto],COSTO_OPORTUNIDAD!$B$18,Tabla6[Fecha Cumplimiento y/ liquidacion],COSTO_OPORTUNIDAD!$C29)</f>
        <v>#DIV/0!</v>
      </c>
      <c r="E29" s="263" t="e">
        <f>+SUMIFS(Tabla6[Nominal COP],Tabla6[Concepto],COSTO_OPORTUNIDAD!$B$18,Tabla6[Nemotécnico],COSTO_OPORTUNIDAD!E$16,Tabla6[Fecha Cumplimiento y/ liquidacion],COSTO_OPORTUNIDAD!$C29)/+SUMIFS(Tabla6[Nominal COP],Tabla6[Concepto],COSTO_OPORTUNIDAD!$B$18,Tabla6[Fecha Cumplimiento y/ liquidacion],COSTO_OPORTUNIDAD!$C29)</f>
        <v>#DIV/0!</v>
      </c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3">
        <v>0.50193558124242266</v>
      </c>
      <c r="S29" s="263"/>
      <c r="T29" s="263"/>
      <c r="U29" s="263"/>
      <c r="V29" s="262"/>
      <c r="W29" s="262"/>
      <c r="X29" s="262"/>
      <c r="Y29" s="262"/>
      <c r="Z29" s="262"/>
      <c r="AA29" s="263">
        <v>0.29507967450920619</v>
      </c>
      <c r="AB29" s="263">
        <v>0.20298474424837115</v>
      </c>
      <c r="AC29" s="263"/>
      <c r="AD29" s="263"/>
      <c r="AE29" s="263"/>
      <c r="AF29" s="263"/>
      <c r="AG29" s="262"/>
      <c r="AH29" s="274">
        <f t="shared" si="0"/>
        <v>1604</v>
      </c>
      <c r="AI29" s="274">
        <f t="shared" si="1"/>
        <v>2038</v>
      </c>
      <c r="AJ29" s="274">
        <f t="shared" si="2"/>
        <v>2215</v>
      </c>
      <c r="AK29" s="274"/>
      <c r="AL29" s="274">
        <f t="shared" si="3"/>
        <v>3088</v>
      </c>
      <c r="AM29" s="274">
        <f t="shared" si="4"/>
        <v>3277</v>
      </c>
      <c r="AN29" s="274">
        <f t="shared" si="5"/>
        <v>3739</v>
      </c>
      <c r="AO29" s="274"/>
      <c r="AP29" s="274">
        <f t="shared" si="6"/>
        <v>4579</v>
      </c>
      <c r="AQ29" s="274"/>
      <c r="AR29" s="274">
        <f t="shared" si="7"/>
        <v>5209</v>
      </c>
      <c r="AS29" s="274"/>
      <c r="AT29" s="274">
        <f t="shared" si="8"/>
        <v>7358</v>
      </c>
      <c r="AU29" s="274"/>
      <c r="AV29" s="274">
        <f t="shared" si="9"/>
        <v>10431</v>
      </c>
      <c r="AW29" s="274"/>
      <c r="AX29" s="274">
        <f t="shared" si="10"/>
        <v>1128</v>
      </c>
      <c r="AY29" s="274">
        <f t="shared" si="11"/>
        <v>1807</v>
      </c>
      <c r="AZ29" s="274">
        <f t="shared" si="12"/>
        <v>2570</v>
      </c>
      <c r="BA29" s="274"/>
      <c r="BB29" s="274">
        <f t="shared" si="13"/>
        <v>4007</v>
      </c>
      <c r="BC29" s="274">
        <f t="shared" si="14"/>
        <v>4747</v>
      </c>
      <c r="BD29" s="274">
        <f t="shared" si="15"/>
        <v>5440</v>
      </c>
      <c r="BE29" s="274"/>
      <c r="BF29" s="274">
        <f t="shared" si="16"/>
        <v>9934</v>
      </c>
      <c r="BG29" s="274"/>
      <c r="BH29" s="274"/>
      <c r="BI29" s="266">
        <f t="shared" si="17"/>
        <v>0.49806441875757734</v>
      </c>
      <c r="BJ29" s="266" t="e">
        <f t="shared" si="18"/>
        <v>#DIV/0!</v>
      </c>
      <c r="BK29" s="266" t="str">
        <f t="shared" si="19"/>
        <v/>
      </c>
      <c r="BL29" s="266" t="str">
        <f t="shared" si="20"/>
        <v/>
      </c>
      <c r="BM29" s="266" t="str">
        <f t="shared" si="21"/>
        <v/>
      </c>
      <c r="BN29" s="266"/>
      <c r="BO29" s="266" t="str">
        <f t="shared" si="22"/>
        <v/>
      </c>
      <c r="BP29" s="266" t="str">
        <f t="shared" si="23"/>
        <v/>
      </c>
      <c r="BQ29" s="266" t="str">
        <f t="shared" si="24"/>
        <v/>
      </c>
      <c r="BR29" s="266" t="str">
        <f t="shared" si="25"/>
        <v/>
      </c>
      <c r="BS29" s="266" t="str">
        <f t="shared" si="26"/>
        <v/>
      </c>
      <c r="BT29" s="266" t="str">
        <f t="shared" si="27"/>
        <v/>
      </c>
      <c r="BU29" s="266" t="str">
        <f t="shared" si="28"/>
        <v/>
      </c>
      <c r="BV29" s="266"/>
      <c r="BW29" s="266" t="str">
        <f t="shared" si="29"/>
        <v/>
      </c>
      <c r="BX29" s="266"/>
      <c r="BY29" s="266" t="str">
        <f t="shared" si="30"/>
        <v/>
      </c>
      <c r="BZ29" s="266"/>
      <c r="CA29" s="263">
        <f t="shared" si="31"/>
        <v>0</v>
      </c>
      <c r="CB29" s="263">
        <f t="shared" si="32"/>
        <v>0</v>
      </c>
      <c r="CC29" s="263">
        <f t="shared" si="33"/>
        <v>0</v>
      </c>
      <c r="CD29" s="263">
        <f t="shared" si="34"/>
        <v>0</v>
      </c>
      <c r="CE29" s="263">
        <f t="shared" si="35"/>
        <v>0</v>
      </c>
      <c r="CF29" s="263">
        <f t="shared" si="36"/>
        <v>0.59245283018867922</v>
      </c>
      <c r="CG29" s="263">
        <f t="shared" si="37"/>
        <v>0.40754716981132078</v>
      </c>
      <c r="CH29" s="263"/>
      <c r="CI29" s="263">
        <f t="shared" si="38"/>
        <v>0</v>
      </c>
      <c r="CJ29" s="263"/>
      <c r="CK29" s="263">
        <f t="shared" si="39"/>
        <v>0</v>
      </c>
      <c r="CL29" s="264">
        <f t="shared" si="40"/>
        <v>0</v>
      </c>
      <c r="CM29" s="264">
        <f t="shared" si="41"/>
        <v>5029</v>
      </c>
      <c r="CO29" s="265">
        <v>8.8489999999999999E-2</v>
      </c>
      <c r="CP29" s="265">
        <v>8.9770000000000003E-2</v>
      </c>
      <c r="CQ29" s="265">
        <v>9.0510000000000007E-2</v>
      </c>
      <c r="CS29" s="265">
        <v>9.2189999999999994E-2</v>
      </c>
      <c r="CT29" s="265">
        <v>9.3200000000000005E-2</v>
      </c>
      <c r="CU29" s="265">
        <v>9.4E-2</v>
      </c>
      <c r="CW29" s="265">
        <v>9.5519999999999994E-2</v>
      </c>
      <c r="CY29" s="265">
        <v>9.5600000000000004E-2</v>
      </c>
      <c r="DA29" s="265">
        <v>9.9399999999999988E-2</v>
      </c>
      <c r="DC29" s="265">
        <v>9.8599999999999993E-2</v>
      </c>
      <c r="DE29" s="265">
        <v>3.3799999999999997E-2</v>
      </c>
      <c r="DF29" s="265">
        <v>3.4450000000000001E-2</v>
      </c>
      <c r="DH29" s="265">
        <v>4.0529999999999997E-2</v>
      </c>
      <c r="DI29" s="265">
        <v>4.4600000000000001E-2</v>
      </c>
      <c r="DJ29" s="265">
        <v>4.4699999999999997E-2</v>
      </c>
      <c r="DL29" s="265">
        <v>4.41E-2</v>
      </c>
      <c r="DO29" s="267"/>
      <c r="DP29" s="267"/>
      <c r="DQ29" s="267"/>
      <c r="DR29" s="267"/>
      <c r="DS29" s="267"/>
      <c r="DT29" s="267"/>
      <c r="DU29" s="267"/>
      <c r="DV29" s="267"/>
      <c r="DW29" s="267"/>
      <c r="DX29" s="267"/>
      <c r="DY29" s="267"/>
      <c r="DZ29" s="205">
        <f t="shared" si="42"/>
        <v>4.464069264069264E-2</v>
      </c>
      <c r="EA29" s="205" t="e">
        <f t="shared" si="43"/>
        <v>#DIV/0!</v>
      </c>
    </row>
    <row r="30" spans="2:137">
      <c r="B30" s="272">
        <v>44657</v>
      </c>
      <c r="C30" s="271">
        <v>44657</v>
      </c>
      <c r="D30" s="263" t="e">
        <f>+SUMIFS(Tabla6[Nominal COP],Tabla6[Concepto],COSTO_OPORTUNIDAD!$B$18,Tabla6[Nemotécnico],COSTO_OPORTUNIDAD!D$16,Tabla6[Fecha Cumplimiento y/ liquidacion],COSTO_OPORTUNIDAD!$C30)/+SUMIFS(Tabla6[Nominal COP],Tabla6[Concepto],COSTO_OPORTUNIDAD!$B$18,Tabla6[Fecha Cumplimiento y/ liquidacion],COSTO_OPORTUNIDAD!$C30)</f>
        <v>#DIV/0!</v>
      </c>
      <c r="E30" s="263" t="e">
        <f>+SUMIFS(Tabla6[Nominal COP],Tabla6[Concepto],COSTO_OPORTUNIDAD!$B$18,Tabla6[Nemotécnico],COSTO_OPORTUNIDAD!E$16,Tabla6[Fecha Cumplimiento y/ liquidacion],COSTO_OPORTUNIDAD!$C30)/+SUMIFS(Tabla6[Nominal COP],Tabla6[Concepto],COSTO_OPORTUNIDAD!$B$18,Tabla6[Fecha Cumplimiento y/ liquidacion],COSTO_OPORTUNIDAD!$C30)</f>
        <v>#DIV/0!</v>
      </c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3">
        <v>0.50196788025929406</v>
      </c>
      <c r="S30" s="263"/>
      <c r="T30" s="263"/>
      <c r="U30" s="263"/>
      <c r="V30" s="262"/>
      <c r="W30" s="262"/>
      <c r="X30" s="262"/>
      <c r="Y30" s="262"/>
      <c r="Z30" s="262"/>
      <c r="AA30" s="263">
        <v>0.30089440567667652</v>
      </c>
      <c r="AB30" s="263">
        <v>0.19713771406402944</v>
      </c>
      <c r="AC30" s="263"/>
      <c r="AD30" s="263"/>
      <c r="AE30" s="263"/>
      <c r="AF30" s="263"/>
      <c r="AG30" s="262"/>
      <c r="AH30" s="274">
        <f t="shared" si="0"/>
        <v>1603</v>
      </c>
      <c r="AI30" s="274">
        <f t="shared" si="1"/>
        <v>2037</v>
      </c>
      <c r="AJ30" s="274">
        <f t="shared" si="2"/>
        <v>2214</v>
      </c>
      <c r="AK30" s="274"/>
      <c r="AL30" s="274">
        <f t="shared" si="3"/>
        <v>3087</v>
      </c>
      <c r="AM30" s="274">
        <f t="shared" si="4"/>
        <v>3276</v>
      </c>
      <c r="AN30" s="274">
        <f t="shared" si="5"/>
        <v>3738</v>
      </c>
      <c r="AO30" s="274"/>
      <c r="AP30" s="274">
        <f t="shared" si="6"/>
        <v>4578</v>
      </c>
      <c r="AQ30" s="274"/>
      <c r="AR30" s="274">
        <f t="shared" si="7"/>
        <v>5208</v>
      </c>
      <c r="AS30" s="274"/>
      <c r="AT30" s="274">
        <f t="shared" si="8"/>
        <v>7357</v>
      </c>
      <c r="AU30" s="274"/>
      <c r="AV30" s="274">
        <f t="shared" si="9"/>
        <v>10430</v>
      </c>
      <c r="AW30" s="274"/>
      <c r="AX30" s="274">
        <f t="shared" si="10"/>
        <v>1127</v>
      </c>
      <c r="AY30" s="274">
        <f t="shared" si="11"/>
        <v>1806</v>
      </c>
      <c r="AZ30" s="274">
        <f t="shared" si="12"/>
        <v>2569</v>
      </c>
      <c r="BA30" s="274"/>
      <c r="BB30" s="274">
        <f t="shared" si="13"/>
        <v>4006</v>
      </c>
      <c r="BC30" s="274">
        <f t="shared" si="14"/>
        <v>4746</v>
      </c>
      <c r="BD30" s="274">
        <f t="shared" si="15"/>
        <v>5439</v>
      </c>
      <c r="BE30" s="274"/>
      <c r="BF30" s="274">
        <f t="shared" si="16"/>
        <v>9933</v>
      </c>
      <c r="BG30" s="274"/>
      <c r="BH30" s="274"/>
      <c r="BI30" s="266">
        <f t="shared" si="17"/>
        <v>0.49803211974070594</v>
      </c>
      <c r="BJ30" s="266" t="e">
        <f t="shared" si="18"/>
        <v>#DIV/0!</v>
      </c>
      <c r="BK30" s="266" t="str">
        <f t="shared" si="19"/>
        <v/>
      </c>
      <c r="BL30" s="266" t="str">
        <f t="shared" si="20"/>
        <v/>
      </c>
      <c r="BM30" s="266" t="str">
        <f t="shared" si="21"/>
        <v/>
      </c>
      <c r="BN30" s="266"/>
      <c r="BO30" s="266" t="str">
        <f t="shared" si="22"/>
        <v/>
      </c>
      <c r="BP30" s="266" t="str">
        <f t="shared" si="23"/>
        <v/>
      </c>
      <c r="BQ30" s="266" t="str">
        <f t="shared" si="24"/>
        <v/>
      </c>
      <c r="BR30" s="266" t="str">
        <f t="shared" si="25"/>
        <v/>
      </c>
      <c r="BS30" s="266" t="str">
        <f t="shared" si="26"/>
        <v/>
      </c>
      <c r="BT30" s="266" t="str">
        <f t="shared" si="27"/>
        <v/>
      </c>
      <c r="BU30" s="266" t="str">
        <f t="shared" si="28"/>
        <v/>
      </c>
      <c r="BV30" s="266"/>
      <c r="BW30" s="266" t="str">
        <f t="shared" si="29"/>
        <v/>
      </c>
      <c r="BX30" s="266"/>
      <c r="BY30" s="266" t="str">
        <f t="shared" si="30"/>
        <v/>
      </c>
      <c r="BZ30" s="266"/>
      <c r="CA30" s="263">
        <f t="shared" si="31"/>
        <v>0</v>
      </c>
      <c r="CB30" s="263">
        <f t="shared" si="32"/>
        <v>0</v>
      </c>
      <c r="CC30" s="263">
        <f t="shared" si="33"/>
        <v>0</v>
      </c>
      <c r="CD30" s="263">
        <f t="shared" si="34"/>
        <v>0</v>
      </c>
      <c r="CE30" s="263">
        <f t="shared" si="35"/>
        <v>0</v>
      </c>
      <c r="CF30" s="263">
        <f t="shared" si="36"/>
        <v>0.60416666666666674</v>
      </c>
      <c r="CG30" s="263">
        <f t="shared" si="37"/>
        <v>0.39583333333333337</v>
      </c>
      <c r="CH30" s="263"/>
      <c r="CI30" s="263">
        <f t="shared" si="38"/>
        <v>0</v>
      </c>
      <c r="CJ30" s="263"/>
      <c r="CK30" s="263">
        <f t="shared" si="39"/>
        <v>0</v>
      </c>
      <c r="CL30" s="264">
        <f t="shared" si="40"/>
        <v>0</v>
      </c>
      <c r="CM30" s="264">
        <f t="shared" si="41"/>
        <v>5020</v>
      </c>
      <c r="CO30" s="265">
        <v>8.6500000000000007E-2</v>
      </c>
      <c r="CP30" s="265">
        <v>8.7680000000000008E-2</v>
      </c>
      <c r="CQ30" s="265">
        <v>8.8100000000000012E-2</v>
      </c>
      <c r="CS30" s="265">
        <v>8.9789999999999995E-2</v>
      </c>
      <c r="CT30" s="265">
        <v>9.1999999999999998E-2</v>
      </c>
      <c r="CU30" s="265">
        <v>9.1499999999999998E-2</v>
      </c>
      <c r="CW30" s="265">
        <v>9.2310000000000003E-2</v>
      </c>
      <c r="CY30" s="265">
        <v>9.4220000000000012E-2</v>
      </c>
      <c r="DA30" s="265">
        <v>9.8229999999999998E-2</v>
      </c>
      <c r="DC30" s="265">
        <v>9.7299999999999998E-2</v>
      </c>
      <c r="DE30" s="265">
        <v>3.3460000000000004E-2</v>
      </c>
      <c r="DF30" s="265">
        <v>3.5000000000000003E-2</v>
      </c>
      <c r="DH30" s="265">
        <v>4.0529999999999997E-2</v>
      </c>
      <c r="DI30" s="265">
        <v>4.5279999999999994E-2</v>
      </c>
      <c r="DJ30" s="265">
        <v>4.5499999999999999E-2</v>
      </c>
      <c r="DL30" s="265">
        <v>4.4909999999999999E-2</v>
      </c>
      <c r="DO30" s="267"/>
      <c r="DP30" s="267"/>
      <c r="DQ30" s="267"/>
      <c r="DR30" s="267"/>
      <c r="DS30" s="267"/>
      <c r="DT30" s="267"/>
      <c r="DU30" s="267"/>
      <c r="DV30" s="267"/>
      <c r="DW30" s="267"/>
      <c r="DX30" s="267"/>
      <c r="DY30" s="267"/>
      <c r="DZ30" s="205">
        <f t="shared" si="42"/>
        <v>4.5366984126984124E-2</v>
      </c>
      <c r="EA30" s="205" t="e">
        <f>DA30*BJ30+(((1+$EE$56)*(1+DZ30))-1)*BI30</f>
        <v>#DIV/0!</v>
      </c>
    </row>
    <row r="31" spans="2:137">
      <c r="B31" s="272">
        <v>44658</v>
      </c>
      <c r="C31" s="271">
        <v>44658</v>
      </c>
      <c r="D31" s="263" t="e">
        <f>+SUMIFS(Tabla6[Nominal COP],Tabla6[Concepto],COSTO_OPORTUNIDAD!$B$18,Tabla6[Nemotécnico],COSTO_OPORTUNIDAD!D$16,Tabla6[Fecha Cumplimiento y/ liquidacion],COSTO_OPORTUNIDAD!$C31)/+SUMIFS(Tabla6[Nominal COP],Tabla6[Concepto],COSTO_OPORTUNIDAD!$B$18,Tabla6[Fecha Cumplimiento y/ liquidacion],COSTO_OPORTUNIDAD!$C31)</f>
        <v>#DIV/0!</v>
      </c>
      <c r="E31" s="263" t="e">
        <f>+SUMIFS(Tabla6[Nominal COP],Tabla6[Concepto],COSTO_OPORTUNIDAD!$B$18,Tabla6[Nemotécnico],COSTO_OPORTUNIDAD!E$16,Tabla6[Fecha Cumplimiento y/ liquidacion],COSTO_OPORTUNIDAD!$C31)/+SUMIFS(Tabla6[Nominal COP],Tabla6[Concepto],COSTO_OPORTUNIDAD!$B$18,Tabla6[Fecha Cumplimiento y/ liquidacion],COSTO_OPORTUNIDAD!$C31)</f>
        <v>#DIV/0!</v>
      </c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3">
        <v>0.49997700105795134</v>
      </c>
      <c r="S31" s="263"/>
      <c r="T31" s="263"/>
      <c r="U31" s="263"/>
      <c r="V31" s="262"/>
      <c r="W31" s="262"/>
      <c r="X31" s="262"/>
      <c r="Y31" s="262"/>
      <c r="Z31" s="262"/>
      <c r="AA31" s="263">
        <v>0.29514870583790798</v>
      </c>
      <c r="AB31" s="263">
        <v>0.19942480124182971</v>
      </c>
      <c r="AC31" s="263"/>
      <c r="AD31" s="263"/>
      <c r="AE31" s="263"/>
      <c r="AF31" s="263"/>
      <c r="AG31" s="262"/>
      <c r="AH31" s="274">
        <f t="shared" si="0"/>
        <v>1602</v>
      </c>
      <c r="AI31" s="274">
        <f t="shared" si="1"/>
        <v>2036</v>
      </c>
      <c r="AJ31" s="274">
        <f t="shared" si="2"/>
        <v>2213</v>
      </c>
      <c r="AK31" s="274"/>
      <c r="AL31" s="274">
        <f t="shared" si="3"/>
        <v>3086</v>
      </c>
      <c r="AM31" s="274">
        <f t="shared" si="4"/>
        <v>3275</v>
      </c>
      <c r="AN31" s="274">
        <f t="shared" si="5"/>
        <v>3737</v>
      </c>
      <c r="AO31" s="274"/>
      <c r="AP31" s="274">
        <f t="shared" si="6"/>
        <v>4577</v>
      </c>
      <c r="AQ31" s="274"/>
      <c r="AR31" s="274">
        <f t="shared" si="7"/>
        <v>5207</v>
      </c>
      <c r="AS31" s="274"/>
      <c r="AT31" s="274">
        <f t="shared" si="8"/>
        <v>7356</v>
      </c>
      <c r="AU31" s="274"/>
      <c r="AV31" s="274">
        <f t="shared" si="9"/>
        <v>10429</v>
      </c>
      <c r="AW31" s="274"/>
      <c r="AX31" s="274">
        <f t="shared" si="10"/>
        <v>1126</v>
      </c>
      <c r="AY31" s="274">
        <f t="shared" si="11"/>
        <v>1805</v>
      </c>
      <c r="AZ31" s="274">
        <f t="shared" si="12"/>
        <v>2568</v>
      </c>
      <c r="BA31" s="274"/>
      <c r="BB31" s="274">
        <f t="shared" si="13"/>
        <v>4005</v>
      </c>
      <c r="BC31" s="274">
        <f t="shared" si="14"/>
        <v>4745</v>
      </c>
      <c r="BD31" s="274">
        <f t="shared" si="15"/>
        <v>5438</v>
      </c>
      <c r="BE31" s="274"/>
      <c r="BF31" s="274">
        <f t="shared" si="16"/>
        <v>9932</v>
      </c>
      <c r="BG31" s="274"/>
      <c r="BH31" s="274"/>
      <c r="BI31" s="266">
        <f t="shared" si="17"/>
        <v>0.49457350707973768</v>
      </c>
      <c r="BJ31" s="266" t="e">
        <f t="shared" si="18"/>
        <v>#DIV/0!</v>
      </c>
      <c r="BK31" s="266" t="str">
        <f t="shared" si="19"/>
        <v/>
      </c>
      <c r="BL31" s="266" t="str">
        <f t="shared" si="20"/>
        <v/>
      </c>
      <c r="BM31" s="266" t="str">
        <f t="shared" si="21"/>
        <v/>
      </c>
      <c r="BN31" s="266"/>
      <c r="BO31" s="266" t="str">
        <f t="shared" si="22"/>
        <v/>
      </c>
      <c r="BP31" s="266" t="str">
        <f t="shared" si="23"/>
        <v/>
      </c>
      <c r="BQ31" s="266" t="str">
        <f t="shared" si="24"/>
        <v/>
      </c>
      <c r="BR31" s="266" t="str">
        <f t="shared" si="25"/>
        <v/>
      </c>
      <c r="BS31" s="266" t="str">
        <f t="shared" si="26"/>
        <v/>
      </c>
      <c r="BT31" s="266" t="str">
        <f t="shared" si="27"/>
        <v/>
      </c>
      <c r="BU31" s="266" t="str">
        <f t="shared" si="28"/>
        <v/>
      </c>
      <c r="BV31" s="266"/>
      <c r="BW31" s="266" t="str">
        <f t="shared" si="29"/>
        <v/>
      </c>
      <c r="BX31" s="266"/>
      <c r="BY31" s="266" t="str">
        <f t="shared" si="30"/>
        <v/>
      </c>
      <c r="BZ31" s="266"/>
      <c r="CA31" s="263">
        <f t="shared" si="31"/>
        <v>0</v>
      </c>
      <c r="CB31" s="263">
        <f t="shared" si="32"/>
        <v>0</v>
      </c>
      <c r="CC31" s="263">
        <f t="shared" si="33"/>
        <v>0</v>
      </c>
      <c r="CD31" s="263">
        <f t="shared" si="34"/>
        <v>0</v>
      </c>
      <c r="CE31" s="263">
        <f t="shared" si="35"/>
        <v>0</v>
      </c>
      <c r="CF31" s="263">
        <f t="shared" si="36"/>
        <v>0.59677419354838712</v>
      </c>
      <c r="CG31" s="263">
        <f t="shared" si="37"/>
        <v>0.40322580645161288</v>
      </c>
      <c r="CH31" s="263"/>
      <c r="CI31" s="263">
        <f t="shared" si="38"/>
        <v>0</v>
      </c>
      <c r="CJ31" s="263"/>
      <c r="CK31" s="263">
        <f t="shared" si="39"/>
        <v>0</v>
      </c>
      <c r="CL31" s="264">
        <f t="shared" si="40"/>
        <v>0</v>
      </c>
      <c r="CM31" s="264">
        <f t="shared" si="41"/>
        <v>5024</v>
      </c>
      <c r="CO31" s="265">
        <v>8.8290000000000007E-2</v>
      </c>
      <c r="CP31" s="265">
        <v>8.9600000000000013E-2</v>
      </c>
      <c r="CQ31" s="265">
        <v>8.9890000000000012E-2</v>
      </c>
      <c r="CS31" s="265">
        <v>9.0990000000000001E-2</v>
      </c>
      <c r="CT31" s="265">
        <v>9.1999999999999998E-2</v>
      </c>
      <c r="CU31" s="265">
        <v>9.3320000000000014E-2</v>
      </c>
      <c r="CW31" s="265">
        <v>9.4579999999999997E-2</v>
      </c>
      <c r="CY31" s="265">
        <v>9.5199999999999993E-2</v>
      </c>
      <c r="DA31" s="265">
        <v>9.8900000000000002E-2</v>
      </c>
      <c r="DC31" s="265">
        <v>9.8650000000000002E-2</v>
      </c>
      <c r="DE31" s="265">
        <v>3.4099999999999998E-2</v>
      </c>
      <c r="DF31" s="265">
        <v>3.5889999999999998E-2</v>
      </c>
      <c r="DH31" s="265">
        <v>4.3400000000000001E-2</v>
      </c>
      <c r="DI31" s="265">
        <v>4.5700000000000005E-2</v>
      </c>
      <c r="DJ31" s="265">
        <v>4.5700000000000005E-2</v>
      </c>
      <c r="DL31" s="265">
        <v>4.5499999999999999E-2</v>
      </c>
      <c r="DO31" s="267"/>
      <c r="DP31" s="267"/>
      <c r="DQ31" s="267"/>
      <c r="DR31" s="267"/>
      <c r="DS31" s="267"/>
      <c r="DT31" s="267"/>
      <c r="DU31" s="267"/>
      <c r="DV31" s="267"/>
      <c r="DW31" s="267"/>
      <c r="DX31" s="267"/>
      <c r="DY31" s="267"/>
      <c r="DZ31" s="205">
        <f t="shared" si="42"/>
        <v>4.5700000000000005E-2</v>
      </c>
      <c r="EA31" s="205" t="e">
        <f>DA31*BJ31+(((1+$EE$56)*(1+DZ31))-1)*BI31</f>
        <v>#DIV/0!</v>
      </c>
    </row>
    <row r="32" spans="2:137">
      <c r="B32" s="272">
        <v>44659</v>
      </c>
      <c r="C32" s="271">
        <v>44659</v>
      </c>
      <c r="D32" s="263" t="e">
        <f>+SUMIFS(Tabla6[Nominal COP],Tabla6[Concepto],COSTO_OPORTUNIDAD!$B$18,Tabla6[Nemotécnico],COSTO_OPORTUNIDAD!D$16,Tabla6[Fecha Cumplimiento y/ liquidacion],COSTO_OPORTUNIDAD!$C32)/+SUMIFS(Tabla6[Nominal COP],Tabla6[Concepto],COSTO_OPORTUNIDAD!$B$18,Tabla6[Fecha Cumplimiento y/ liquidacion],COSTO_OPORTUNIDAD!$C32)</f>
        <v>#DIV/0!</v>
      </c>
      <c r="E32" s="263" t="e">
        <f>+SUMIFS(Tabla6[Nominal COP],Tabla6[Concepto],COSTO_OPORTUNIDAD!$B$18,Tabla6[Nemotécnico],COSTO_OPORTUNIDAD!E$16,Tabla6[Fecha Cumplimiento y/ liquidacion],COSTO_OPORTUNIDAD!$C32)/+SUMIFS(Tabla6[Nominal COP],Tabla6[Concepto],COSTO_OPORTUNIDAD!$B$18,Tabla6[Fecha Cumplimiento y/ liquidacion],COSTO_OPORTUNIDAD!$C32)</f>
        <v>#DIV/0!</v>
      </c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3">
        <v>0.49997700105795134</v>
      </c>
      <c r="S32" s="263"/>
      <c r="T32" s="263"/>
      <c r="U32" s="263"/>
      <c r="V32" s="262"/>
      <c r="W32" s="262"/>
      <c r="X32" s="262"/>
      <c r="Y32" s="262"/>
      <c r="Z32" s="262"/>
      <c r="AA32" s="263">
        <v>0.29809063398468288</v>
      </c>
      <c r="AB32" s="263">
        <v>0.2019323649573658</v>
      </c>
      <c r="AC32" s="263"/>
      <c r="AD32" s="263"/>
      <c r="AE32" s="263"/>
      <c r="AF32" s="263"/>
      <c r="AG32" s="262"/>
      <c r="AH32" s="274">
        <f t="shared" si="0"/>
        <v>1601</v>
      </c>
      <c r="AI32" s="274">
        <f t="shared" si="1"/>
        <v>2035</v>
      </c>
      <c r="AJ32" s="274">
        <f t="shared" si="2"/>
        <v>2212</v>
      </c>
      <c r="AK32" s="274"/>
      <c r="AL32" s="274">
        <f t="shared" si="3"/>
        <v>3085</v>
      </c>
      <c r="AM32" s="274">
        <f t="shared" si="4"/>
        <v>3274</v>
      </c>
      <c r="AN32" s="274">
        <f t="shared" si="5"/>
        <v>3736</v>
      </c>
      <c r="AO32" s="274"/>
      <c r="AP32" s="274">
        <f t="shared" si="6"/>
        <v>4576</v>
      </c>
      <c r="AQ32" s="274"/>
      <c r="AR32" s="274">
        <f t="shared" si="7"/>
        <v>5206</v>
      </c>
      <c r="AS32" s="274"/>
      <c r="AT32" s="274">
        <f t="shared" si="8"/>
        <v>7355</v>
      </c>
      <c r="AU32" s="274"/>
      <c r="AV32" s="274">
        <f t="shared" si="9"/>
        <v>10428</v>
      </c>
      <c r="AW32" s="274"/>
      <c r="AX32" s="274">
        <f t="shared" si="10"/>
        <v>1125</v>
      </c>
      <c r="AY32" s="274">
        <f t="shared" si="11"/>
        <v>1804</v>
      </c>
      <c r="AZ32" s="274">
        <f t="shared" si="12"/>
        <v>2567</v>
      </c>
      <c r="BA32" s="274"/>
      <c r="BB32" s="274">
        <f t="shared" si="13"/>
        <v>4004</v>
      </c>
      <c r="BC32" s="274">
        <f t="shared" si="14"/>
        <v>4744</v>
      </c>
      <c r="BD32" s="274">
        <f t="shared" si="15"/>
        <v>5437</v>
      </c>
      <c r="BE32" s="274"/>
      <c r="BF32" s="274">
        <f t="shared" si="16"/>
        <v>9931</v>
      </c>
      <c r="BG32" s="274"/>
      <c r="BH32" s="274"/>
      <c r="BI32" s="266">
        <f t="shared" si="17"/>
        <v>0.50002299894204871</v>
      </c>
      <c r="BJ32" s="266" t="e">
        <f t="shared" si="18"/>
        <v>#DIV/0!</v>
      </c>
      <c r="BK32" s="266" t="str">
        <f t="shared" si="19"/>
        <v/>
      </c>
      <c r="BL32" s="266" t="str">
        <f t="shared" si="20"/>
        <v/>
      </c>
      <c r="BM32" s="266" t="str">
        <f t="shared" si="21"/>
        <v/>
      </c>
      <c r="BN32" s="266"/>
      <c r="BO32" s="266" t="str">
        <f t="shared" si="22"/>
        <v/>
      </c>
      <c r="BP32" s="266" t="str">
        <f t="shared" si="23"/>
        <v/>
      </c>
      <c r="BQ32" s="266" t="str">
        <f t="shared" si="24"/>
        <v/>
      </c>
      <c r="BR32" s="266" t="str">
        <f t="shared" si="25"/>
        <v/>
      </c>
      <c r="BS32" s="266" t="str">
        <f t="shared" si="26"/>
        <v/>
      </c>
      <c r="BT32" s="266" t="str">
        <f t="shared" si="27"/>
        <v/>
      </c>
      <c r="BU32" s="266" t="str">
        <f t="shared" si="28"/>
        <v/>
      </c>
      <c r="BV32" s="266"/>
      <c r="BW32" s="266" t="str">
        <f t="shared" si="29"/>
        <v/>
      </c>
      <c r="BX32" s="266"/>
      <c r="BY32" s="266" t="str">
        <f t="shared" si="30"/>
        <v/>
      </c>
      <c r="BZ32" s="266"/>
      <c r="CA32" s="263">
        <f t="shared" si="31"/>
        <v>0</v>
      </c>
      <c r="CB32" s="263">
        <f t="shared" si="32"/>
        <v>0</v>
      </c>
      <c r="CC32" s="263">
        <f t="shared" si="33"/>
        <v>0</v>
      </c>
      <c r="CD32" s="263">
        <f t="shared" si="34"/>
        <v>0</v>
      </c>
      <c r="CE32" s="263">
        <f t="shared" si="35"/>
        <v>0</v>
      </c>
      <c r="CF32" s="263">
        <f t="shared" si="36"/>
        <v>0.59615384615384615</v>
      </c>
      <c r="CG32" s="263">
        <f t="shared" si="37"/>
        <v>0.4038461538461538</v>
      </c>
      <c r="CH32" s="263"/>
      <c r="CI32" s="263">
        <f t="shared" si="38"/>
        <v>0</v>
      </c>
      <c r="CJ32" s="263"/>
      <c r="CK32" s="263">
        <f t="shared" si="39"/>
        <v>0</v>
      </c>
      <c r="CL32" s="264">
        <f t="shared" si="40"/>
        <v>0</v>
      </c>
      <c r="CM32" s="264">
        <f t="shared" si="41"/>
        <v>5024</v>
      </c>
      <c r="CO32" s="265">
        <v>9.0160000000000004E-2</v>
      </c>
      <c r="CP32" s="265">
        <v>9.2249999999999999E-2</v>
      </c>
      <c r="CQ32" s="265">
        <v>9.2989999999999989E-2</v>
      </c>
      <c r="CS32" s="265">
        <v>9.4750000000000001E-2</v>
      </c>
      <c r="CT32" s="265">
        <v>9.1999999999999998E-2</v>
      </c>
      <c r="CU32" s="265">
        <v>9.6000000000000002E-2</v>
      </c>
      <c r="CW32" s="265">
        <v>9.6989999999999993E-2</v>
      </c>
      <c r="CY32" s="265">
        <v>9.8309999999999995E-2</v>
      </c>
      <c r="DA32" s="265">
        <v>0.10092000000000001</v>
      </c>
      <c r="DC32" s="265">
        <v>0.10167</v>
      </c>
      <c r="DE32" s="265">
        <v>3.3570000000000003E-2</v>
      </c>
      <c r="DF32" s="265">
        <v>3.5110000000000002E-2</v>
      </c>
      <c r="DH32" s="265">
        <v>4.3200000000000002E-2</v>
      </c>
      <c r="DI32" s="265">
        <v>4.5490000000000003E-2</v>
      </c>
      <c r="DJ32" s="265">
        <v>4.521E-2</v>
      </c>
      <c r="DL32" s="265">
        <v>4.4999999999999998E-2</v>
      </c>
      <c r="DO32" s="267"/>
      <c r="DP32" s="267"/>
      <c r="DQ32" s="267"/>
      <c r="DR32" s="267"/>
      <c r="DS32" s="267"/>
      <c r="DT32" s="267"/>
      <c r="DU32" s="267"/>
      <c r="DV32" s="267"/>
      <c r="DW32" s="267"/>
      <c r="DX32" s="267"/>
      <c r="DY32" s="267"/>
      <c r="DZ32" s="205">
        <f t="shared" si="42"/>
        <v>4.5376868686868688E-2</v>
      </c>
      <c r="EA32" s="205" t="e">
        <f>DA32*BJ32+(((1+$EE$56)*(1+DZ32))-1)*BI32</f>
        <v>#DIV/0!</v>
      </c>
    </row>
    <row r="33" spans="2:141">
      <c r="B33" s="272">
        <v>44670</v>
      </c>
      <c r="C33" s="271">
        <v>44670</v>
      </c>
      <c r="D33" s="263" t="e">
        <f>+SUMIFS(Tabla6[Nominal COP],Tabla6[Concepto],COSTO_OPORTUNIDAD!$B$18,Tabla6[Nemotécnico],COSTO_OPORTUNIDAD!D$16,Tabla6[Fecha Cumplimiento y/ liquidacion],COSTO_OPORTUNIDAD!$C33)/+SUMIFS(Tabla6[Nominal COP],Tabla6[Concepto],COSTO_OPORTUNIDAD!$B$18,Tabla6[Fecha Cumplimiento y/ liquidacion],COSTO_OPORTUNIDAD!$C33)</f>
        <v>#DIV/0!</v>
      </c>
      <c r="E33" s="263" t="e">
        <f>+SUMIFS(Tabla6[Nominal COP],Tabla6[Concepto],COSTO_OPORTUNIDAD!$B$18,Tabla6[Nemotécnico],COSTO_OPORTUNIDAD!E$16,Tabla6[Fecha Cumplimiento y/ liquidacion],COSTO_OPORTUNIDAD!$C33)/+SUMIFS(Tabla6[Nominal COP],Tabla6[Concepto],COSTO_OPORTUNIDAD!$B$18,Tabla6[Fecha Cumplimiento y/ liquidacion],COSTO_OPORTUNIDAD!$C33)</f>
        <v>#DIV/0!</v>
      </c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3">
        <v>0.49979865132800627</v>
      </c>
      <c r="S33" s="263"/>
      <c r="T33" s="263"/>
      <c r="U33" s="263"/>
      <c r="V33" s="262"/>
      <c r="W33" s="262"/>
      <c r="X33" s="262"/>
      <c r="Y33" s="262"/>
      <c r="Z33" s="262"/>
      <c r="AA33" s="263">
        <v>0.29499053896040656</v>
      </c>
      <c r="AB33" s="263">
        <v>0.2052108097115872</v>
      </c>
      <c r="AC33" s="263"/>
      <c r="AD33" s="263"/>
      <c r="AE33" s="263"/>
      <c r="AF33" s="263"/>
      <c r="AG33" s="262"/>
      <c r="AH33" s="274">
        <f t="shared" si="0"/>
        <v>1590</v>
      </c>
      <c r="AI33" s="274">
        <f t="shared" si="1"/>
        <v>2024</v>
      </c>
      <c r="AJ33" s="274">
        <f t="shared" si="2"/>
        <v>2201</v>
      </c>
      <c r="AK33" s="274"/>
      <c r="AL33" s="274">
        <f t="shared" si="3"/>
        <v>3074</v>
      </c>
      <c r="AM33" s="274">
        <f t="shared" si="4"/>
        <v>3263</v>
      </c>
      <c r="AN33" s="274">
        <f t="shared" si="5"/>
        <v>3725</v>
      </c>
      <c r="AO33" s="274"/>
      <c r="AP33" s="274">
        <f t="shared" si="6"/>
        <v>4565</v>
      </c>
      <c r="AQ33" s="274"/>
      <c r="AR33" s="274">
        <f t="shared" si="7"/>
        <v>5195</v>
      </c>
      <c r="AS33" s="274"/>
      <c r="AT33" s="274">
        <f t="shared" si="8"/>
        <v>7344</v>
      </c>
      <c r="AU33" s="274"/>
      <c r="AV33" s="274">
        <f t="shared" si="9"/>
        <v>10417</v>
      </c>
      <c r="AW33" s="274"/>
      <c r="AX33" s="274">
        <f t="shared" si="10"/>
        <v>1114</v>
      </c>
      <c r="AY33" s="274">
        <f t="shared" si="11"/>
        <v>1793</v>
      </c>
      <c r="AZ33" s="274">
        <f t="shared" si="12"/>
        <v>2556</v>
      </c>
      <c r="BA33" s="274"/>
      <c r="BB33" s="274">
        <f t="shared" si="13"/>
        <v>3993</v>
      </c>
      <c r="BC33" s="274">
        <f t="shared" si="14"/>
        <v>4733</v>
      </c>
      <c r="BD33" s="274">
        <f t="shared" si="15"/>
        <v>5426</v>
      </c>
      <c r="BE33" s="274"/>
      <c r="BF33" s="274">
        <f t="shared" si="16"/>
        <v>9920</v>
      </c>
      <c r="BG33" s="274"/>
      <c r="BH33" s="274"/>
      <c r="BI33" s="266">
        <f t="shared" si="17"/>
        <v>0.50020134867199373</v>
      </c>
      <c r="BJ33" s="266" t="e">
        <f t="shared" si="18"/>
        <v>#DIV/0!</v>
      </c>
      <c r="BK33" s="266" t="str">
        <f t="shared" si="19"/>
        <v/>
      </c>
      <c r="BL33" s="266" t="str">
        <f t="shared" si="20"/>
        <v/>
      </c>
      <c r="BM33" s="266" t="str">
        <f t="shared" si="21"/>
        <v/>
      </c>
      <c r="BN33" s="266"/>
      <c r="BO33" s="266" t="str">
        <f t="shared" si="22"/>
        <v/>
      </c>
      <c r="BP33" s="266" t="str">
        <f t="shared" si="23"/>
        <v/>
      </c>
      <c r="BQ33" s="266" t="str">
        <f t="shared" si="24"/>
        <v/>
      </c>
      <c r="BR33" s="266" t="str">
        <f t="shared" si="25"/>
        <v/>
      </c>
      <c r="BS33" s="266" t="str">
        <f t="shared" si="26"/>
        <v/>
      </c>
      <c r="BT33" s="266" t="str">
        <f t="shared" si="27"/>
        <v/>
      </c>
      <c r="BU33" s="266" t="str">
        <f t="shared" si="28"/>
        <v/>
      </c>
      <c r="BV33" s="266"/>
      <c r="BW33" s="266" t="str">
        <f t="shared" si="29"/>
        <v/>
      </c>
      <c r="BX33" s="266"/>
      <c r="BY33" s="266" t="str">
        <f t="shared" si="30"/>
        <v/>
      </c>
      <c r="BZ33" s="266"/>
      <c r="CA33" s="263">
        <f t="shared" si="31"/>
        <v>0</v>
      </c>
      <c r="CB33" s="263">
        <f t="shared" si="32"/>
        <v>0</v>
      </c>
      <c r="CC33" s="263">
        <f t="shared" si="33"/>
        <v>0</v>
      </c>
      <c r="CD33" s="263">
        <f t="shared" si="34"/>
        <v>0</v>
      </c>
      <c r="CE33" s="263">
        <f t="shared" si="35"/>
        <v>0</v>
      </c>
      <c r="CF33" s="263">
        <f t="shared" si="36"/>
        <v>0.58974358974358976</v>
      </c>
      <c r="CG33" s="263">
        <f t="shared" si="37"/>
        <v>0.4102564102564103</v>
      </c>
      <c r="CH33" s="263"/>
      <c r="CI33" s="263">
        <f t="shared" si="38"/>
        <v>0</v>
      </c>
      <c r="CJ33" s="263"/>
      <c r="CK33" s="263">
        <f t="shared" si="39"/>
        <v>0</v>
      </c>
      <c r="CL33" s="264">
        <f t="shared" si="40"/>
        <v>0</v>
      </c>
      <c r="CM33" s="264">
        <f t="shared" si="41"/>
        <v>5017</v>
      </c>
      <c r="CO33" s="265">
        <v>9.4399999999999998E-2</v>
      </c>
      <c r="CP33" s="265">
        <v>9.6180000000000002E-2</v>
      </c>
      <c r="CQ33" s="265">
        <v>9.6000000000000002E-2</v>
      </c>
      <c r="CS33" s="265">
        <v>9.7009999999999999E-2</v>
      </c>
      <c r="CT33" s="265">
        <v>9.7479999999999997E-2</v>
      </c>
      <c r="CU33" s="265">
        <v>9.8100000000000007E-2</v>
      </c>
      <c r="CW33" s="265">
        <v>9.9290000000000003E-2</v>
      </c>
      <c r="CY33" s="265">
        <v>9.9990000000000009E-2</v>
      </c>
      <c r="DA33" s="265">
        <v>0.10204000000000001</v>
      </c>
      <c r="DC33" s="265">
        <v>0.10156999999999999</v>
      </c>
      <c r="DE33" s="265">
        <v>3.4390000000000004E-2</v>
      </c>
      <c r="DF33" s="265">
        <v>3.6600000000000001E-2</v>
      </c>
      <c r="DH33" s="265">
        <v>4.2999999999999997E-2</v>
      </c>
      <c r="DI33" s="265">
        <v>4.5999999999999999E-2</v>
      </c>
      <c r="DJ33" s="265">
        <v>4.5960000000000001E-2</v>
      </c>
      <c r="DL33" s="265">
        <v>4.5199999999999997E-2</v>
      </c>
      <c r="DO33" s="267"/>
      <c r="DP33" s="267"/>
      <c r="DQ33" s="267"/>
      <c r="DR33" s="267"/>
      <c r="DS33" s="267"/>
      <c r="DT33" s="267"/>
      <c r="DU33" s="267"/>
      <c r="DV33" s="267"/>
      <c r="DW33" s="267"/>
      <c r="DX33" s="267"/>
      <c r="DY33" s="267"/>
      <c r="DZ33" s="205">
        <f t="shared" si="42"/>
        <v>4.5983607503607506E-2</v>
      </c>
      <c r="EA33" s="205" t="e">
        <f>DA33*BJ33+(((1+$EE$56)*(1+DZ33))-1)*BI33</f>
        <v>#DIV/0!</v>
      </c>
      <c r="EB33" s="203"/>
      <c r="EC33" s="204" t="e">
        <f>#REF!</f>
        <v>#REF!</v>
      </c>
      <c r="ED33" s="204"/>
      <c r="EE33" s="205" t="e">
        <f>DI33-#REF!</f>
        <v>#REF!</v>
      </c>
      <c r="EF33" s="203">
        <f>CM33-AX33</f>
        <v>3903</v>
      </c>
      <c r="EG33" s="203">
        <f>BC33-AX33</f>
        <v>3619</v>
      </c>
    </row>
    <row r="34" spans="2:141">
      <c r="B34" s="272">
        <v>44697</v>
      </c>
      <c r="C34" s="271">
        <v>44697</v>
      </c>
      <c r="D34" s="263" t="e">
        <f>+SUMIFS(Tabla6[Nominal COP],Tabla6[Concepto],COSTO_OPORTUNIDAD!$B$18,Tabla6[Nemotécnico],COSTO_OPORTUNIDAD!D$16,Tabla6[Fecha Cumplimiento y/ liquidacion],COSTO_OPORTUNIDAD!$C34)/+SUMIFS(Tabla6[Nominal COP],Tabla6[Concepto],COSTO_OPORTUNIDAD!$B$18,Tabla6[Fecha Cumplimiento y/ liquidacion],COSTO_OPORTUNIDAD!$C34)</f>
        <v>#DIV/0!</v>
      </c>
      <c r="E34" s="263" t="e">
        <f>+SUMIFS(Tabla6[Nominal COP],Tabla6[Concepto],COSTO_OPORTUNIDAD!$B$18,Tabla6[Nemotécnico],COSTO_OPORTUNIDAD!E$16,Tabla6[Fecha Cumplimiento y/ liquidacion],COSTO_OPORTUNIDAD!$C34)/+SUMIFS(Tabla6[Nominal COP],Tabla6[Concepto],COSTO_OPORTUNIDAD!$B$18,Tabla6[Fecha Cumplimiento y/ liquidacion],COSTO_OPORTUNIDAD!$C34)</f>
        <v>#DIV/0!</v>
      </c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3">
        <v>9.5866265490745575E-2</v>
      </c>
      <c r="S34" s="263"/>
      <c r="T34" s="263"/>
      <c r="U34" s="263"/>
      <c r="V34" s="263">
        <v>0.65708151194350617</v>
      </c>
      <c r="W34" s="263"/>
      <c r="X34" s="262"/>
      <c r="Y34" s="262"/>
      <c r="Z34" s="262"/>
      <c r="AA34" s="263">
        <v>0.24705222256574824</v>
      </c>
      <c r="AB34" s="262"/>
      <c r="AC34" s="262"/>
      <c r="AD34" s="262"/>
      <c r="AE34" s="262"/>
      <c r="AF34" s="262"/>
      <c r="AG34" s="262"/>
      <c r="AH34" s="274">
        <f t="shared" si="0"/>
        <v>1563</v>
      </c>
      <c r="AI34" s="274">
        <f t="shared" si="1"/>
        <v>1997</v>
      </c>
      <c r="AJ34" s="274">
        <f t="shared" si="2"/>
        <v>2174</v>
      </c>
      <c r="AK34" s="274"/>
      <c r="AL34" s="274">
        <f t="shared" si="3"/>
        <v>3047</v>
      </c>
      <c r="AM34" s="274">
        <f t="shared" si="4"/>
        <v>3236</v>
      </c>
      <c r="AN34" s="274">
        <f t="shared" si="5"/>
        <v>3698</v>
      </c>
      <c r="AO34" s="274"/>
      <c r="AP34" s="274">
        <f t="shared" si="6"/>
        <v>4538</v>
      </c>
      <c r="AQ34" s="274"/>
      <c r="AR34" s="274">
        <f t="shared" si="7"/>
        <v>5168</v>
      </c>
      <c r="AS34" s="274"/>
      <c r="AT34" s="274">
        <f t="shared" si="8"/>
        <v>7317</v>
      </c>
      <c r="AU34" s="274"/>
      <c r="AV34" s="274">
        <f t="shared" si="9"/>
        <v>10390</v>
      </c>
      <c r="AW34" s="274"/>
      <c r="AX34" s="274">
        <f t="shared" si="10"/>
        <v>1087</v>
      </c>
      <c r="AY34" s="274">
        <f t="shared" si="11"/>
        <v>1766</v>
      </c>
      <c r="AZ34" s="274">
        <f t="shared" si="12"/>
        <v>2529</v>
      </c>
      <c r="BA34" s="274"/>
      <c r="BB34" s="274">
        <f t="shared" si="13"/>
        <v>3966</v>
      </c>
      <c r="BC34" s="274">
        <f t="shared" si="14"/>
        <v>4706</v>
      </c>
      <c r="BD34" s="274">
        <f t="shared" si="15"/>
        <v>5399</v>
      </c>
      <c r="BE34" s="274"/>
      <c r="BF34" s="274">
        <f t="shared" si="16"/>
        <v>9893</v>
      </c>
      <c r="BG34" s="274"/>
      <c r="BH34" s="274"/>
      <c r="BI34" s="266">
        <f t="shared" si="17"/>
        <v>0.90413373450925438</v>
      </c>
      <c r="BJ34" s="266" t="e">
        <f t="shared" si="18"/>
        <v>#DIV/0!</v>
      </c>
      <c r="BK34" s="266" t="str">
        <f t="shared" si="19"/>
        <v/>
      </c>
      <c r="BL34" s="266" t="str">
        <f t="shared" si="20"/>
        <v/>
      </c>
      <c r="BM34" s="266" t="str">
        <f t="shared" si="21"/>
        <v/>
      </c>
      <c r="BN34" s="266"/>
      <c r="BO34" s="266" t="str">
        <f t="shared" si="22"/>
        <v/>
      </c>
      <c r="BP34" s="266" t="str">
        <f t="shared" si="23"/>
        <v/>
      </c>
      <c r="BQ34" s="266" t="str">
        <f t="shared" si="24"/>
        <v/>
      </c>
      <c r="BR34" s="266" t="str">
        <f t="shared" si="25"/>
        <v/>
      </c>
      <c r="BS34" s="266" t="str">
        <f t="shared" si="26"/>
        <v/>
      </c>
      <c r="BT34" s="266" t="str">
        <f t="shared" si="27"/>
        <v/>
      </c>
      <c r="BU34" s="266" t="str">
        <f t="shared" si="28"/>
        <v/>
      </c>
      <c r="BV34" s="266"/>
      <c r="BW34" s="266" t="str">
        <f t="shared" si="29"/>
        <v/>
      </c>
      <c r="BX34" s="266"/>
      <c r="BY34" s="266" t="str">
        <f t="shared" si="30"/>
        <v/>
      </c>
      <c r="BZ34" s="266"/>
      <c r="CA34" s="263">
        <f t="shared" si="31"/>
        <v>0.72675256642221941</v>
      </c>
      <c r="CB34" s="263">
        <f t="shared" si="32"/>
        <v>0</v>
      </c>
      <c r="CC34" s="263">
        <f t="shared" si="33"/>
        <v>0</v>
      </c>
      <c r="CD34" s="263">
        <f t="shared" si="34"/>
        <v>0</v>
      </c>
      <c r="CE34" s="263">
        <f t="shared" si="35"/>
        <v>0</v>
      </c>
      <c r="CF34" s="263">
        <f t="shared" si="36"/>
        <v>0.27324743357778064</v>
      </c>
      <c r="CG34" s="263">
        <f t="shared" si="37"/>
        <v>0</v>
      </c>
      <c r="CH34" s="263"/>
      <c r="CI34" s="263">
        <f t="shared" si="38"/>
        <v>0</v>
      </c>
      <c r="CJ34" s="263"/>
      <c r="CK34" s="263">
        <f t="shared" si="39"/>
        <v>0</v>
      </c>
      <c r="CL34" s="264">
        <f t="shared" si="40"/>
        <v>0</v>
      </c>
      <c r="CM34" s="264">
        <f t="shared" si="41"/>
        <v>2076</v>
      </c>
      <c r="CO34" s="265">
        <v>0.10561999999999999</v>
      </c>
      <c r="CP34" s="265">
        <v>0.109</v>
      </c>
      <c r="CQ34" s="265">
        <v>0.11</v>
      </c>
      <c r="CS34" s="265">
        <v>0.1125</v>
      </c>
      <c r="CT34" s="265">
        <v>0.1115</v>
      </c>
      <c r="CU34" s="265">
        <v>0.11550000000000001</v>
      </c>
      <c r="CW34" s="265">
        <v>0.11650000000000001</v>
      </c>
      <c r="CY34" s="265">
        <v>0.11800000000000001</v>
      </c>
      <c r="DA34" s="265">
        <v>0.12135</v>
      </c>
      <c r="DC34" s="265">
        <v>0.12106</v>
      </c>
      <c r="DE34" s="265">
        <v>3.8599999999999995E-2</v>
      </c>
      <c r="DF34" s="265">
        <v>4.1660000000000003E-2</v>
      </c>
      <c r="DH34" s="265">
        <v>4.6399999999999997E-2</v>
      </c>
      <c r="DI34" s="265">
        <v>4.9500000000000002E-2</v>
      </c>
      <c r="DJ34" s="265">
        <v>4.9149999999999999E-2</v>
      </c>
      <c r="DL34" s="265">
        <v>4.9699999999999994E-2</v>
      </c>
      <c r="DO34" s="267"/>
      <c r="DP34" s="267"/>
      <c r="DQ34" s="267"/>
      <c r="DR34" s="267"/>
      <c r="DS34" s="267"/>
      <c r="DT34" s="267"/>
      <c r="DU34" s="267"/>
      <c r="DV34" s="267"/>
      <c r="DW34" s="267"/>
      <c r="DX34" s="267"/>
      <c r="DY34" s="267"/>
      <c r="DZ34" s="205" t="e">
        <f>#REF!+((DI34-#REF!)*((CM34-AX34)/(BC34-AX34)))</f>
        <v>#REF!</v>
      </c>
      <c r="EA34" s="205" t="e">
        <f t="shared" ref="EA34:EA46" si="44">DA34*BJ34+(((1+$EE$57)*(1+DZ34))-1)*BI34</f>
        <v>#DIV/0!</v>
      </c>
      <c r="EB34" s="203"/>
      <c r="EC34" s="204" t="e">
        <f>#REF!</f>
        <v>#REF!</v>
      </c>
      <c r="ED34" s="204"/>
      <c r="EE34" s="205" t="e">
        <f>DI34-#REF!</f>
        <v>#REF!</v>
      </c>
      <c r="EF34" s="203">
        <f>CM34-AX34</f>
        <v>989</v>
      </c>
      <c r="EG34" s="203">
        <f>BC34-AX34</f>
        <v>3619</v>
      </c>
    </row>
    <row r="35" spans="2:141">
      <c r="B35" s="272">
        <v>44698</v>
      </c>
      <c r="C35" s="271">
        <v>44698</v>
      </c>
      <c r="D35" s="263" t="e">
        <f>+SUMIFS(Tabla6[Nominal COP],Tabla6[Concepto],COSTO_OPORTUNIDAD!$B$18,Tabla6[Nemotécnico],COSTO_OPORTUNIDAD!D$16,Tabla6[Fecha Cumplimiento y/ liquidacion],COSTO_OPORTUNIDAD!$C35)/+SUMIFS(Tabla6[Nominal COP],Tabla6[Concepto],COSTO_OPORTUNIDAD!$B$18,Tabla6[Fecha Cumplimiento y/ liquidacion],COSTO_OPORTUNIDAD!$C35)</f>
        <v>#DIV/0!</v>
      </c>
      <c r="E35" s="263" t="e">
        <f>+SUMIFS(Tabla6[Nominal COP],Tabla6[Concepto],COSTO_OPORTUNIDAD!$B$18,Tabla6[Nemotécnico],COSTO_OPORTUNIDAD!E$16,Tabla6[Fecha Cumplimiento y/ liquidacion],COSTO_OPORTUNIDAD!$C35)/+SUMIFS(Tabla6[Nominal COP],Tabla6[Concepto],COSTO_OPORTUNIDAD!$B$18,Tabla6[Fecha Cumplimiento y/ liquidacion],COSTO_OPORTUNIDAD!$C35)</f>
        <v>#DIV/0!</v>
      </c>
      <c r="F35" s="263">
        <v>0.26066992965780478</v>
      </c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2"/>
      <c r="S35" s="262"/>
      <c r="T35" s="262"/>
      <c r="U35" s="262"/>
      <c r="V35" s="263">
        <v>0.45982723887136534</v>
      </c>
      <c r="W35" s="263"/>
      <c r="X35" s="262"/>
      <c r="Y35" s="262"/>
      <c r="Z35" s="262"/>
      <c r="AA35" s="263">
        <v>0.20737306851061574</v>
      </c>
      <c r="AB35" s="263">
        <v>7.2129762960214186E-2</v>
      </c>
      <c r="AC35" s="263"/>
      <c r="AD35" s="263"/>
      <c r="AE35" s="263"/>
      <c r="AF35" s="263"/>
      <c r="AG35" s="262"/>
      <c r="AH35" s="274">
        <f t="shared" si="0"/>
        <v>1562</v>
      </c>
      <c r="AI35" s="274">
        <f t="shared" si="1"/>
        <v>1996</v>
      </c>
      <c r="AJ35" s="274">
        <f t="shared" si="2"/>
        <v>2173</v>
      </c>
      <c r="AK35" s="274"/>
      <c r="AL35" s="274">
        <f t="shared" si="3"/>
        <v>3046</v>
      </c>
      <c r="AM35" s="274">
        <f t="shared" si="4"/>
        <v>3235</v>
      </c>
      <c r="AN35" s="274">
        <f t="shared" si="5"/>
        <v>3697</v>
      </c>
      <c r="AO35" s="274"/>
      <c r="AP35" s="274">
        <f t="shared" si="6"/>
        <v>4537</v>
      </c>
      <c r="AQ35" s="274"/>
      <c r="AR35" s="274">
        <f t="shared" si="7"/>
        <v>5167</v>
      </c>
      <c r="AS35" s="274"/>
      <c r="AT35" s="274">
        <f t="shared" si="8"/>
        <v>7316</v>
      </c>
      <c r="AU35" s="274"/>
      <c r="AV35" s="274">
        <f t="shared" si="9"/>
        <v>10389</v>
      </c>
      <c r="AW35" s="274"/>
      <c r="AX35" s="274">
        <f t="shared" si="10"/>
        <v>1086</v>
      </c>
      <c r="AY35" s="274">
        <f t="shared" si="11"/>
        <v>1765</v>
      </c>
      <c r="AZ35" s="274">
        <f t="shared" si="12"/>
        <v>2528</v>
      </c>
      <c r="BA35" s="274"/>
      <c r="BB35" s="274">
        <f t="shared" si="13"/>
        <v>3965</v>
      </c>
      <c r="BC35" s="274">
        <f t="shared" si="14"/>
        <v>4705</v>
      </c>
      <c r="BD35" s="274">
        <f t="shared" si="15"/>
        <v>5398</v>
      </c>
      <c r="BE35" s="274"/>
      <c r="BF35" s="274">
        <f t="shared" si="16"/>
        <v>9892</v>
      </c>
      <c r="BG35" s="274"/>
      <c r="BH35" s="274"/>
      <c r="BI35" s="266">
        <f t="shared" si="17"/>
        <v>0.73933007034219533</v>
      </c>
      <c r="BJ35" s="266" t="e">
        <f t="shared" si="18"/>
        <v>#DIV/0!</v>
      </c>
      <c r="BK35" s="266" t="str">
        <f t="shared" si="19"/>
        <v/>
      </c>
      <c r="BL35" s="266" t="str">
        <f t="shared" si="20"/>
        <v/>
      </c>
      <c r="BM35" s="266" t="str">
        <f t="shared" si="21"/>
        <v/>
      </c>
      <c r="BN35" s="266"/>
      <c r="BO35" s="266" t="str">
        <f t="shared" si="22"/>
        <v/>
      </c>
      <c r="BP35" s="266" t="str">
        <f t="shared" si="23"/>
        <v/>
      </c>
      <c r="BQ35" s="266" t="str">
        <f t="shared" si="24"/>
        <v/>
      </c>
      <c r="BR35" s="266" t="str">
        <f t="shared" si="25"/>
        <v/>
      </c>
      <c r="BS35" s="266" t="str">
        <f t="shared" si="26"/>
        <v/>
      </c>
      <c r="BT35" s="266" t="str">
        <f t="shared" si="27"/>
        <v/>
      </c>
      <c r="BU35" s="266" t="str">
        <f t="shared" si="28"/>
        <v/>
      </c>
      <c r="BV35" s="266"/>
      <c r="BW35" s="266" t="str">
        <f t="shared" si="29"/>
        <v/>
      </c>
      <c r="BX35" s="266"/>
      <c r="BY35" s="266" t="str">
        <f t="shared" si="30"/>
        <v/>
      </c>
      <c r="BZ35" s="266"/>
      <c r="CA35" s="263">
        <f t="shared" si="31"/>
        <v>0.62195121951219501</v>
      </c>
      <c r="CB35" s="263">
        <f t="shared" si="32"/>
        <v>0</v>
      </c>
      <c r="CC35" s="263">
        <f t="shared" si="33"/>
        <v>0</v>
      </c>
      <c r="CD35" s="263">
        <f t="shared" si="34"/>
        <v>0</v>
      </c>
      <c r="CE35" s="263">
        <f t="shared" si="35"/>
        <v>0</v>
      </c>
      <c r="CF35" s="263">
        <f t="shared" si="36"/>
        <v>0.28048780487804875</v>
      </c>
      <c r="CG35" s="263">
        <f t="shared" si="37"/>
        <v>9.7560975609756101E-2</v>
      </c>
      <c r="CH35" s="263"/>
      <c r="CI35" s="263">
        <f t="shared" si="38"/>
        <v>0</v>
      </c>
      <c r="CJ35" s="263"/>
      <c r="CK35" s="263">
        <f t="shared" si="39"/>
        <v>0</v>
      </c>
      <c r="CL35" s="264">
        <f t="shared" si="40"/>
        <v>0</v>
      </c>
      <c r="CM35" s="264">
        <f t="shared" si="41"/>
        <v>2522</v>
      </c>
      <c r="CO35" s="265">
        <v>0.10695</v>
      </c>
      <c r="CP35" s="265">
        <v>0.11007</v>
      </c>
      <c r="CQ35" s="265">
        <v>0.1116</v>
      </c>
      <c r="CS35" s="265">
        <v>0.1143</v>
      </c>
      <c r="CT35" s="265">
        <v>0.1142</v>
      </c>
      <c r="CU35" s="265">
        <v>0.11801</v>
      </c>
      <c r="CW35" s="265">
        <v>0.11949</v>
      </c>
      <c r="CY35" s="265">
        <v>0.12085000000000001</v>
      </c>
      <c r="DA35" s="265">
        <v>0.12540999999999999</v>
      </c>
      <c r="DC35" s="265">
        <v>0.12468</v>
      </c>
      <c r="DE35" s="265">
        <v>3.85E-2</v>
      </c>
      <c r="DF35" s="265">
        <v>4.231E-2</v>
      </c>
      <c r="DH35" s="265">
        <v>4.7E-2</v>
      </c>
      <c r="DI35" s="265">
        <v>5.0179999999999995E-2</v>
      </c>
      <c r="DJ35" s="265">
        <v>5.0039999999999994E-2</v>
      </c>
      <c r="DL35" s="265">
        <v>0.05</v>
      </c>
      <c r="DO35" s="267"/>
      <c r="DP35" s="267"/>
      <c r="DQ35" s="267"/>
      <c r="DR35" s="267"/>
      <c r="DS35" s="267"/>
      <c r="DT35" s="267"/>
      <c r="DU35" s="267"/>
      <c r="DV35" s="267"/>
      <c r="DW35" s="267"/>
      <c r="DX35" s="267"/>
      <c r="DY35" s="267"/>
      <c r="DZ35" s="205">
        <f>DI35+(DJ35-DI35)*(CM35-BC35)/(BD35-BC35)</f>
        <v>5.0621010101010097E-2</v>
      </c>
      <c r="EA35" s="205" t="e">
        <f t="shared" si="44"/>
        <v>#DIV/0!</v>
      </c>
    </row>
    <row r="36" spans="2:141">
      <c r="B36" s="272">
        <v>44699</v>
      </c>
      <c r="C36" s="271">
        <v>44699</v>
      </c>
      <c r="D36" s="263" t="e">
        <f>+SUMIFS(Tabla6[Nominal COP],Tabla6[Concepto],COSTO_OPORTUNIDAD!$B$18,Tabla6[Nemotécnico],COSTO_OPORTUNIDAD!D$16,Tabla6[Fecha Cumplimiento y/ liquidacion],COSTO_OPORTUNIDAD!$C36)/+SUMIFS(Tabla6[Nominal COP],Tabla6[Concepto],COSTO_OPORTUNIDAD!$B$18,Tabla6[Fecha Cumplimiento y/ liquidacion],COSTO_OPORTUNIDAD!$C36)</f>
        <v>#DIV/0!</v>
      </c>
      <c r="E36" s="263" t="e">
        <f>+SUMIFS(Tabla6[Nominal COP],Tabla6[Concepto],COSTO_OPORTUNIDAD!$B$18,Tabla6[Nemotécnico],COSTO_OPORTUNIDAD!E$16,Tabla6[Fecha Cumplimiento y/ liquidacion],COSTO_OPORTUNIDAD!$C36)/+SUMIFS(Tabla6[Nominal COP],Tabla6[Concepto],COSTO_OPORTUNIDAD!$B$18,Tabla6[Fecha Cumplimiento y/ liquidacion],COSTO_OPORTUNIDAD!$C36)</f>
        <v>#DIV/0!</v>
      </c>
      <c r="F36" s="263">
        <v>0.3086166906479838</v>
      </c>
      <c r="G36" s="263"/>
      <c r="H36" s="263"/>
      <c r="I36" s="263"/>
      <c r="J36" s="263"/>
      <c r="K36" s="263"/>
      <c r="L36" s="263"/>
      <c r="M36" s="263"/>
      <c r="N36" s="263"/>
      <c r="O36" s="263"/>
      <c r="P36" s="263"/>
      <c r="Q36" s="263"/>
      <c r="R36" s="262"/>
      <c r="S36" s="262"/>
      <c r="T36" s="262"/>
      <c r="U36" s="262"/>
      <c r="V36" s="263">
        <v>0.35576034364715398</v>
      </c>
      <c r="W36" s="263"/>
      <c r="X36" s="263">
        <v>2.6849837256388977E-2</v>
      </c>
      <c r="Y36" s="263"/>
      <c r="Z36" s="263"/>
      <c r="AA36" s="263">
        <v>0.30877312844847327</v>
      </c>
      <c r="AB36" s="262"/>
      <c r="AC36" s="262"/>
      <c r="AD36" s="262"/>
      <c r="AE36" s="262"/>
      <c r="AF36" s="262"/>
      <c r="AG36" s="263"/>
      <c r="AH36" s="274">
        <f t="shared" si="0"/>
        <v>1561</v>
      </c>
      <c r="AI36" s="274">
        <f t="shared" si="1"/>
        <v>1995</v>
      </c>
      <c r="AJ36" s="274">
        <f t="shared" si="2"/>
        <v>2172</v>
      </c>
      <c r="AK36" s="274"/>
      <c r="AL36" s="274">
        <f t="shared" si="3"/>
        <v>3045</v>
      </c>
      <c r="AM36" s="274">
        <f t="shared" si="4"/>
        <v>3234</v>
      </c>
      <c r="AN36" s="274">
        <f t="shared" si="5"/>
        <v>3696</v>
      </c>
      <c r="AO36" s="274"/>
      <c r="AP36" s="274">
        <f t="shared" si="6"/>
        <v>4536</v>
      </c>
      <c r="AQ36" s="274"/>
      <c r="AR36" s="274">
        <f t="shared" si="7"/>
        <v>5166</v>
      </c>
      <c r="AS36" s="274"/>
      <c r="AT36" s="274">
        <f t="shared" si="8"/>
        <v>7315</v>
      </c>
      <c r="AU36" s="274"/>
      <c r="AV36" s="274">
        <f t="shared" si="9"/>
        <v>10388</v>
      </c>
      <c r="AW36" s="274"/>
      <c r="AX36" s="274">
        <f t="shared" si="10"/>
        <v>1085</v>
      </c>
      <c r="AY36" s="274">
        <f t="shared" si="11"/>
        <v>1764</v>
      </c>
      <c r="AZ36" s="274">
        <f t="shared" si="12"/>
        <v>2527</v>
      </c>
      <c r="BA36" s="274"/>
      <c r="BB36" s="274">
        <f t="shared" si="13"/>
        <v>3964</v>
      </c>
      <c r="BC36" s="274">
        <f t="shared" si="14"/>
        <v>4704</v>
      </c>
      <c r="BD36" s="274">
        <f t="shared" si="15"/>
        <v>5397</v>
      </c>
      <c r="BE36" s="274"/>
      <c r="BF36" s="274">
        <f t="shared" si="16"/>
        <v>9891</v>
      </c>
      <c r="BG36" s="274"/>
      <c r="BH36" s="274"/>
      <c r="BI36" s="266">
        <f t="shared" si="17"/>
        <v>0.6913833093520162</v>
      </c>
      <c r="BJ36" s="266" t="e">
        <f t="shared" si="18"/>
        <v>#DIV/0!</v>
      </c>
      <c r="BK36" s="266" t="str">
        <f t="shared" si="19"/>
        <v/>
      </c>
      <c r="BL36" s="266" t="str">
        <f t="shared" si="20"/>
        <v/>
      </c>
      <c r="BM36" s="266" t="str">
        <f t="shared" si="21"/>
        <v/>
      </c>
      <c r="BN36" s="266"/>
      <c r="BO36" s="266" t="str">
        <f t="shared" si="22"/>
        <v/>
      </c>
      <c r="BP36" s="266" t="str">
        <f t="shared" si="23"/>
        <v/>
      </c>
      <c r="BQ36" s="266" t="str">
        <f t="shared" si="24"/>
        <v/>
      </c>
      <c r="BR36" s="266" t="str">
        <f t="shared" si="25"/>
        <v/>
      </c>
      <c r="BS36" s="266" t="str">
        <f t="shared" si="26"/>
        <v/>
      </c>
      <c r="BT36" s="266" t="str">
        <f t="shared" si="27"/>
        <v/>
      </c>
      <c r="BU36" s="266" t="str">
        <f t="shared" si="28"/>
        <v/>
      </c>
      <c r="BV36" s="266"/>
      <c r="BW36" s="266" t="str">
        <f t="shared" si="29"/>
        <v/>
      </c>
      <c r="BX36" s="266"/>
      <c r="BY36" s="266" t="str">
        <f t="shared" si="30"/>
        <v/>
      </c>
      <c r="BZ36" s="266"/>
      <c r="CA36" s="263">
        <f t="shared" si="31"/>
        <v>0.5145631067961165</v>
      </c>
      <c r="CB36" s="263">
        <f t="shared" si="32"/>
        <v>0</v>
      </c>
      <c r="CC36" s="263">
        <f t="shared" si="33"/>
        <v>3.8834951456310676E-2</v>
      </c>
      <c r="CD36" s="263">
        <f t="shared" si="34"/>
        <v>0</v>
      </c>
      <c r="CE36" s="263">
        <f t="shared" si="35"/>
        <v>0</v>
      </c>
      <c r="CF36" s="263">
        <f t="shared" si="36"/>
        <v>0.44660194174757284</v>
      </c>
      <c r="CG36" s="263">
        <f t="shared" si="37"/>
        <v>0</v>
      </c>
      <c r="CH36" s="263"/>
      <c r="CI36" s="263">
        <f t="shared" si="38"/>
        <v>0</v>
      </c>
      <c r="CJ36" s="263"/>
      <c r="CK36" s="263">
        <f t="shared" si="39"/>
        <v>0</v>
      </c>
      <c r="CL36" s="264">
        <f t="shared" si="40"/>
        <v>0</v>
      </c>
      <c r="CM36" s="264">
        <f t="shared" si="41"/>
        <v>2728</v>
      </c>
      <c r="CO36" s="265">
        <v>0.10619999999999999</v>
      </c>
      <c r="CP36" s="265">
        <v>0.10949999999999999</v>
      </c>
      <c r="CQ36" s="265">
        <v>0.11032</v>
      </c>
      <c r="CS36" s="265">
        <v>0.11333</v>
      </c>
      <c r="CT36" s="265">
        <v>0.11302</v>
      </c>
      <c r="CU36" s="265">
        <v>0.1167</v>
      </c>
      <c r="CW36" s="265">
        <v>0.11990000000000001</v>
      </c>
      <c r="CY36" s="265">
        <v>0.11962</v>
      </c>
      <c r="DA36" s="265">
        <v>0.1245</v>
      </c>
      <c r="DC36" s="265">
        <v>0.12455999999999999</v>
      </c>
      <c r="DE36" s="265">
        <v>3.9800000000000002E-2</v>
      </c>
      <c r="DF36" s="265">
        <v>4.3299999999999998E-2</v>
      </c>
      <c r="DH36" s="265">
        <v>4.7670000000000004E-2</v>
      </c>
      <c r="DI36" s="265">
        <v>5.1500000000000004E-2</v>
      </c>
      <c r="DJ36" s="265">
        <v>5.1279999999999999E-2</v>
      </c>
      <c r="DL36" s="265">
        <v>5.1299999999999998E-2</v>
      </c>
      <c r="DO36" s="267"/>
      <c r="DP36" s="267"/>
      <c r="DQ36" s="267"/>
      <c r="DR36" s="267"/>
      <c r="DS36" s="267"/>
      <c r="DT36" s="267"/>
      <c r="DU36" s="267"/>
      <c r="DV36" s="267"/>
      <c r="DW36" s="267"/>
      <c r="DX36" s="267"/>
      <c r="DY36" s="267"/>
      <c r="DZ36" s="205">
        <f>DF36+((DI36-DF36)*((CM36-AZ36)/(BC36-AZ36)))</f>
        <v>4.4057096922370233E-2</v>
      </c>
      <c r="EA36" s="205" t="e">
        <f t="shared" si="44"/>
        <v>#DIV/0!</v>
      </c>
    </row>
    <row r="37" spans="2:141">
      <c r="B37" s="272">
        <v>44700</v>
      </c>
      <c r="C37" s="271">
        <v>44700</v>
      </c>
      <c r="D37" s="263" t="e">
        <f>+SUMIFS(Tabla6[Nominal COP],Tabla6[Concepto],COSTO_OPORTUNIDAD!$B$18,Tabla6[Nemotécnico],COSTO_OPORTUNIDAD!D$16,Tabla6[Fecha Cumplimiento y/ liquidacion],COSTO_OPORTUNIDAD!$C37)/+SUMIFS(Tabla6[Nominal COP],Tabla6[Concepto],COSTO_OPORTUNIDAD!$B$18,Tabla6[Fecha Cumplimiento y/ liquidacion],COSTO_OPORTUNIDAD!$C37)</f>
        <v>#DIV/0!</v>
      </c>
      <c r="E37" s="263" t="e">
        <f>+SUMIFS(Tabla6[Nominal COP],Tabla6[Concepto],COSTO_OPORTUNIDAD!$B$18,Tabla6[Nemotécnico],COSTO_OPORTUNIDAD!E$16,Tabla6[Fecha Cumplimiento y/ liquidacion],COSTO_OPORTUNIDAD!$C37)/+SUMIFS(Tabla6[Nominal COP],Tabla6[Concepto],COSTO_OPORTUNIDAD!$B$18,Tabla6[Fecha Cumplimiento y/ liquidacion],COSTO_OPORTUNIDAD!$C37)</f>
        <v>#DIV/0!</v>
      </c>
      <c r="F37" s="263">
        <v>0.26726406956905113</v>
      </c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2"/>
      <c r="S37" s="262"/>
      <c r="T37" s="262"/>
      <c r="U37" s="262"/>
      <c r="V37" s="263">
        <v>0.3740139775123007</v>
      </c>
      <c r="W37" s="263"/>
      <c r="X37" s="262"/>
      <c r="Y37" s="262"/>
      <c r="Z37" s="262"/>
      <c r="AA37" s="263">
        <v>0.36636796521547438</v>
      </c>
      <c r="AB37" s="262"/>
      <c r="AC37" s="262"/>
      <c r="AD37" s="262"/>
      <c r="AE37" s="262"/>
      <c r="AF37" s="262"/>
      <c r="AG37" s="262"/>
      <c r="AH37" s="274">
        <f t="shared" si="0"/>
        <v>1560</v>
      </c>
      <c r="AI37" s="274">
        <f t="shared" si="1"/>
        <v>1994</v>
      </c>
      <c r="AJ37" s="274">
        <f t="shared" si="2"/>
        <v>2171</v>
      </c>
      <c r="AK37" s="274"/>
      <c r="AL37" s="274">
        <f t="shared" si="3"/>
        <v>3044</v>
      </c>
      <c r="AM37" s="274">
        <f t="shared" si="4"/>
        <v>3233</v>
      </c>
      <c r="AN37" s="274">
        <f t="shared" si="5"/>
        <v>3695</v>
      </c>
      <c r="AO37" s="274"/>
      <c r="AP37" s="274">
        <f t="shared" si="6"/>
        <v>4535</v>
      </c>
      <c r="AQ37" s="274"/>
      <c r="AR37" s="274">
        <f t="shared" si="7"/>
        <v>5165</v>
      </c>
      <c r="AS37" s="274"/>
      <c r="AT37" s="274">
        <f t="shared" si="8"/>
        <v>7314</v>
      </c>
      <c r="AU37" s="274"/>
      <c r="AV37" s="274">
        <f t="shared" si="9"/>
        <v>10387</v>
      </c>
      <c r="AW37" s="274"/>
      <c r="AX37" s="274">
        <f t="shared" si="10"/>
        <v>1084</v>
      </c>
      <c r="AY37" s="274">
        <f t="shared" si="11"/>
        <v>1763</v>
      </c>
      <c r="AZ37" s="274">
        <f t="shared" si="12"/>
        <v>2526</v>
      </c>
      <c r="BA37" s="274"/>
      <c r="BB37" s="274">
        <f t="shared" si="13"/>
        <v>3963</v>
      </c>
      <c r="BC37" s="274">
        <f t="shared" si="14"/>
        <v>4703</v>
      </c>
      <c r="BD37" s="274">
        <f t="shared" si="15"/>
        <v>5396</v>
      </c>
      <c r="BE37" s="274"/>
      <c r="BF37" s="274">
        <f t="shared" si="16"/>
        <v>9890</v>
      </c>
      <c r="BG37" s="274"/>
      <c r="BH37" s="274"/>
      <c r="BI37" s="266">
        <f t="shared" si="17"/>
        <v>0.74038194272777513</v>
      </c>
      <c r="BJ37" s="266" t="e">
        <f t="shared" si="18"/>
        <v>#DIV/0!</v>
      </c>
      <c r="BK37" s="266" t="str">
        <f t="shared" si="19"/>
        <v/>
      </c>
      <c r="BL37" s="266" t="str">
        <f t="shared" si="20"/>
        <v/>
      </c>
      <c r="BM37" s="266" t="str">
        <f t="shared" si="21"/>
        <v/>
      </c>
      <c r="BN37" s="266"/>
      <c r="BO37" s="266" t="str">
        <f t="shared" si="22"/>
        <v/>
      </c>
      <c r="BP37" s="266" t="str">
        <f t="shared" si="23"/>
        <v/>
      </c>
      <c r="BQ37" s="266" t="str">
        <f t="shared" si="24"/>
        <v/>
      </c>
      <c r="BR37" s="266" t="str">
        <f t="shared" si="25"/>
        <v/>
      </c>
      <c r="BS37" s="266" t="str">
        <f t="shared" si="26"/>
        <v/>
      </c>
      <c r="BT37" s="266" t="str">
        <f t="shared" si="27"/>
        <v/>
      </c>
      <c r="BU37" s="266" t="str">
        <f t="shared" si="28"/>
        <v/>
      </c>
      <c r="BV37" s="266"/>
      <c r="BW37" s="266" t="str">
        <f t="shared" si="29"/>
        <v/>
      </c>
      <c r="BX37" s="266"/>
      <c r="BY37" s="266" t="str">
        <f t="shared" si="30"/>
        <v/>
      </c>
      <c r="BZ37" s="266"/>
      <c r="CA37" s="263">
        <f t="shared" si="31"/>
        <v>0.50516355941141422</v>
      </c>
      <c r="CB37" s="263">
        <f t="shared" si="32"/>
        <v>0</v>
      </c>
      <c r="CC37" s="263">
        <f t="shared" si="33"/>
        <v>0</v>
      </c>
      <c r="CD37" s="263">
        <f t="shared" si="34"/>
        <v>0</v>
      </c>
      <c r="CE37" s="263">
        <f t="shared" si="35"/>
        <v>0</v>
      </c>
      <c r="CF37" s="263">
        <f t="shared" si="36"/>
        <v>0.49483644058858572</v>
      </c>
      <c r="CG37" s="263">
        <f t="shared" si="37"/>
        <v>0</v>
      </c>
      <c r="CH37" s="263"/>
      <c r="CI37" s="263">
        <f t="shared" si="38"/>
        <v>0</v>
      </c>
      <c r="CJ37" s="263"/>
      <c r="CK37" s="263">
        <f t="shared" si="39"/>
        <v>0</v>
      </c>
      <c r="CL37" s="264">
        <f t="shared" si="40"/>
        <v>0</v>
      </c>
      <c r="CM37" s="264">
        <f t="shared" si="41"/>
        <v>2875</v>
      </c>
      <c r="CO37" s="265">
        <v>0.10640000000000001</v>
      </c>
      <c r="CP37" s="265">
        <v>0.10800000000000001</v>
      </c>
      <c r="CQ37" s="265">
        <v>0.109</v>
      </c>
      <c r="CS37" s="265">
        <v>0.11199999999999999</v>
      </c>
      <c r="CT37" s="265">
        <v>0.11099000000000001</v>
      </c>
      <c r="CU37" s="265">
        <v>0.11550000000000001</v>
      </c>
      <c r="CW37" s="265">
        <v>0.1177</v>
      </c>
      <c r="CY37" s="265">
        <v>0.1176</v>
      </c>
      <c r="DA37" s="265">
        <v>0.12247999999999999</v>
      </c>
      <c r="DC37" s="265">
        <v>0.122</v>
      </c>
      <c r="DE37" s="265">
        <v>4.0300000000000002E-2</v>
      </c>
      <c r="DF37" s="265">
        <v>4.3899999999999995E-2</v>
      </c>
      <c r="DH37" s="265">
        <v>4.8010000000000004E-2</v>
      </c>
      <c r="DI37" s="265">
        <v>5.21E-2</v>
      </c>
      <c r="DJ37" s="265">
        <v>5.2039999999999996E-2</v>
      </c>
      <c r="DL37" s="265">
        <v>5.2699999999999997E-2</v>
      </c>
      <c r="DO37" s="267"/>
      <c r="DP37" s="267"/>
      <c r="DQ37" s="267"/>
      <c r="DR37" s="267"/>
      <c r="DS37" s="267"/>
      <c r="DT37" s="267"/>
      <c r="DU37" s="267"/>
      <c r="DV37" s="267"/>
      <c r="DW37" s="267"/>
      <c r="DX37" s="267"/>
      <c r="DY37" s="267"/>
      <c r="DZ37" s="205" t="e">
        <f>#REF!+((DI37-#REF!)*((CM37-AX37)/(BC37-AX37)))</f>
        <v>#REF!</v>
      </c>
      <c r="EA37" s="205" t="e">
        <f t="shared" si="44"/>
        <v>#DIV/0!</v>
      </c>
      <c r="EE37" s="205" t="e">
        <f>EC34+(EE34*EF34)/EG34</f>
        <v>#REF!</v>
      </c>
    </row>
    <row r="38" spans="2:141">
      <c r="B38" s="272">
        <v>44704</v>
      </c>
      <c r="C38" s="271">
        <v>44704</v>
      </c>
      <c r="D38" s="263" t="e">
        <f>+SUMIFS(Tabla6[Nominal COP],Tabla6[Concepto],COSTO_OPORTUNIDAD!$B$18,Tabla6[Nemotécnico],COSTO_OPORTUNIDAD!D$16,Tabla6[Fecha Cumplimiento y/ liquidacion],COSTO_OPORTUNIDAD!$C38)/+SUMIFS(Tabla6[Nominal COP],Tabla6[Concepto],COSTO_OPORTUNIDAD!$B$18,Tabla6[Fecha Cumplimiento y/ liquidacion],COSTO_OPORTUNIDAD!$C38)</f>
        <v>#DIV/0!</v>
      </c>
      <c r="E38" s="263" t="e">
        <f>+SUMIFS(Tabla6[Nominal COP],Tabla6[Concepto],COSTO_OPORTUNIDAD!$B$18,Tabla6[Nemotécnico],COSTO_OPORTUNIDAD!E$16,Tabla6[Fecha Cumplimiento y/ liquidacion],COSTO_OPORTUNIDAD!$C38)/+SUMIFS(Tabla6[Nominal COP],Tabla6[Concepto],COSTO_OPORTUNIDAD!$B$18,Tabla6[Fecha Cumplimiento y/ liquidacion],COSTO_OPORTUNIDAD!$C38)</f>
        <v>#DIV/0!</v>
      </c>
      <c r="F38" s="263">
        <v>0.20430359686108579</v>
      </c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2"/>
      <c r="S38" s="262"/>
      <c r="T38" s="262"/>
      <c r="U38" s="262"/>
      <c r="V38" s="263">
        <v>0.3740139775123007</v>
      </c>
      <c r="W38" s="263"/>
      <c r="X38" s="262"/>
      <c r="Y38" s="262"/>
      <c r="Z38" s="262"/>
      <c r="AA38" s="263">
        <v>0.42168242562661351</v>
      </c>
      <c r="AB38" s="262"/>
      <c r="AC38" s="262"/>
      <c r="AD38" s="262"/>
      <c r="AE38" s="262"/>
      <c r="AF38" s="262"/>
      <c r="AG38" s="262"/>
      <c r="AH38" s="274">
        <f t="shared" si="0"/>
        <v>1556</v>
      </c>
      <c r="AI38" s="274">
        <f t="shared" si="1"/>
        <v>1990</v>
      </c>
      <c r="AJ38" s="274">
        <f t="shared" si="2"/>
        <v>2167</v>
      </c>
      <c r="AK38" s="274"/>
      <c r="AL38" s="274">
        <f t="shared" si="3"/>
        <v>3040</v>
      </c>
      <c r="AM38" s="274">
        <f t="shared" si="4"/>
        <v>3229</v>
      </c>
      <c r="AN38" s="274">
        <f t="shared" si="5"/>
        <v>3691</v>
      </c>
      <c r="AO38" s="274"/>
      <c r="AP38" s="274">
        <f t="shared" si="6"/>
        <v>4531</v>
      </c>
      <c r="AQ38" s="274"/>
      <c r="AR38" s="274">
        <f t="shared" si="7"/>
        <v>5161</v>
      </c>
      <c r="AS38" s="274"/>
      <c r="AT38" s="274">
        <f t="shared" si="8"/>
        <v>7310</v>
      </c>
      <c r="AU38" s="274"/>
      <c r="AV38" s="274">
        <f t="shared" si="9"/>
        <v>10383</v>
      </c>
      <c r="AW38" s="274"/>
      <c r="AX38" s="274">
        <f t="shared" si="10"/>
        <v>1080</v>
      </c>
      <c r="AY38" s="274">
        <f t="shared" si="11"/>
        <v>1759</v>
      </c>
      <c r="AZ38" s="274">
        <f t="shared" si="12"/>
        <v>2522</v>
      </c>
      <c r="BA38" s="274"/>
      <c r="BB38" s="274">
        <f t="shared" si="13"/>
        <v>3959</v>
      </c>
      <c r="BC38" s="274">
        <f t="shared" si="14"/>
        <v>4699</v>
      </c>
      <c r="BD38" s="274">
        <f t="shared" si="15"/>
        <v>5392</v>
      </c>
      <c r="BE38" s="274"/>
      <c r="BF38" s="274">
        <f t="shared" si="16"/>
        <v>9886</v>
      </c>
      <c r="BG38" s="274"/>
      <c r="BH38" s="274"/>
      <c r="BI38" s="266">
        <f t="shared" si="17"/>
        <v>0.79569640313891421</v>
      </c>
      <c r="BJ38" s="266" t="e">
        <f t="shared" si="18"/>
        <v>#DIV/0!</v>
      </c>
      <c r="BK38" s="266" t="str">
        <f t="shared" si="19"/>
        <v/>
      </c>
      <c r="BL38" s="266" t="str">
        <f t="shared" si="20"/>
        <v/>
      </c>
      <c r="BM38" s="266" t="str">
        <f t="shared" si="21"/>
        <v/>
      </c>
      <c r="BN38" s="266"/>
      <c r="BO38" s="266" t="str">
        <f t="shared" si="22"/>
        <v/>
      </c>
      <c r="BP38" s="266" t="str">
        <f t="shared" si="23"/>
        <v/>
      </c>
      <c r="BQ38" s="266" t="str">
        <f t="shared" si="24"/>
        <v/>
      </c>
      <c r="BR38" s="266" t="str">
        <f t="shared" si="25"/>
        <v/>
      </c>
      <c r="BS38" s="266" t="str">
        <f t="shared" si="26"/>
        <v/>
      </c>
      <c r="BT38" s="266" t="str">
        <f t="shared" si="27"/>
        <v/>
      </c>
      <c r="BU38" s="266" t="str">
        <f t="shared" si="28"/>
        <v/>
      </c>
      <c r="BV38" s="266"/>
      <c r="BW38" s="266" t="str">
        <f t="shared" si="29"/>
        <v/>
      </c>
      <c r="BX38" s="266"/>
      <c r="BY38" s="266" t="str">
        <f t="shared" si="30"/>
        <v/>
      </c>
      <c r="BZ38" s="266"/>
      <c r="CA38" s="263">
        <f t="shared" si="31"/>
        <v>0.47004608294930877</v>
      </c>
      <c r="CB38" s="263">
        <f t="shared" si="32"/>
        <v>0</v>
      </c>
      <c r="CC38" s="263">
        <f t="shared" si="33"/>
        <v>0</v>
      </c>
      <c r="CD38" s="263">
        <f t="shared" si="34"/>
        <v>0</v>
      </c>
      <c r="CE38" s="263">
        <f t="shared" si="35"/>
        <v>0</v>
      </c>
      <c r="CF38" s="263">
        <f t="shared" si="36"/>
        <v>0.52995391705069128</v>
      </c>
      <c r="CG38" s="263">
        <f t="shared" si="37"/>
        <v>0</v>
      </c>
      <c r="CH38" s="263"/>
      <c r="CI38" s="263">
        <f t="shared" si="38"/>
        <v>0</v>
      </c>
      <c r="CJ38" s="263"/>
      <c r="CK38" s="263">
        <f t="shared" si="39"/>
        <v>0</v>
      </c>
      <c r="CL38" s="264">
        <f t="shared" si="40"/>
        <v>0</v>
      </c>
      <c r="CM38" s="264">
        <f t="shared" si="41"/>
        <v>2998</v>
      </c>
      <c r="CO38" s="265">
        <v>0.1045</v>
      </c>
      <c r="CP38" s="265">
        <v>0.10651999999999999</v>
      </c>
      <c r="CQ38" s="265">
        <v>0.10800000000000001</v>
      </c>
      <c r="CS38" s="265">
        <v>0.11196</v>
      </c>
      <c r="CT38" s="265">
        <v>0.10929999999999999</v>
      </c>
      <c r="CU38" s="265">
        <v>0.113</v>
      </c>
      <c r="CW38" s="265">
        <v>0.11509999999999999</v>
      </c>
      <c r="CY38" s="265">
        <v>0.11650000000000001</v>
      </c>
      <c r="DA38" s="265">
        <v>0.1202</v>
      </c>
      <c r="DC38" s="265">
        <v>0.11991</v>
      </c>
      <c r="DE38" s="265">
        <v>4.1100000000000005E-2</v>
      </c>
      <c r="DF38" s="265">
        <v>4.3909999999999998E-2</v>
      </c>
      <c r="DH38" s="265">
        <v>4.9089999999999995E-2</v>
      </c>
      <c r="DI38" s="265">
        <v>5.3499999999999999E-2</v>
      </c>
      <c r="DJ38" s="265">
        <v>5.2939999999999994E-2</v>
      </c>
      <c r="DL38" s="265">
        <v>5.3099999999999994E-2</v>
      </c>
      <c r="DO38" s="267"/>
      <c r="DP38" s="267"/>
      <c r="DQ38" s="267"/>
      <c r="DR38" s="267"/>
      <c r="DS38" s="267"/>
      <c r="DT38" s="267"/>
      <c r="DU38" s="267"/>
      <c r="DV38" s="267"/>
      <c r="DW38" s="267"/>
      <c r="DX38" s="267"/>
      <c r="DY38" s="267"/>
      <c r="DZ38" s="205">
        <f t="shared" ref="DZ38:DZ48" si="45">DI38+((DJ38-DI38)*((CM38-BC38)/(BD38-BC38)))</f>
        <v>5.4874545454545468E-2</v>
      </c>
      <c r="EA38" s="205" t="e">
        <f t="shared" si="44"/>
        <v>#DIV/0!</v>
      </c>
    </row>
    <row r="39" spans="2:141">
      <c r="B39" s="272">
        <v>44705</v>
      </c>
      <c r="C39" s="271">
        <v>44705</v>
      </c>
      <c r="D39" s="263" t="e">
        <f>+SUMIFS(Tabla6[Nominal COP],Tabla6[Concepto],COSTO_OPORTUNIDAD!$B$18,Tabla6[Nemotécnico],COSTO_OPORTUNIDAD!D$16,Tabla6[Fecha Cumplimiento y/ liquidacion],COSTO_OPORTUNIDAD!$C39)/+SUMIFS(Tabla6[Nominal COP],Tabla6[Concepto],COSTO_OPORTUNIDAD!$B$18,Tabla6[Fecha Cumplimiento y/ liquidacion],COSTO_OPORTUNIDAD!$C39)</f>
        <v>#DIV/0!</v>
      </c>
      <c r="E39" s="263" t="e">
        <f>+SUMIFS(Tabla6[Nominal COP],Tabla6[Concepto],COSTO_OPORTUNIDAD!$B$18,Tabla6[Nemotécnico],COSTO_OPORTUNIDAD!E$16,Tabla6[Fecha Cumplimiento y/ liquidacion],COSTO_OPORTUNIDAD!$C39)/+SUMIFS(Tabla6[Nominal COP],Tabla6[Concepto],COSTO_OPORTUNIDAD!$B$18,Tabla6[Fecha Cumplimiento y/ liquidacion],COSTO_OPORTUNIDAD!$C39)</f>
        <v>#DIV/0!</v>
      </c>
      <c r="F39" s="263">
        <v>0.13857372192307121</v>
      </c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2"/>
      <c r="S39" s="262"/>
      <c r="T39" s="262"/>
      <c r="U39" s="262"/>
      <c r="V39" s="263">
        <v>0.49003291267849242</v>
      </c>
      <c r="W39" s="263"/>
      <c r="X39" s="262"/>
      <c r="Y39" s="262"/>
      <c r="Z39" s="262"/>
      <c r="AA39" s="263">
        <v>0.37139336539843637</v>
      </c>
      <c r="AB39" s="262"/>
      <c r="AC39" s="262"/>
      <c r="AD39" s="262"/>
      <c r="AE39" s="262"/>
      <c r="AF39" s="262"/>
      <c r="AG39" s="262"/>
      <c r="AH39" s="274">
        <f t="shared" si="0"/>
        <v>1555</v>
      </c>
      <c r="AI39" s="274">
        <f t="shared" si="1"/>
        <v>1989</v>
      </c>
      <c r="AJ39" s="274">
        <f t="shared" si="2"/>
        <v>2166</v>
      </c>
      <c r="AK39" s="274"/>
      <c r="AL39" s="274">
        <f t="shared" si="3"/>
        <v>3039</v>
      </c>
      <c r="AM39" s="274">
        <f t="shared" si="4"/>
        <v>3228</v>
      </c>
      <c r="AN39" s="274">
        <f t="shared" si="5"/>
        <v>3690</v>
      </c>
      <c r="AO39" s="274"/>
      <c r="AP39" s="274">
        <f t="shared" si="6"/>
        <v>4530</v>
      </c>
      <c r="AQ39" s="274"/>
      <c r="AR39" s="274">
        <f t="shared" si="7"/>
        <v>5160</v>
      </c>
      <c r="AS39" s="274"/>
      <c r="AT39" s="274">
        <f t="shared" si="8"/>
        <v>7309</v>
      </c>
      <c r="AU39" s="274"/>
      <c r="AV39" s="274">
        <f t="shared" si="9"/>
        <v>10382</v>
      </c>
      <c r="AW39" s="274"/>
      <c r="AX39" s="274">
        <f t="shared" si="10"/>
        <v>1079</v>
      </c>
      <c r="AY39" s="274">
        <f t="shared" si="11"/>
        <v>1758</v>
      </c>
      <c r="AZ39" s="274">
        <f t="shared" si="12"/>
        <v>2521</v>
      </c>
      <c r="BA39" s="274"/>
      <c r="BB39" s="274">
        <f t="shared" si="13"/>
        <v>3958</v>
      </c>
      <c r="BC39" s="274">
        <f t="shared" si="14"/>
        <v>4698</v>
      </c>
      <c r="BD39" s="274">
        <f t="shared" si="15"/>
        <v>5391</v>
      </c>
      <c r="BE39" s="274"/>
      <c r="BF39" s="274">
        <f t="shared" si="16"/>
        <v>9885</v>
      </c>
      <c r="BG39" s="274"/>
      <c r="BH39" s="274"/>
      <c r="BI39" s="266">
        <f t="shared" si="17"/>
        <v>0.86142627807692884</v>
      </c>
      <c r="BJ39" s="266" t="e">
        <f t="shared" si="18"/>
        <v>#DIV/0!</v>
      </c>
      <c r="BK39" s="266" t="str">
        <f t="shared" si="19"/>
        <v/>
      </c>
      <c r="BL39" s="266" t="str">
        <f t="shared" si="20"/>
        <v/>
      </c>
      <c r="BM39" s="266" t="str">
        <f t="shared" si="21"/>
        <v/>
      </c>
      <c r="BN39" s="266"/>
      <c r="BO39" s="266" t="str">
        <f t="shared" si="22"/>
        <v/>
      </c>
      <c r="BP39" s="266" t="str">
        <f t="shared" si="23"/>
        <v/>
      </c>
      <c r="BQ39" s="266" t="str">
        <f t="shared" si="24"/>
        <v/>
      </c>
      <c r="BR39" s="266" t="str">
        <f t="shared" si="25"/>
        <v/>
      </c>
      <c r="BS39" s="266" t="str">
        <f t="shared" si="26"/>
        <v/>
      </c>
      <c r="BT39" s="266" t="str">
        <f t="shared" si="27"/>
        <v/>
      </c>
      <c r="BU39" s="266" t="str">
        <f t="shared" si="28"/>
        <v/>
      </c>
      <c r="BV39" s="266"/>
      <c r="BW39" s="266" t="str">
        <f t="shared" si="29"/>
        <v/>
      </c>
      <c r="BX39" s="266"/>
      <c r="BY39" s="266" t="str">
        <f t="shared" si="30"/>
        <v/>
      </c>
      <c r="BZ39" s="266"/>
      <c r="CA39" s="263">
        <f t="shared" si="31"/>
        <v>0.56886227544910173</v>
      </c>
      <c r="CB39" s="263">
        <f t="shared" si="32"/>
        <v>0</v>
      </c>
      <c r="CC39" s="263">
        <f t="shared" si="33"/>
        <v>0</v>
      </c>
      <c r="CD39" s="263">
        <f t="shared" si="34"/>
        <v>0</v>
      </c>
      <c r="CE39" s="263">
        <f t="shared" si="35"/>
        <v>0</v>
      </c>
      <c r="CF39" s="263">
        <f t="shared" si="36"/>
        <v>0.43113772455089816</v>
      </c>
      <c r="CG39" s="263">
        <f t="shared" si="37"/>
        <v>0</v>
      </c>
      <c r="CH39" s="263"/>
      <c r="CI39" s="263">
        <f t="shared" si="38"/>
        <v>0</v>
      </c>
      <c r="CJ39" s="263"/>
      <c r="CK39" s="263">
        <f t="shared" si="39"/>
        <v>0</v>
      </c>
      <c r="CL39" s="264">
        <f t="shared" si="40"/>
        <v>0</v>
      </c>
      <c r="CM39" s="264">
        <f t="shared" si="41"/>
        <v>2639</v>
      </c>
      <c r="CO39" s="265">
        <v>0.1045</v>
      </c>
      <c r="CP39" s="265">
        <v>0.10640000000000001</v>
      </c>
      <c r="CQ39" s="265">
        <v>0.10800000000000001</v>
      </c>
      <c r="CS39" s="265">
        <v>0.11109999999999999</v>
      </c>
      <c r="CT39" s="265">
        <v>0.10929999999999999</v>
      </c>
      <c r="CU39" s="265">
        <v>0.11309</v>
      </c>
      <c r="CW39" s="265">
        <v>0.11449999999999999</v>
      </c>
      <c r="CY39" s="265">
        <v>0.11710000000000001</v>
      </c>
      <c r="DA39" s="265">
        <v>0.11951000000000001</v>
      </c>
      <c r="DC39" s="265">
        <v>0.1191</v>
      </c>
      <c r="DE39" s="265">
        <v>4.2000000000000003E-2</v>
      </c>
      <c r="DF39" s="265">
        <v>4.4389999999999999E-2</v>
      </c>
      <c r="DH39" s="265">
        <v>4.8300000000000003E-2</v>
      </c>
      <c r="DI39" s="265">
        <v>5.3399999999999996E-2</v>
      </c>
      <c r="DJ39" s="265">
        <v>5.289E-2</v>
      </c>
      <c r="DL39" s="265">
        <v>5.3190000000000001E-2</v>
      </c>
      <c r="DO39" s="267"/>
      <c r="DP39" s="267"/>
      <c r="DQ39" s="267"/>
      <c r="DR39" s="267"/>
      <c r="DS39" s="267"/>
      <c r="DT39" s="267"/>
      <c r="DU39" s="267"/>
      <c r="DV39" s="267"/>
      <c r="DW39" s="267"/>
      <c r="DX39" s="267"/>
      <c r="DY39" s="267"/>
      <c r="DZ39" s="205">
        <f t="shared" si="45"/>
        <v>5.4915281385281373E-2</v>
      </c>
      <c r="EA39" s="205" t="e">
        <f t="shared" si="44"/>
        <v>#DIV/0!</v>
      </c>
    </row>
    <row r="40" spans="2:141">
      <c r="B40" s="272">
        <v>44706</v>
      </c>
      <c r="C40" s="271">
        <v>44706</v>
      </c>
      <c r="D40" s="263" t="e">
        <f>+SUMIFS(Tabla6[Nominal COP],Tabla6[Concepto],COSTO_OPORTUNIDAD!$B$18,Tabla6[Nemotécnico],COSTO_OPORTUNIDAD!D$16,Tabla6[Fecha Cumplimiento y/ liquidacion],COSTO_OPORTUNIDAD!$C40)/+SUMIFS(Tabla6[Nominal COP],Tabla6[Concepto],COSTO_OPORTUNIDAD!$B$18,Tabla6[Fecha Cumplimiento y/ liquidacion],COSTO_OPORTUNIDAD!$C40)</f>
        <v>#DIV/0!</v>
      </c>
      <c r="E40" s="263" t="e">
        <f>+SUMIFS(Tabla6[Nominal COP],Tabla6[Concepto],COSTO_OPORTUNIDAD!$B$18,Tabla6[Nemotécnico],COSTO_OPORTUNIDAD!E$16,Tabla6[Fecha Cumplimiento y/ liquidacion],COSTO_OPORTUNIDAD!$C40)/+SUMIFS(Tabla6[Nominal COP],Tabla6[Concepto],COSTO_OPORTUNIDAD!$B$18,Tabla6[Fecha Cumplimiento y/ liquidacion],COSTO_OPORTUNIDAD!$C40)</f>
        <v>#DIV/0!</v>
      </c>
      <c r="F40" s="263">
        <v>0.36472018032073927</v>
      </c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2"/>
      <c r="S40" s="262"/>
      <c r="T40" s="262"/>
      <c r="U40" s="262"/>
      <c r="V40" s="263">
        <v>0.4156769190493928</v>
      </c>
      <c r="W40" s="263"/>
      <c r="X40" s="262"/>
      <c r="Y40" s="262"/>
      <c r="Z40" s="262"/>
      <c r="AA40" s="263">
        <v>0.2196029006298679</v>
      </c>
      <c r="AB40" s="262"/>
      <c r="AC40" s="262"/>
      <c r="AD40" s="262"/>
      <c r="AE40" s="262"/>
      <c r="AF40" s="262"/>
      <c r="AG40" s="262"/>
      <c r="AH40" s="274">
        <f t="shared" si="0"/>
        <v>1554</v>
      </c>
      <c r="AI40" s="274">
        <f t="shared" si="1"/>
        <v>1988</v>
      </c>
      <c r="AJ40" s="274">
        <f t="shared" si="2"/>
        <v>2165</v>
      </c>
      <c r="AK40" s="274"/>
      <c r="AL40" s="274">
        <f t="shared" si="3"/>
        <v>3038</v>
      </c>
      <c r="AM40" s="274">
        <f t="shared" si="4"/>
        <v>3227</v>
      </c>
      <c r="AN40" s="274">
        <f t="shared" si="5"/>
        <v>3689</v>
      </c>
      <c r="AO40" s="274"/>
      <c r="AP40" s="274">
        <f t="shared" si="6"/>
        <v>4529</v>
      </c>
      <c r="AQ40" s="274"/>
      <c r="AR40" s="274">
        <f t="shared" si="7"/>
        <v>5159</v>
      </c>
      <c r="AS40" s="274"/>
      <c r="AT40" s="274">
        <f t="shared" si="8"/>
        <v>7308</v>
      </c>
      <c r="AU40" s="274"/>
      <c r="AV40" s="274">
        <f t="shared" si="9"/>
        <v>10381</v>
      </c>
      <c r="AW40" s="274"/>
      <c r="AX40" s="274">
        <f t="shared" si="10"/>
        <v>1078</v>
      </c>
      <c r="AY40" s="274">
        <f t="shared" si="11"/>
        <v>1757</v>
      </c>
      <c r="AZ40" s="274">
        <f t="shared" si="12"/>
        <v>2520</v>
      </c>
      <c r="BA40" s="274"/>
      <c r="BB40" s="274">
        <f t="shared" si="13"/>
        <v>3957</v>
      </c>
      <c r="BC40" s="274">
        <f t="shared" si="14"/>
        <v>4697</v>
      </c>
      <c r="BD40" s="274">
        <f t="shared" si="15"/>
        <v>5390</v>
      </c>
      <c r="BE40" s="274"/>
      <c r="BF40" s="274">
        <f t="shared" si="16"/>
        <v>9884</v>
      </c>
      <c r="BG40" s="274"/>
      <c r="BH40" s="274"/>
      <c r="BI40" s="266">
        <f t="shared" si="17"/>
        <v>0.63527981967926073</v>
      </c>
      <c r="BJ40" s="266" t="e">
        <f t="shared" si="18"/>
        <v>#DIV/0!</v>
      </c>
      <c r="BK40" s="266" t="str">
        <f t="shared" si="19"/>
        <v/>
      </c>
      <c r="BL40" s="266" t="str">
        <f t="shared" si="20"/>
        <v/>
      </c>
      <c r="BM40" s="266" t="str">
        <f t="shared" si="21"/>
        <v/>
      </c>
      <c r="BN40" s="266"/>
      <c r="BO40" s="266" t="str">
        <f t="shared" si="22"/>
        <v/>
      </c>
      <c r="BP40" s="266" t="str">
        <f t="shared" si="23"/>
        <v/>
      </c>
      <c r="BQ40" s="266" t="str">
        <f t="shared" si="24"/>
        <v/>
      </c>
      <c r="BR40" s="266" t="str">
        <f t="shared" si="25"/>
        <v/>
      </c>
      <c r="BS40" s="266" t="str">
        <f t="shared" si="26"/>
        <v/>
      </c>
      <c r="BT40" s="266" t="str">
        <f t="shared" si="27"/>
        <v/>
      </c>
      <c r="BU40" s="266" t="str">
        <f t="shared" si="28"/>
        <v/>
      </c>
      <c r="BV40" s="266"/>
      <c r="BW40" s="266" t="str">
        <f t="shared" si="29"/>
        <v/>
      </c>
      <c r="BX40" s="266"/>
      <c r="BY40" s="266" t="str">
        <f t="shared" si="30"/>
        <v/>
      </c>
      <c r="BZ40" s="266"/>
      <c r="CA40" s="263">
        <f t="shared" si="31"/>
        <v>0.65432098765432101</v>
      </c>
      <c r="CB40" s="263">
        <f t="shared" si="32"/>
        <v>0</v>
      </c>
      <c r="CC40" s="263">
        <f t="shared" si="33"/>
        <v>0</v>
      </c>
      <c r="CD40" s="263">
        <f t="shared" si="34"/>
        <v>0</v>
      </c>
      <c r="CE40" s="263">
        <f t="shared" si="35"/>
        <v>0</v>
      </c>
      <c r="CF40" s="263">
        <f t="shared" si="36"/>
        <v>0.34567901234567899</v>
      </c>
      <c r="CG40" s="263">
        <f t="shared" si="37"/>
        <v>0</v>
      </c>
      <c r="CH40" s="263"/>
      <c r="CI40" s="263">
        <f t="shared" si="38"/>
        <v>0</v>
      </c>
      <c r="CJ40" s="263"/>
      <c r="CK40" s="263">
        <f t="shared" si="39"/>
        <v>0</v>
      </c>
      <c r="CL40" s="264">
        <f t="shared" si="40"/>
        <v>0</v>
      </c>
      <c r="CM40" s="264">
        <f t="shared" si="41"/>
        <v>2329</v>
      </c>
      <c r="CO40" s="265">
        <v>0.10349999999999999</v>
      </c>
      <c r="CP40" s="265">
        <v>0.10490000000000001</v>
      </c>
      <c r="CQ40" s="265">
        <v>0.10551000000000001</v>
      </c>
      <c r="CS40" s="265">
        <v>0.10920999999999999</v>
      </c>
      <c r="CT40" s="265">
        <v>0.11051999999999999</v>
      </c>
      <c r="CU40" s="265">
        <v>0.11105000000000001</v>
      </c>
      <c r="CW40" s="265">
        <v>0.11449999999999999</v>
      </c>
      <c r="CY40" s="265">
        <v>0.11449999999999999</v>
      </c>
      <c r="DA40" s="265">
        <v>0.11720000000000001</v>
      </c>
      <c r="DC40" s="265">
        <v>0.11599999999999999</v>
      </c>
      <c r="DE40" s="265">
        <v>4.0599999999999997E-2</v>
      </c>
      <c r="DF40" s="265">
        <v>4.2000000000000003E-2</v>
      </c>
      <c r="DH40" s="265">
        <v>4.8300000000000003E-2</v>
      </c>
      <c r="DI40" s="265">
        <v>5.2949999999999997E-2</v>
      </c>
      <c r="DJ40" s="265">
        <v>5.2300000000000006E-2</v>
      </c>
      <c r="DL40" s="265">
        <v>5.2510000000000001E-2</v>
      </c>
      <c r="DO40" s="267"/>
      <c r="DP40" s="267"/>
      <c r="DQ40" s="267"/>
      <c r="DR40" s="267"/>
      <c r="DS40" s="267"/>
      <c r="DT40" s="267"/>
      <c r="DU40" s="267"/>
      <c r="DV40" s="267"/>
      <c r="DW40" s="267"/>
      <c r="DX40" s="267"/>
      <c r="DY40" s="267"/>
      <c r="DZ40" s="205">
        <f t="shared" si="45"/>
        <v>5.5171067821067787E-2</v>
      </c>
      <c r="EA40" s="205" t="e">
        <f t="shared" si="44"/>
        <v>#DIV/0!</v>
      </c>
    </row>
    <row r="41" spans="2:141">
      <c r="B41" s="272">
        <v>44707</v>
      </c>
      <c r="C41" s="271">
        <v>44707</v>
      </c>
      <c r="D41" s="263" t="e">
        <f>+SUMIFS(Tabla6[Nominal COP],Tabla6[Concepto],COSTO_OPORTUNIDAD!$B$18,Tabla6[Nemotécnico],COSTO_OPORTUNIDAD!D$16,Tabla6[Fecha Cumplimiento y/ liquidacion],COSTO_OPORTUNIDAD!$C41)/+SUMIFS(Tabla6[Nominal COP],Tabla6[Concepto],COSTO_OPORTUNIDAD!$B$18,Tabla6[Fecha Cumplimiento y/ liquidacion],COSTO_OPORTUNIDAD!$C41)</f>
        <v>#DIV/0!</v>
      </c>
      <c r="E41" s="263" t="e">
        <f>+SUMIFS(Tabla6[Nominal COP],Tabla6[Concepto],COSTO_OPORTUNIDAD!$B$18,Tabla6[Nemotécnico],COSTO_OPORTUNIDAD!E$16,Tabla6[Fecha Cumplimiento y/ liquidacion],COSTO_OPORTUNIDAD!$C41)/+SUMIFS(Tabla6[Nominal COP],Tabla6[Concepto],COSTO_OPORTUNIDAD!$B$18,Tabla6[Fecha Cumplimiento y/ liquidacion],COSTO_OPORTUNIDAD!$C41)</f>
        <v>#DIV/0!</v>
      </c>
      <c r="F41" s="263">
        <v>0.10984317695621768</v>
      </c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2"/>
      <c r="S41" s="262"/>
      <c r="T41" s="262"/>
      <c r="U41" s="262"/>
      <c r="V41" s="263">
        <v>0.59636843947130769</v>
      </c>
      <c r="W41" s="263"/>
      <c r="X41" s="262"/>
      <c r="Y41" s="262"/>
      <c r="Z41" s="262"/>
      <c r="AA41" s="263">
        <v>0.29378838357247467</v>
      </c>
      <c r="AB41" s="262"/>
      <c r="AC41" s="262"/>
      <c r="AD41" s="262"/>
      <c r="AE41" s="262"/>
      <c r="AF41" s="262"/>
      <c r="AG41" s="262"/>
      <c r="AH41" s="274">
        <f t="shared" si="0"/>
        <v>1553</v>
      </c>
      <c r="AI41" s="274">
        <f t="shared" si="1"/>
        <v>1987</v>
      </c>
      <c r="AJ41" s="274">
        <f t="shared" si="2"/>
        <v>2164</v>
      </c>
      <c r="AK41" s="274"/>
      <c r="AL41" s="274">
        <f t="shared" si="3"/>
        <v>3037</v>
      </c>
      <c r="AM41" s="274">
        <f t="shared" si="4"/>
        <v>3226</v>
      </c>
      <c r="AN41" s="274">
        <f t="shared" si="5"/>
        <v>3688</v>
      </c>
      <c r="AO41" s="274"/>
      <c r="AP41" s="274">
        <f t="shared" si="6"/>
        <v>4528</v>
      </c>
      <c r="AQ41" s="274"/>
      <c r="AR41" s="274">
        <f t="shared" si="7"/>
        <v>5158</v>
      </c>
      <c r="AS41" s="274"/>
      <c r="AT41" s="274">
        <f t="shared" si="8"/>
        <v>7307</v>
      </c>
      <c r="AU41" s="274"/>
      <c r="AV41" s="274">
        <f t="shared" si="9"/>
        <v>10380</v>
      </c>
      <c r="AW41" s="274"/>
      <c r="AX41" s="274">
        <f t="shared" si="10"/>
        <v>1077</v>
      </c>
      <c r="AY41" s="274">
        <f t="shared" si="11"/>
        <v>1756</v>
      </c>
      <c r="AZ41" s="274">
        <f t="shared" si="12"/>
        <v>2519</v>
      </c>
      <c r="BA41" s="274"/>
      <c r="BB41" s="274">
        <f t="shared" si="13"/>
        <v>3956</v>
      </c>
      <c r="BC41" s="274">
        <f t="shared" si="14"/>
        <v>4696</v>
      </c>
      <c r="BD41" s="274">
        <f t="shared" si="15"/>
        <v>5389</v>
      </c>
      <c r="BE41" s="274"/>
      <c r="BF41" s="274">
        <f t="shared" si="16"/>
        <v>9883</v>
      </c>
      <c r="BG41" s="274"/>
      <c r="BH41" s="274"/>
      <c r="BI41" s="266">
        <f t="shared" si="17"/>
        <v>0.89015682304378241</v>
      </c>
      <c r="BJ41" s="266" t="e">
        <f t="shared" si="18"/>
        <v>#DIV/0!</v>
      </c>
      <c r="BK41" s="266" t="str">
        <f t="shared" si="19"/>
        <v/>
      </c>
      <c r="BL41" s="266" t="str">
        <f t="shared" si="20"/>
        <v/>
      </c>
      <c r="BM41" s="266" t="str">
        <f t="shared" si="21"/>
        <v/>
      </c>
      <c r="BN41" s="266"/>
      <c r="BO41" s="266" t="str">
        <f t="shared" si="22"/>
        <v/>
      </c>
      <c r="BP41" s="266" t="str">
        <f t="shared" si="23"/>
        <v/>
      </c>
      <c r="BQ41" s="266" t="str">
        <f t="shared" si="24"/>
        <v/>
      </c>
      <c r="BR41" s="266" t="str">
        <f t="shared" si="25"/>
        <v/>
      </c>
      <c r="BS41" s="266" t="str">
        <f t="shared" si="26"/>
        <v/>
      </c>
      <c r="BT41" s="266" t="str">
        <f t="shared" si="27"/>
        <v/>
      </c>
      <c r="BU41" s="266" t="str">
        <f t="shared" si="28"/>
        <v/>
      </c>
      <c r="BV41" s="266"/>
      <c r="BW41" s="266" t="str">
        <f t="shared" si="29"/>
        <v/>
      </c>
      <c r="BX41" s="266"/>
      <c r="BY41" s="266" t="str">
        <f t="shared" si="30"/>
        <v/>
      </c>
      <c r="BZ41" s="266"/>
      <c r="CA41" s="263">
        <f t="shared" si="31"/>
        <v>0.66995884773662551</v>
      </c>
      <c r="CB41" s="263">
        <f t="shared" si="32"/>
        <v>0</v>
      </c>
      <c r="CC41" s="263">
        <f t="shared" si="33"/>
        <v>0</v>
      </c>
      <c r="CD41" s="263">
        <f t="shared" si="34"/>
        <v>0</v>
      </c>
      <c r="CE41" s="263">
        <f t="shared" si="35"/>
        <v>0</v>
      </c>
      <c r="CF41" s="263">
        <f t="shared" si="36"/>
        <v>0.33004115226337444</v>
      </c>
      <c r="CG41" s="263">
        <f t="shared" si="37"/>
        <v>0</v>
      </c>
      <c r="CH41" s="263"/>
      <c r="CI41" s="263">
        <f t="shared" si="38"/>
        <v>0</v>
      </c>
      <c r="CJ41" s="263"/>
      <c r="CK41" s="263">
        <f t="shared" si="39"/>
        <v>0</v>
      </c>
      <c r="CL41" s="264">
        <f t="shared" si="40"/>
        <v>0</v>
      </c>
      <c r="CM41" s="264">
        <f t="shared" si="41"/>
        <v>2271</v>
      </c>
      <c r="CO41" s="265">
        <v>0.10400000000000001</v>
      </c>
      <c r="CP41" s="265">
        <v>0.105</v>
      </c>
      <c r="CQ41" s="265">
        <v>0.106</v>
      </c>
      <c r="CS41" s="265">
        <v>0.10840999999999999</v>
      </c>
      <c r="CT41" s="265">
        <v>0.10762000000000001</v>
      </c>
      <c r="CU41" s="265">
        <v>0.10980000000000001</v>
      </c>
      <c r="CW41" s="265">
        <v>0.11199999999999999</v>
      </c>
      <c r="CY41" s="265">
        <v>0.11262</v>
      </c>
      <c r="DA41" s="265">
        <v>0.11465</v>
      </c>
      <c r="DC41" s="265">
        <v>0.11410000000000001</v>
      </c>
      <c r="DE41" s="265">
        <v>4.0529999999999997E-2</v>
      </c>
      <c r="DF41" s="265">
        <v>4.2500000000000003E-2</v>
      </c>
      <c r="DH41" s="265">
        <v>4.8300000000000003E-2</v>
      </c>
      <c r="DI41" s="265">
        <v>5.2999999999999999E-2</v>
      </c>
      <c r="DJ41" s="265">
        <v>5.2000000000000005E-2</v>
      </c>
      <c r="DL41" s="265">
        <v>5.219E-2</v>
      </c>
      <c r="DO41" s="267"/>
      <c r="DP41" s="267"/>
      <c r="DQ41" s="267"/>
      <c r="DR41" s="267"/>
      <c r="DS41" s="267"/>
      <c r="DT41" s="267"/>
      <c r="DU41" s="267"/>
      <c r="DV41" s="267"/>
      <c r="DW41" s="267"/>
      <c r="DX41" s="267"/>
      <c r="DY41" s="267"/>
      <c r="DZ41" s="205">
        <f t="shared" si="45"/>
        <v>5.649927849927848E-2</v>
      </c>
      <c r="EA41" s="205" t="e">
        <f t="shared" si="44"/>
        <v>#DIV/0!</v>
      </c>
    </row>
    <row r="42" spans="2:141">
      <c r="B42" s="272">
        <v>44708</v>
      </c>
      <c r="C42" s="271">
        <v>44708</v>
      </c>
      <c r="D42" s="263" t="e">
        <f>+SUMIFS(Tabla6[Nominal COP],Tabla6[Concepto],COSTO_OPORTUNIDAD!$B$18,Tabla6[Nemotécnico],COSTO_OPORTUNIDAD!D$16,Tabla6[Fecha Cumplimiento y/ liquidacion],COSTO_OPORTUNIDAD!$C42)/+SUMIFS(Tabla6[Nominal COP],Tabla6[Concepto],COSTO_OPORTUNIDAD!$B$18,Tabla6[Fecha Cumplimiento y/ liquidacion],COSTO_OPORTUNIDAD!$C42)</f>
        <v>#DIV/0!</v>
      </c>
      <c r="E42" s="263" t="e">
        <f>+SUMIFS(Tabla6[Nominal COP],Tabla6[Concepto],COSTO_OPORTUNIDAD!$B$18,Tabla6[Nemotécnico],COSTO_OPORTUNIDAD!E$16,Tabla6[Fecha Cumplimiento y/ liquidacion],COSTO_OPORTUNIDAD!$C42)/+SUMIFS(Tabla6[Nominal COP],Tabla6[Concepto],COSTO_OPORTUNIDAD!$B$18,Tabla6[Fecha Cumplimiento y/ liquidacion],COSTO_OPORTUNIDAD!$C42)</f>
        <v>#DIV/0!</v>
      </c>
      <c r="F42" s="263">
        <v>6.2246197421499609E-2</v>
      </c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2"/>
      <c r="S42" s="262"/>
      <c r="T42" s="262"/>
      <c r="U42" s="262"/>
      <c r="V42" s="263">
        <v>0.69699926055359218</v>
      </c>
      <c r="W42" s="263"/>
      <c r="X42" s="262"/>
      <c r="Y42" s="262"/>
      <c r="Z42" s="262"/>
      <c r="AA42" s="263">
        <v>0.24075454202490817</v>
      </c>
      <c r="AB42" s="262"/>
      <c r="AC42" s="262"/>
      <c r="AD42" s="262"/>
      <c r="AE42" s="262"/>
      <c r="AF42" s="262"/>
      <c r="AG42" s="262"/>
      <c r="AH42" s="274">
        <f t="shared" si="0"/>
        <v>1552</v>
      </c>
      <c r="AI42" s="274">
        <f t="shared" si="1"/>
        <v>1986</v>
      </c>
      <c r="AJ42" s="274">
        <f t="shared" si="2"/>
        <v>2163</v>
      </c>
      <c r="AK42" s="274"/>
      <c r="AL42" s="274">
        <f t="shared" si="3"/>
        <v>3036</v>
      </c>
      <c r="AM42" s="274">
        <f t="shared" si="4"/>
        <v>3225</v>
      </c>
      <c r="AN42" s="274">
        <f t="shared" si="5"/>
        <v>3687</v>
      </c>
      <c r="AO42" s="274"/>
      <c r="AP42" s="274">
        <f t="shared" si="6"/>
        <v>4527</v>
      </c>
      <c r="AQ42" s="274"/>
      <c r="AR42" s="274">
        <f t="shared" si="7"/>
        <v>5157</v>
      </c>
      <c r="AS42" s="274"/>
      <c r="AT42" s="274">
        <f t="shared" si="8"/>
        <v>7306</v>
      </c>
      <c r="AU42" s="274"/>
      <c r="AV42" s="274">
        <f t="shared" si="9"/>
        <v>10379</v>
      </c>
      <c r="AW42" s="274"/>
      <c r="AX42" s="274">
        <f t="shared" si="10"/>
        <v>1076</v>
      </c>
      <c r="AY42" s="274">
        <f t="shared" si="11"/>
        <v>1755</v>
      </c>
      <c r="AZ42" s="274">
        <f t="shared" si="12"/>
        <v>2518</v>
      </c>
      <c r="BA42" s="274"/>
      <c r="BB42" s="274">
        <f t="shared" si="13"/>
        <v>3955</v>
      </c>
      <c r="BC42" s="274">
        <f t="shared" si="14"/>
        <v>4695</v>
      </c>
      <c r="BD42" s="274">
        <f t="shared" si="15"/>
        <v>5388</v>
      </c>
      <c r="BE42" s="274"/>
      <c r="BF42" s="274">
        <f t="shared" si="16"/>
        <v>9882</v>
      </c>
      <c r="BG42" s="274"/>
      <c r="BH42" s="274"/>
      <c r="BI42" s="266">
        <f t="shared" si="17"/>
        <v>0.93775380257850038</v>
      </c>
      <c r="BJ42" s="266" t="e">
        <f t="shared" si="18"/>
        <v>#DIV/0!</v>
      </c>
      <c r="BK42" s="266" t="str">
        <f t="shared" si="19"/>
        <v/>
      </c>
      <c r="BL42" s="266" t="str">
        <f t="shared" si="20"/>
        <v/>
      </c>
      <c r="BM42" s="266" t="str">
        <f t="shared" si="21"/>
        <v/>
      </c>
      <c r="BN42" s="266"/>
      <c r="BO42" s="266" t="str">
        <f t="shared" si="22"/>
        <v/>
      </c>
      <c r="BP42" s="266" t="str">
        <f t="shared" si="23"/>
        <v/>
      </c>
      <c r="BQ42" s="266" t="str">
        <f t="shared" si="24"/>
        <v/>
      </c>
      <c r="BR42" s="266" t="str">
        <f t="shared" si="25"/>
        <v/>
      </c>
      <c r="BS42" s="266" t="str">
        <f t="shared" si="26"/>
        <v/>
      </c>
      <c r="BT42" s="266" t="str">
        <f t="shared" si="27"/>
        <v/>
      </c>
      <c r="BU42" s="266" t="str">
        <f t="shared" si="28"/>
        <v/>
      </c>
      <c r="BV42" s="266"/>
      <c r="BW42" s="266" t="str">
        <f t="shared" si="29"/>
        <v/>
      </c>
      <c r="BX42" s="266"/>
      <c r="BY42" s="266" t="str">
        <f t="shared" si="30"/>
        <v/>
      </c>
      <c r="BZ42" s="266"/>
      <c r="CA42" s="263">
        <f t="shared" si="31"/>
        <v>0.74326465927099838</v>
      </c>
      <c r="CB42" s="263">
        <f t="shared" si="32"/>
        <v>0</v>
      </c>
      <c r="CC42" s="263">
        <f t="shared" si="33"/>
        <v>0</v>
      </c>
      <c r="CD42" s="263">
        <f t="shared" si="34"/>
        <v>0</v>
      </c>
      <c r="CE42" s="263">
        <f t="shared" si="35"/>
        <v>0</v>
      </c>
      <c r="CF42" s="263">
        <f t="shared" si="36"/>
        <v>0.25673534072900156</v>
      </c>
      <c r="CG42" s="263">
        <f t="shared" si="37"/>
        <v>0</v>
      </c>
      <c r="CH42" s="263"/>
      <c r="CI42" s="263">
        <f t="shared" si="38"/>
        <v>0</v>
      </c>
      <c r="CJ42" s="263"/>
      <c r="CK42" s="263">
        <f t="shared" si="39"/>
        <v>0</v>
      </c>
      <c r="CL42" s="264">
        <f t="shared" si="40"/>
        <v>0</v>
      </c>
      <c r="CM42" s="264">
        <f t="shared" si="41"/>
        <v>2005</v>
      </c>
      <c r="CO42" s="265">
        <v>0.10544000000000001</v>
      </c>
      <c r="CP42" s="265">
        <v>0.10733000000000001</v>
      </c>
      <c r="CQ42" s="265">
        <v>0.1074</v>
      </c>
      <c r="CS42" s="265">
        <v>0.10935</v>
      </c>
      <c r="CT42" s="265">
        <v>0.1066</v>
      </c>
      <c r="CU42" s="265">
        <v>0.111</v>
      </c>
      <c r="CW42" s="265">
        <v>0.11053</v>
      </c>
      <c r="CY42" s="265">
        <v>0.11199999999999999</v>
      </c>
      <c r="DA42" s="265">
        <v>0.11449999999999999</v>
      </c>
      <c r="DC42" s="265">
        <v>0.11404</v>
      </c>
      <c r="DE42" s="265">
        <v>4.0919999999999998E-2</v>
      </c>
      <c r="DF42" s="265">
        <v>4.2849999999999999E-2</v>
      </c>
      <c r="DH42" s="265">
        <v>4.7550000000000002E-2</v>
      </c>
      <c r="DI42" s="265">
        <v>5.3699999999999998E-2</v>
      </c>
      <c r="DJ42" s="265">
        <v>5.2699999999999997E-2</v>
      </c>
      <c r="DL42" s="265">
        <v>5.2560000000000003E-2</v>
      </c>
      <c r="DO42" s="267"/>
      <c r="DP42" s="267"/>
      <c r="DQ42" s="267"/>
      <c r="DR42" s="267"/>
      <c r="DS42" s="267"/>
      <c r="DT42" s="267"/>
      <c r="DU42" s="267"/>
      <c r="DV42" s="267"/>
      <c r="DW42" s="267"/>
      <c r="DX42" s="267"/>
      <c r="DY42" s="267"/>
      <c r="DZ42" s="205">
        <f t="shared" si="45"/>
        <v>5.758167388167388E-2</v>
      </c>
      <c r="EA42" s="205" t="e">
        <f t="shared" si="44"/>
        <v>#DIV/0!</v>
      </c>
    </row>
    <row r="43" spans="2:141">
      <c r="B43" s="272">
        <v>44712</v>
      </c>
      <c r="C43" s="271">
        <v>44712</v>
      </c>
      <c r="D43" s="263" t="e">
        <f>+SUMIFS(Tabla6[Nominal COP],Tabla6[Concepto],COSTO_OPORTUNIDAD!$B$18,Tabla6[Nemotécnico],COSTO_OPORTUNIDAD!D$16,Tabla6[Fecha Cumplimiento y/ liquidacion],COSTO_OPORTUNIDAD!$C43)/+SUMIFS(Tabla6[Nominal COP],Tabla6[Concepto],COSTO_OPORTUNIDAD!$B$18,Tabla6[Fecha Cumplimiento y/ liquidacion],COSTO_OPORTUNIDAD!$C43)</f>
        <v>#DIV/0!</v>
      </c>
      <c r="E43" s="263" t="e">
        <f>+SUMIFS(Tabla6[Nominal COP],Tabla6[Concepto],COSTO_OPORTUNIDAD!$B$18,Tabla6[Nemotécnico],COSTO_OPORTUNIDAD!E$16,Tabla6[Fecha Cumplimiento y/ liquidacion],COSTO_OPORTUNIDAD!$C43)/+SUMIFS(Tabla6[Nominal COP],Tabla6[Concepto],COSTO_OPORTUNIDAD!$B$18,Tabla6[Fecha Cumplimiento y/ liquidacion],COSTO_OPORTUNIDAD!$C43)</f>
        <v>#DIV/0!</v>
      </c>
      <c r="F43" s="263">
        <v>4.7165113497468811E-2</v>
      </c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2"/>
      <c r="S43" s="262"/>
      <c r="T43" s="262"/>
      <c r="U43" s="262"/>
      <c r="V43" s="263">
        <v>0.45043103725574202</v>
      </c>
      <c r="W43" s="263"/>
      <c r="X43" s="262"/>
      <c r="Y43" s="262"/>
      <c r="Z43" s="262"/>
      <c r="AA43" s="263">
        <v>0.50240384924678916</v>
      </c>
      <c r="AB43" s="262"/>
      <c r="AC43" s="262"/>
      <c r="AD43" s="262"/>
      <c r="AE43" s="262"/>
      <c r="AF43" s="262"/>
      <c r="AG43" s="262"/>
      <c r="AH43" s="274">
        <f t="shared" si="0"/>
        <v>1548</v>
      </c>
      <c r="AI43" s="274">
        <f t="shared" si="1"/>
        <v>1982</v>
      </c>
      <c r="AJ43" s="274">
        <f t="shared" si="2"/>
        <v>2159</v>
      </c>
      <c r="AK43" s="274"/>
      <c r="AL43" s="274">
        <f t="shared" si="3"/>
        <v>3032</v>
      </c>
      <c r="AM43" s="274">
        <f t="shared" si="4"/>
        <v>3221</v>
      </c>
      <c r="AN43" s="274">
        <f t="shared" si="5"/>
        <v>3683</v>
      </c>
      <c r="AO43" s="274"/>
      <c r="AP43" s="274">
        <f t="shared" si="6"/>
        <v>4523</v>
      </c>
      <c r="AQ43" s="274"/>
      <c r="AR43" s="274">
        <f t="shared" si="7"/>
        <v>5153</v>
      </c>
      <c r="AS43" s="274"/>
      <c r="AT43" s="274">
        <f t="shared" si="8"/>
        <v>7302</v>
      </c>
      <c r="AU43" s="274"/>
      <c r="AV43" s="274">
        <f t="shared" si="9"/>
        <v>10375</v>
      </c>
      <c r="AW43" s="274"/>
      <c r="AX43" s="274">
        <f t="shared" si="10"/>
        <v>1072</v>
      </c>
      <c r="AY43" s="274">
        <f t="shared" si="11"/>
        <v>1751</v>
      </c>
      <c r="AZ43" s="274">
        <f t="shared" si="12"/>
        <v>2514</v>
      </c>
      <c r="BA43" s="274"/>
      <c r="BB43" s="274">
        <f t="shared" si="13"/>
        <v>3951</v>
      </c>
      <c r="BC43" s="274">
        <f t="shared" si="14"/>
        <v>4691</v>
      </c>
      <c r="BD43" s="274">
        <f t="shared" si="15"/>
        <v>5384</v>
      </c>
      <c r="BE43" s="274"/>
      <c r="BF43" s="274">
        <f t="shared" si="16"/>
        <v>9878</v>
      </c>
      <c r="BG43" s="274"/>
      <c r="BH43" s="274"/>
      <c r="BI43" s="266">
        <f t="shared" si="17"/>
        <v>0.95283488650253112</v>
      </c>
      <c r="BJ43" s="266" t="e">
        <f t="shared" si="18"/>
        <v>#DIV/0!</v>
      </c>
      <c r="BK43" s="266" t="str">
        <f t="shared" si="19"/>
        <v/>
      </c>
      <c r="BL43" s="266" t="str">
        <f t="shared" si="20"/>
        <v/>
      </c>
      <c r="BM43" s="266" t="str">
        <f t="shared" si="21"/>
        <v/>
      </c>
      <c r="BN43" s="266"/>
      <c r="BO43" s="266" t="str">
        <f t="shared" si="22"/>
        <v/>
      </c>
      <c r="BP43" s="266" t="str">
        <f t="shared" si="23"/>
        <v/>
      </c>
      <c r="BQ43" s="266" t="str">
        <f t="shared" si="24"/>
        <v/>
      </c>
      <c r="BR43" s="266" t="str">
        <f t="shared" si="25"/>
        <v/>
      </c>
      <c r="BS43" s="266" t="str">
        <f t="shared" si="26"/>
        <v/>
      </c>
      <c r="BT43" s="266" t="str">
        <f t="shared" si="27"/>
        <v/>
      </c>
      <c r="BU43" s="266" t="str">
        <f t="shared" si="28"/>
        <v/>
      </c>
      <c r="BV43" s="266"/>
      <c r="BW43" s="266" t="str">
        <f t="shared" si="29"/>
        <v/>
      </c>
      <c r="BX43" s="266"/>
      <c r="BY43" s="266" t="str">
        <f t="shared" si="30"/>
        <v/>
      </c>
      <c r="BZ43" s="266"/>
      <c r="CA43" s="263">
        <f t="shared" si="31"/>
        <v>0.47272727272727277</v>
      </c>
      <c r="CB43" s="263">
        <f t="shared" si="32"/>
        <v>0</v>
      </c>
      <c r="CC43" s="263">
        <f t="shared" si="33"/>
        <v>0</v>
      </c>
      <c r="CD43" s="263">
        <f t="shared" si="34"/>
        <v>0</v>
      </c>
      <c r="CE43" s="263">
        <f t="shared" si="35"/>
        <v>0</v>
      </c>
      <c r="CF43" s="263">
        <f t="shared" si="36"/>
        <v>0.52727272727272734</v>
      </c>
      <c r="CG43" s="263">
        <f t="shared" si="37"/>
        <v>0</v>
      </c>
      <c r="CH43" s="263"/>
      <c r="CI43" s="263">
        <f t="shared" si="38"/>
        <v>0</v>
      </c>
      <c r="CJ43" s="263"/>
      <c r="CK43" s="263">
        <f t="shared" si="39"/>
        <v>0</v>
      </c>
      <c r="CL43" s="264">
        <f t="shared" si="40"/>
        <v>0</v>
      </c>
      <c r="CM43" s="264">
        <f t="shared" si="41"/>
        <v>2980</v>
      </c>
      <c r="CO43" s="265">
        <v>0.10151</v>
      </c>
      <c r="CP43" s="265">
        <v>0.1026</v>
      </c>
      <c r="CQ43" s="265">
        <v>0.10319</v>
      </c>
      <c r="CS43" s="265">
        <v>0.10496</v>
      </c>
      <c r="CT43" s="265">
        <v>0.105</v>
      </c>
      <c r="CU43" s="265">
        <v>0.10641</v>
      </c>
      <c r="CW43" s="265">
        <v>0.10890000000000001</v>
      </c>
      <c r="CY43" s="265">
        <v>0.109</v>
      </c>
      <c r="DA43" s="265">
        <v>0.11125</v>
      </c>
      <c r="DC43" s="265">
        <v>0.1103</v>
      </c>
      <c r="DE43" s="265">
        <v>4.0999999999999995E-2</v>
      </c>
      <c r="DF43" s="265">
        <v>4.2889999999999998E-2</v>
      </c>
      <c r="DH43" s="265">
        <v>4.7100000000000003E-2</v>
      </c>
      <c r="DI43" s="265">
        <v>5.3200000000000004E-2</v>
      </c>
      <c r="DJ43" s="265">
        <v>5.2300000000000006E-2</v>
      </c>
      <c r="DL43" s="265">
        <v>5.2160000000000005E-2</v>
      </c>
      <c r="DO43" s="267"/>
      <c r="DP43" s="267"/>
      <c r="DQ43" s="267"/>
      <c r="DR43" s="267"/>
      <c r="DS43" s="267"/>
      <c r="DT43" s="267"/>
      <c r="DU43" s="267"/>
      <c r="DV43" s="267"/>
      <c r="DW43" s="267"/>
      <c r="DX43" s="267"/>
      <c r="DY43" s="267"/>
      <c r="DZ43" s="205">
        <f t="shared" si="45"/>
        <v>5.5422077922077921E-2</v>
      </c>
      <c r="EA43" s="205" t="e">
        <f t="shared" si="44"/>
        <v>#DIV/0!</v>
      </c>
    </row>
    <row r="44" spans="2:141">
      <c r="B44" s="272">
        <v>44713</v>
      </c>
      <c r="C44" s="271">
        <v>44713</v>
      </c>
      <c r="D44" s="263" t="e">
        <f>+SUMIFS(Tabla6[Nominal COP],Tabla6[Concepto],COSTO_OPORTUNIDAD!$B$18,Tabla6[Nemotécnico],COSTO_OPORTUNIDAD!D$16,Tabla6[Fecha Cumplimiento y/ liquidacion],COSTO_OPORTUNIDAD!$C44)/+SUMIFS(Tabla6[Nominal COP],Tabla6[Concepto],COSTO_OPORTUNIDAD!$B$18,Tabla6[Fecha Cumplimiento y/ liquidacion],COSTO_OPORTUNIDAD!$C44)</f>
        <v>#DIV/0!</v>
      </c>
      <c r="E44" s="263" t="e">
        <f>+SUMIFS(Tabla6[Nominal COP],Tabla6[Concepto],COSTO_OPORTUNIDAD!$B$18,Tabla6[Nemotécnico],COSTO_OPORTUNIDAD!E$16,Tabla6[Fecha Cumplimiento y/ liquidacion],COSTO_OPORTUNIDAD!$C44)/+SUMIFS(Tabla6[Nominal COP],Tabla6[Concepto],COSTO_OPORTUNIDAD!$B$18,Tabla6[Fecha Cumplimiento y/ liquidacion],COSTO_OPORTUNIDAD!$C44)</f>
        <v>#DIV/0!</v>
      </c>
      <c r="F44" s="263">
        <v>0.21392279731610747</v>
      </c>
      <c r="G44" s="263"/>
      <c r="H44" s="263"/>
      <c r="I44" s="263"/>
      <c r="J44" s="263"/>
      <c r="K44" s="263"/>
      <c r="L44" s="263"/>
      <c r="M44" s="263"/>
      <c r="N44" s="263"/>
      <c r="O44" s="263"/>
      <c r="P44" s="263"/>
      <c r="Q44" s="263"/>
      <c r="R44" s="262"/>
      <c r="S44" s="262"/>
      <c r="T44" s="262"/>
      <c r="U44" s="262"/>
      <c r="V44" s="263">
        <v>0.74240624697923185</v>
      </c>
      <c r="W44" s="263"/>
      <c r="X44" s="262"/>
      <c r="Y44" s="262"/>
      <c r="Z44" s="262"/>
      <c r="AA44" s="263">
        <v>4.3670955704660695E-2</v>
      </c>
      <c r="AB44" s="262"/>
      <c r="AC44" s="262"/>
      <c r="AD44" s="262"/>
      <c r="AE44" s="262"/>
      <c r="AF44" s="262"/>
      <c r="AG44" s="262"/>
      <c r="AH44" s="274">
        <f t="shared" si="0"/>
        <v>1547</v>
      </c>
      <c r="AI44" s="274">
        <f t="shared" si="1"/>
        <v>1981</v>
      </c>
      <c r="AJ44" s="274">
        <f t="shared" si="2"/>
        <v>2158</v>
      </c>
      <c r="AK44" s="274"/>
      <c r="AL44" s="274">
        <f t="shared" si="3"/>
        <v>3031</v>
      </c>
      <c r="AM44" s="274">
        <f t="shared" si="4"/>
        <v>3220</v>
      </c>
      <c r="AN44" s="274">
        <f t="shared" si="5"/>
        <v>3682</v>
      </c>
      <c r="AO44" s="274"/>
      <c r="AP44" s="274">
        <f t="shared" si="6"/>
        <v>4522</v>
      </c>
      <c r="AQ44" s="274"/>
      <c r="AR44" s="274">
        <f t="shared" si="7"/>
        <v>5152</v>
      </c>
      <c r="AS44" s="274"/>
      <c r="AT44" s="274">
        <f t="shared" si="8"/>
        <v>7301</v>
      </c>
      <c r="AU44" s="274"/>
      <c r="AV44" s="274">
        <f t="shared" si="9"/>
        <v>10374</v>
      </c>
      <c r="AW44" s="274"/>
      <c r="AX44" s="274">
        <f t="shared" si="10"/>
        <v>1071</v>
      </c>
      <c r="AY44" s="274">
        <f t="shared" si="11"/>
        <v>1750</v>
      </c>
      <c r="AZ44" s="274">
        <f t="shared" si="12"/>
        <v>2513</v>
      </c>
      <c r="BA44" s="274"/>
      <c r="BB44" s="274">
        <f t="shared" si="13"/>
        <v>3950</v>
      </c>
      <c r="BC44" s="274">
        <f t="shared" si="14"/>
        <v>4690</v>
      </c>
      <c r="BD44" s="274">
        <f t="shared" si="15"/>
        <v>5383</v>
      </c>
      <c r="BE44" s="274"/>
      <c r="BF44" s="274">
        <f t="shared" si="16"/>
        <v>9877</v>
      </c>
      <c r="BG44" s="274"/>
      <c r="BH44" s="274"/>
      <c r="BI44" s="266">
        <f t="shared" si="17"/>
        <v>0.78607720268389258</v>
      </c>
      <c r="BJ44" s="266" t="e">
        <f t="shared" si="18"/>
        <v>#DIV/0!</v>
      </c>
      <c r="BK44" s="266" t="str">
        <f t="shared" si="19"/>
        <v/>
      </c>
      <c r="BL44" s="266" t="str">
        <f t="shared" si="20"/>
        <v/>
      </c>
      <c r="BM44" s="266" t="str">
        <f t="shared" si="21"/>
        <v/>
      </c>
      <c r="BN44" s="266"/>
      <c r="BO44" s="266" t="str">
        <f t="shared" si="22"/>
        <v/>
      </c>
      <c r="BP44" s="266" t="str">
        <f t="shared" si="23"/>
        <v/>
      </c>
      <c r="BQ44" s="266" t="str">
        <f t="shared" si="24"/>
        <v/>
      </c>
      <c r="BR44" s="266" t="str">
        <f t="shared" si="25"/>
        <v/>
      </c>
      <c r="BS44" s="266" t="str">
        <f t="shared" si="26"/>
        <v/>
      </c>
      <c r="BT44" s="266" t="str">
        <f t="shared" si="27"/>
        <v/>
      </c>
      <c r="BU44" s="266" t="str">
        <f t="shared" si="28"/>
        <v/>
      </c>
      <c r="BV44" s="266"/>
      <c r="BW44" s="266" t="str">
        <f t="shared" si="29"/>
        <v/>
      </c>
      <c r="BX44" s="266"/>
      <c r="BY44" s="266" t="str">
        <f t="shared" si="30"/>
        <v/>
      </c>
      <c r="BZ44" s="266"/>
      <c r="CA44" s="263">
        <f t="shared" si="31"/>
        <v>0.94444444444444442</v>
      </c>
      <c r="CB44" s="263">
        <f t="shared" si="32"/>
        <v>0</v>
      </c>
      <c r="CC44" s="263">
        <f t="shared" si="33"/>
        <v>0</v>
      </c>
      <c r="CD44" s="263">
        <f t="shared" si="34"/>
        <v>0</v>
      </c>
      <c r="CE44" s="263">
        <f t="shared" si="35"/>
        <v>0</v>
      </c>
      <c r="CF44" s="263">
        <f t="shared" si="36"/>
        <v>5.5555555555555552E-2</v>
      </c>
      <c r="CG44" s="263">
        <f t="shared" si="37"/>
        <v>0</v>
      </c>
      <c r="CH44" s="263"/>
      <c r="CI44" s="263">
        <f t="shared" si="38"/>
        <v>0</v>
      </c>
      <c r="CJ44" s="263"/>
      <c r="CK44" s="263">
        <f t="shared" si="39"/>
        <v>0</v>
      </c>
      <c r="CL44" s="264">
        <f t="shared" si="40"/>
        <v>0</v>
      </c>
      <c r="CM44" s="264">
        <f t="shared" si="41"/>
        <v>1272</v>
      </c>
      <c r="CO44" s="265">
        <v>0.10170999999999999</v>
      </c>
      <c r="CP44" s="265">
        <v>0.1032</v>
      </c>
      <c r="CQ44" s="265">
        <v>0.1038</v>
      </c>
      <c r="CS44" s="265">
        <v>0.1057</v>
      </c>
      <c r="CT44" s="265">
        <v>0.105</v>
      </c>
      <c r="CU44" s="265">
        <v>0.1076</v>
      </c>
      <c r="CW44" s="265">
        <v>0.10894999999999999</v>
      </c>
      <c r="CY44" s="265">
        <v>0.11130000000000001</v>
      </c>
      <c r="DA44" s="265">
        <v>0.11169999999999999</v>
      </c>
      <c r="DC44" s="265">
        <v>0.1115</v>
      </c>
      <c r="DE44" s="265">
        <v>4.2000000000000003E-2</v>
      </c>
      <c r="DF44" s="265">
        <v>4.4000000000000004E-2</v>
      </c>
      <c r="DH44" s="265">
        <v>4.7899999999999998E-2</v>
      </c>
      <c r="DI44" s="265">
        <v>5.3399999999999996E-2</v>
      </c>
      <c r="DJ44" s="265">
        <v>5.287E-2</v>
      </c>
      <c r="DL44" s="265">
        <v>5.3200000000000004E-2</v>
      </c>
      <c r="DO44" s="267"/>
      <c r="DP44" s="267"/>
      <c r="DQ44" s="267"/>
      <c r="DR44" s="267"/>
      <c r="DS44" s="267"/>
      <c r="DT44" s="267"/>
      <c r="DU44" s="267"/>
      <c r="DV44" s="267"/>
      <c r="DW44" s="267"/>
      <c r="DX44" s="267"/>
      <c r="DY44" s="267"/>
      <c r="DZ44" s="205">
        <f t="shared" si="45"/>
        <v>5.6014054834054812E-2</v>
      </c>
      <c r="EA44" s="205" t="e">
        <f t="shared" si="44"/>
        <v>#DIV/0!</v>
      </c>
    </row>
    <row r="45" spans="2:141">
      <c r="B45" s="272">
        <v>44714</v>
      </c>
      <c r="C45" s="271">
        <v>44714</v>
      </c>
      <c r="D45" s="263" t="e">
        <f>+SUMIFS(Tabla6[Nominal COP],Tabla6[Concepto],COSTO_OPORTUNIDAD!$B$18,Tabla6[Nemotécnico],COSTO_OPORTUNIDAD!D$16,Tabla6[Fecha Cumplimiento y/ liquidacion],COSTO_OPORTUNIDAD!$C45)/+SUMIFS(Tabla6[Nominal COP],Tabla6[Concepto],COSTO_OPORTUNIDAD!$B$18,Tabla6[Fecha Cumplimiento y/ liquidacion],COSTO_OPORTUNIDAD!$C45)</f>
        <v>#DIV/0!</v>
      </c>
      <c r="E45" s="263" t="e">
        <f>+SUMIFS(Tabla6[Nominal COP],Tabla6[Concepto],COSTO_OPORTUNIDAD!$B$18,Tabla6[Nemotécnico],COSTO_OPORTUNIDAD!E$16,Tabla6[Fecha Cumplimiento y/ liquidacion],COSTO_OPORTUNIDAD!$C45)/+SUMIFS(Tabla6[Nominal COP],Tabla6[Concepto],COSTO_OPORTUNIDAD!$B$18,Tabla6[Fecha Cumplimiento y/ liquidacion],COSTO_OPORTUNIDAD!$C45)</f>
        <v>#DIV/0!</v>
      </c>
      <c r="F45" s="263">
        <v>8.9094552774634905E-2</v>
      </c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2"/>
      <c r="S45" s="262"/>
      <c r="T45" s="262"/>
      <c r="U45" s="262"/>
      <c r="V45" s="263">
        <v>0.5799772510423673</v>
      </c>
      <c r="W45" s="263"/>
      <c r="X45" s="262"/>
      <c r="Y45" s="262"/>
      <c r="Z45" s="262"/>
      <c r="AA45" s="263">
        <v>0.33092819618299779</v>
      </c>
      <c r="AB45" s="262"/>
      <c r="AC45" s="262"/>
      <c r="AD45" s="262"/>
      <c r="AE45" s="262"/>
      <c r="AF45" s="262"/>
      <c r="AG45" s="262"/>
      <c r="AH45" s="274">
        <f t="shared" si="0"/>
        <v>1546</v>
      </c>
      <c r="AI45" s="274">
        <f t="shared" si="1"/>
        <v>1980</v>
      </c>
      <c r="AJ45" s="274">
        <f t="shared" si="2"/>
        <v>2157</v>
      </c>
      <c r="AK45" s="274"/>
      <c r="AL45" s="274">
        <f t="shared" si="3"/>
        <v>3030</v>
      </c>
      <c r="AM45" s="274">
        <f t="shared" si="4"/>
        <v>3219</v>
      </c>
      <c r="AN45" s="274">
        <f t="shared" si="5"/>
        <v>3681</v>
      </c>
      <c r="AO45" s="274"/>
      <c r="AP45" s="274">
        <f t="shared" si="6"/>
        <v>4521</v>
      </c>
      <c r="AQ45" s="274"/>
      <c r="AR45" s="274">
        <f t="shared" si="7"/>
        <v>5151</v>
      </c>
      <c r="AS45" s="274"/>
      <c r="AT45" s="274">
        <f t="shared" si="8"/>
        <v>7300</v>
      </c>
      <c r="AU45" s="274"/>
      <c r="AV45" s="274">
        <f t="shared" si="9"/>
        <v>10373</v>
      </c>
      <c r="AW45" s="274"/>
      <c r="AX45" s="274">
        <f t="shared" si="10"/>
        <v>1070</v>
      </c>
      <c r="AY45" s="274">
        <f t="shared" si="11"/>
        <v>1749</v>
      </c>
      <c r="AZ45" s="274">
        <f t="shared" si="12"/>
        <v>2512</v>
      </c>
      <c r="BA45" s="274"/>
      <c r="BB45" s="274">
        <f t="shared" si="13"/>
        <v>3949</v>
      </c>
      <c r="BC45" s="274">
        <f t="shared" si="14"/>
        <v>4689</v>
      </c>
      <c r="BD45" s="274">
        <f t="shared" si="15"/>
        <v>5382</v>
      </c>
      <c r="BE45" s="274"/>
      <c r="BF45" s="274">
        <f t="shared" si="16"/>
        <v>9876</v>
      </c>
      <c r="BG45" s="274"/>
      <c r="BH45" s="274"/>
      <c r="BI45" s="266">
        <f t="shared" si="17"/>
        <v>0.91090544722536504</v>
      </c>
      <c r="BJ45" s="266" t="e">
        <f t="shared" si="18"/>
        <v>#DIV/0!</v>
      </c>
      <c r="BK45" s="266" t="str">
        <f t="shared" si="19"/>
        <v/>
      </c>
      <c r="BL45" s="266" t="str">
        <f t="shared" si="20"/>
        <v/>
      </c>
      <c r="BM45" s="266" t="str">
        <f t="shared" si="21"/>
        <v/>
      </c>
      <c r="BN45" s="266"/>
      <c r="BO45" s="266" t="str">
        <f t="shared" si="22"/>
        <v/>
      </c>
      <c r="BP45" s="266" t="str">
        <f t="shared" si="23"/>
        <v/>
      </c>
      <c r="BQ45" s="266" t="str">
        <f t="shared" si="24"/>
        <v/>
      </c>
      <c r="BR45" s="266" t="str">
        <f t="shared" si="25"/>
        <v/>
      </c>
      <c r="BS45" s="266" t="str">
        <f t="shared" si="26"/>
        <v/>
      </c>
      <c r="BT45" s="266" t="str">
        <f t="shared" si="27"/>
        <v/>
      </c>
      <c r="BU45" s="266" t="str">
        <f t="shared" si="28"/>
        <v/>
      </c>
      <c r="BV45" s="266"/>
      <c r="BW45" s="266" t="str">
        <f t="shared" si="29"/>
        <v/>
      </c>
      <c r="BX45" s="266"/>
      <c r="BY45" s="266" t="str">
        <f t="shared" si="30"/>
        <v/>
      </c>
      <c r="BZ45" s="266"/>
      <c r="CA45" s="263">
        <f t="shared" si="31"/>
        <v>0.63670411985018727</v>
      </c>
      <c r="CB45" s="263">
        <f t="shared" si="32"/>
        <v>0</v>
      </c>
      <c r="CC45" s="263">
        <f t="shared" si="33"/>
        <v>0</v>
      </c>
      <c r="CD45" s="263">
        <f t="shared" si="34"/>
        <v>0</v>
      </c>
      <c r="CE45" s="263">
        <f t="shared" si="35"/>
        <v>0</v>
      </c>
      <c r="CF45" s="263">
        <f t="shared" si="36"/>
        <v>0.36329588014981273</v>
      </c>
      <c r="CG45" s="263">
        <f t="shared" si="37"/>
        <v>0</v>
      </c>
      <c r="CH45" s="263"/>
      <c r="CI45" s="263">
        <f t="shared" si="38"/>
        <v>0</v>
      </c>
      <c r="CJ45" s="263"/>
      <c r="CK45" s="263">
        <f t="shared" si="39"/>
        <v>0</v>
      </c>
      <c r="CL45" s="264">
        <f t="shared" si="40"/>
        <v>0</v>
      </c>
      <c r="CM45" s="264">
        <f t="shared" si="41"/>
        <v>2385</v>
      </c>
      <c r="CO45" s="265">
        <v>0.1</v>
      </c>
      <c r="CP45" s="265">
        <v>0.10074999999999999</v>
      </c>
      <c r="CQ45" s="265">
        <v>0.10249000000000001</v>
      </c>
      <c r="CS45" s="265">
        <v>0.10339999999999999</v>
      </c>
      <c r="CT45" s="265">
        <v>0.105</v>
      </c>
      <c r="CU45" s="265">
        <v>0.10571999999999999</v>
      </c>
      <c r="CW45" s="265">
        <v>0.1075</v>
      </c>
      <c r="CY45" s="265">
        <v>0.10800000000000001</v>
      </c>
      <c r="DA45" s="265">
        <v>0.11</v>
      </c>
      <c r="DC45" s="265">
        <v>0.10881</v>
      </c>
      <c r="DE45" s="265">
        <v>4.2000000000000003E-2</v>
      </c>
      <c r="DF45" s="265">
        <v>4.4699999999999997E-2</v>
      </c>
      <c r="DH45" s="265">
        <v>4.8000000000000001E-2</v>
      </c>
      <c r="DI45" s="265">
        <v>5.4000000000000006E-2</v>
      </c>
      <c r="DJ45" s="265">
        <v>5.2629999999999996E-2</v>
      </c>
      <c r="DL45" s="265">
        <v>5.2569999999999999E-2</v>
      </c>
      <c r="DO45" s="267"/>
      <c r="DP45" s="267"/>
      <c r="DQ45" s="267"/>
      <c r="DR45" s="267"/>
      <c r="DS45" s="267"/>
      <c r="DT45" s="267"/>
      <c r="DU45" s="267"/>
      <c r="DV45" s="267"/>
      <c r="DW45" s="267"/>
      <c r="DX45" s="267"/>
      <c r="DY45" s="267"/>
      <c r="DZ45" s="205">
        <f t="shared" si="45"/>
        <v>5.8554805194805236E-2</v>
      </c>
      <c r="EA45" s="205" t="e">
        <f t="shared" si="44"/>
        <v>#DIV/0!</v>
      </c>
    </row>
    <row r="46" spans="2:141">
      <c r="B46" s="272">
        <v>44715</v>
      </c>
      <c r="C46" s="271">
        <v>44715</v>
      </c>
      <c r="D46" s="263" t="e">
        <f>+SUMIFS(Tabla6[Nominal COP],Tabla6[Concepto],COSTO_OPORTUNIDAD!$B$18,Tabla6[Nemotécnico],COSTO_OPORTUNIDAD!D$16,Tabla6[Fecha Cumplimiento y/ liquidacion],COSTO_OPORTUNIDAD!$C46)/+SUMIFS(Tabla6[Nominal COP],Tabla6[Concepto],COSTO_OPORTUNIDAD!$B$18,Tabla6[Fecha Cumplimiento y/ liquidacion],COSTO_OPORTUNIDAD!$C46)</f>
        <v>#DIV/0!</v>
      </c>
      <c r="E46" s="263" t="e">
        <f>+SUMIFS(Tabla6[Nominal COP],Tabla6[Concepto],COSTO_OPORTUNIDAD!$B$18,Tabla6[Nemotécnico],COSTO_OPORTUNIDAD!E$16,Tabla6[Fecha Cumplimiento y/ liquidacion],COSTO_OPORTUNIDAD!$C46)/+SUMIFS(Tabla6[Nominal COP],Tabla6[Concepto],COSTO_OPORTUNIDAD!$B$18,Tabla6[Fecha Cumplimiento y/ liquidacion],COSTO_OPORTUNIDAD!$C46)</f>
        <v>#DIV/0!</v>
      </c>
      <c r="F46" s="262"/>
      <c r="G46" s="262"/>
      <c r="H46" s="262"/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3">
        <v>0.48607594936708859</v>
      </c>
      <c r="W46" s="263"/>
      <c r="X46" s="262"/>
      <c r="Y46" s="262"/>
      <c r="Z46" s="262"/>
      <c r="AA46" s="263">
        <v>0.51392405063291136</v>
      </c>
      <c r="AB46" s="262"/>
      <c r="AC46" s="262"/>
      <c r="AD46" s="262"/>
      <c r="AE46" s="262"/>
      <c r="AF46" s="262"/>
      <c r="AG46" s="262"/>
      <c r="AH46" s="274">
        <f t="shared" si="0"/>
        <v>1545</v>
      </c>
      <c r="AI46" s="274">
        <f t="shared" si="1"/>
        <v>1979</v>
      </c>
      <c r="AJ46" s="274">
        <f t="shared" si="2"/>
        <v>2156</v>
      </c>
      <c r="AK46" s="274"/>
      <c r="AL46" s="274">
        <f t="shared" si="3"/>
        <v>3029</v>
      </c>
      <c r="AM46" s="274">
        <f t="shared" si="4"/>
        <v>3218</v>
      </c>
      <c r="AN46" s="274">
        <f t="shared" si="5"/>
        <v>3680</v>
      </c>
      <c r="AO46" s="274"/>
      <c r="AP46" s="274">
        <f t="shared" si="6"/>
        <v>4520</v>
      </c>
      <c r="AQ46" s="274"/>
      <c r="AR46" s="274">
        <f t="shared" si="7"/>
        <v>5150</v>
      </c>
      <c r="AS46" s="274"/>
      <c r="AT46" s="274">
        <f t="shared" si="8"/>
        <v>7299</v>
      </c>
      <c r="AU46" s="274"/>
      <c r="AV46" s="274">
        <f t="shared" si="9"/>
        <v>10372</v>
      </c>
      <c r="AW46" s="274"/>
      <c r="AX46" s="274">
        <f t="shared" si="10"/>
        <v>1069</v>
      </c>
      <c r="AY46" s="274">
        <f t="shared" si="11"/>
        <v>1748</v>
      </c>
      <c r="AZ46" s="274">
        <f t="shared" si="12"/>
        <v>2511</v>
      </c>
      <c r="BA46" s="274"/>
      <c r="BB46" s="274">
        <f t="shared" si="13"/>
        <v>3948</v>
      </c>
      <c r="BC46" s="274">
        <f t="shared" si="14"/>
        <v>4688</v>
      </c>
      <c r="BD46" s="274">
        <f t="shared" si="15"/>
        <v>5381</v>
      </c>
      <c r="BE46" s="274"/>
      <c r="BF46" s="274">
        <f t="shared" si="16"/>
        <v>9875</v>
      </c>
      <c r="BG46" s="274"/>
      <c r="BH46" s="274"/>
      <c r="BI46" s="266">
        <f t="shared" si="17"/>
        <v>1</v>
      </c>
      <c r="BJ46" s="266" t="e">
        <f t="shared" si="18"/>
        <v>#DIV/0!</v>
      </c>
      <c r="BK46" s="266" t="str">
        <f t="shared" si="19"/>
        <v/>
      </c>
      <c r="BL46" s="266" t="str">
        <f t="shared" si="20"/>
        <v/>
      </c>
      <c r="BM46" s="266" t="str">
        <f t="shared" si="21"/>
        <v/>
      </c>
      <c r="BN46" s="266"/>
      <c r="BO46" s="266" t="str">
        <f t="shared" si="22"/>
        <v/>
      </c>
      <c r="BP46" s="266" t="str">
        <f t="shared" si="23"/>
        <v/>
      </c>
      <c r="BQ46" s="266" t="str">
        <f t="shared" si="24"/>
        <v/>
      </c>
      <c r="BR46" s="266" t="str">
        <f t="shared" si="25"/>
        <v/>
      </c>
      <c r="BS46" s="266" t="str">
        <f t="shared" si="26"/>
        <v/>
      </c>
      <c r="BT46" s="266" t="str">
        <f t="shared" si="27"/>
        <v/>
      </c>
      <c r="BU46" s="266" t="str">
        <f t="shared" si="28"/>
        <v/>
      </c>
      <c r="BV46" s="266"/>
      <c r="BW46" s="266" t="str">
        <f t="shared" si="29"/>
        <v/>
      </c>
      <c r="BX46" s="266"/>
      <c r="BY46" s="266" t="str">
        <f t="shared" si="30"/>
        <v/>
      </c>
      <c r="BZ46" s="266"/>
      <c r="CA46" s="263">
        <f t="shared" si="31"/>
        <v>0.48607594936708859</v>
      </c>
      <c r="CB46" s="263">
        <f t="shared" si="32"/>
        <v>0</v>
      </c>
      <c r="CC46" s="263">
        <f t="shared" si="33"/>
        <v>0</v>
      </c>
      <c r="CD46" s="263">
        <f t="shared" si="34"/>
        <v>0</v>
      </c>
      <c r="CE46" s="263">
        <f t="shared" si="35"/>
        <v>0</v>
      </c>
      <c r="CF46" s="263">
        <f t="shared" si="36"/>
        <v>0.51392405063291136</v>
      </c>
      <c r="CG46" s="263">
        <f t="shared" si="37"/>
        <v>0</v>
      </c>
      <c r="CH46" s="263"/>
      <c r="CI46" s="263">
        <f t="shared" si="38"/>
        <v>0</v>
      </c>
      <c r="CJ46" s="263"/>
      <c r="CK46" s="263">
        <f t="shared" si="39"/>
        <v>0</v>
      </c>
      <c r="CL46" s="264">
        <f t="shared" si="40"/>
        <v>0</v>
      </c>
      <c r="CM46" s="264">
        <f t="shared" si="41"/>
        <v>2929</v>
      </c>
      <c r="CO46" s="265">
        <v>9.8949999999999996E-2</v>
      </c>
      <c r="CP46" s="265">
        <v>0.10051</v>
      </c>
      <c r="CQ46" s="265">
        <v>0.10106</v>
      </c>
      <c r="CS46" s="265">
        <v>0.10398999999999999</v>
      </c>
      <c r="CT46" s="265">
        <v>0.105</v>
      </c>
      <c r="CU46" s="265">
        <v>0.10550000000000001</v>
      </c>
      <c r="CW46" s="265">
        <v>0.10744999999999999</v>
      </c>
      <c r="CY46" s="265">
        <v>0.10797000000000001</v>
      </c>
      <c r="DA46" s="265">
        <v>0.1104</v>
      </c>
      <c r="DC46" s="265">
        <v>0.10920000000000001</v>
      </c>
      <c r="DE46" s="265">
        <v>4.3499999999999997E-2</v>
      </c>
      <c r="DF46" s="265">
        <v>4.6010000000000002E-2</v>
      </c>
      <c r="DH46" s="265">
        <v>4.9939999999999998E-2</v>
      </c>
      <c r="DI46" s="265">
        <v>5.5E-2</v>
      </c>
      <c r="DJ46" s="265">
        <v>5.3399999999999996E-2</v>
      </c>
      <c r="DL46" s="265">
        <v>5.3249999999999999E-2</v>
      </c>
      <c r="DO46" s="267"/>
      <c r="DP46" s="267"/>
      <c r="DQ46" s="267"/>
      <c r="DR46" s="267"/>
      <c r="DS46" s="267"/>
      <c r="DT46" s="267"/>
      <c r="DU46" s="267"/>
      <c r="DV46" s="267"/>
      <c r="DW46" s="267"/>
      <c r="DX46" s="267"/>
      <c r="DY46" s="267"/>
      <c r="DZ46" s="205">
        <f t="shared" si="45"/>
        <v>5.9061183261183273E-2</v>
      </c>
      <c r="EA46" s="205" t="e">
        <f t="shared" si="44"/>
        <v>#DIV/0!</v>
      </c>
    </row>
    <row r="47" spans="2:141">
      <c r="B47" s="272">
        <v>44719</v>
      </c>
      <c r="C47" s="271">
        <v>44719</v>
      </c>
      <c r="D47" s="263" t="e">
        <f>+SUMIFS(Tabla6[Nominal COP],Tabla6[Concepto],COSTO_OPORTUNIDAD!$B$18,Tabla6[Nemotécnico],COSTO_OPORTUNIDAD!D$16,Tabla6[Fecha Cumplimiento y/ liquidacion],COSTO_OPORTUNIDAD!$C47)/+SUMIFS(Tabla6[Nominal COP],Tabla6[Concepto],COSTO_OPORTUNIDAD!$B$18,Tabla6[Fecha Cumplimiento y/ liquidacion],COSTO_OPORTUNIDAD!$C47)</f>
        <v>#DIV/0!</v>
      </c>
      <c r="E47" s="263" t="e">
        <f>+SUMIFS(Tabla6[Nominal COP],Tabla6[Concepto],COSTO_OPORTUNIDAD!$B$18,Tabla6[Nemotécnico],COSTO_OPORTUNIDAD!E$16,Tabla6[Fecha Cumplimiento y/ liquidacion],COSTO_OPORTUNIDAD!$C47)/+SUMIFS(Tabla6[Nominal COP],Tabla6[Concepto],COSTO_OPORTUNIDAD!$B$18,Tabla6[Fecha Cumplimiento y/ liquidacion],COSTO_OPORTUNIDAD!$C47)</f>
        <v>#DIV/0!</v>
      </c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3">
        <v>0.85227272727272729</v>
      </c>
      <c r="W47" s="263"/>
      <c r="X47" s="262"/>
      <c r="Y47" s="262"/>
      <c r="Z47" s="262"/>
      <c r="AA47" s="263">
        <v>0.14772727272727273</v>
      </c>
      <c r="AB47" s="262"/>
      <c r="AC47" s="262"/>
      <c r="AD47" s="262"/>
      <c r="AE47" s="262"/>
      <c r="AF47" s="262"/>
      <c r="AG47" s="262"/>
      <c r="AH47" s="274">
        <f t="shared" si="0"/>
        <v>1541</v>
      </c>
      <c r="AI47" s="274">
        <f t="shared" si="1"/>
        <v>1975</v>
      </c>
      <c r="AJ47" s="274">
        <f t="shared" si="2"/>
        <v>2152</v>
      </c>
      <c r="AK47" s="274"/>
      <c r="AL47" s="274">
        <f t="shared" si="3"/>
        <v>3025</v>
      </c>
      <c r="AM47" s="274">
        <f t="shared" si="4"/>
        <v>3214</v>
      </c>
      <c r="AN47" s="274">
        <f t="shared" si="5"/>
        <v>3676</v>
      </c>
      <c r="AO47" s="274"/>
      <c r="AP47" s="274">
        <f t="shared" si="6"/>
        <v>4516</v>
      </c>
      <c r="AQ47" s="274"/>
      <c r="AR47" s="274">
        <f t="shared" si="7"/>
        <v>5146</v>
      </c>
      <c r="AS47" s="274"/>
      <c r="AT47" s="274">
        <f t="shared" si="8"/>
        <v>7295</v>
      </c>
      <c r="AU47" s="274"/>
      <c r="AV47" s="274">
        <f t="shared" si="9"/>
        <v>10368</v>
      </c>
      <c r="AW47" s="274"/>
      <c r="AX47" s="274">
        <f t="shared" si="10"/>
        <v>1065</v>
      </c>
      <c r="AY47" s="274">
        <f t="shared" si="11"/>
        <v>1744</v>
      </c>
      <c r="AZ47" s="274">
        <f t="shared" si="12"/>
        <v>2507</v>
      </c>
      <c r="BA47" s="274"/>
      <c r="BB47" s="274">
        <f t="shared" si="13"/>
        <v>3944</v>
      </c>
      <c r="BC47" s="274">
        <f t="shared" si="14"/>
        <v>4684</v>
      </c>
      <c r="BD47" s="274">
        <f t="shared" si="15"/>
        <v>5377</v>
      </c>
      <c r="BE47" s="274"/>
      <c r="BF47" s="274">
        <f t="shared" si="16"/>
        <v>9871</v>
      </c>
      <c r="BG47" s="274"/>
      <c r="BH47" s="274"/>
      <c r="BI47" s="266">
        <f t="shared" si="17"/>
        <v>1</v>
      </c>
      <c r="BJ47" s="266" t="e">
        <f t="shared" si="18"/>
        <v>#DIV/0!</v>
      </c>
      <c r="BK47" s="266" t="str">
        <f t="shared" si="19"/>
        <v/>
      </c>
      <c r="BL47" s="266" t="str">
        <f t="shared" si="20"/>
        <v/>
      </c>
      <c r="BM47" s="266" t="str">
        <f t="shared" si="21"/>
        <v/>
      </c>
      <c r="BN47" s="266"/>
      <c r="BO47" s="266" t="str">
        <f t="shared" si="22"/>
        <v/>
      </c>
      <c r="BP47" s="266" t="str">
        <f t="shared" si="23"/>
        <v/>
      </c>
      <c r="BQ47" s="266" t="str">
        <f t="shared" si="24"/>
        <v/>
      </c>
      <c r="BR47" s="266" t="str">
        <f t="shared" si="25"/>
        <v/>
      </c>
      <c r="BS47" s="266" t="str">
        <f t="shared" si="26"/>
        <v/>
      </c>
      <c r="BT47" s="266" t="str">
        <f t="shared" si="27"/>
        <v/>
      </c>
      <c r="BU47" s="266" t="str">
        <f t="shared" si="28"/>
        <v/>
      </c>
      <c r="BV47" s="266"/>
      <c r="BW47" s="266" t="str">
        <f t="shared" si="29"/>
        <v/>
      </c>
      <c r="BX47" s="266"/>
      <c r="BY47" s="266" t="str">
        <f t="shared" si="30"/>
        <v/>
      </c>
      <c r="BZ47" s="266"/>
      <c r="CA47" s="263">
        <f t="shared" si="31"/>
        <v>0.85227272727272729</v>
      </c>
      <c r="CB47" s="263">
        <f t="shared" si="32"/>
        <v>0</v>
      </c>
      <c r="CC47" s="263">
        <f t="shared" si="33"/>
        <v>0</v>
      </c>
      <c r="CD47" s="263">
        <f t="shared" si="34"/>
        <v>0</v>
      </c>
      <c r="CE47" s="263">
        <f t="shared" si="35"/>
        <v>0</v>
      </c>
      <c r="CF47" s="263">
        <f t="shared" si="36"/>
        <v>0.14772727272727273</v>
      </c>
      <c r="CG47" s="263">
        <f t="shared" si="37"/>
        <v>0</v>
      </c>
      <c r="CH47" s="263"/>
      <c r="CI47" s="263">
        <f t="shared" si="38"/>
        <v>0</v>
      </c>
      <c r="CJ47" s="263"/>
      <c r="CK47" s="263">
        <f t="shared" si="39"/>
        <v>0</v>
      </c>
      <c r="CL47" s="264">
        <f t="shared" si="40"/>
        <v>0</v>
      </c>
      <c r="CM47" s="264">
        <f t="shared" si="41"/>
        <v>1600</v>
      </c>
      <c r="CO47" s="265">
        <v>0.10539999999999999</v>
      </c>
      <c r="CP47" s="265">
        <v>0.10673000000000001</v>
      </c>
      <c r="CQ47" s="265">
        <v>0.10801999999999999</v>
      </c>
      <c r="CS47" s="265">
        <v>0.1109</v>
      </c>
      <c r="CT47" s="265">
        <v>0.105</v>
      </c>
      <c r="CU47" s="265">
        <v>0.11226000000000001</v>
      </c>
      <c r="CW47" s="265">
        <v>0.1133</v>
      </c>
      <c r="CY47" s="265">
        <v>0.11380000000000001</v>
      </c>
      <c r="DA47" s="265">
        <v>0.11775000000000001</v>
      </c>
      <c r="DC47" s="265">
        <v>0.11598000000000001</v>
      </c>
      <c r="DE47" s="265">
        <v>4.7800000000000002E-2</v>
      </c>
      <c r="DF47" s="265">
        <v>0.05</v>
      </c>
      <c r="DH47" s="265">
        <v>5.3899999999999997E-2</v>
      </c>
      <c r="DI47" s="265">
        <v>5.654E-2</v>
      </c>
      <c r="DJ47" s="265">
        <v>5.6299999999999996E-2</v>
      </c>
      <c r="DL47" s="265">
        <v>5.5629999999999999E-2</v>
      </c>
      <c r="DO47" s="267"/>
      <c r="DP47" s="267"/>
      <c r="DQ47" s="267"/>
      <c r="DR47" s="267"/>
      <c r="DS47" s="267"/>
      <c r="DT47" s="267"/>
      <c r="DU47" s="267"/>
      <c r="DV47" s="267"/>
      <c r="DW47" s="267"/>
      <c r="DX47" s="267"/>
      <c r="DY47" s="267"/>
      <c r="DZ47" s="205">
        <f t="shared" si="45"/>
        <v>5.7608051948051964E-2</v>
      </c>
      <c r="EA47" s="205" t="e">
        <f>DA47*BJ47+(((1+$EE$58)*(1+DZ47))-1)*BI47</f>
        <v>#DIV/0!</v>
      </c>
    </row>
    <row r="48" spans="2:141">
      <c r="B48" s="272">
        <v>44720</v>
      </c>
      <c r="C48" s="271">
        <v>44720</v>
      </c>
      <c r="D48" s="263" t="e">
        <f>+SUMIFS(Tabla6[Nominal COP],Tabla6[Concepto],COSTO_OPORTUNIDAD!$B$18,Tabla6[Nemotécnico],COSTO_OPORTUNIDAD!D$16,Tabla6[Fecha Cumplimiento y/ liquidacion],COSTO_OPORTUNIDAD!$C48)/+SUMIFS(Tabla6[Nominal COP],Tabla6[Concepto],COSTO_OPORTUNIDAD!$B$18,Tabla6[Fecha Cumplimiento y/ liquidacion],COSTO_OPORTUNIDAD!$C48)</f>
        <v>#DIV/0!</v>
      </c>
      <c r="E48" s="263" t="e">
        <f>+SUMIFS(Tabla6[Nominal COP],Tabla6[Concepto],COSTO_OPORTUNIDAD!$B$18,Tabla6[Nemotécnico],COSTO_OPORTUNIDAD!E$16,Tabla6[Fecha Cumplimiento y/ liquidacion],COSTO_OPORTUNIDAD!$C48)/+SUMIFS(Tabla6[Nominal COP],Tabla6[Concepto],COSTO_OPORTUNIDAD!$B$18,Tabla6[Fecha Cumplimiento y/ liquidacion],COSTO_OPORTUNIDAD!$C48)</f>
        <v>#DIV/0!</v>
      </c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262"/>
      <c r="R48" s="262"/>
      <c r="S48" s="262"/>
      <c r="T48" s="262"/>
      <c r="U48" s="262"/>
      <c r="V48" s="263">
        <v>0.70542635658914732</v>
      </c>
      <c r="W48" s="263"/>
      <c r="X48" s="262"/>
      <c r="Y48" s="262"/>
      <c r="Z48" s="262"/>
      <c r="AA48" s="263">
        <v>0.29457364341085274</v>
      </c>
      <c r="AB48" s="262"/>
      <c r="AC48" s="262"/>
      <c r="AD48" s="262"/>
      <c r="AE48" s="262"/>
      <c r="AF48" s="262"/>
      <c r="AG48" s="262"/>
      <c r="AH48" s="274">
        <f t="shared" si="0"/>
        <v>1540</v>
      </c>
      <c r="AI48" s="274">
        <f t="shared" si="1"/>
        <v>1974</v>
      </c>
      <c r="AJ48" s="274">
        <f t="shared" si="2"/>
        <v>2151</v>
      </c>
      <c r="AK48" s="274"/>
      <c r="AL48" s="274">
        <f t="shared" si="3"/>
        <v>3024</v>
      </c>
      <c r="AM48" s="274">
        <f t="shared" si="4"/>
        <v>3213</v>
      </c>
      <c r="AN48" s="274">
        <f t="shared" si="5"/>
        <v>3675</v>
      </c>
      <c r="AO48" s="274"/>
      <c r="AP48" s="274">
        <f t="shared" si="6"/>
        <v>4515</v>
      </c>
      <c r="AQ48" s="274"/>
      <c r="AR48" s="274">
        <f t="shared" si="7"/>
        <v>5145</v>
      </c>
      <c r="AS48" s="274"/>
      <c r="AT48" s="274">
        <f t="shared" si="8"/>
        <v>7294</v>
      </c>
      <c r="AU48" s="274"/>
      <c r="AV48" s="274">
        <f t="shared" si="9"/>
        <v>10367</v>
      </c>
      <c r="AW48" s="274"/>
      <c r="AX48" s="274">
        <f t="shared" si="10"/>
        <v>1064</v>
      </c>
      <c r="AY48" s="274">
        <f t="shared" si="11"/>
        <v>1743</v>
      </c>
      <c r="AZ48" s="274">
        <f t="shared" si="12"/>
        <v>2506</v>
      </c>
      <c r="BA48" s="274"/>
      <c r="BB48" s="274">
        <f t="shared" si="13"/>
        <v>3943</v>
      </c>
      <c r="BC48" s="274">
        <f t="shared" si="14"/>
        <v>4683</v>
      </c>
      <c r="BD48" s="274">
        <f t="shared" si="15"/>
        <v>5376</v>
      </c>
      <c r="BE48" s="274"/>
      <c r="BF48" s="274">
        <f t="shared" si="16"/>
        <v>9870</v>
      </c>
      <c r="BG48" s="274"/>
      <c r="BH48" s="274"/>
      <c r="BI48" s="266">
        <f t="shared" si="17"/>
        <v>1</v>
      </c>
      <c r="BJ48" s="266" t="e">
        <f t="shared" si="18"/>
        <v>#DIV/0!</v>
      </c>
      <c r="BK48" s="266" t="str">
        <f t="shared" si="19"/>
        <v/>
      </c>
      <c r="BL48" s="266" t="str">
        <f t="shared" si="20"/>
        <v/>
      </c>
      <c r="BM48" s="266" t="str">
        <f t="shared" si="21"/>
        <v/>
      </c>
      <c r="BN48" s="266"/>
      <c r="BO48" s="266" t="str">
        <f t="shared" si="22"/>
        <v/>
      </c>
      <c r="BP48" s="266" t="str">
        <f t="shared" si="23"/>
        <v/>
      </c>
      <c r="BQ48" s="266" t="str">
        <f t="shared" si="24"/>
        <v/>
      </c>
      <c r="BR48" s="266" t="str">
        <f t="shared" si="25"/>
        <v/>
      </c>
      <c r="BS48" s="266" t="str">
        <f t="shared" si="26"/>
        <v/>
      </c>
      <c r="BT48" s="266" t="str">
        <f t="shared" si="27"/>
        <v/>
      </c>
      <c r="BU48" s="266" t="str">
        <f t="shared" si="28"/>
        <v/>
      </c>
      <c r="BV48" s="266"/>
      <c r="BW48" s="266" t="str">
        <f t="shared" si="29"/>
        <v/>
      </c>
      <c r="BX48" s="266"/>
      <c r="BY48" s="266" t="str">
        <f t="shared" si="30"/>
        <v/>
      </c>
      <c r="BZ48" s="266"/>
      <c r="CA48" s="263">
        <f t="shared" si="31"/>
        <v>0.70542635658914732</v>
      </c>
      <c r="CB48" s="263">
        <f t="shared" si="32"/>
        <v>0</v>
      </c>
      <c r="CC48" s="263">
        <f t="shared" si="33"/>
        <v>0</v>
      </c>
      <c r="CD48" s="263">
        <f t="shared" si="34"/>
        <v>0</v>
      </c>
      <c r="CE48" s="263">
        <f t="shared" si="35"/>
        <v>0</v>
      </c>
      <c r="CF48" s="263">
        <f t="shared" si="36"/>
        <v>0.29457364341085274</v>
      </c>
      <c r="CG48" s="263">
        <f t="shared" si="37"/>
        <v>0</v>
      </c>
      <c r="CH48" s="263"/>
      <c r="CI48" s="263">
        <f t="shared" si="38"/>
        <v>0</v>
      </c>
      <c r="CJ48" s="263"/>
      <c r="CK48" s="263">
        <f t="shared" si="39"/>
        <v>0</v>
      </c>
      <c r="CL48" s="264">
        <f t="shared" si="40"/>
        <v>0</v>
      </c>
      <c r="CM48" s="264">
        <f t="shared" si="41"/>
        <v>2130</v>
      </c>
      <c r="CO48" s="265">
        <v>0.1075</v>
      </c>
      <c r="CP48" s="265">
        <v>0.10887000000000001</v>
      </c>
      <c r="CQ48" s="265">
        <v>0.10801999999999999</v>
      </c>
      <c r="CS48" s="265">
        <v>0.1125</v>
      </c>
      <c r="CT48" s="265">
        <v>0.105</v>
      </c>
      <c r="CU48" s="265">
        <v>0.11355</v>
      </c>
      <c r="CW48" s="265">
        <v>0.11409000000000001</v>
      </c>
      <c r="CY48" s="265">
        <v>0.11550000000000001</v>
      </c>
      <c r="DA48" s="265">
        <v>0.1186</v>
      </c>
      <c r="DC48" s="265">
        <v>0.1186</v>
      </c>
      <c r="DE48" s="265">
        <v>4.8499999999999995E-2</v>
      </c>
      <c r="DF48" s="265">
        <v>4.9630000000000001E-2</v>
      </c>
      <c r="DH48" s="265">
        <v>5.3399999999999996E-2</v>
      </c>
      <c r="DI48" s="265">
        <v>5.74E-2</v>
      </c>
      <c r="DJ48" s="265">
        <v>5.704E-2</v>
      </c>
      <c r="DL48" s="265">
        <v>5.6299999999999996E-2</v>
      </c>
      <c r="DO48" s="267"/>
      <c r="DP48" s="267"/>
      <c r="DQ48" s="267"/>
      <c r="DR48" s="267"/>
      <c r="DS48" s="267"/>
      <c r="DT48" s="267"/>
      <c r="DU48" s="267"/>
      <c r="DV48" s="267"/>
      <c r="DW48" s="267"/>
      <c r="DX48" s="267"/>
      <c r="DY48" s="267"/>
      <c r="DZ48" s="205">
        <f t="shared" si="45"/>
        <v>5.872623376623376E-2</v>
      </c>
      <c r="EA48" s="205" t="e">
        <f>DA48*BJ48+(((1+$EE$58)*(1+DZ48))-1)*BI48</f>
        <v>#DIV/0!</v>
      </c>
      <c r="ED48" s="195">
        <v>2022</v>
      </c>
      <c r="EE48" s="195">
        <v>2022</v>
      </c>
      <c r="EF48" s="195">
        <v>2022</v>
      </c>
      <c r="EG48" s="195">
        <v>2022</v>
      </c>
      <c r="EH48" s="195">
        <v>2022</v>
      </c>
      <c r="EI48" s="195">
        <v>2022</v>
      </c>
      <c r="EJ48" s="195">
        <v>2022</v>
      </c>
      <c r="EK48" s="195">
        <v>2022</v>
      </c>
    </row>
    <row r="49" spans="2:138">
      <c r="B49" s="272">
        <v>44721</v>
      </c>
      <c r="C49" s="271">
        <v>44721</v>
      </c>
      <c r="D49" s="263" t="e">
        <f>+SUMIFS(Tabla6[Nominal COP],Tabla6[Concepto],COSTO_OPORTUNIDAD!$B$18,Tabla6[Nemotécnico],COSTO_OPORTUNIDAD!D$16,Tabla6[Fecha Cumplimiento y/ liquidacion],COSTO_OPORTUNIDAD!$C49)/+SUMIFS(Tabla6[Nominal COP],Tabla6[Concepto],COSTO_OPORTUNIDAD!$B$18,Tabla6[Fecha Cumplimiento y/ liquidacion],COSTO_OPORTUNIDAD!$C49)</f>
        <v>#DIV/0!</v>
      </c>
      <c r="E49" s="263" t="e">
        <f>+SUMIFS(Tabla6[Nominal COP],Tabla6[Concepto],COSTO_OPORTUNIDAD!$B$18,Tabla6[Nemotécnico],COSTO_OPORTUNIDAD!E$16,Tabla6[Fecha Cumplimiento y/ liquidacion],COSTO_OPORTUNIDAD!$C49)/+SUMIFS(Tabla6[Nominal COP],Tabla6[Concepto],COSTO_OPORTUNIDAD!$B$18,Tabla6[Fecha Cumplimiento y/ liquidacion],COSTO_OPORTUNIDAD!$C49)</f>
        <v>#DIV/0!</v>
      </c>
      <c r="F49" s="263">
        <v>0.282611237698221</v>
      </c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2"/>
      <c r="S49" s="262"/>
      <c r="T49" s="262"/>
      <c r="U49" s="262"/>
      <c r="V49" s="263">
        <v>0.42495003117239138</v>
      </c>
      <c r="W49" s="263"/>
      <c r="X49" s="262"/>
      <c r="Y49" s="262"/>
      <c r="Z49" s="262"/>
      <c r="AA49" s="263">
        <v>0.29243873112938762</v>
      </c>
      <c r="AB49" s="262"/>
      <c r="AC49" s="262"/>
      <c r="AD49" s="262"/>
      <c r="AE49" s="262"/>
      <c r="AF49" s="262"/>
      <c r="AG49" s="262"/>
      <c r="AH49" s="274">
        <f t="shared" si="0"/>
        <v>1539</v>
      </c>
      <c r="AI49" s="274">
        <f t="shared" si="1"/>
        <v>1973</v>
      </c>
      <c r="AJ49" s="274">
        <f t="shared" si="2"/>
        <v>2150</v>
      </c>
      <c r="AK49" s="274"/>
      <c r="AL49" s="274">
        <f t="shared" si="3"/>
        <v>3023</v>
      </c>
      <c r="AM49" s="274">
        <f t="shared" si="4"/>
        <v>3212</v>
      </c>
      <c r="AN49" s="274">
        <f t="shared" si="5"/>
        <v>3674</v>
      </c>
      <c r="AO49" s="274"/>
      <c r="AP49" s="274">
        <f t="shared" si="6"/>
        <v>4514</v>
      </c>
      <c r="AQ49" s="274"/>
      <c r="AR49" s="274">
        <f t="shared" si="7"/>
        <v>5144</v>
      </c>
      <c r="AS49" s="274"/>
      <c r="AT49" s="274">
        <f t="shared" si="8"/>
        <v>7293</v>
      </c>
      <c r="AU49" s="274"/>
      <c r="AV49" s="274">
        <f t="shared" si="9"/>
        <v>10366</v>
      </c>
      <c r="AW49" s="274"/>
      <c r="AX49" s="274">
        <f t="shared" si="10"/>
        <v>1063</v>
      </c>
      <c r="AY49" s="274">
        <f t="shared" si="11"/>
        <v>1742</v>
      </c>
      <c r="AZ49" s="274">
        <f t="shared" si="12"/>
        <v>2505</v>
      </c>
      <c r="BA49" s="274"/>
      <c r="BB49" s="274">
        <f t="shared" si="13"/>
        <v>3942</v>
      </c>
      <c r="BC49" s="274">
        <f t="shared" si="14"/>
        <v>4682</v>
      </c>
      <c r="BD49" s="274">
        <f t="shared" si="15"/>
        <v>5375</v>
      </c>
      <c r="BE49" s="274"/>
      <c r="BF49" s="274">
        <f t="shared" si="16"/>
        <v>9869</v>
      </c>
      <c r="BG49" s="274"/>
      <c r="BH49" s="274"/>
      <c r="BI49" s="266">
        <f t="shared" si="17"/>
        <v>0.71738876230177895</v>
      </c>
      <c r="BJ49" s="266" t="e">
        <f t="shared" si="18"/>
        <v>#DIV/0!</v>
      </c>
      <c r="BK49" s="266" t="str">
        <f t="shared" si="19"/>
        <v/>
      </c>
      <c r="BL49" s="266" t="str">
        <f t="shared" si="20"/>
        <v/>
      </c>
      <c r="BM49" s="266" t="str">
        <f t="shared" si="21"/>
        <v/>
      </c>
      <c r="BN49" s="266"/>
      <c r="BO49" s="266" t="str">
        <f t="shared" si="22"/>
        <v/>
      </c>
      <c r="BP49" s="266" t="str">
        <f t="shared" si="23"/>
        <v/>
      </c>
      <c r="BQ49" s="266" t="str">
        <f t="shared" si="24"/>
        <v/>
      </c>
      <c r="BR49" s="266" t="str">
        <f t="shared" si="25"/>
        <v/>
      </c>
      <c r="BS49" s="266" t="str">
        <f t="shared" si="26"/>
        <v/>
      </c>
      <c r="BT49" s="266" t="str">
        <f t="shared" si="27"/>
        <v/>
      </c>
      <c r="BU49" s="266" t="str">
        <f t="shared" si="28"/>
        <v/>
      </c>
      <c r="BV49" s="266"/>
      <c r="BW49" s="266" t="str">
        <f t="shared" si="29"/>
        <v/>
      </c>
      <c r="BX49" s="266"/>
      <c r="BY49" s="266" t="str">
        <f t="shared" si="30"/>
        <v/>
      </c>
      <c r="BZ49" s="266"/>
      <c r="CA49" s="263">
        <f t="shared" si="31"/>
        <v>0.59235668789808926</v>
      </c>
      <c r="CB49" s="263">
        <f t="shared" si="32"/>
        <v>0</v>
      </c>
      <c r="CC49" s="263">
        <f t="shared" si="33"/>
        <v>0</v>
      </c>
      <c r="CD49" s="263">
        <f t="shared" si="34"/>
        <v>0</v>
      </c>
      <c r="CE49" s="263">
        <f t="shared" si="35"/>
        <v>0</v>
      </c>
      <c r="CF49" s="263">
        <f t="shared" si="36"/>
        <v>0.40764331210191085</v>
      </c>
      <c r="CG49" s="263">
        <f t="shared" si="37"/>
        <v>0</v>
      </c>
      <c r="CH49" s="263"/>
      <c r="CI49" s="263">
        <f t="shared" si="38"/>
        <v>0</v>
      </c>
      <c r="CJ49" s="263"/>
      <c r="CK49" s="263">
        <f t="shared" si="39"/>
        <v>0</v>
      </c>
      <c r="CL49" s="264">
        <f t="shared" si="40"/>
        <v>0</v>
      </c>
      <c r="CM49" s="264">
        <f t="shared" si="41"/>
        <v>2538</v>
      </c>
      <c r="CO49" s="265">
        <v>0.10761</v>
      </c>
      <c r="CP49" s="265">
        <v>0.10800000000000001</v>
      </c>
      <c r="CQ49" s="265">
        <v>0.10815</v>
      </c>
      <c r="CS49" s="265">
        <v>0.111</v>
      </c>
      <c r="CT49" s="265">
        <v>0.105</v>
      </c>
      <c r="CU49" s="265">
        <v>0.113</v>
      </c>
      <c r="CW49" s="265">
        <v>0.11425</v>
      </c>
      <c r="CY49" s="265">
        <v>0.11449999999999999</v>
      </c>
      <c r="DA49" s="265">
        <v>0.11766</v>
      </c>
      <c r="DC49" s="265">
        <v>0.11699999999999999</v>
      </c>
      <c r="DE49" s="265">
        <v>4.9800000000000004E-2</v>
      </c>
      <c r="DF49" s="265">
        <v>5.0499999999999996E-2</v>
      </c>
      <c r="DH49" s="265">
        <v>5.4000000000000006E-2</v>
      </c>
      <c r="DI49" s="265">
        <v>5.8009999999999999E-2</v>
      </c>
      <c r="DJ49" s="265">
        <v>5.7279999999999998E-2</v>
      </c>
      <c r="DL49" s="265">
        <v>5.6399999999999999E-2</v>
      </c>
      <c r="DO49" s="267"/>
      <c r="DP49" s="267"/>
      <c r="DQ49" s="267"/>
      <c r="DR49" s="267"/>
      <c r="DS49" s="267"/>
      <c r="DT49" s="267"/>
      <c r="DU49" s="267"/>
      <c r="DV49" s="267"/>
      <c r="DW49" s="267"/>
      <c r="DX49" s="267"/>
      <c r="DY49" s="267"/>
      <c r="DZ49" s="205">
        <f t="shared" ref="DZ49:DZ80" si="46">DF49+(DI49-DF49)*(CM49-AZ49)/(BC49-AZ49)</f>
        <v>5.0613840146991267E-2</v>
      </c>
      <c r="EA49" s="205" t="e">
        <f>DA49*BJ49+(((1+$EE$58)*(1+DZ49))-1)*BI49</f>
        <v>#DIV/0!</v>
      </c>
    </row>
    <row r="50" spans="2:138">
      <c r="B50" s="272">
        <v>44747</v>
      </c>
      <c r="C50" s="271">
        <v>44747</v>
      </c>
      <c r="D50" s="263" t="e">
        <f>+SUMIFS(Tabla6[Nominal COP],Tabla6[Concepto],COSTO_OPORTUNIDAD!$B$18,Tabla6[Nemotécnico],COSTO_OPORTUNIDAD!D$16,Tabla6[Fecha Cumplimiento y/ liquidacion],COSTO_OPORTUNIDAD!$C50)/+SUMIFS(Tabla6[Nominal COP],Tabla6[Concepto],COSTO_OPORTUNIDAD!$B$18,Tabla6[Fecha Cumplimiento y/ liquidacion],COSTO_OPORTUNIDAD!$C50)</f>
        <v>#DIV/0!</v>
      </c>
      <c r="E50" s="263" t="e">
        <f>+SUMIFS(Tabla6[Nominal COP],Tabla6[Concepto],COSTO_OPORTUNIDAD!$B$18,Tabla6[Nemotécnico],COSTO_OPORTUNIDAD!E$16,Tabla6[Fecha Cumplimiento y/ liquidacion],COSTO_OPORTUNIDAD!$C50)/+SUMIFS(Tabla6[Nominal COP],Tabla6[Concepto],COSTO_OPORTUNIDAD!$B$18,Tabla6[Fecha Cumplimiento y/ liquidacion],COSTO_OPORTUNIDAD!$C50)</f>
        <v>#DIV/0!</v>
      </c>
      <c r="F50" s="262"/>
      <c r="G50" s="262"/>
      <c r="H50" s="262"/>
      <c r="I50" s="262"/>
      <c r="J50" s="262"/>
      <c r="K50" s="262"/>
      <c r="L50" s="262"/>
      <c r="M50" s="262"/>
      <c r="N50" s="262"/>
      <c r="O50" s="262"/>
      <c r="P50" s="262"/>
      <c r="Q50" s="262"/>
      <c r="R50" s="263">
        <v>9.8776058799976724E-2</v>
      </c>
      <c r="S50" s="263"/>
      <c r="T50" s="263"/>
      <c r="U50" s="263"/>
      <c r="V50" s="262"/>
      <c r="W50" s="262"/>
      <c r="X50" s="263">
        <v>8.7391412480002262E-2</v>
      </c>
      <c r="Y50" s="263"/>
      <c r="Z50" s="263"/>
      <c r="AA50" s="263">
        <v>0.81383252872002099</v>
      </c>
      <c r="AB50" s="262"/>
      <c r="AC50" s="262"/>
      <c r="AD50" s="262"/>
      <c r="AE50" s="262"/>
      <c r="AF50" s="262"/>
      <c r="AG50" s="263"/>
      <c r="AH50" s="274">
        <f t="shared" si="0"/>
        <v>1513</v>
      </c>
      <c r="AI50" s="274">
        <f t="shared" si="1"/>
        <v>1947</v>
      </c>
      <c r="AJ50" s="274">
        <f t="shared" si="2"/>
        <v>2124</v>
      </c>
      <c r="AK50" s="274"/>
      <c r="AL50" s="274">
        <f t="shared" si="3"/>
        <v>2997</v>
      </c>
      <c r="AM50" s="274">
        <f t="shared" si="4"/>
        <v>3186</v>
      </c>
      <c r="AN50" s="274">
        <f t="shared" si="5"/>
        <v>3648</v>
      </c>
      <c r="AO50" s="274"/>
      <c r="AP50" s="274">
        <f t="shared" si="6"/>
        <v>4488</v>
      </c>
      <c r="AQ50" s="274"/>
      <c r="AR50" s="274">
        <f t="shared" si="7"/>
        <v>5118</v>
      </c>
      <c r="AS50" s="274"/>
      <c r="AT50" s="274">
        <f t="shared" si="8"/>
        <v>7267</v>
      </c>
      <c r="AU50" s="274"/>
      <c r="AV50" s="274">
        <f t="shared" si="9"/>
        <v>10340</v>
      </c>
      <c r="AW50" s="274"/>
      <c r="AX50" s="274">
        <f t="shared" si="10"/>
        <v>1037</v>
      </c>
      <c r="AY50" s="274">
        <f t="shared" si="11"/>
        <v>1716</v>
      </c>
      <c r="AZ50" s="274">
        <f t="shared" si="12"/>
        <v>2479</v>
      </c>
      <c r="BA50" s="274"/>
      <c r="BB50" s="274">
        <f t="shared" si="13"/>
        <v>3916</v>
      </c>
      <c r="BC50" s="274">
        <f t="shared" si="14"/>
        <v>4656</v>
      </c>
      <c r="BD50" s="274">
        <f t="shared" si="15"/>
        <v>5349</v>
      </c>
      <c r="BE50" s="274"/>
      <c r="BF50" s="274">
        <f t="shared" si="16"/>
        <v>9843</v>
      </c>
      <c r="BG50" s="274"/>
      <c r="BH50" s="274"/>
      <c r="BI50" s="266">
        <f t="shared" si="17"/>
        <v>0.90122394120002325</v>
      </c>
      <c r="BJ50" s="266" t="e">
        <f t="shared" si="18"/>
        <v>#DIV/0!</v>
      </c>
      <c r="BK50" s="266" t="str">
        <f t="shared" si="19"/>
        <v/>
      </c>
      <c r="BL50" s="266" t="str">
        <f t="shared" si="20"/>
        <v/>
      </c>
      <c r="BM50" s="266" t="str">
        <f t="shared" si="21"/>
        <v/>
      </c>
      <c r="BN50" s="266"/>
      <c r="BO50" s="266" t="str">
        <f t="shared" si="22"/>
        <v/>
      </c>
      <c r="BP50" s="266" t="str">
        <f t="shared" si="23"/>
        <v/>
      </c>
      <c r="BQ50" s="266" t="str">
        <f t="shared" si="24"/>
        <v/>
      </c>
      <c r="BR50" s="266" t="str">
        <f t="shared" si="25"/>
        <v/>
      </c>
      <c r="BS50" s="266" t="str">
        <f t="shared" si="26"/>
        <v/>
      </c>
      <c r="BT50" s="266" t="str">
        <f t="shared" si="27"/>
        <v/>
      </c>
      <c r="BU50" s="266" t="str">
        <f t="shared" si="28"/>
        <v/>
      </c>
      <c r="BV50" s="266"/>
      <c r="BW50" s="266" t="str">
        <f t="shared" si="29"/>
        <v/>
      </c>
      <c r="BX50" s="266"/>
      <c r="BY50" s="266" t="str">
        <f t="shared" si="30"/>
        <v/>
      </c>
      <c r="BZ50" s="266"/>
      <c r="CA50" s="263">
        <f t="shared" si="31"/>
        <v>0</v>
      </c>
      <c r="CB50" s="263">
        <f t="shared" si="32"/>
        <v>0</v>
      </c>
      <c r="CC50" s="263">
        <f t="shared" si="33"/>
        <v>9.6969696969696983E-2</v>
      </c>
      <c r="CD50" s="263">
        <f t="shared" si="34"/>
        <v>0</v>
      </c>
      <c r="CE50" s="263">
        <f t="shared" si="35"/>
        <v>0</v>
      </c>
      <c r="CF50" s="263">
        <f t="shared" si="36"/>
        <v>0.90303030303030307</v>
      </c>
      <c r="CG50" s="263">
        <f t="shared" si="37"/>
        <v>0</v>
      </c>
      <c r="CH50" s="263"/>
      <c r="CI50" s="263">
        <f t="shared" si="38"/>
        <v>0</v>
      </c>
      <c r="CJ50" s="263"/>
      <c r="CK50" s="263">
        <f t="shared" si="39"/>
        <v>0</v>
      </c>
      <c r="CL50" s="264">
        <f t="shared" si="40"/>
        <v>0</v>
      </c>
      <c r="CM50" s="264">
        <f t="shared" si="41"/>
        <v>4371</v>
      </c>
      <c r="CO50" s="265">
        <v>0.10608000000000001</v>
      </c>
      <c r="CP50" s="265">
        <v>0.10823000000000001</v>
      </c>
      <c r="CQ50" s="265">
        <v>0.10909000000000001</v>
      </c>
      <c r="CS50" s="265">
        <v>0.1114</v>
      </c>
      <c r="CT50" s="265">
        <v>0.11349999999999999</v>
      </c>
      <c r="CU50" s="265">
        <v>0.11198999999999999</v>
      </c>
      <c r="CW50" s="265">
        <v>0.11233</v>
      </c>
      <c r="CY50" s="265">
        <v>0.1124</v>
      </c>
      <c r="DA50" s="265">
        <v>0.11532000000000001</v>
      </c>
      <c r="DC50" s="265">
        <v>0.11429</v>
      </c>
      <c r="DE50" s="265">
        <v>4.5789999999999997E-2</v>
      </c>
      <c r="DF50" s="265">
        <v>4.7690000000000003E-2</v>
      </c>
      <c r="DH50" s="265">
        <v>4.8899999999999999E-2</v>
      </c>
      <c r="DI50" s="265">
        <v>5.2750000000000005E-2</v>
      </c>
      <c r="DJ50" s="265">
        <v>5.2729999999999999E-2</v>
      </c>
      <c r="DL50" s="265">
        <v>5.2350000000000001E-2</v>
      </c>
      <c r="DO50" s="267"/>
      <c r="DP50" s="267"/>
      <c r="DQ50" s="267"/>
      <c r="DR50" s="267"/>
      <c r="DS50" s="267"/>
      <c r="DT50" s="267"/>
      <c r="DU50" s="267"/>
      <c r="DV50" s="267"/>
      <c r="DW50" s="267"/>
      <c r="DX50" s="267"/>
      <c r="DY50" s="267"/>
      <c r="DZ50" s="205">
        <f t="shared" si="46"/>
        <v>5.208757464400552E-2</v>
      </c>
      <c r="EA50" s="205" t="e">
        <f>DA50*BJ50+(((1+$EE$59)*(1+DZ50))-1)*BI50</f>
        <v>#DIV/0!</v>
      </c>
    </row>
    <row r="51" spans="2:138">
      <c r="B51" s="272">
        <v>44749</v>
      </c>
      <c r="C51" s="271">
        <v>44749</v>
      </c>
      <c r="D51" s="263" t="e">
        <f>+SUMIFS(Tabla6[Nominal COP],Tabla6[Concepto],COSTO_OPORTUNIDAD!$B$18,Tabla6[Nemotécnico],COSTO_OPORTUNIDAD!D$16,Tabla6[Fecha Cumplimiento y/ liquidacion],COSTO_OPORTUNIDAD!$C51)/+SUMIFS(Tabla6[Nominal COP],Tabla6[Concepto],COSTO_OPORTUNIDAD!$B$18,Tabla6[Fecha Cumplimiento y/ liquidacion],COSTO_OPORTUNIDAD!$C51)</f>
        <v>#DIV/0!</v>
      </c>
      <c r="E51" s="263" t="e">
        <f>+SUMIFS(Tabla6[Nominal COP],Tabla6[Concepto],COSTO_OPORTUNIDAD!$B$18,Tabla6[Nemotécnico],COSTO_OPORTUNIDAD!E$16,Tabla6[Fecha Cumplimiento y/ liquidacion],COSTO_OPORTUNIDAD!$C51)/+SUMIFS(Tabla6[Nominal COP],Tabla6[Concepto],COSTO_OPORTUNIDAD!$B$18,Tabla6[Fecha Cumplimiento y/ liquidacion],COSTO_OPORTUNIDAD!$C51)</f>
        <v>#DIV/0!</v>
      </c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3">
        <v>7.3810388375206315E-2</v>
      </c>
      <c r="S51" s="263"/>
      <c r="T51" s="263"/>
      <c r="U51" s="263"/>
      <c r="AA51" s="263">
        <v>0.92618961162479374</v>
      </c>
      <c r="AB51" s="262"/>
      <c r="AC51" s="262"/>
      <c r="AD51" s="262"/>
      <c r="AE51" s="262"/>
      <c r="AF51" s="262"/>
      <c r="AG51" s="262"/>
      <c r="AH51" s="274">
        <f t="shared" si="0"/>
        <v>1511</v>
      </c>
      <c r="AI51" s="274">
        <f t="shared" si="1"/>
        <v>1945</v>
      </c>
      <c r="AJ51" s="274">
        <f t="shared" si="2"/>
        <v>2122</v>
      </c>
      <c r="AK51" s="274"/>
      <c r="AL51" s="274">
        <f t="shared" si="3"/>
        <v>2995</v>
      </c>
      <c r="AM51" s="274">
        <f t="shared" si="4"/>
        <v>3184</v>
      </c>
      <c r="AN51" s="274">
        <f t="shared" si="5"/>
        <v>3646</v>
      </c>
      <c r="AO51" s="274"/>
      <c r="AP51" s="274">
        <f t="shared" si="6"/>
        <v>4486</v>
      </c>
      <c r="AQ51" s="274"/>
      <c r="AR51" s="274">
        <f t="shared" si="7"/>
        <v>5116</v>
      </c>
      <c r="AS51" s="274"/>
      <c r="AT51" s="274">
        <f t="shared" si="8"/>
        <v>7265</v>
      </c>
      <c r="AU51" s="274"/>
      <c r="AV51" s="274">
        <f t="shared" si="9"/>
        <v>10338</v>
      </c>
      <c r="AW51" s="274"/>
      <c r="AX51" s="274">
        <f t="shared" si="10"/>
        <v>1035</v>
      </c>
      <c r="AY51" s="274">
        <f t="shared" si="11"/>
        <v>1714</v>
      </c>
      <c r="AZ51" s="274">
        <f t="shared" si="12"/>
        <v>2477</v>
      </c>
      <c r="BA51" s="274"/>
      <c r="BB51" s="274">
        <f t="shared" si="13"/>
        <v>3914</v>
      </c>
      <c r="BC51" s="274">
        <f t="shared" si="14"/>
        <v>4654</v>
      </c>
      <c r="BD51" s="274">
        <f t="shared" si="15"/>
        <v>5347</v>
      </c>
      <c r="BE51" s="274"/>
      <c r="BF51" s="274">
        <f t="shared" si="16"/>
        <v>9841</v>
      </c>
      <c r="BG51" s="274"/>
      <c r="BH51" s="274"/>
      <c r="BI51" s="266">
        <f t="shared" si="17"/>
        <v>0.92618961162479374</v>
      </c>
      <c r="BJ51" s="266" t="e">
        <f t="shared" si="18"/>
        <v>#DIV/0!</v>
      </c>
      <c r="BK51" s="266" t="str">
        <f t="shared" si="19"/>
        <v/>
      </c>
      <c r="BL51" s="266" t="str">
        <f t="shared" si="20"/>
        <v/>
      </c>
      <c r="BM51" s="266" t="str">
        <f t="shared" si="21"/>
        <v/>
      </c>
      <c r="BN51" s="266"/>
      <c r="BO51" s="266" t="str">
        <f t="shared" si="22"/>
        <v/>
      </c>
      <c r="BP51" s="266" t="str">
        <f t="shared" si="23"/>
        <v/>
      </c>
      <c r="BQ51" s="266" t="str">
        <f t="shared" si="24"/>
        <v/>
      </c>
      <c r="BR51" s="266" t="str">
        <f t="shared" si="25"/>
        <v/>
      </c>
      <c r="BS51" s="266" t="str">
        <f t="shared" si="26"/>
        <v/>
      </c>
      <c r="BT51" s="266" t="str">
        <f t="shared" si="27"/>
        <v/>
      </c>
      <c r="BU51" s="266" t="str">
        <f t="shared" si="28"/>
        <v/>
      </c>
      <c r="BV51" s="266"/>
      <c r="BW51" s="266" t="str">
        <f t="shared" si="29"/>
        <v/>
      </c>
      <c r="BX51" s="266"/>
      <c r="BY51" s="266" t="str">
        <f t="shared" si="30"/>
        <v/>
      </c>
      <c r="BZ51" s="266"/>
      <c r="CA51" s="263">
        <f t="shared" ref="CA51:CA114" si="47">IFERROR(V51/$BI51,"")</f>
        <v>0</v>
      </c>
      <c r="CB51" s="263">
        <f t="shared" si="32"/>
        <v>0</v>
      </c>
      <c r="CC51" s="263">
        <f t="shared" ref="CC51:CC114" si="48">IFERROR(X51/$BI51,"")</f>
        <v>0</v>
      </c>
      <c r="CD51" s="263">
        <f t="shared" si="34"/>
        <v>0</v>
      </c>
      <c r="CE51" s="263"/>
      <c r="CF51" s="263">
        <f t="shared" ref="CF51:CF114" si="49">IFERROR(AA51/$BI51,"")</f>
        <v>1</v>
      </c>
      <c r="CG51" s="263">
        <f t="shared" ref="CG51:CG114" si="50">IFERROR(AB51/$BI51,"")</f>
        <v>0</v>
      </c>
      <c r="CH51" s="263"/>
      <c r="CI51" s="263">
        <f t="shared" si="38"/>
        <v>0</v>
      </c>
      <c r="CJ51" s="263"/>
      <c r="CK51" s="263">
        <f t="shared" si="39"/>
        <v>0</v>
      </c>
      <c r="CL51" s="264">
        <f t="shared" ref="CL51:CL82" si="51">ROUND(IFERROR((_xlfn.DAYS($F$17,B51)*BK51),0)+IFERROR((_xlfn.DAYS($G$17,B51)*BL51),0)+IFERROR((_xlfn.DAYS($H$17,B51)*BM51),0)+IFERROR((_xlfn.DAYS($J$17,B51)*BO51),0)+IFERROR((_xlfn.DAYS($K$17,B51)*BP51),0)+IFERROR((_xlfn.DAYS($L$17,B51)*BQ51),0)+IFERROR((_xlfn.DAYS($N$17,B51)*BS51),0)+IFERROR((_xlfn.DAYS($P$17,B51)*BU51),0)+IFERROR((_xlfn.DAYS($R$17,B51)*BW51),0)+IFERROR((_xlfn.DAYS($T$17,B51)*BY51),0),0)</f>
        <v>0</v>
      </c>
      <c r="CM51" s="264">
        <f t="shared" si="41"/>
        <v>4654</v>
      </c>
      <c r="CO51" s="265">
        <v>0.1105</v>
      </c>
      <c r="CP51" s="265">
        <v>0.11324999999999999</v>
      </c>
      <c r="CQ51" s="265">
        <v>0.11380000000000001</v>
      </c>
      <c r="CS51" s="265">
        <v>0.11395</v>
      </c>
      <c r="CT51" s="265">
        <v>0.11599999999999999</v>
      </c>
      <c r="CU51" s="265">
        <v>0.11605</v>
      </c>
      <c r="CW51" s="265">
        <v>0.11699999999999999</v>
      </c>
      <c r="CY51" s="265">
        <v>0.11689999999999999</v>
      </c>
      <c r="DA51" s="265">
        <v>0.11999</v>
      </c>
      <c r="DC51" s="265">
        <v>0.11900000000000001</v>
      </c>
      <c r="DE51" s="265">
        <v>4.8189999999999997E-2</v>
      </c>
      <c r="DF51" s="265">
        <v>5.0499999999999996E-2</v>
      </c>
      <c r="DH51" s="265">
        <v>5.1799999999999999E-2</v>
      </c>
      <c r="DI51" s="265">
        <v>5.45E-2</v>
      </c>
      <c r="DJ51" s="265">
        <v>5.4299999999999994E-2</v>
      </c>
      <c r="DL51" s="265">
        <v>5.4939999999999996E-2</v>
      </c>
      <c r="DO51" s="267"/>
      <c r="DP51" s="267"/>
      <c r="DQ51" s="267"/>
      <c r="DR51" s="267"/>
      <c r="DS51" s="267"/>
      <c r="DT51" s="267"/>
      <c r="DU51" s="267"/>
      <c r="DV51" s="267"/>
      <c r="DW51" s="267"/>
      <c r="DX51" s="267"/>
      <c r="DY51" s="267"/>
      <c r="DZ51" s="205">
        <f t="shared" si="46"/>
        <v>5.45E-2</v>
      </c>
      <c r="EA51" s="205" t="e">
        <f>DA51*BJ51+(((1+$EE$59)*(1+DZ51))-1)*BI51</f>
        <v>#DIV/0!</v>
      </c>
      <c r="ED51" s="206"/>
      <c r="EE51" s="206"/>
    </row>
    <row r="52" spans="2:138">
      <c r="B52" s="272">
        <v>44811</v>
      </c>
      <c r="C52" s="271">
        <v>44811</v>
      </c>
      <c r="D52" s="263" t="e">
        <f>+SUMIFS(Tabla6[Nominal COP],Tabla6[Concepto],COSTO_OPORTUNIDAD!$B$18,Tabla6[Nemotécnico],COSTO_OPORTUNIDAD!D$16,Tabla6[Fecha Cumplimiento y/ liquidacion],COSTO_OPORTUNIDAD!$C52)/+SUMIFS(Tabla6[Nominal COP],Tabla6[Concepto],COSTO_OPORTUNIDAD!$B$18,Tabla6[Fecha Cumplimiento y/ liquidacion],COSTO_OPORTUNIDAD!$C52)</f>
        <v>#DIV/0!</v>
      </c>
      <c r="E52" s="263" t="e">
        <f>+SUMIFS(Tabla6[Nominal COP],Tabla6[Concepto],COSTO_OPORTUNIDAD!$B$18,Tabla6[Nemotécnico],COSTO_OPORTUNIDAD!E$16,Tabla6[Fecha Cumplimiento y/ liquidacion],COSTO_OPORTUNIDAD!$C52)/+SUMIFS(Tabla6[Nominal COP],Tabla6[Concepto],COSTO_OPORTUNIDAD!$B$18,Tabla6[Fecha Cumplimiento y/ liquidacion],COSTO_OPORTUNIDAD!$C52)</f>
        <v>#DIV/0!</v>
      </c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63"/>
      <c r="S52" s="263"/>
      <c r="T52" s="263"/>
      <c r="U52" s="263"/>
      <c r="AA52" s="263">
        <v>1</v>
      </c>
      <c r="AB52" s="262"/>
      <c r="AC52" s="262"/>
      <c r="AD52" s="262"/>
      <c r="AE52" s="262"/>
      <c r="AF52" s="262"/>
      <c r="AG52" s="262"/>
      <c r="AH52" s="274">
        <f t="shared" si="0"/>
        <v>1449</v>
      </c>
      <c r="AI52" s="274">
        <f t="shared" si="1"/>
        <v>1883</v>
      </c>
      <c r="AJ52" s="274">
        <f t="shared" si="2"/>
        <v>2060</v>
      </c>
      <c r="AK52" s="274"/>
      <c r="AL52" s="274">
        <f t="shared" si="3"/>
        <v>2933</v>
      </c>
      <c r="AM52" s="274">
        <f t="shared" si="4"/>
        <v>3122</v>
      </c>
      <c r="AN52" s="274">
        <f t="shared" si="5"/>
        <v>3584</v>
      </c>
      <c r="AO52" s="274"/>
      <c r="AP52" s="274">
        <f t="shared" si="6"/>
        <v>4424</v>
      </c>
      <c r="AQ52" s="274"/>
      <c r="AR52" s="274">
        <f t="shared" si="7"/>
        <v>5054</v>
      </c>
      <c r="AS52" s="274"/>
      <c r="AT52" s="274">
        <f t="shared" si="8"/>
        <v>7203</v>
      </c>
      <c r="AU52" s="274"/>
      <c r="AV52" s="274">
        <f t="shared" si="9"/>
        <v>10276</v>
      </c>
      <c r="AW52" s="274"/>
      <c r="AX52" s="274">
        <f t="shared" si="10"/>
        <v>973</v>
      </c>
      <c r="AY52" s="274">
        <f t="shared" si="11"/>
        <v>1652</v>
      </c>
      <c r="AZ52" s="274">
        <f t="shared" si="12"/>
        <v>2415</v>
      </c>
      <c r="BA52" s="274"/>
      <c r="BB52" s="274">
        <f t="shared" si="13"/>
        <v>3852</v>
      </c>
      <c r="BC52" s="274">
        <f t="shared" si="14"/>
        <v>4592</v>
      </c>
      <c r="BD52" s="274">
        <f t="shared" si="15"/>
        <v>5285</v>
      </c>
      <c r="BE52" s="274"/>
      <c r="BF52" s="274">
        <f t="shared" si="16"/>
        <v>9779</v>
      </c>
      <c r="BG52" s="274"/>
      <c r="BH52" s="274"/>
      <c r="BI52" s="266">
        <f t="shared" si="17"/>
        <v>1</v>
      </c>
      <c r="BJ52" s="266" t="e">
        <f t="shared" si="18"/>
        <v>#DIV/0!</v>
      </c>
      <c r="BK52" s="263" t="str">
        <f t="shared" si="19"/>
        <v/>
      </c>
      <c r="BL52" s="263" t="str">
        <f t="shared" si="20"/>
        <v/>
      </c>
      <c r="BM52" s="263" t="str">
        <f t="shared" si="21"/>
        <v/>
      </c>
      <c r="BN52" s="263"/>
      <c r="BO52" s="263" t="str">
        <f t="shared" si="22"/>
        <v/>
      </c>
      <c r="BP52" s="263" t="str">
        <f t="shared" si="23"/>
        <v/>
      </c>
      <c r="BQ52" s="263" t="str">
        <f t="shared" si="24"/>
        <v/>
      </c>
      <c r="BR52" s="263" t="str">
        <f t="shared" si="25"/>
        <v/>
      </c>
      <c r="BS52" s="266" t="str">
        <f t="shared" si="26"/>
        <v/>
      </c>
      <c r="BT52" s="266" t="str">
        <f t="shared" si="27"/>
        <v/>
      </c>
      <c r="BU52" s="263" t="str">
        <f t="shared" si="28"/>
        <v/>
      </c>
      <c r="BV52" s="263"/>
      <c r="BW52" s="263" t="str">
        <f t="shared" si="29"/>
        <v/>
      </c>
      <c r="BX52" s="263"/>
      <c r="BY52" s="263" t="str">
        <f t="shared" si="30"/>
        <v/>
      </c>
      <c r="BZ52" s="263"/>
      <c r="CA52" s="263">
        <f t="shared" si="47"/>
        <v>0</v>
      </c>
      <c r="CB52" s="263">
        <f t="shared" si="32"/>
        <v>0</v>
      </c>
      <c r="CC52" s="263">
        <f t="shared" si="48"/>
        <v>0</v>
      </c>
      <c r="CD52" s="263">
        <f t="shared" si="34"/>
        <v>0</v>
      </c>
      <c r="CE52" s="263"/>
      <c r="CF52" s="263">
        <f t="shared" si="49"/>
        <v>1</v>
      </c>
      <c r="CG52" s="263">
        <f t="shared" si="50"/>
        <v>0</v>
      </c>
      <c r="CH52" s="263"/>
      <c r="CI52" s="263">
        <f t="shared" si="38"/>
        <v>0</v>
      </c>
      <c r="CJ52" s="263"/>
      <c r="CK52" s="263">
        <f t="shared" si="39"/>
        <v>0</v>
      </c>
      <c r="CL52" s="264">
        <f t="shared" si="51"/>
        <v>0</v>
      </c>
      <c r="CM52" s="264">
        <f t="shared" si="41"/>
        <v>4592</v>
      </c>
      <c r="CO52" s="265">
        <v>0.1192</v>
      </c>
      <c r="CP52" s="265">
        <v>0.12050000000000001</v>
      </c>
      <c r="CQ52" s="265">
        <v>0.12140000000000001</v>
      </c>
      <c r="CS52" s="265">
        <v>0.1217</v>
      </c>
      <c r="CT52" s="265">
        <v>0.12195</v>
      </c>
      <c r="CU52" s="265">
        <v>0.12275</v>
      </c>
      <c r="CW52" s="265">
        <v>0.12268000000000001</v>
      </c>
      <c r="CY52" s="265">
        <v>0.12330999999999999</v>
      </c>
      <c r="DA52" s="265">
        <v>0.12381</v>
      </c>
      <c r="DC52" s="265">
        <v>0.12346</v>
      </c>
      <c r="DE52" s="265">
        <v>4.9000000000000002E-2</v>
      </c>
      <c r="DF52" s="265">
        <v>5.5930000000000001E-2</v>
      </c>
      <c r="DH52" s="265">
        <v>5.7300000000000004E-2</v>
      </c>
      <c r="DI52" s="265">
        <v>5.8209999999999998E-2</v>
      </c>
      <c r="DJ52" s="265">
        <v>5.9490000000000001E-2</v>
      </c>
      <c r="DL52" s="265">
        <v>5.9299999999999999E-2</v>
      </c>
      <c r="DO52" s="267"/>
      <c r="DP52" s="267"/>
      <c r="DQ52" s="267"/>
      <c r="DR52" s="267"/>
      <c r="DS52" s="267"/>
      <c r="DT52" s="267"/>
      <c r="DU52" s="267"/>
      <c r="DV52" s="267"/>
      <c r="DW52" s="267"/>
      <c r="DX52" s="267"/>
      <c r="DY52" s="267"/>
      <c r="DZ52" s="205">
        <f t="shared" si="46"/>
        <v>5.8209999999999998E-2</v>
      </c>
      <c r="EA52" s="205" t="e">
        <f t="shared" ref="EA52:EA68" si="52">DA52*BJ52+(((1+$EE$61)*(1+DZ52))-1)*BI52</f>
        <v>#DIV/0!</v>
      </c>
    </row>
    <row r="53" spans="2:138" ht="22.7" customHeight="1">
      <c r="B53" s="272">
        <v>44812</v>
      </c>
      <c r="C53" s="271">
        <v>44812</v>
      </c>
      <c r="D53" s="263" t="e">
        <f>+SUMIFS(Tabla6[Nominal COP],Tabla6[Concepto],COSTO_OPORTUNIDAD!$B$18,Tabla6[Nemotécnico],COSTO_OPORTUNIDAD!D$16,Tabla6[Fecha Cumplimiento y/ liquidacion],COSTO_OPORTUNIDAD!$C53)/+SUMIFS(Tabla6[Nominal COP],Tabla6[Concepto],COSTO_OPORTUNIDAD!$B$18,Tabla6[Fecha Cumplimiento y/ liquidacion],COSTO_OPORTUNIDAD!$C53)</f>
        <v>#DIV/0!</v>
      </c>
      <c r="E53" s="263" t="e">
        <f>+SUMIFS(Tabla6[Nominal COP],Tabla6[Concepto],COSTO_OPORTUNIDAD!$B$18,Tabla6[Nemotécnico],COSTO_OPORTUNIDAD!E$16,Tabla6[Fecha Cumplimiento y/ liquidacion],COSTO_OPORTUNIDAD!$C53)/+SUMIFS(Tabla6[Nominal COP],Tabla6[Concepto],COSTO_OPORTUNIDAD!$B$18,Tabla6[Fecha Cumplimiento y/ liquidacion],COSTO_OPORTUNIDAD!$C53)</f>
        <v>#DIV/0!</v>
      </c>
      <c r="F53" s="262"/>
      <c r="G53" s="262"/>
      <c r="H53" s="262"/>
      <c r="I53" s="262"/>
      <c r="J53" s="262"/>
      <c r="K53" s="262"/>
      <c r="L53" s="262"/>
      <c r="M53" s="262"/>
      <c r="N53" s="262"/>
      <c r="O53" s="262"/>
      <c r="P53" s="262"/>
      <c r="Q53" s="262"/>
      <c r="R53" s="263"/>
      <c r="S53" s="263"/>
      <c r="T53" s="263"/>
      <c r="U53" s="263"/>
      <c r="AA53" s="263">
        <v>1</v>
      </c>
      <c r="AB53" s="262"/>
      <c r="AC53" s="262"/>
      <c r="AD53" s="262"/>
      <c r="AE53" s="262"/>
      <c r="AF53" s="262"/>
      <c r="AG53" s="262"/>
      <c r="AH53" s="274">
        <f t="shared" si="0"/>
        <v>1448</v>
      </c>
      <c r="AI53" s="274">
        <f t="shared" si="1"/>
        <v>1882</v>
      </c>
      <c r="AJ53" s="274">
        <f t="shared" si="2"/>
        <v>2059</v>
      </c>
      <c r="AK53" s="274"/>
      <c r="AL53" s="274">
        <f t="shared" si="3"/>
        <v>2932</v>
      </c>
      <c r="AM53" s="274">
        <f t="shared" si="4"/>
        <v>3121</v>
      </c>
      <c r="AN53" s="274">
        <f t="shared" si="5"/>
        <v>3583</v>
      </c>
      <c r="AO53" s="274"/>
      <c r="AP53" s="274">
        <f t="shared" si="6"/>
        <v>4423</v>
      </c>
      <c r="AQ53" s="274"/>
      <c r="AR53" s="274">
        <f t="shared" si="7"/>
        <v>5053</v>
      </c>
      <c r="AS53" s="274"/>
      <c r="AT53" s="274">
        <f t="shared" si="8"/>
        <v>7202</v>
      </c>
      <c r="AU53" s="274"/>
      <c r="AV53" s="274">
        <f t="shared" si="9"/>
        <v>10275</v>
      </c>
      <c r="AW53" s="274"/>
      <c r="AX53" s="274">
        <f t="shared" si="10"/>
        <v>972</v>
      </c>
      <c r="AY53" s="274">
        <f t="shared" si="11"/>
        <v>1651</v>
      </c>
      <c r="AZ53" s="274">
        <f t="shared" si="12"/>
        <v>2414</v>
      </c>
      <c r="BA53" s="274"/>
      <c r="BB53" s="274">
        <f t="shared" si="13"/>
        <v>3851</v>
      </c>
      <c r="BC53" s="274">
        <f t="shared" si="14"/>
        <v>4591</v>
      </c>
      <c r="BD53" s="274">
        <f t="shared" si="15"/>
        <v>5284</v>
      </c>
      <c r="BE53" s="274"/>
      <c r="BF53" s="274">
        <f t="shared" si="16"/>
        <v>9778</v>
      </c>
      <c r="BG53" s="274"/>
      <c r="BH53" s="274"/>
      <c r="BI53" s="266">
        <f t="shared" si="17"/>
        <v>1</v>
      </c>
      <c r="BJ53" s="266" t="e">
        <f t="shared" si="18"/>
        <v>#DIV/0!</v>
      </c>
      <c r="BK53" s="263" t="str">
        <f t="shared" si="19"/>
        <v/>
      </c>
      <c r="BL53" s="263" t="str">
        <f t="shared" si="20"/>
        <v/>
      </c>
      <c r="BM53" s="263" t="str">
        <f t="shared" si="21"/>
        <v/>
      </c>
      <c r="BN53" s="263"/>
      <c r="BO53" s="263" t="str">
        <f t="shared" si="22"/>
        <v/>
      </c>
      <c r="BP53" s="263" t="str">
        <f t="shared" si="23"/>
        <v/>
      </c>
      <c r="BQ53" s="263" t="str">
        <f t="shared" si="24"/>
        <v/>
      </c>
      <c r="BR53" s="263" t="str">
        <f t="shared" si="25"/>
        <v/>
      </c>
      <c r="BS53" s="263" t="str">
        <f t="shared" si="26"/>
        <v/>
      </c>
      <c r="BT53" s="263" t="str">
        <f t="shared" si="27"/>
        <v/>
      </c>
      <c r="BU53" s="263" t="str">
        <f t="shared" si="28"/>
        <v/>
      </c>
      <c r="BV53" s="263"/>
      <c r="BW53" s="263" t="str">
        <f t="shared" si="29"/>
        <v/>
      </c>
      <c r="BX53" s="263"/>
      <c r="BY53" s="263" t="str">
        <f t="shared" si="30"/>
        <v/>
      </c>
      <c r="BZ53" s="263"/>
      <c r="CA53" s="263">
        <f t="shared" si="47"/>
        <v>0</v>
      </c>
      <c r="CB53" s="263">
        <f t="shared" si="32"/>
        <v>0</v>
      </c>
      <c r="CC53" s="263">
        <f t="shared" si="48"/>
        <v>0</v>
      </c>
      <c r="CD53" s="263">
        <f t="shared" si="34"/>
        <v>0</v>
      </c>
      <c r="CE53" s="263"/>
      <c r="CF53" s="263">
        <f t="shared" si="49"/>
        <v>1</v>
      </c>
      <c r="CG53" s="263">
        <f t="shared" si="50"/>
        <v>0</v>
      </c>
      <c r="CH53" s="263"/>
      <c r="CI53" s="263">
        <f t="shared" si="38"/>
        <v>0</v>
      </c>
      <c r="CJ53" s="263"/>
      <c r="CK53" s="263">
        <f t="shared" si="39"/>
        <v>0</v>
      </c>
      <c r="CL53" s="264">
        <f t="shared" si="51"/>
        <v>0</v>
      </c>
      <c r="CM53" s="264">
        <f t="shared" si="41"/>
        <v>4591</v>
      </c>
      <c r="CO53" s="265">
        <v>0.12044000000000001</v>
      </c>
      <c r="CP53" s="265">
        <v>0.12117000000000001</v>
      </c>
      <c r="CQ53" s="265">
        <v>0.12154999999999999</v>
      </c>
      <c r="CS53" s="265">
        <v>0.12230000000000001</v>
      </c>
      <c r="CT53" s="265">
        <v>0.12199</v>
      </c>
      <c r="CU53" s="265">
        <v>0.1225</v>
      </c>
      <c r="CW53" s="265">
        <v>0.1226</v>
      </c>
      <c r="CY53" s="265">
        <v>0.12300000000000001</v>
      </c>
      <c r="DA53" s="265">
        <v>0.12520000000000001</v>
      </c>
      <c r="DC53" s="265">
        <v>0.12361000000000001</v>
      </c>
      <c r="DE53" s="265">
        <v>4.795E-2</v>
      </c>
      <c r="DF53" s="265">
        <v>5.561E-2</v>
      </c>
      <c r="DH53" s="265">
        <v>5.7089999999999995E-2</v>
      </c>
      <c r="DI53" s="265">
        <v>5.8200000000000002E-2</v>
      </c>
      <c r="DJ53" s="265">
        <v>5.9429999999999997E-2</v>
      </c>
      <c r="DL53" s="265">
        <v>5.8970000000000002E-2</v>
      </c>
      <c r="DO53" s="267"/>
      <c r="DP53" s="267"/>
      <c r="DQ53" s="267"/>
      <c r="DR53" s="267"/>
      <c r="DS53" s="267"/>
      <c r="DT53" s="267"/>
      <c r="DU53" s="267"/>
      <c r="DV53" s="267"/>
      <c r="DW53" s="267"/>
      <c r="DX53" s="267"/>
      <c r="DY53" s="267"/>
      <c r="DZ53" s="205">
        <f t="shared" si="46"/>
        <v>5.8200000000000002E-2</v>
      </c>
      <c r="EA53" s="205" t="e">
        <f t="shared" si="52"/>
        <v>#DIV/0!</v>
      </c>
      <c r="EC53" s="516" t="s">
        <v>0</v>
      </c>
      <c r="ED53" s="516" t="s">
        <v>444</v>
      </c>
      <c r="EE53" s="207" t="s">
        <v>445</v>
      </c>
    </row>
    <row r="54" spans="2:138" ht="22.7" customHeight="1">
      <c r="B54" s="272">
        <v>44813</v>
      </c>
      <c r="C54" s="271">
        <v>44813</v>
      </c>
      <c r="D54" s="263" t="e">
        <f>+SUMIFS(Tabla6[Nominal COP],Tabla6[Concepto],COSTO_OPORTUNIDAD!$B$18,Tabla6[Nemotécnico],COSTO_OPORTUNIDAD!D$16,Tabla6[Fecha Cumplimiento y/ liquidacion],COSTO_OPORTUNIDAD!$C54)/+SUMIFS(Tabla6[Nominal COP],Tabla6[Concepto],COSTO_OPORTUNIDAD!$B$18,Tabla6[Fecha Cumplimiento y/ liquidacion],COSTO_OPORTUNIDAD!$C54)</f>
        <v>#DIV/0!</v>
      </c>
      <c r="E54" s="263" t="e">
        <f>+SUMIFS(Tabla6[Nominal COP],Tabla6[Concepto],COSTO_OPORTUNIDAD!$B$18,Tabla6[Nemotécnico],COSTO_OPORTUNIDAD!E$16,Tabla6[Fecha Cumplimiento y/ liquidacion],COSTO_OPORTUNIDAD!$C54)/+SUMIFS(Tabla6[Nominal COP],Tabla6[Concepto],COSTO_OPORTUNIDAD!$B$18,Tabla6[Fecha Cumplimiento y/ liquidacion],COSTO_OPORTUNIDAD!$C54)</f>
        <v>#DIV/0!</v>
      </c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3"/>
      <c r="S54" s="263"/>
      <c r="T54" s="263"/>
      <c r="U54" s="263"/>
      <c r="AA54" s="263">
        <v>1</v>
      </c>
      <c r="AB54" s="262"/>
      <c r="AC54" s="262"/>
      <c r="AD54" s="262"/>
      <c r="AE54" s="262"/>
      <c r="AF54" s="262"/>
      <c r="AG54" s="262"/>
      <c r="AH54" s="274">
        <f t="shared" si="0"/>
        <v>1447</v>
      </c>
      <c r="AI54" s="274">
        <f t="shared" si="1"/>
        <v>1881</v>
      </c>
      <c r="AJ54" s="274">
        <f t="shared" si="2"/>
        <v>2058</v>
      </c>
      <c r="AK54" s="274"/>
      <c r="AL54" s="274">
        <f t="shared" si="3"/>
        <v>2931</v>
      </c>
      <c r="AM54" s="274">
        <f t="shared" si="4"/>
        <v>3120</v>
      </c>
      <c r="AN54" s="274">
        <f t="shared" si="5"/>
        <v>3582</v>
      </c>
      <c r="AO54" s="274"/>
      <c r="AP54" s="274">
        <f t="shared" si="6"/>
        <v>4422</v>
      </c>
      <c r="AQ54" s="274"/>
      <c r="AR54" s="274">
        <f t="shared" si="7"/>
        <v>5052</v>
      </c>
      <c r="AS54" s="274"/>
      <c r="AT54" s="274">
        <f t="shared" si="8"/>
        <v>7201</v>
      </c>
      <c r="AU54" s="274"/>
      <c r="AV54" s="274">
        <f t="shared" si="9"/>
        <v>10274</v>
      </c>
      <c r="AW54" s="274"/>
      <c r="AX54" s="274">
        <f t="shared" si="10"/>
        <v>971</v>
      </c>
      <c r="AY54" s="274">
        <f t="shared" si="11"/>
        <v>1650</v>
      </c>
      <c r="AZ54" s="274">
        <f t="shared" si="12"/>
        <v>2413</v>
      </c>
      <c r="BA54" s="274"/>
      <c r="BB54" s="274">
        <f t="shared" si="13"/>
        <v>3850</v>
      </c>
      <c r="BC54" s="274">
        <f t="shared" si="14"/>
        <v>4590</v>
      </c>
      <c r="BD54" s="274">
        <f t="shared" si="15"/>
        <v>5283</v>
      </c>
      <c r="BE54" s="274"/>
      <c r="BF54" s="274">
        <f t="shared" si="16"/>
        <v>9777</v>
      </c>
      <c r="BG54" s="274"/>
      <c r="BH54" s="274"/>
      <c r="BI54" s="266">
        <f t="shared" si="17"/>
        <v>1</v>
      </c>
      <c r="BJ54" s="266" t="e">
        <f t="shared" si="18"/>
        <v>#DIV/0!</v>
      </c>
      <c r="BK54" s="263" t="str">
        <f t="shared" si="19"/>
        <v/>
      </c>
      <c r="BL54" s="263" t="str">
        <f t="shared" si="20"/>
        <v/>
      </c>
      <c r="BM54" s="263" t="str">
        <f t="shared" si="21"/>
        <v/>
      </c>
      <c r="BN54" s="263"/>
      <c r="BO54" s="263" t="str">
        <f t="shared" si="22"/>
        <v/>
      </c>
      <c r="BP54" s="263" t="str">
        <f t="shared" si="23"/>
        <v/>
      </c>
      <c r="BQ54" s="263" t="str">
        <f t="shared" si="24"/>
        <v/>
      </c>
      <c r="BR54" s="263" t="str">
        <f t="shared" si="25"/>
        <v/>
      </c>
      <c r="BS54" s="263" t="str">
        <f t="shared" si="26"/>
        <v/>
      </c>
      <c r="BT54" s="263" t="str">
        <f t="shared" si="27"/>
        <v/>
      </c>
      <c r="BU54" s="263" t="str">
        <f t="shared" si="28"/>
        <v/>
      </c>
      <c r="BV54" s="263"/>
      <c r="BW54" s="263" t="str">
        <f t="shared" si="29"/>
        <v/>
      </c>
      <c r="BX54" s="263"/>
      <c r="BY54" s="263" t="str">
        <f t="shared" si="30"/>
        <v/>
      </c>
      <c r="BZ54" s="263"/>
      <c r="CA54" s="263">
        <f t="shared" si="47"/>
        <v>0</v>
      </c>
      <c r="CB54" s="263">
        <f t="shared" si="32"/>
        <v>0</v>
      </c>
      <c r="CC54" s="263">
        <f t="shared" si="48"/>
        <v>0</v>
      </c>
      <c r="CD54" s="263">
        <f t="shared" si="34"/>
        <v>0</v>
      </c>
      <c r="CE54" s="263"/>
      <c r="CF54" s="263">
        <f t="shared" si="49"/>
        <v>1</v>
      </c>
      <c r="CG54" s="263">
        <f t="shared" si="50"/>
        <v>0</v>
      </c>
      <c r="CH54" s="263"/>
      <c r="CI54" s="263">
        <f t="shared" si="38"/>
        <v>0</v>
      </c>
      <c r="CJ54" s="263"/>
      <c r="CK54" s="263">
        <f t="shared" si="39"/>
        <v>0</v>
      </c>
      <c r="CL54" s="264">
        <f t="shared" si="51"/>
        <v>0</v>
      </c>
      <c r="CM54" s="264">
        <f t="shared" si="41"/>
        <v>4590</v>
      </c>
      <c r="CO54" s="265">
        <v>0.1192</v>
      </c>
      <c r="CP54" s="265">
        <v>0.12135</v>
      </c>
      <c r="CQ54" s="265">
        <v>0.12139</v>
      </c>
      <c r="CS54" s="265">
        <v>0.12300000000000001</v>
      </c>
      <c r="CT54" s="265">
        <v>0.12103</v>
      </c>
      <c r="CU54" s="265">
        <v>0.12300000000000001</v>
      </c>
      <c r="CW54" s="265">
        <v>0.1235</v>
      </c>
      <c r="CY54" s="265">
        <v>0.12362999999999999</v>
      </c>
      <c r="DA54" s="265">
        <v>0.1255</v>
      </c>
      <c r="DC54" s="265">
        <v>0.12429999999999999</v>
      </c>
      <c r="DE54" s="265">
        <v>4.5999999999999999E-2</v>
      </c>
      <c r="DF54" s="265">
        <v>5.4600000000000003E-2</v>
      </c>
      <c r="DH54" s="265">
        <v>5.6799999999999996E-2</v>
      </c>
      <c r="DI54" s="265">
        <v>5.8339999999999996E-2</v>
      </c>
      <c r="DJ54" s="265">
        <v>5.9400000000000001E-2</v>
      </c>
      <c r="DL54" s="265">
        <v>5.9020000000000003E-2</v>
      </c>
      <c r="DO54" s="267"/>
      <c r="DP54" s="267"/>
      <c r="DQ54" s="267"/>
      <c r="DR54" s="267"/>
      <c r="DS54" s="267"/>
      <c r="DT54" s="267"/>
      <c r="DU54" s="267"/>
      <c r="DV54" s="267"/>
      <c r="DW54" s="267"/>
      <c r="DX54" s="267"/>
      <c r="DY54" s="267"/>
      <c r="DZ54" s="205">
        <f t="shared" si="46"/>
        <v>5.8339999999999996E-2</v>
      </c>
      <c r="EA54" s="205" t="e">
        <f t="shared" si="52"/>
        <v>#DIV/0!</v>
      </c>
      <c r="EC54" s="516"/>
      <c r="ED54" s="516"/>
      <c r="EE54" s="206" t="s">
        <v>236</v>
      </c>
    </row>
    <row r="55" spans="2:138" ht="22.7" customHeight="1">
      <c r="B55" s="272">
        <v>44816</v>
      </c>
      <c r="C55" s="271">
        <v>44816</v>
      </c>
      <c r="D55" s="263" t="e">
        <f>+SUMIFS(Tabla6[Nominal COP],Tabla6[Concepto],COSTO_OPORTUNIDAD!$B$18,Tabla6[Nemotécnico],COSTO_OPORTUNIDAD!D$16,Tabla6[Fecha Cumplimiento y/ liquidacion],COSTO_OPORTUNIDAD!$C55)/+SUMIFS(Tabla6[Nominal COP],Tabla6[Concepto],COSTO_OPORTUNIDAD!$B$18,Tabla6[Fecha Cumplimiento y/ liquidacion],COSTO_OPORTUNIDAD!$C55)</f>
        <v>#DIV/0!</v>
      </c>
      <c r="E55" s="263" t="e">
        <f>+SUMIFS(Tabla6[Nominal COP],Tabla6[Concepto],COSTO_OPORTUNIDAD!$B$18,Tabla6[Nemotécnico],COSTO_OPORTUNIDAD!E$16,Tabla6[Fecha Cumplimiento y/ liquidacion],COSTO_OPORTUNIDAD!$C55)/+SUMIFS(Tabla6[Nominal COP],Tabla6[Concepto],COSTO_OPORTUNIDAD!$B$18,Tabla6[Fecha Cumplimiento y/ liquidacion],COSTO_OPORTUNIDAD!$C55)</f>
        <v>#DIV/0!</v>
      </c>
      <c r="F55" s="262"/>
      <c r="G55" s="262"/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3"/>
      <c r="S55" s="263"/>
      <c r="T55" s="263"/>
      <c r="U55" s="263"/>
      <c r="AA55" s="263">
        <v>1</v>
      </c>
      <c r="AB55" s="262"/>
      <c r="AC55" s="262"/>
      <c r="AD55" s="262"/>
      <c r="AE55" s="262"/>
      <c r="AF55" s="262"/>
      <c r="AG55" s="262"/>
      <c r="AH55" s="274">
        <f t="shared" si="0"/>
        <v>1444</v>
      </c>
      <c r="AI55" s="274">
        <f t="shared" si="1"/>
        <v>1878</v>
      </c>
      <c r="AJ55" s="274">
        <f t="shared" si="2"/>
        <v>2055</v>
      </c>
      <c r="AK55" s="274"/>
      <c r="AL55" s="274">
        <f t="shared" si="3"/>
        <v>2928</v>
      </c>
      <c r="AM55" s="274">
        <f t="shared" si="4"/>
        <v>3117</v>
      </c>
      <c r="AN55" s="274">
        <f t="shared" si="5"/>
        <v>3579</v>
      </c>
      <c r="AO55" s="274"/>
      <c r="AP55" s="274">
        <f t="shared" si="6"/>
        <v>4419</v>
      </c>
      <c r="AQ55" s="274"/>
      <c r="AR55" s="274">
        <f t="shared" si="7"/>
        <v>5049</v>
      </c>
      <c r="AS55" s="274"/>
      <c r="AT55" s="274">
        <f t="shared" si="8"/>
        <v>7198</v>
      </c>
      <c r="AU55" s="274"/>
      <c r="AV55" s="274">
        <f t="shared" si="9"/>
        <v>10271</v>
      </c>
      <c r="AW55" s="274"/>
      <c r="AX55" s="274">
        <f t="shared" si="10"/>
        <v>968</v>
      </c>
      <c r="AY55" s="274">
        <f t="shared" si="11"/>
        <v>1647</v>
      </c>
      <c r="AZ55" s="274">
        <f t="shared" si="12"/>
        <v>2410</v>
      </c>
      <c r="BA55" s="274"/>
      <c r="BB55" s="274">
        <f t="shared" si="13"/>
        <v>3847</v>
      </c>
      <c r="BC55" s="274">
        <f t="shared" si="14"/>
        <v>4587</v>
      </c>
      <c r="BD55" s="274">
        <f t="shared" si="15"/>
        <v>5280</v>
      </c>
      <c r="BE55" s="274"/>
      <c r="BF55" s="274">
        <f t="shared" si="16"/>
        <v>9774</v>
      </c>
      <c r="BG55" s="274"/>
      <c r="BH55" s="274"/>
      <c r="BI55" s="266">
        <f t="shared" si="17"/>
        <v>1</v>
      </c>
      <c r="BJ55" s="266" t="e">
        <f t="shared" si="18"/>
        <v>#DIV/0!</v>
      </c>
      <c r="BK55" s="263" t="str">
        <f t="shared" si="19"/>
        <v/>
      </c>
      <c r="BL55" s="263" t="str">
        <f t="shared" si="20"/>
        <v/>
      </c>
      <c r="BM55" s="263" t="str">
        <f t="shared" si="21"/>
        <v/>
      </c>
      <c r="BN55" s="263"/>
      <c r="BO55" s="263" t="str">
        <f t="shared" si="22"/>
        <v/>
      </c>
      <c r="BP55" s="263" t="str">
        <f t="shared" si="23"/>
        <v/>
      </c>
      <c r="BQ55" s="263" t="str">
        <f t="shared" si="24"/>
        <v/>
      </c>
      <c r="BR55" s="263" t="str">
        <f t="shared" si="25"/>
        <v/>
      </c>
      <c r="BS55" s="263" t="str">
        <f t="shared" si="26"/>
        <v/>
      </c>
      <c r="BT55" s="263" t="str">
        <f t="shared" si="27"/>
        <v/>
      </c>
      <c r="BU55" s="263" t="str">
        <f t="shared" si="28"/>
        <v/>
      </c>
      <c r="BV55" s="263"/>
      <c r="BW55" s="263" t="str">
        <f t="shared" si="29"/>
        <v/>
      </c>
      <c r="BX55" s="263"/>
      <c r="BY55" s="263" t="str">
        <f t="shared" si="30"/>
        <v/>
      </c>
      <c r="BZ55" s="263"/>
      <c r="CA55" s="263">
        <f t="shared" si="47"/>
        <v>0</v>
      </c>
      <c r="CB55" s="263">
        <f t="shared" si="32"/>
        <v>0</v>
      </c>
      <c r="CC55" s="263">
        <f t="shared" si="48"/>
        <v>0</v>
      </c>
      <c r="CD55" s="263">
        <f t="shared" si="34"/>
        <v>0</v>
      </c>
      <c r="CE55" s="263"/>
      <c r="CF55" s="263">
        <f t="shared" si="49"/>
        <v>1</v>
      </c>
      <c r="CG55" s="263">
        <f t="shared" si="50"/>
        <v>0</v>
      </c>
      <c r="CH55" s="263"/>
      <c r="CI55" s="263">
        <f t="shared" si="38"/>
        <v>0</v>
      </c>
      <c r="CJ55" s="263"/>
      <c r="CK55" s="263">
        <f t="shared" si="39"/>
        <v>0</v>
      </c>
      <c r="CL55" s="264">
        <f t="shared" si="51"/>
        <v>0</v>
      </c>
      <c r="CM55" s="264">
        <f t="shared" si="41"/>
        <v>4587</v>
      </c>
      <c r="CO55" s="265">
        <v>0.12265000000000001</v>
      </c>
      <c r="CP55" s="265">
        <v>0.12336999999999999</v>
      </c>
      <c r="CQ55" s="265">
        <v>0.12365999999999999</v>
      </c>
      <c r="CS55" s="265">
        <v>0.12468</v>
      </c>
      <c r="CT55" s="265">
        <v>0.12321</v>
      </c>
      <c r="CU55" s="265">
        <v>0.1245</v>
      </c>
      <c r="CW55" s="265">
        <v>0.12454999999999999</v>
      </c>
      <c r="CY55" s="265">
        <v>0.12529000000000001</v>
      </c>
      <c r="DA55" s="265">
        <v>0.12673000000000001</v>
      </c>
      <c r="DC55" s="265">
        <v>0.126</v>
      </c>
      <c r="DE55" s="265">
        <v>4.5499999999999999E-2</v>
      </c>
      <c r="DF55" s="265">
        <v>5.4640000000000001E-2</v>
      </c>
      <c r="DH55" s="265">
        <v>5.6799999999999996E-2</v>
      </c>
      <c r="DI55" s="265">
        <v>5.8650000000000001E-2</v>
      </c>
      <c r="DJ55" s="265">
        <v>5.9299999999999999E-2</v>
      </c>
      <c r="DL55" s="265">
        <v>5.9040000000000002E-2</v>
      </c>
      <c r="DO55" s="267"/>
      <c r="DP55" s="267"/>
      <c r="DQ55" s="267"/>
      <c r="DR55" s="267"/>
      <c r="DS55" s="267"/>
      <c r="DT55" s="267"/>
      <c r="DU55" s="267"/>
      <c r="DV55" s="267"/>
      <c r="DW55" s="267"/>
      <c r="DX55" s="267"/>
      <c r="DY55" s="267"/>
      <c r="DZ55" s="205">
        <f t="shared" si="46"/>
        <v>5.8650000000000001E-2</v>
      </c>
      <c r="EA55" s="205" t="e">
        <f t="shared" si="52"/>
        <v>#DIV/0!</v>
      </c>
      <c r="EC55" s="195">
        <v>2022</v>
      </c>
      <c r="ED55" s="195" t="s">
        <v>446</v>
      </c>
      <c r="EE55" s="205">
        <v>8.5299999999999987E-2</v>
      </c>
      <c r="EF55" s="208">
        <v>8.5299999999999987E-2</v>
      </c>
    </row>
    <row r="56" spans="2:138" ht="22.7" customHeight="1">
      <c r="B56" s="272">
        <v>44818</v>
      </c>
      <c r="C56" s="271">
        <v>44818</v>
      </c>
      <c r="D56" s="263" t="e">
        <f>+SUMIFS(Tabla6[Nominal COP],Tabla6[Concepto],COSTO_OPORTUNIDAD!$B$18,Tabla6[Nemotécnico],COSTO_OPORTUNIDAD!D$16,Tabla6[Fecha Cumplimiento y/ liquidacion],COSTO_OPORTUNIDAD!$C56)/+SUMIFS(Tabla6[Nominal COP],Tabla6[Concepto],COSTO_OPORTUNIDAD!$B$18,Tabla6[Fecha Cumplimiento y/ liquidacion],COSTO_OPORTUNIDAD!$C56)</f>
        <v>#DIV/0!</v>
      </c>
      <c r="E56" s="263" t="e">
        <f>+SUMIFS(Tabla6[Nominal COP],Tabla6[Concepto],COSTO_OPORTUNIDAD!$B$18,Tabla6[Nemotécnico],COSTO_OPORTUNIDAD!E$16,Tabla6[Fecha Cumplimiento y/ liquidacion],COSTO_OPORTUNIDAD!$C56)/+SUMIFS(Tabla6[Nominal COP],Tabla6[Concepto],COSTO_OPORTUNIDAD!$B$18,Tabla6[Fecha Cumplimiento y/ liquidacion],COSTO_OPORTUNIDAD!$C56)</f>
        <v>#DIV/0!</v>
      </c>
      <c r="F56" s="262"/>
      <c r="G56" s="262"/>
      <c r="H56" s="262"/>
      <c r="I56" s="262"/>
      <c r="J56" s="262"/>
      <c r="K56" s="262"/>
      <c r="L56" s="262"/>
      <c r="M56" s="262"/>
      <c r="N56" s="262"/>
      <c r="O56" s="262"/>
      <c r="P56" s="262"/>
      <c r="Q56" s="262"/>
      <c r="R56" s="263"/>
      <c r="S56" s="263"/>
      <c r="T56" s="263"/>
      <c r="U56" s="263"/>
      <c r="AA56" s="263">
        <v>1</v>
      </c>
      <c r="AB56" s="262"/>
      <c r="AC56" s="262"/>
      <c r="AD56" s="262"/>
      <c r="AE56" s="262"/>
      <c r="AF56" s="262"/>
      <c r="AG56" s="262"/>
      <c r="AH56" s="274">
        <f t="shared" si="0"/>
        <v>1442</v>
      </c>
      <c r="AI56" s="274">
        <f t="shared" si="1"/>
        <v>1876</v>
      </c>
      <c r="AJ56" s="274">
        <f t="shared" si="2"/>
        <v>2053</v>
      </c>
      <c r="AK56" s="274"/>
      <c r="AL56" s="274">
        <f t="shared" si="3"/>
        <v>2926</v>
      </c>
      <c r="AM56" s="274">
        <f t="shared" si="4"/>
        <v>3115</v>
      </c>
      <c r="AN56" s="274">
        <f t="shared" si="5"/>
        <v>3577</v>
      </c>
      <c r="AO56" s="274"/>
      <c r="AP56" s="274">
        <f t="shared" si="6"/>
        <v>4417</v>
      </c>
      <c r="AQ56" s="274"/>
      <c r="AR56" s="274">
        <f t="shared" si="7"/>
        <v>5047</v>
      </c>
      <c r="AS56" s="274"/>
      <c r="AT56" s="274">
        <f t="shared" si="8"/>
        <v>7196</v>
      </c>
      <c r="AU56" s="274"/>
      <c r="AV56" s="274">
        <f t="shared" si="9"/>
        <v>10269</v>
      </c>
      <c r="AW56" s="274"/>
      <c r="AX56" s="274">
        <f t="shared" si="10"/>
        <v>966</v>
      </c>
      <c r="AY56" s="274">
        <f t="shared" si="11"/>
        <v>1645</v>
      </c>
      <c r="AZ56" s="274">
        <f t="shared" si="12"/>
        <v>2408</v>
      </c>
      <c r="BA56" s="274"/>
      <c r="BB56" s="274">
        <f t="shared" si="13"/>
        <v>3845</v>
      </c>
      <c r="BC56" s="274">
        <f t="shared" si="14"/>
        <v>4585</v>
      </c>
      <c r="BD56" s="274">
        <f t="shared" si="15"/>
        <v>5278</v>
      </c>
      <c r="BE56" s="274"/>
      <c r="BF56" s="274">
        <f t="shared" si="16"/>
        <v>9772</v>
      </c>
      <c r="BG56" s="274"/>
      <c r="BH56" s="274"/>
      <c r="BI56" s="266">
        <f t="shared" si="17"/>
        <v>1</v>
      </c>
      <c r="BJ56" s="266" t="e">
        <f t="shared" si="18"/>
        <v>#DIV/0!</v>
      </c>
      <c r="BK56" s="263" t="str">
        <f t="shared" si="19"/>
        <v/>
      </c>
      <c r="BL56" s="263" t="str">
        <f t="shared" si="20"/>
        <v/>
      </c>
      <c r="BM56" s="263" t="str">
        <f t="shared" si="21"/>
        <v/>
      </c>
      <c r="BN56" s="263"/>
      <c r="BO56" s="263" t="str">
        <f t="shared" si="22"/>
        <v/>
      </c>
      <c r="BP56" s="263" t="str">
        <f t="shared" si="23"/>
        <v/>
      </c>
      <c r="BQ56" s="263" t="str">
        <f t="shared" si="24"/>
        <v/>
      </c>
      <c r="BR56" s="263" t="str">
        <f t="shared" si="25"/>
        <v/>
      </c>
      <c r="BS56" s="263" t="str">
        <f t="shared" si="26"/>
        <v/>
      </c>
      <c r="BT56" s="263" t="str">
        <f t="shared" si="27"/>
        <v/>
      </c>
      <c r="BU56" s="263" t="str">
        <f t="shared" si="28"/>
        <v/>
      </c>
      <c r="BV56" s="263"/>
      <c r="BW56" s="263" t="str">
        <f t="shared" si="29"/>
        <v/>
      </c>
      <c r="BX56" s="263"/>
      <c r="BY56" s="263" t="str">
        <f t="shared" si="30"/>
        <v/>
      </c>
      <c r="BZ56" s="263"/>
      <c r="CA56" s="263">
        <f t="shared" si="47"/>
        <v>0</v>
      </c>
      <c r="CB56" s="263">
        <f t="shared" si="32"/>
        <v>0</v>
      </c>
      <c r="CC56" s="263">
        <f t="shared" si="48"/>
        <v>0</v>
      </c>
      <c r="CD56" s="263">
        <f t="shared" si="34"/>
        <v>0</v>
      </c>
      <c r="CE56" s="263"/>
      <c r="CF56" s="263">
        <f t="shared" si="49"/>
        <v>1</v>
      </c>
      <c r="CG56" s="263">
        <f t="shared" si="50"/>
        <v>0</v>
      </c>
      <c r="CH56" s="263"/>
      <c r="CI56" s="263">
        <f t="shared" si="38"/>
        <v>0</v>
      </c>
      <c r="CJ56" s="263"/>
      <c r="CK56" s="263">
        <f t="shared" si="39"/>
        <v>0</v>
      </c>
      <c r="CL56" s="264">
        <f t="shared" si="51"/>
        <v>0</v>
      </c>
      <c r="CM56" s="264">
        <f t="shared" si="41"/>
        <v>4585</v>
      </c>
      <c r="CO56" s="265">
        <v>0.12390000000000001</v>
      </c>
      <c r="CP56" s="265">
        <v>0.12469</v>
      </c>
      <c r="CQ56" s="265">
        <v>0.12462999999999999</v>
      </c>
      <c r="CS56" s="265">
        <v>0.12523000000000001</v>
      </c>
      <c r="CT56" s="265">
        <v>0.1249</v>
      </c>
      <c r="CU56" s="265">
        <v>0.12689</v>
      </c>
      <c r="CW56" s="265">
        <v>0.126</v>
      </c>
      <c r="CY56" s="265">
        <v>0.12525</v>
      </c>
      <c r="DA56" s="265">
        <v>0.12778999999999999</v>
      </c>
      <c r="DC56" s="265">
        <v>0.1265</v>
      </c>
      <c r="DE56" s="265">
        <v>4.4490000000000002E-2</v>
      </c>
      <c r="DF56" s="265">
        <v>5.2999999999999999E-2</v>
      </c>
      <c r="DH56" s="265">
        <v>5.5449999999999999E-2</v>
      </c>
      <c r="DI56" s="265">
        <v>5.96E-2</v>
      </c>
      <c r="DJ56" s="265">
        <v>5.9880000000000003E-2</v>
      </c>
      <c r="DL56" s="265">
        <v>5.9829999999999994E-2</v>
      </c>
      <c r="DO56" s="267"/>
      <c r="DP56" s="267"/>
      <c r="DQ56" s="267"/>
      <c r="DR56" s="267"/>
      <c r="DS56" s="267"/>
      <c r="DT56" s="267"/>
      <c r="DU56" s="267"/>
      <c r="DV56" s="267"/>
      <c r="DW56" s="267"/>
      <c r="DX56" s="267"/>
      <c r="DY56" s="267"/>
      <c r="DZ56" s="205">
        <f t="shared" si="46"/>
        <v>5.96E-2</v>
      </c>
      <c r="EA56" s="205" t="e">
        <f t="shared" si="52"/>
        <v>#DIV/0!</v>
      </c>
      <c r="EC56" s="195">
        <v>2022</v>
      </c>
      <c r="ED56" s="195" t="s">
        <v>447</v>
      </c>
      <c r="EE56" s="205">
        <v>9.2300000000000007E-2</v>
      </c>
      <c r="EF56" s="208">
        <v>9.2300000000000007E-2</v>
      </c>
    </row>
    <row r="57" spans="2:138" ht="22.7" customHeight="1">
      <c r="B57" s="272">
        <v>44819</v>
      </c>
      <c r="C57" s="271">
        <v>44819</v>
      </c>
      <c r="D57" s="263" t="e">
        <f>+SUMIFS(Tabla6[Nominal COP],Tabla6[Concepto],COSTO_OPORTUNIDAD!$B$18,Tabla6[Nemotécnico],COSTO_OPORTUNIDAD!D$16,Tabla6[Fecha Cumplimiento y/ liquidacion],COSTO_OPORTUNIDAD!$C57)/+SUMIFS(Tabla6[Nominal COP],Tabla6[Concepto],COSTO_OPORTUNIDAD!$B$18,Tabla6[Fecha Cumplimiento y/ liquidacion],COSTO_OPORTUNIDAD!$C57)</f>
        <v>#DIV/0!</v>
      </c>
      <c r="E57" s="263" t="e">
        <f>+SUMIFS(Tabla6[Nominal COP],Tabla6[Concepto],COSTO_OPORTUNIDAD!$B$18,Tabla6[Nemotécnico],COSTO_OPORTUNIDAD!E$16,Tabla6[Fecha Cumplimiento y/ liquidacion],COSTO_OPORTUNIDAD!$C57)/+SUMIFS(Tabla6[Nominal COP],Tabla6[Concepto],COSTO_OPORTUNIDAD!$B$18,Tabla6[Fecha Cumplimiento y/ liquidacion],COSTO_OPORTUNIDAD!$C57)</f>
        <v>#DIV/0!</v>
      </c>
      <c r="F57" s="262"/>
      <c r="G57" s="262"/>
      <c r="H57" s="262"/>
      <c r="I57" s="262"/>
      <c r="J57" s="262"/>
      <c r="K57" s="262"/>
      <c r="L57" s="262"/>
      <c r="M57" s="262"/>
      <c r="N57" s="262"/>
      <c r="O57" s="262"/>
      <c r="P57" s="262"/>
      <c r="Q57" s="262"/>
      <c r="R57" s="263"/>
      <c r="S57" s="263"/>
      <c r="T57" s="263"/>
      <c r="U57" s="263"/>
      <c r="AA57" s="263">
        <v>1</v>
      </c>
      <c r="AB57" s="262"/>
      <c r="AC57" s="262"/>
      <c r="AD57" s="262"/>
      <c r="AE57" s="262"/>
      <c r="AF57" s="262"/>
      <c r="AG57" s="262"/>
      <c r="AH57" s="274">
        <f t="shared" si="0"/>
        <v>1441</v>
      </c>
      <c r="AI57" s="274">
        <f t="shared" si="1"/>
        <v>1875</v>
      </c>
      <c r="AJ57" s="274">
        <f t="shared" si="2"/>
        <v>2052</v>
      </c>
      <c r="AK57" s="274"/>
      <c r="AL57" s="274">
        <f t="shared" si="3"/>
        <v>2925</v>
      </c>
      <c r="AM57" s="274">
        <f t="shared" si="4"/>
        <v>3114</v>
      </c>
      <c r="AN57" s="274">
        <f t="shared" si="5"/>
        <v>3576</v>
      </c>
      <c r="AO57" s="274"/>
      <c r="AP57" s="274">
        <f t="shared" si="6"/>
        <v>4416</v>
      </c>
      <c r="AQ57" s="274"/>
      <c r="AR57" s="274">
        <f t="shared" si="7"/>
        <v>5046</v>
      </c>
      <c r="AS57" s="274"/>
      <c r="AT57" s="274">
        <f t="shared" si="8"/>
        <v>7195</v>
      </c>
      <c r="AU57" s="274"/>
      <c r="AV57" s="274">
        <f t="shared" si="9"/>
        <v>10268</v>
      </c>
      <c r="AW57" s="274"/>
      <c r="AX57" s="274">
        <f t="shared" si="10"/>
        <v>965</v>
      </c>
      <c r="AY57" s="274">
        <f t="shared" si="11"/>
        <v>1644</v>
      </c>
      <c r="AZ57" s="274">
        <f t="shared" si="12"/>
        <v>2407</v>
      </c>
      <c r="BA57" s="274"/>
      <c r="BB57" s="274">
        <f t="shared" si="13"/>
        <v>3844</v>
      </c>
      <c r="BC57" s="274">
        <f t="shared" si="14"/>
        <v>4584</v>
      </c>
      <c r="BD57" s="274">
        <f t="shared" si="15"/>
        <v>5277</v>
      </c>
      <c r="BE57" s="274"/>
      <c r="BF57" s="274">
        <f t="shared" si="16"/>
        <v>9771</v>
      </c>
      <c r="BG57" s="274"/>
      <c r="BH57" s="274"/>
      <c r="BI57" s="266">
        <f t="shared" si="17"/>
        <v>1</v>
      </c>
      <c r="BJ57" s="266" t="e">
        <f t="shared" si="18"/>
        <v>#DIV/0!</v>
      </c>
      <c r="BK57" s="263" t="str">
        <f t="shared" si="19"/>
        <v/>
      </c>
      <c r="BL57" s="263" t="str">
        <f t="shared" si="20"/>
        <v/>
      </c>
      <c r="BM57" s="263" t="str">
        <f t="shared" si="21"/>
        <v/>
      </c>
      <c r="BN57" s="263"/>
      <c r="BO57" s="263" t="str">
        <f t="shared" si="22"/>
        <v/>
      </c>
      <c r="BP57" s="263" t="str">
        <f t="shared" si="23"/>
        <v/>
      </c>
      <c r="BQ57" s="263" t="str">
        <f t="shared" si="24"/>
        <v/>
      </c>
      <c r="BR57" s="263" t="str">
        <f t="shared" si="25"/>
        <v/>
      </c>
      <c r="BS57" s="263" t="str">
        <f t="shared" si="26"/>
        <v/>
      </c>
      <c r="BT57" s="263" t="str">
        <f t="shared" si="27"/>
        <v/>
      </c>
      <c r="BU57" s="263" t="str">
        <f t="shared" si="28"/>
        <v/>
      </c>
      <c r="BV57" s="263"/>
      <c r="BW57" s="263" t="str">
        <f t="shared" si="29"/>
        <v/>
      </c>
      <c r="BX57" s="263"/>
      <c r="BY57" s="263" t="str">
        <f t="shared" si="30"/>
        <v/>
      </c>
      <c r="BZ57" s="263"/>
      <c r="CA57" s="263">
        <f t="shared" si="47"/>
        <v>0</v>
      </c>
      <c r="CB57" s="263">
        <f t="shared" si="32"/>
        <v>0</v>
      </c>
      <c r="CC57" s="263">
        <f t="shared" si="48"/>
        <v>0</v>
      </c>
      <c r="CD57" s="263">
        <f t="shared" si="34"/>
        <v>0</v>
      </c>
      <c r="CE57" s="263"/>
      <c r="CF57" s="263">
        <f t="shared" si="49"/>
        <v>1</v>
      </c>
      <c r="CG57" s="263">
        <f t="shared" si="50"/>
        <v>0</v>
      </c>
      <c r="CH57" s="263"/>
      <c r="CI57" s="263">
        <f t="shared" si="38"/>
        <v>0</v>
      </c>
      <c r="CJ57" s="263"/>
      <c r="CK57" s="263">
        <f t="shared" si="39"/>
        <v>0</v>
      </c>
      <c r="CL57" s="264">
        <f t="shared" si="51"/>
        <v>0</v>
      </c>
      <c r="CM57" s="264">
        <f t="shared" si="41"/>
        <v>4584</v>
      </c>
      <c r="CO57" s="265">
        <v>0.12246</v>
      </c>
      <c r="CP57" s="265">
        <v>0.12301000000000001</v>
      </c>
      <c r="CQ57" s="265">
        <v>0.12315</v>
      </c>
      <c r="CS57" s="265">
        <v>0.1245</v>
      </c>
      <c r="CT57" s="265">
        <v>0.124</v>
      </c>
      <c r="CU57" s="265">
        <v>0.125</v>
      </c>
      <c r="CW57" s="265">
        <v>0.12534000000000001</v>
      </c>
      <c r="CY57" s="265">
        <v>0.12525</v>
      </c>
      <c r="DA57" s="265">
        <v>0.12644</v>
      </c>
      <c r="DC57" s="265">
        <v>0.12500999999999998</v>
      </c>
      <c r="DE57" s="265">
        <v>4.2599999999999999E-2</v>
      </c>
      <c r="DF57" s="265">
        <v>5.0349999999999999E-2</v>
      </c>
      <c r="DH57" s="265">
        <v>5.4509999999999996E-2</v>
      </c>
      <c r="DI57" s="265">
        <v>5.9490000000000001E-2</v>
      </c>
      <c r="DJ57" s="265">
        <v>5.9119999999999999E-2</v>
      </c>
      <c r="DL57" s="265">
        <v>5.8749999999999997E-2</v>
      </c>
      <c r="DO57" s="267"/>
      <c r="DP57" s="267"/>
      <c r="DQ57" s="267"/>
      <c r="DR57" s="267"/>
      <c r="DS57" s="267"/>
      <c r="DT57" s="267"/>
      <c r="DU57" s="267"/>
      <c r="DV57" s="267"/>
      <c r="DW57" s="267"/>
      <c r="DX57" s="267"/>
      <c r="DY57" s="267"/>
      <c r="DZ57" s="205">
        <f t="shared" si="46"/>
        <v>5.9490000000000001E-2</v>
      </c>
      <c r="EA57" s="205" t="e">
        <f t="shared" si="52"/>
        <v>#DIV/0!</v>
      </c>
      <c r="EC57" s="195">
        <v>2022</v>
      </c>
      <c r="ED57" s="195" t="s">
        <v>448</v>
      </c>
      <c r="EE57" s="205">
        <v>9.0700000000000003E-2</v>
      </c>
      <c r="EF57" s="208">
        <v>9.0700000000000003E-2</v>
      </c>
    </row>
    <row r="58" spans="2:138" ht="22.7" customHeight="1">
      <c r="B58" s="272">
        <v>44820</v>
      </c>
      <c r="C58" s="271">
        <v>44820</v>
      </c>
      <c r="D58" s="263" t="e">
        <f>+SUMIFS(Tabla6[Nominal COP],Tabla6[Concepto],COSTO_OPORTUNIDAD!$B$18,Tabla6[Nemotécnico],COSTO_OPORTUNIDAD!D$16,Tabla6[Fecha Cumplimiento y/ liquidacion],COSTO_OPORTUNIDAD!$C58)/+SUMIFS(Tabla6[Nominal COP],Tabla6[Concepto],COSTO_OPORTUNIDAD!$B$18,Tabla6[Fecha Cumplimiento y/ liquidacion],COSTO_OPORTUNIDAD!$C58)</f>
        <v>#DIV/0!</v>
      </c>
      <c r="E58" s="263" t="e">
        <f>+SUMIFS(Tabla6[Nominal COP],Tabla6[Concepto],COSTO_OPORTUNIDAD!$B$18,Tabla6[Nemotécnico],COSTO_OPORTUNIDAD!E$16,Tabla6[Fecha Cumplimiento y/ liquidacion],COSTO_OPORTUNIDAD!$C58)/+SUMIFS(Tabla6[Nominal COP],Tabla6[Concepto],COSTO_OPORTUNIDAD!$B$18,Tabla6[Fecha Cumplimiento y/ liquidacion],COSTO_OPORTUNIDAD!$C58)</f>
        <v>#DIV/0!</v>
      </c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3"/>
      <c r="S58" s="263"/>
      <c r="T58" s="263"/>
      <c r="U58" s="263"/>
      <c r="AA58" s="263">
        <v>1</v>
      </c>
      <c r="AB58" s="262"/>
      <c r="AC58" s="262"/>
      <c r="AD58" s="262"/>
      <c r="AE58" s="262"/>
      <c r="AF58" s="262"/>
      <c r="AG58" s="262"/>
      <c r="AH58" s="274">
        <f t="shared" si="0"/>
        <v>1440</v>
      </c>
      <c r="AI58" s="274">
        <f t="shared" si="1"/>
        <v>1874</v>
      </c>
      <c r="AJ58" s="274">
        <f t="shared" si="2"/>
        <v>2051</v>
      </c>
      <c r="AK58" s="274"/>
      <c r="AL58" s="274">
        <f t="shared" si="3"/>
        <v>2924</v>
      </c>
      <c r="AM58" s="274">
        <f t="shared" si="4"/>
        <v>3113</v>
      </c>
      <c r="AN58" s="274">
        <f t="shared" si="5"/>
        <v>3575</v>
      </c>
      <c r="AO58" s="274"/>
      <c r="AP58" s="274">
        <f t="shared" si="6"/>
        <v>4415</v>
      </c>
      <c r="AQ58" s="274"/>
      <c r="AR58" s="274">
        <f t="shared" si="7"/>
        <v>5045</v>
      </c>
      <c r="AS58" s="274"/>
      <c r="AT58" s="274">
        <f t="shared" si="8"/>
        <v>7194</v>
      </c>
      <c r="AU58" s="274"/>
      <c r="AV58" s="274">
        <f t="shared" si="9"/>
        <v>10267</v>
      </c>
      <c r="AW58" s="274"/>
      <c r="AX58" s="274">
        <f t="shared" si="10"/>
        <v>964</v>
      </c>
      <c r="AY58" s="274">
        <f t="shared" si="11"/>
        <v>1643</v>
      </c>
      <c r="AZ58" s="274">
        <f t="shared" si="12"/>
        <v>2406</v>
      </c>
      <c r="BA58" s="274"/>
      <c r="BB58" s="274">
        <f t="shared" si="13"/>
        <v>3843</v>
      </c>
      <c r="BC58" s="274">
        <f t="shared" si="14"/>
        <v>4583</v>
      </c>
      <c r="BD58" s="274">
        <f t="shared" si="15"/>
        <v>5276</v>
      </c>
      <c r="BE58" s="274"/>
      <c r="BF58" s="274">
        <f t="shared" si="16"/>
        <v>9770</v>
      </c>
      <c r="BG58" s="274"/>
      <c r="BH58" s="274"/>
      <c r="BI58" s="266">
        <f t="shared" si="17"/>
        <v>1</v>
      </c>
      <c r="BJ58" s="266" t="e">
        <f t="shared" si="18"/>
        <v>#DIV/0!</v>
      </c>
      <c r="BK58" s="263" t="str">
        <f t="shared" si="19"/>
        <v/>
      </c>
      <c r="BL58" s="263" t="str">
        <f t="shared" si="20"/>
        <v/>
      </c>
      <c r="BM58" s="263" t="str">
        <f t="shared" si="21"/>
        <v/>
      </c>
      <c r="BN58" s="263"/>
      <c r="BO58" s="263" t="str">
        <f t="shared" si="22"/>
        <v/>
      </c>
      <c r="BP58" s="263" t="str">
        <f t="shared" si="23"/>
        <v/>
      </c>
      <c r="BQ58" s="263" t="str">
        <f t="shared" si="24"/>
        <v/>
      </c>
      <c r="BR58" s="263" t="str">
        <f t="shared" si="25"/>
        <v/>
      </c>
      <c r="BS58" s="263" t="str">
        <f t="shared" si="26"/>
        <v/>
      </c>
      <c r="BT58" s="263" t="str">
        <f t="shared" si="27"/>
        <v/>
      </c>
      <c r="BU58" s="263" t="str">
        <f t="shared" si="28"/>
        <v/>
      </c>
      <c r="BV58" s="263"/>
      <c r="BW58" s="263" t="str">
        <f t="shared" si="29"/>
        <v/>
      </c>
      <c r="BX58" s="263"/>
      <c r="BY58" s="263" t="str">
        <f t="shared" si="30"/>
        <v/>
      </c>
      <c r="BZ58" s="263"/>
      <c r="CA58" s="263">
        <f t="shared" si="47"/>
        <v>0</v>
      </c>
      <c r="CB58" s="263">
        <f t="shared" si="32"/>
        <v>0</v>
      </c>
      <c r="CC58" s="263">
        <f t="shared" si="48"/>
        <v>0</v>
      </c>
      <c r="CD58" s="263">
        <f t="shared" si="34"/>
        <v>0</v>
      </c>
      <c r="CE58" s="263"/>
      <c r="CF58" s="263">
        <f t="shared" si="49"/>
        <v>1</v>
      </c>
      <c r="CG58" s="263">
        <f t="shared" si="50"/>
        <v>0</v>
      </c>
      <c r="CH58" s="263"/>
      <c r="CI58" s="263">
        <f t="shared" si="38"/>
        <v>0</v>
      </c>
      <c r="CJ58" s="263"/>
      <c r="CK58" s="263">
        <f t="shared" si="39"/>
        <v>0</v>
      </c>
      <c r="CL58" s="264">
        <f t="shared" si="51"/>
        <v>0</v>
      </c>
      <c r="CM58" s="264">
        <f t="shared" si="41"/>
        <v>4583</v>
      </c>
      <c r="CO58" s="265">
        <v>0.12330000000000001</v>
      </c>
      <c r="CP58" s="265">
        <v>0.12315</v>
      </c>
      <c r="CQ58" s="265">
        <v>0.12342</v>
      </c>
      <c r="CS58" s="265">
        <v>0.12480000000000001</v>
      </c>
      <c r="CT58" s="265">
        <v>0.12300000000000001</v>
      </c>
      <c r="CU58" s="265">
        <v>0.125</v>
      </c>
      <c r="CW58" s="265">
        <v>0.12429999999999999</v>
      </c>
      <c r="CY58" s="265">
        <v>0.124</v>
      </c>
      <c r="DA58" s="265">
        <v>0.127</v>
      </c>
      <c r="DC58" s="265">
        <v>0.12560000000000002</v>
      </c>
      <c r="DE58" s="265">
        <v>4.2020000000000002E-2</v>
      </c>
      <c r="DF58" s="265">
        <v>5.0890000000000005E-2</v>
      </c>
      <c r="DH58" s="265">
        <v>5.4509999999999996E-2</v>
      </c>
      <c r="DI58" s="265">
        <v>5.9400000000000001E-2</v>
      </c>
      <c r="DJ58" s="265">
        <v>5.969E-2</v>
      </c>
      <c r="DL58" s="265">
        <v>5.9240000000000001E-2</v>
      </c>
      <c r="DO58" s="267"/>
      <c r="DP58" s="267"/>
      <c r="DQ58" s="267"/>
      <c r="DR58" s="267"/>
      <c r="DS58" s="267"/>
      <c r="DT58" s="267"/>
      <c r="DU58" s="267"/>
      <c r="DV58" s="267"/>
      <c r="DW58" s="267"/>
      <c r="DX58" s="267"/>
      <c r="DY58" s="267"/>
      <c r="DZ58" s="205">
        <f t="shared" si="46"/>
        <v>5.9400000000000001E-2</v>
      </c>
      <c r="EA58" s="205" t="e">
        <f t="shared" si="52"/>
        <v>#DIV/0!</v>
      </c>
      <c r="EC58" s="195">
        <v>2022</v>
      </c>
      <c r="ED58" s="195" t="s">
        <v>449</v>
      </c>
      <c r="EE58" s="205">
        <v>9.6699999999999994E-2</v>
      </c>
      <c r="EF58" s="208">
        <v>9.6699999999999994E-2</v>
      </c>
    </row>
    <row r="59" spans="2:138" ht="22.7" customHeight="1">
      <c r="B59" s="272">
        <v>44823</v>
      </c>
      <c r="C59" s="271">
        <v>44823</v>
      </c>
      <c r="D59" s="263" t="e">
        <f>+SUMIFS(Tabla6[Nominal COP],Tabla6[Concepto],COSTO_OPORTUNIDAD!$B$18,Tabla6[Nemotécnico],COSTO_OPORTUNIDAD!D$16,Tabla6[Fecha Cumplimiento y/ liquidacion],COSTO_OPORTUNIDAD!$C59)/+SUMIFS(Tabla6[Nominal COP],Tabla6[Concepto],COSTO_OPORTUNIDAD!$B$18,Tabla6[Fecha Cumplimiento y/ liquidacion],COSTO_OPORTUNIDAD!$C59)</f>
        <v>#DIV/0!</v>
      </c>
      <c r="E59" s="263" t="e">
        <f>+SUMIFS(Tabla6[Nominal COP],Tabla6[Concepto],COSTO_OPORTUNIDAD!$B$18,Tabla6[Nemotécnico],COSTO_OPORTUNIDAD!E$16,Tabla6[Fecha Cumplimiento y/ liquidacion],COSTO_OPORTUNIDAD!$C59)/+SUMIFS(Tabla6[Nominal COP],Tabla6[Concepto],COSTO_OPORTUNIDAD!$B$18,Tabla6[Fecha Cumplimiento y/ liquidacion],COSTO_OPORTUNIDAD!$C59)</f>
        <v>#DIV/0!</v>
      </c>
      <c r="F59" s="262"/>
      <c r="G59" s="262"/>
      <c r="H59" s="262"/>
      <c r="I59" s="262"/>
      <c r="J59" s="262"/>
      <c r="K59" s="262"/>
      <c r="L59" s="262"/>
      <c r="M59" s="262"/>
      <c r="N59" s="262"/>
      <c r="O59" s="262"/>
      <c r="P59" s="262"/>
      <c r="Q59" s="262"/>
      <c r="R59" s="263"/>
      <c r="S59" s="263"/>
      <c r="T59" s="263"/>
      <c r="U59" s="263"/>
      <c r="AA59" s="263">
        <v>1</v>
      </c>
      <c r="AB59" s="262"/>
      <c r="AC59" s="262"/>
      <c r="AD59" s="262"/>
      <c r="AE59" s="262"/>
      <c r="AF59" s="262"/>
      <c r="AG59" s="262"/>
      <c r="AH59" s="274">
        <f t="shared" si="0"/>
        <v>1437</v>
      </c>
      <c r="AI59" s="274">
        <f t="shared" si="1"/>
        <v>1871</v>
      </c>
      <c r="AJ59" s="274">
        <f t="shared" si="2"/>
        <v>2048</v>
      </c>
      <c r="AK59" s="274"/>
      <c r="AL59" s="274">
        <f t="shared" si="3"/>
        <v>2921</v>
      </c>
      <c r="AM59" s="274">
        <f t="shared" si="4"/>
        <v>3110</v>
      </c>
      <c r="AN59" s="274">
        <f t="shared" si="5"/>
        <v>3572</v>
      </c>
      <c r="AO59" s="274"/>
      <c r="AP59" s="274">
        <f t="shared" si="6"/>
        <v>4412</v>
      </c>
      <c r="AQ59" s="274"/>
      <c r="AR59" s="274">
        <f t="shared" si="7"/>
        <v>5042</v>
      </c>
      <c r="AS59" s="274"/>
      <c r="AT59" s="274">
        <f t="shared" si="8"/>
        <v>7191</v>
      </c>
      <c r="AU59" s="274"/>
      <c r="AV59" s="274">
        <f t="shared" si="9"/>
        <v>10264</v>
      </c>
      <c r="AW59" s="274"/>
      <c r="AX59" s="274">
        <f t="shared" si="10"/>
        <v>961</v>
      </c>
      <c r="AY59" s="274">
        <f t="shared" si="11"/>
        <v>1640</v>
      </c>
      <c r="AZ59" s="274">
        <f t="shared" si="12"/>
        <v>2403</v>
      </c>
      <c r="BA59" s="274"/>
      <c r="BB59" s="274">
        <f t="shared" si="13"/>
        <v>3840</v>
      </c>
      <c r="BC59" s="274">
        <f t="shared" si="14"/>
        <v>4580</v>
      </c>
      <c r="BD59" s="274">
        <f t="shared" si="15"/>
        <v>5273</v>
      </c>
      <c r="BE59" s="274"/>
      <c r="BF59" s="274">
        <f t="shared" si="16"/>
        <v>9767</v>
      </c>
      <c r="BG59" s="274"/>
      <c r="BH59" s="274"/>
      <c r="BI59" s="266">
        <f t="shared" si="17"/>
        <v>1</v>
      </c>
      <c r="BJ59" s="266" t="e">
        <f t="shared" si="18"/>
        <v>#DIV/0!</v>
      </c>
      <c r="BK59" s="263" t="str">
        <f t="shared" si="19"/>
        <v/>
      </c>
      <c r="BL59" s="263" t="str">
        <f t="shared" si="20"/>
        <v/>
      </c>
      <c r="BM59" s="263" t="str">
        <f t="shared" si="21"/>
        <v/>
      </c>
      <c r="BN59" s="263"/>
      <c r="BO59" s="263" t="str">
        <f t="shared" si="22"/>
        <v/>
      </c>
      <c r="BP59" s="263" t="str">
        <f t="shared" si="23"/>
        <v/>
      </c>
      <c r="BQ59" s="263" t="str">
        <f t="shared" si="24"/>
        <v/>
      </c>
      <c r="BR59" s="263" t="str">
        <f t="shared" si="25"/>
        <v/>
      </c>
      <c r="BS59" s="263" t="str">
        <f t="shared" si="26"/>
        <v/>
      </c>
      <c r="BT59" s="263" t="str">
        <f t="shared" si="27"/>
        <v/>
      </c>
      <c r="BU59" s="263" t="str">
        <f t="shared" si="28"/>
        <v/>
      </c>
      <c r="BV59" s="263"/>
      <c r="BW59" s="263" t="str">
        <f t="shared" si="29"/>
        <v/>
      </c>
      <c r="BX59" s="263"/>
      <c r="BY59" s="263" t="str">
        <f t="shared" si="30"/>
        <v/>
      </c>
      <c r="BZ59" s="263"/>
      <c r="CA59" s="263">
        <f t="shared" si="47"/>
        <v>0</v>
      </c>
      <c r="CB59" s="263">
        <f t="shared" si="32"/>
        <v>0</v>
      </c>
      <c r="CC59" s="263">
        <f t="shared" si="48"/>
        <v>0</v>
      </c>
      <c r="CD59" s="263">
        <f t="shared" si="34"/>
        <v>0</v>
      </c>
      <c r="CE59" s="263"/>
      <c r="CF59" s="263">
        <f t="shared" si="49"/>
        <v>1</v>
      </c>
      <c r="CG59" s="263">
        <f t="shared" si="50"/>
        <v>0</v>
      </c>
      <c r="CH59" s="263"/>
      <c r="CI59" s="263">
        <f t="shared" si="38"/>
        <v>0</v>
      </c>
      <c r="CJ59" s="263"/>
      <c r="CK59" s="263">
        <f t="shared" si="39"/>
        <v>0</v>
      </c>
      <c r="CL59" s="264">
        <f t="shared" si="51"/>
        <v>0</v>
      </c>
      <c r="CM59" s="264">
        <f t="shared" si="41"/>
        <v>4580</v>
      </c>
      <c r="CO59" s="265">
        <v>0.12129</v>
      </c>
      <c r="CP59" s="265">
        <v>0.122</v>
      </c>
      <c r="CQ59" s="265">
        <v>0.1222</v>
      </c>
      <c r="CS59" s="265">
        <v>0.12346</v>
      </c>
      <c r="CT59" s="265">
        <v>0.12240000000000001</v>
      </c>
      <c r="CU59" s="265">
        <v>0.12234</v>
      </c>
      <c r="CW59" s="265">
        <v>0.122</v>
      </c>
      <c r="CY59" s="265">
        <v>0.1222</v>
      </c>
      <c r="DA59" s="265">
        <v>0.12564999999999998</v>
      </c>
      <c r="DC59" s="265">
        <v>0.12472</v>
      </c>
      <c r="DE59" s="265">
        <v>4.2020000000000002E-2</v>
      </c>
      <c r="DF59" s="265">
        <v>4.9950000000000001E-2</v>
      </c>
      <c r="DH59" s="265">
        <v>5.4199999999999998E-2</v>
      </c>
      <c r="DI59" s="265">
        <v>5.9000000000000004E-2</v>
      </c>
      <c r="DJ59" s="265">
        <v>5.9450000000000003E-2</v>
      </c>
      <c r="DL59" s="265">
        <v>5.9240000000000001E-2</v>
      </c>
      <c r="DO59" s="267"/>
      <c r="DP59" s="267"/>
      <c r="DQ59" s="267"/>
      <c r="DR59" s="267"/>
      <c r="DS59" s="267"/>
      <c r="DT59" s="267"/>
      <c r="DU59" s="267"/>
      <c r="DV59" s="267"/>
      <c r="DW59" s="267"/>
      <c r="DX59" s="267"/>
      <c r="DY59" s="267"/>
      <c r="DZ59" s="205">
        <f t="shared" si="46"/>
        <v>5.9000000000000004E-2</v>
      </c>
      <c r="EA59" s="205" t="e">
        <f t="shared" si="52"/>
        <v>#DIV/0!</v>
      </c>
      <c r="EC59" s="195">
        <v>2022</v>
      </c>
      <c r="ED59" s="195" t="s">
        <v>450</v>
      </c>
      <c r="EE59" s="205">
        <v>0.10210000000000001</v>
      </c>
      <c r="EF59" s="208">
        <v>0.1021</v>
      </c>
      <c r="EG59" s="195">
        <v>10.210000000000001</v>
      </c>
      <c r="EH59" s="195">
        <f t="shared" ref="EH59:EH84" si="53">+EG59/100</f>
        <v>0.10210000000000001</v>
      </c>
    </row>
    <row r="60" spans="2:138" ht="22.7" customHeight="1">
      <c r="B60" s="272">
        <v>44824</v>
      </c>
      <c r="C60" s="271">
        <v>44824</v>
      </c>
      <c r="D60" s="263" t="e">
        <f>+SUMIFS(Tabla6[Nominal COP],Tabla6[Concepto],COSTO_OPORTUNIDAD!$B$18,Tabla6[Nemotécnico],COSTO_OPORTUNIDAD!D$16,Tabla6[Fecha Cumplimiento y/ liquidacion],COSTO_OPORTUNIDAD!$C60)/+SUMIFS(Tabla6[Nominal COP],Tabla6[Concepto],COSTO_OPORTUNIDAD!$B$18,Tabla6[Fecha Cumplimiento y/ liquidacion],COSTO_OPORTUNIDAD!$C60)</f>
        <v>#DIV/0!</v>
      </c>
      <c r="E60" s="263" t="e">
        <f>+SUMIFS(Tabla6[Nominal COP],Tabla6[Concepto],COSTO_OPORTUNIDAD!$B$18,Tabla6[Nemotécnico],COSTO_OPORTUNIDAD!E$16,Tabla6[Fecha Cumplimiento y/ liquidacion],COSTO_OPORTUNIDAD!$C60)/+SUMIFS(Tabla6[Nominal COP],Tabla6[Concepto],COSTO_OPORTUNIDAD!$B$18,Tabla6[Fecha Cumplimiento y/ liquidacion],COSTO_OPORTUNIDAD!$C60)</f>
        <v>#DIV/0!</v>
      </c>
      <c r="F60" s="262"/>
      <c r="G60" s="262"/>
      <c r="H60" s="262"/>
      <c r="I60" s="262"/>
      <c r="J60" s="262"/>
      <c r="K60" s="262"/>
      <c r="L60" s="262"/>
      <c r="M60" s="262"/>
      <c r="N60" s="262"/>
      <c r="O60" s="262"/>
      <c r="P60" s="262"/>
      <c r="Q60" s="262"/>
      <c r="R60" s="263"/>
      <c r="S60" s="263"/>
      <c r="T60" s="263"/>
      <c r="U60" s="263"/>
      <c r="AA60" s="263">
        <v>1</v>
      </c>
      <c r="AB60" s="262"/>
      <c r="AC60" s="262"/>
      <c r="AD60" s="262"/>
      <c r="AE60" s="262"/>
      <c r="AF60" s="262"/>
      <c r="AG60" s="262"/>
      <c r="AH60" s="274">
        <f t="shared" si="0"/>
        <v>1436</v>
      </c>
      <c r="AI60" s="274">
        <f t="shared" si="1"/>
        <v>1870</v>
      </c>
      <c r="AJ60" s="274">
        <f t="shared" si="2"/>
        <v>2047</v>
      </c>
      <c r="AK60" s="274"/>
      <c r="AL60" s="274">
        <f t="shared" si="3"/>
        <v>2920</v>
      </c>
      <c r="AM60" s="274">
        <f t="shared" si="4"/>
        <v>3109</v>
      </c>
      <c r="AN60" s="274">
        <f t="shared" si="5"/>
        <v>3571</v>
      </c>
      <c r="AO60" s="274"/>
      <c r="AP60" s="274">
        <f t="shared" si="6"/>
        <v>4411</v>
      </c>
      <c r="AQ60" s="274"/>
      <c r="AR60" s="274">
        <f t="shared" si="7"/>
        <v>5041</v>
      </c>
      <c r="AS60" s="274"/>
      <c r="AT60" s="274">
        <f t="shared" si="8"/>
        <v>7190</v>
      </c>
      <c r="AU60" s="274"/>
      <c r="AV60" s="274">
        <f t="shared" si="9"/>
        <v>10263</v>
      </c>
      <c r="AW60" s="274"/>
      <c r="AX60" s="274">
        <f t="shared" si="10"/>
        <v>960</v>
      </c>
      <c r="AY60" s="274">
        <f t="shared" si="11"/>
        <v>1639</v>
      </c>
      <c r="AZ60" s="274">
        <f t="shared" si="12"/>
        <v>2402</v>
      </c>
      <c r="BA60" s="274"/>
      <c r="BB60" s="274">
        <f t="shared" si="13"/>
        <v>3839</v>
      </c>
      <c r="BC60" s="274">
        <f t="shared" si="14"/>
        <v>4579</v>
      </c>
      <c r="BD60" s="274">
        <f t="shared" si="15"/>
        <v>5272</v>
      </c>
      <c r="BE60" s="274"/>
      <c r="BF60" s="274">
        <f t="shared" si="16"/>
        <v>9766</v>
      </c>
      <c r="BG60" s="274"/>
      <c r="BH60" s="274"/>
      <c r="BI60" s="266">
        <f t="shared" si="17"/>
        <v>1</v>
      </c>
      <c r="BJ60" s="266" t="e">
        <f t="shared" si="18"/>
        <v>#DIV/0!</v>
      </c>
      <c r="BK60" s="263" t="str">
        <f t="shared" si="19"/>
        <v/>
      </c>
      <c r="BL60" s="263" t="str">
        <f t="shared" si="20"/>
        <v/>
      </c>
      <c r="BM60" s="263" t="str">
        <f t="shared" si="21"/>
        <v/>
      </c>
      <c r="BN60" s="263"/>
      <c r="BO60" s="263" t="str">
        <f t="shared" si="22"/>
        <v/>
      </c>
      <c r="BP60" s="263" t="str">
        <f t="shared" si="23"/>
        <v/>
      </c>
      <c r="BQ60" s="263" t="str">
        <f t="shared" si="24"/>
        <v/>
      </c>
      <c r="BR60" s="263" t="str">
        <f t="shared" si="25"/>
        <v/>
      </c>
      <c r="BS60" s="263" t="str">
        <f t="shared" si="26"/>
        <v/>
      </c>
      <c r="BT60" s="263" t="str">
        <f t="shared" si="27"/>
        <v/>
      </c>
      <c r="BU60" s="263" t="str">
        <f t="shared" si="28"/>
        <v/>
      </c>
      <c r="BV60" s="263"/>
      <c r="BW60" s="263" t="str">
        <f t="shared" si="29"/>
        <v/>
      </c>
      <c r="BX60" s="263"/>
      <c r="BY60" s="263" t="str">
        <f t="shared" si="30"/>
        <v/>
      </c>
      <c r="BZ60" s="263"/>
      <c r="CA60" s="263">
        <f t="shared" si="47"/>
        <v>0</v>
      </c>
      <c r="CB60" s="263">
        <f t="shared" si="32"/>
        <v>0</v>
      </c>
      <c r="CC60" s="263">
        <f t="shared" si="48"/>
        <v>0</v>
      </c>
      <c r="CD60" s="263">
        <f t="shared" si="34"/>
        <v>0</v>
      </c>
      <c r="CE60" s="263"/>
      <c r="CF60" s="263">
        <f t="shared" si="49"/>
        <v>1</v>
      </c>
      <c r="CG60" s="263">
        <f t="shared" si="50"/>
        <v>0</v>
      </c>
      <c r="CH60" s="263"/>
      <c r="CI60" s="263">
        <f t="shared" si="38"/>
        <v>0</v>
      </c>
      <c r="CJ60" s="263"/>
      <c r="CK60" s="263">
        <f t="shared" si="39"/>
        <v>0</v>
      </c>
      <c r="CL60" s="264">
        <f t="shared" si="51"/>
        <v>0</v>
      </c>
      <c r="CM60" s="264">
        <f t="shared" si="41"/>
        <v>4579</v>
      </c>
      <c r="CO60" s="265">
        <v>0.12380000000000001</v>
      </c>
      <c r="CP60" s="265">
        <v>0.12380000000000001</v>
      </c>
      <c r="CQ60" s="265">
        <v>0.124</v>
      </c>
      <c r="CS60" s="265">
        <v>0.124</v>
      </c>
      <c r="CT60" s="265">
        <v>0.12240000000000001</v>
      </c>
      <c r="CU60" s="265">
        <v>0.1245</v>
      </c>
      <c r="CW60" s="265">
        <v>0.12429999999999999</v>
      </c>
      <c r="CY60" s="265">
        <v>0.12435</v>
      </c>
      <c r="DA60" s="265">
        <v>0.12692999999999999</v>
      </c>
      <c r="DC60" s="265">
        <v>0.1258</v>
      </c>
      <c r="DE60" s="265">
        <v>4.2000000000000003E-2</v>
      </c>
      <c r="DF60" s="265">
        <v>5.1200000000000002E-2</v>
      </c>
      <c r="DH60" s="265">
        <v>5.5599999999999997E-2</v>
      </c>
      <c r="DI60" s="265">
        <v>5.96E-2</v>
      </c>
      <c r="DJ60" s="265">
        <v>5.9900000000000002E-2</v>
      </c>
      <c r="DL60" s="265">
        <v>5.9290000000000002E-2</v>
      </c>
      <c r="DO60" s="267"/>
      <c r="DP60" s="267"/>
      <c r="DQ60" s="267"/>
      <c r="DR60" s="267"/>
      <c r="DS60" s="267"/>
      <c r="DT60" s="267"/>
      <c r="DU60" s="267"/>
      <c r="DV60" s="267"/>
      <c r="DW60" s="267"/>
      <c r="DX60" s="267"/>
      <c r="DY60" s="267"/>
      <c r="DZ60" s="205">
        <f t="shared" si="46"/>
        <v>5.96E-2</v>
      </c>
      <c r="EA60" s="205" t="e">
        <f t="shared" si="52"/>
        <v>#DIV/0!</v>
      </c>
      <c r="EC60" s="195">
        <v>2022</v>
      </c>
      <c r="ED60" s="195" t="s">
        <v>451</v>
      </c>
      <c r="EE60" s="205">
        <v>0.1084</v>
      </c>
      <c r="EF60" s="208"/>
      <c r="EG60" s="195">
        <v>10.84</v>
      </c>
      <c r="EH60" s="195">
        <f t="shared" si="53"/>
        <v>0.1084</v>
      </c>
    </row>
    <row r="61" spans="2:138" ht="22.7" customHeight="1">
      <c r="B61" s="272">
        <v>44825</v>
      </c>
      <c r="C61" s="271">
        <v>44825</v>
      </c>
      <c r="D61" s="263" t="e">
        <f>+SUMIFS(Tabla6[Nominal COP],Tabla6[Concepto],COSTO_OPORTUNIDAD!$B$18,Tabla6[Nemotécnico],COSTO_OPORTUNIDAD!D$16,Tabla6[Fecha Cumplimiento y/ liquidacion],COSTO_OPORTUNIDAD!$C61)/+SUMIFS(Tabla6[Nominal COP],Tabla6[Concepto],COSTO_OPORTUNIDAD!$B$18,Tabla6[Fecha Cumplimiento y/ liquidacion],COSTO_OPORTUNIDAD!$C61)</f>
        <v>#DIV/0!</v>
      </c>
      <c r="E61" s="263" t="e">
        <f>+SUMIFS(Tabla6[Nominal COP],Tabla6[Concepto],COSTO_OPORTUNIDAD!$B$18,Tabla6[Nemotécnico],COSTO_OPORTUNIDAD!E$16,Tabla6[Fecha Cumplimiento y/ liquidacion],COSTO_OPORTUNIDAD!$C61)/+SUMIFS(Tabla6[Nominal COP],Tabla6[Concepto],COSTO_OPORTUNIDAD!$B$18,Tabla6[Fecha Cumplimiento y/ liquidacion],COSTO_OPORTUNIDAD!$C61)</f>
        <v>#DIV/0!</v>
      </c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2"/>
      <c r="R61" s="263"/>
      <c r="S61" s="263"/>
      <c r="T61" s="263"/>
      <c r="U61" s="263"/>
      <c r="AA61" s="263">
        <v>1</v>
      </c>
      <c r="AB61" s="262"/>
      <c r="AC61" s="262"/>
      <c r="AD61" s="262"/>
      <c r="AE61" s="262"/>
      <c r="AF61" s="262"/>
      <c r="AG61" s="262"/>
      <c r="AH61" s="274">
        <f t="shared" si="0"/>
        <v>1435</v>
      </c>
      <c r="AI61" s="274">
        <f t="shared" si="1"/>
        <v>1869</v>
      </c>
      <c r="AJ61" s="274">
        <f t="shared" si="2"/>
        <v>2046</v>
      </c>
      <c r="AK61" s="274"/>
      <c r="AL61" s="274">
        <f t="shared" si="3"/>
        <v>2919</v>
      </c>
      <c r="AM61" s="274">
        <f t="shared" si="4"/>
        <v>3108</v>
      </c>
      <c r="AN61" s="274">
        <f t="shared" si="5"/>
        <v>3570</v>
      </c>
      <c r="AO61" s="274"/>
      <c r="AP61" s="274">
        <f t="shared" si="6"/>
        <v>4410</v>
      </c>
      <c r="AQ61" s="274"/>
      <c r="AR61" s="274">
        <f t="shared" si="7"/>
        <v>5040</v>
      </c>
      <c r="AS61" s="274"/>
      <c r="AT61" s="274">
        <f t="shared" si="8"/>
        <v>7189</v>
      </c>
      <c r="AU61" s="274"/>
      <c r="AV61" s="274">
        <f t="shared" si="9"/>
        <v>10262</v>
      </c>
      <c r="AW61" s="274"/>
      <c r="AX61" s="274">
        <f t="shared" si="10"/>
        <v>959</v>
      </c>
      <c r="AY61" s="274">
        <f t="shared" si="11"/>
        <v>1638</v>
      </c>
      <c r="AZ61" s="274">
        <f t="shared" si="12"/>
        <v>2401</v>
      </c>
      <c r="BA61" s="274"/>
      <c r="BB61" s="274">
        <f t="shared" si="13"/>
        <v>3838</v>
      </c>
      <c r="BC61" s="274">
        <f t="shared" si="14"/>
        <v>4578</v>
      </c>
      <c r="BD61" s="274">
        <f t="shared" si="15"/>
        <v>5271</v>
      </c>
      <c r="BE61" s="274"/>
      <c r="BF61" s="274">
        <f t="shared" si="16"/>
        <v>9765</v>
      </c>
      <c r="BG61" s="274"/>
      <c r="BH61" s="274"/>
      <c r="BI61" s="266">
        <f t="shared" si="17"/>
        <v>1</v>
      </c>
      <c r="BJ61" s="266" t="e">
        <f t="shared" si="18"/>
        <v>#DIV/0!</v>
      </c>
      <c r="BK61" s="263" t="str">
        <f t="shared" si="19"/>
        <v/>
      </c>
      <c r="BL61" s="263" t="str">
        <f t="shared" si="20"/>
        <v/>
      </c>
      <c r="BM61" s="263" t="str">
        <f t="shared" si="21"/>
        <v/>
      </c>
      <c r="BN61" s="263"/>
      <c r="BO61" s="263" t="str">
        <f t="shared" si="22"/>
        <v/>
      </c>
      <c r="BP61" s="263" t="str">
        <f t="shared" si="23"/>
        <v/>
      </c>
      <c r="BQ61" s="263" t="str">
        <f t="shared" si="24"/>
        <v/>
      </c>
      <c r="BR61" s="263" t="str">
        <f t="shared" si="25"/>
        <v/>
      </c>
      <c r="BS61" s="263" t="str">
        <f t="shared" si="26"/>
        <v/>
      </c>
      <c r="BT61" s="263" t="str">
        <f t="shared" si="27"/>
        <v/>
      </c>
      <c r="BU61" s="263" t="str">
        <f t="shared" si="28"/>
        <v/>
      </c>
      <c r="BV61" s="263"/>
      <c r="BW61" s="263" t="str">
        <f t="shared" si="29"/>
        <v/>
      </c>
      <c r="BX61" s="263"/>
      <c r="BY61" s="263" t="str">
        <f t="shared" si="30"/>
        <v/>
      </c>
      <c r="BZ61" s="263"/>
      <c r="CA61" s="263">
        <f t="shared" si="47"/>
        <v>0</v>
      </c>
      <c r="CB61" s="263">
        <f t="shared" si="32"/>
        <v>0</v>
      </c>
      <c r="CC61" s="263">
        <f t="shared" si="48"/>
        <v>0</v>
      </c>
      <c r="CD61" s="263">
        <f t="shared" si="34"/>
        <v>0</v>
      </c>
      <c r="CE61" s="263"/>
      <c r="CF61" s="263">
        <f t="shared" si="49"/>
        <v>1</v>
      </c>
      <c r="CG61" s="263">
        <f t="shared" si="50"/>
        <v>0</v>
      </c>
      <c r="CH61" s="263"/>
      <c r="CI61" s="263">
        <f t="shared" si="38"/>
        <v>0</v>
      </c>
      <c r="CJ61" s="263"/>
      <c r="CK61" s="263">
        <f t="shared" si="39"/>
        <v>0</v>
      </c>
      <c r="CL61" s="264">
        <f t="shared" si="51"/>
        <v>0</v>
      </c>
      <c r="CM61" s="264">
        <f t="shared" si="41"/>
        <v>4578</v>
      </c>
      <c r="CO61" s="265">
        <v>0.1232</v>
      </c>
      <c r="CP61" s="265">
        <v>0.1232</v>
      </c>
      <c r="CQ61" s="265">
        <v>0.12330000000000001</v>
      </c>
      <c r="CS61" s="265">
        <v>0.1234</v>
      </c>
      <c r="CT61" s="265">
        <v>0.12240000000000001</v>
      </c>
      <c r="CU61" s="265">
        <v>0.12391000000000001</v>
      </c>
      <c r="CW61" s="265">
        <v>0.12449</v>
      </c>
      <c r="CY61" s="265">
        <v>0.12435</v>
      </c>
      <c r="DA61" s="265">
        <v>0.12640999999999999</v>
      </c>
      <c r="DC61" s="265">
        <v>0.12480000000000001</v>
      </c>
      <c r="DE61" s="265">
        <v>4.2099999999999999E-2</v>
      </c>
      <c r="DF61" s="265">
        <v>5.0900000000000001E-2</v>
      </c>
      <c r="DH61" s="265">
        <v>5.638E-2</v>
      </c>
      <c r="DI61" s="265">
        <v>5.9810000000000002E-2</v>
      </c>
      <c r="DJ61" s="265">
        <v>5.9650000000000002E-2</v>
      </c>
      <c r="DL61" s="265">
        <v>5.9359999999999996E-2</v>
      </c>
      <c r="DO61" s="267"/>
      <c r="DP61" s="267"/>
      <c r="DQ61" s="267"/>
      <c r="DR61" s="267"/>
      <c r="DS61" s="267"/>
      <c r="DT61" s="267"/>
      <c r="DU61" s="267"/>
      <c r="DV61" s="267"/>
      <c r="DW61" s="267"/>
      <c r="DX61" s="267"/>
      <c r="DY61" s="267"/>
      <c r="DZ61" s="205">
        <f t="shared" si="46"/>
        <v>5.9810000000000002E-2</v>
      </c>
      <c r="EA61" s="205" t="e">
        <f t="shared" si="52"/>
        <v>#DIV/0!</v>
      </c>
      <c r="EC61" s="195">
        <v>2022</v>
      </c>
      <c r="ED61" s="195" t="s">
        <v>452</v>
      </c>
      <c r="EE61" s="205">
        <v>0.1144</v>
      </c>
      <c r="EF61" s="208">
        <v>8.5000000000000006E-2</v>
      </c>
      <c r="EG61" s="195">
        <v>11.44</v>
      </c>
      <c r="EH61" s="195">
        <f t="shared" si="53"/>
        <v>0.1144</v>
      </c>
    </row>
    <row r="62" spans="2:138" ht="22.7" customHeight="1">
      <c r="B62" s="272">
        <v>44826</v>
      </c>
      <c r="C62" s="271">
        <v>44826</v>
      </c>
      <c r="D62" s="263" t="e">
        <f>+SUMIFS(Tabla6[Nominal COP],Tabla6[Concepto],COSTO_OPORTUNIDAD!$B$18,Tabla6[Nemotécnico],COSTO_OPORTUNIDAD!D$16,Tabla6[Fecha Cumplimiento y/ liquidacion],COSTO_OPORTUNIDAD!$C62)/+SUMIFS(Tabla6[Nominal COP],Tabla6[Concepto],COSTO_OPORTUNIDAD!$B$18,Tabla6[Fecha Cumplimiento y/ liquidacion],COSTO_OPORTUNIDAD!$C62)</f>
        <v>#DIV/0!</v>
      </c>
      <c r="E62" s="263" t="e">
        <f>+SUMIFS(Tabla6[Nominal COP],Tabla6[Concepto],COSTO_OPORTUNIDAD!$B$18,Tabla6[Nemotécnico],COSTO_OPORTUNIDAD!E$16,Tabla6[Fecha Cumplimiento y/ liquidacion],COSTO_OPORTUNIDAD!$C62)/+SUMIFS(Tabla6[Nominal COP],Tabla6[Concepto],COSTO_OPORTUNIDAD!$B$18,Tabla6[Fecha Cumplimiento y/ liquidacion],COSTO_OPORTUNIDAD!$C62)</f>
        <v>#DIV/0!</v>
      </c>
      <c r="F62" s="262"/>
      <c r="G62" s="262"/>
      <c r="H62" s="262"/>
      <c r="I62" s="262"/>
      <c r="J62" s="262"/>
      <c r="K62" s="262"/>
      <c r="L62" s="262"/>
      <c r="M62" s="262"/>
      <c r="N62" s="262"/>
      <c r="O62" s="262"/>
      <c r="P62" s="262"/>
      <c r="Q62" s="262"/>
      <c r="R62" s="263"/>
      <c r="S62" s="263"/>
      <c r="T62" s="263"/>
      <c r="U62" s="263"/>
      <c r="AA62" s="263">
        <v>1</v>
      </c>
      <c r="AB62" s="262"/>
      <c r="AC62" s="262"/>
      <c r="AD62" s="262"/>
      <c r="AE62" s="262"/>
      <c r="AF62" s="262"/>
      <c r="AG62" s="262"/>
      <c r="AH62" s="274">
        <f t="shared" si="0"/>
        <v>1434</v>
      </c>
      <c r="AI62" s="274">
        <f t="shared" si="1"/>
        <v>1868</v>
      </c>
      <c r="AJ62" s="274">
        <f t="shared" si="2"/>
        <v>2045</v>
      </c>
      <c r="AK62" s="274"/>
      <c r="AL62" s="274">
        <f t="shared" si="3"/>
        <v>2918</v>
      </c>
      <c r="AM62" s="274">
        <f t="shared" si="4"/>
        <v>3107</v>
      </c>
      <c r="AN62" s="274">
        <f t="shared" si="5"/>
        <v>3569</v>
      </c>
      <c r="AO62" s="274"/>
      <c r="AP62" s="274">
        <f t="shared" si="6"/>
        <v>4409</v>
      </c>
      <c r="AQ62" s="274"/>
      <c r="AR62" s="274">
        <f t="shared" si="7"/>
        <v>5039</v>
      </c>
      <c r="AS62" s="274"/>
      <c r="AT62" s="274">
        <f t="shared" si="8"/>
        <v>7188</v>
      </c>
      <c r="AU62" s="274"/>
      <c r="AV62" s="274">
        <f t="shared" si="9"/>
        <v>10261</v>
      </c>
      <c r="AW62" s="274"/>
      <c r="AX62" s="274">
        <f t="shared" si="10"/>
        <v>958</v>
      </c>
      <c r="AY62" s="274">
        <f t="shared" si="11"/>
        <v>1637</v>
      </c>
      <c r="AZ62" s="274">
        <f t="shared" si="12"/>
        <v>2400</v>
      </c>
      <c r="BA62" s="274"/>
      <c r="BB62" s="274">
        <f t="shared" si="13"/>
        <v>3837</v>
      </c>
      <c r="BC62" s="274">
        <f t="shared" si="14"/>
        <v>4577</v>
      </c>
      <c r="BD62" s="274">
        <f t="shared" si="15"/>
        <v>5270</v>
      </c>
      <c r="BE62" s="274"/>
      <c r="BF62" s="274">
        <f t="shared" si="16"/>
        <v>9764</v>
      </c>
      <c r="BG62" s="274"/>
      <c r="BH62" s="274"/>
      <c r="BI62" s="266">
        <f t="shared" si="17"/>
        <v>1</v>
      </c>
      <c r="BJ62" s="266" t="e">
        <f t="shared" si="18"/>
        <v>#DIV/0!</v>
      </c>
      <c r="BK62" s="263" t="str">
        <f t="shared" si="19"/>
        <v/>
      </c>
      <c r="BL62" s="263" t="str">
        <f t="shared" si="20"/>
        <v/>
      </c>
      <c r="BM62" s="263" t="str">
        <f t="shared" si="21"/>
        <v/>
      </c>
      <c r="BN62" s="263"/>
      <c r="BO62" s="263" t="str">
        <f t="shared" si="22"/>
        <v/>
      </c>
      <c r="BP62" s="263" t="str">
        <f t="shared" si="23"/>
        <v/>
      </c>
      <c r="BQ62" s="263" t="str">
        <f t="shared" si="24"/>
        <v/>
      </c>
      <c r="BR62" s="263" t="str">
        <f t="shared" si="25"/>
        <v/>
      </c>
      <c r="BS62" s="263" t="str">
        <f t="shared" si="26"/>
        <v/>
      </c>
      <c r="BT62" s="263" t="str">
        <f t="shared" si="27"/>
        <v/>
      </c>
      <c r="BU62" s="263" t="str">
        <f t="shared" si="28"/>
        <v/>
      </c>
      <c r="BV62" s="263"/>
      <c r="BW62" s="263" t="str">
        <f t="shared" si="29"/>
        <v/>
      </c>
      <c r="BX62" s="263"/>
      <c r="BY62" s="263" t="str">
        <f t="shared" si="30"/>
        <v/>
      </c>
      <c r="BZ62" s="263"/>
      <c r="CA62" s="263">
        <f t="shared" si="47"/>
        <v>0</v>
      </c>
      <c r="CB62" s="263">
        <f t="shared" si="32"/>
        <v>0</v>
      </c>
      <c r="CC62" s="263">
        <f t="shared" si="48"/>
        <v>0</v>
      </c>
      <c r="CD62" s="263">
        <f t="shared" si="34"/>
        <v>0</v>
      </c>
      <c r="CE62" s="263"/>
      <c r="CF62" s="263">
        <f t="shared" si="49"/>
        <v>1</v>
      </c>
      <c r="CG62" s="263">
        <f t="shared" si="50"/>
        <v>0</v>
      </c>
      <c r="CH62" s="263"/>
      <c r="CI62" s="263">
        <f t="shared" si="38"/>
        <v>0</v>
      </c>
      <c r="CJ62" s="263"/>
      <c r="CK62" s="263">
        <f t="shared" si="39"/>
        <v>0</v>
      </c>
      <c r="CL62" s="264">
        <f t="shared" si="51"/>
        <v>0</v>
      </c>
      <c r="CM62" s="264">
        <f t="shared" si="41"/>
        <v>4577</v>
      </c>
      <c r="CO62" s="265">
        <v>0.12287000000000001</v>
      </c>
      <c r="CP62" s="265">
        <v>0.12317</v>
      </c>
      <c r="CQ62" s="265">
        <v>0.12380000000000001</v>
      </c>
      <c r="CS62" s="265">
        <v>0.1241</v>
      </c>
      <c r="CT62" s="265">
        <v>0.12240000000000001</v>
      </c>
      <c r="CU62" s="265">
        <v>0.12411</v>
      </c>
      <c r="CW62" s="265">
        <v>0.1245</v>
      </c>
      <c r="CY62" s="265">
        <v>0.12480000000000001</v>
      </c>
      <c r="DA62" s="265">
        <v>0.12625</v>
      </c>
      <c r="DC62" s="265">
        <v>0.125</v>
      </c>
      <c r="DE62" s="265">
        <v>4.2500000000000003E-2</v>
      </c>
      <c r="DF62" s="265">
        <v>5.0700000000000002E-2</v>
      </c>
      <c r="DH62" s="265">
        <v>5.6500000000000002E-2</v>
      </c>
      <c r="DI62" s="265">
        <v>5.9980000000000006E-2</v>
      </c>
      <c r="DJ62" s="265">
        <v>5.994E-2</v>
      </c>
      <c r="DL62" s="265">
        <v>5.9660000000000005E-2</v>
      </c>
      <c r="DO62" s="267"/>
      <c r="DP62" s="267"/>
      <c r="DQ62" s="267"/>
      <c r="DR62" s="267"/>
      <c r="DS62" s="267"/>
      <c r="DT62" s="267"/>
      <c r="DU62" s="267"/>
      <c r="DV62" s="267"/>
      <c r="DW62" s="267"/>
      <c r="DX62" s="267"/>
      <c r="DY62" s="267"/>
      <c r="DZ62" s="205">
        <f t="shared" si="46"/>
        <v>5.9980000000000006E-2</v>
      </c>
      <c r="EA62" s="205" t="e">
        <f t="shared" si="52"/>
        <v>#DIV/0!</v>
      </c>
      <c r="EC62" s="195">
        <v>2022</v>
      </c>
      <c r="ED62" s="195" t="s">
        <v>453</v>
      </c>
      <c r="EE62" s="205">
        <v>0.1222</v>
      </c>
      <c r="EF62" s="208">
        <v>9.9000000000000005E-2</v>
      </c>
      <c r="EG62" s="195">
        <v>12.22</v>
      </c>
      <c r="EH62" s="195">
        <f t="shared" si="53"/>
        <v>0.1222</v>
      </c>
    </row>
    <row r="63" spans="2:138" ht="22.7" customHeight="1">
      <c r="B63" s="272">
        <v>44827</v>
      </c>
      <c r="C63" s="271">
        <v>44827</v>
      </c>
      <c r="D63" s="263" t="e">
        <f>+SUMIFS(Tabla6[Nominal COP],Tabla6[Concepto],COSTO_OPORTUNIDAD!$B$18,Tabla6[Nemotécnico],COSTO_OPORTUNIDAD!D$16,Tabla6[Fecha Cumplimiento y/ liquidacion],COSTO_OPORTUNIDAD!$C63)/+SUMIFS(Tabla6[Nominal COP],Tabla6[Concepto],COSTO_OPORTUNIDAD!$B$18,Tabla6[Fecha Cumplimiento y/ liquidacion],COSTO_OPORTUNIDAD!$C63)</f>
        <v>#DIV/0!</v>
      </c>
      <c r="E63" s="263" t="e">
        <f>+SUMIFS(Tabla6[Nominal COP],Tabla6[Concepto],COSTO_OPORTUNIDAD!$B$18,Tabla6[Nemotécnico],COSTO_OPORTUNIDAD!E$16,Tabla6[Fecha Cumplimiento y/ liquidacion],COSTO_OPORTUNIDAD!$C63)/+SUMIFS(Tabla6[Nominal COP],Tabla6[Concepto],COSTO_OPORTUNIDAD!$B$18,Tabla6[Fecha Cumplimiento y/ liquidacion],COSTO_OPORTUNIDAD!$C63)</f>
        <v>#DIV/0!</v>
      </c>
      <c r="F63" s="262"/>
      <c r="G63" s="262"/>
      <c r="H63" s="262"/>
      <c r="I63" s="262"/>
      <c r="J63" s="262"/>
      <c r="K63" s="262"/>
      <c r="L63" s="262"/>
      <c r="M63" s="262"/>
      <c r="N63" s="262"/>
      <c r="O63" s="262"/>
      <c r="P63" s="262"/>
      <c r="Q63" s="262"/>
      <c r="R63" s="263"/>
      <c r="S63" s="263"/>
      <c r="T63" s="263"/>
      <c r="U63" s="263"/>
      <c r="AA63" s="263">
        <v>1</v>
      </c>
      <c r="AB63" s="262"/>
      <c r="AC63" s="262"/>
      <c r="AD63" s="262"/>
      <c r="AE63" s="262"/>
      <c r="AF63" s="262"/>
      <c r="AG63" s="262"/>
      <c r="AH63" s="274">
        <f t="shared" si="0"/>
        <v>1433</v>
      </c>
      <c r="AI63" s="274">
        <f t="shared" si="1"/>
        <v>1867</v>
      </c>
      <c r="AJ63" s="274">
        <f t="shared" si="2"/>
        <v>2044</v>
      </c>
      <c r="AK63" s="274"/>
      <c r="AL63" s="274">
        <f t="shared" si="3"/>
        <v>2917</v>
      </c>
      <c r="AM63" s="274">
        <f t="shared" si="4"/>
        <v>3106</v>
      </c>
      <c r="AN63" s="274">
        <f t="shared" si="5"/>
        <v>3568</v>
      </c>
      <c r="AO63" s="274"/>
      <c r="AP63" s="274">
        <f t="shared" si="6"/>
        <v>4408</v>
      </c>
      <c r="AQ63" s="274"/>
      <c r="AR63" s="274">
        <f t="shared" si="7"/>
        <v>5038</v>
      </c>
      <c r="AS63" s="274"/>
      <c r="AT63" s="274">
        <f t="shared" si="8"/>
        <v>7187</v>
      </c>
      <c r="AU63" s="274"/>
      <c r="AV63" s="274">
        <f t="shared" si="9"/>
        <v>10260</v>
      </c>
      <c r="AW63" s="274"/>
      <c r="AX63" s="274">
        <f t="shared" si="10"/>
        <v>957</v>
      </c>
      <c r="AY63" s="274">
        <f t="shared" si="11"/>
        <v>1636</v>
      </c>
      <c r="AZ63" s="274">
        <f t="shared" si="12"/>
        <v>2399</v>
      </c>
      <c r="BA63" s="274"/>
      <c r="BB63" s="274">
        <f t="shared" si="13"/>
        <v>3836</v>
      </c>
      <c r="BC63" s="274">
        <f t="shared" si="14"/>
        <v>4576</v>
      </c>
      <c r="BD63" s="274">
        <f t="shared" si="15"/>
        <v>5269</v>
      </c>
      <c r="BE63" s="274"/>
      <c r="BF63" s="274">
        <f t="shared" si="16"/>
        <v>9763</v>
      </c>
      <c r="BG63" s="274"/>
      <c r="BH63" s="274"/>
      <c r="BI63" s="266">
        <f t="shared" si="17"/>
        <v>1</v>
      </c>
      <c r="BJ63" s="266" t="e">
        <f t="shared" si="18"/>
        <v>#DIV/0!</v>
      </c>
      <c r="BK63" s="263" t="str">
        <f t="shared" si="19"/>
        <v/>
      </c>
      <c r="BL63" s="263" t="str">
        <f t="shared" si="20"/>
        <v/>
      </c>
      <c r="BM63" s="263" t="str">
        <f t="shared" si="21"/>
        <v/>
      </c>
      <c r="BN63" s="263"/>
      <c r="BO63" s="263" t="str">
        <f t="shared" si="22"/>
        <v/>
      </c>
      <c r="BP63" s="263" t="str">
        <f t="shared" si="23"/>
        <v/>
      </c>
      <c r="BQ63" s="263" t="str">
        <f t="shared" si="24"/>
        <v/>
      </c>
      <c r="BR63" s="263" t="str">
        <f t="shared" si="25"/>
        <v/>
      </c>
      <c r="BS63" s="263" t="str">
        <f t="shared" si="26"/>
        <v/>
      </c>
      <c r="BT63" s="263" t="str">
        <f t="shared" si="27"/>
        <v/>
      </c>
      <c r="BU63" s="263" t="str">
        <f t="shared" si="28"/>
        <v/>
      </c>
      <c r="BV63" s="263"/>
      <c r="BW63" s="263" t="str">
        <f t="shared" si="29"/>
        <v/>
      </c>
      <c r="BX63" s="263"/>
      <c r="BY63" s="263" t="str">
        <f t="shared" si="30"/>
        <v/>
      </c>
      <c r="BZ63" s="263"/>
      <c r="CA63" s="263">
        <f t="shared" si="47"/>
        <v>0</v>
      </c>
      <c r="CB63" s="263">
        <f t="shared" si="32"/>
        <v>0</v>
      </c>
      <c r="CC63" s="263">
        <f t="shared" si="48"/>
        <v>0</v>
      </c>
      <c r="CD63" s="263">
        <f t="shared" si="34"/>
        <v>0</v>
      </c>
      <c r="CE63" s="263"/>
      <c r="CF63" s="263">
        <f t="shared" si="49"/>
        <v>1</v>
      </c>
      <c r="CG63" s="263">
        <f t="shared" si="50"/>
        <v>0</v>
      </c>
      <c r="CH63" s="263"/>
      <c r="CI63" s="263">
        <f t="shared" si="38"/>
        <v>0</v>
      </c>
      <c r="CJ63" s="263"/>
      <c r="CK63" s="263">
        <f t="shared" si="39"/>
        <v>0</v>
      </c>
      <c r="CL63" s="264">
        <f t="shared" si="51"/>
        <v>0</v>
      </c>
      <c r="CM63" s="264">
        <f t="shared" si="41"/>
        <v>4576</v>
      </c>
      <c r="CO63" s="265">
        <v>0.12332000000000001</v>
      </c>
      <c r="CP63" s="265">
        <v>0.1234</v>
      </c>
      <c r="CQ63" s="265">
        <v>0.1246</v>
      </c>
      <c r="CS63" s="265">
        <v>0.1255</v>
      </c>
      <c r="CT63" s="265">
        <v>0.12240000000000001</v>
      </c>
      <c r="CU63" s="265">
        <v>0.12547</v>
      </c>
      <c r="CW63" s="265">
        <v>0.12569</v>
      </c>
      <c r="CY63" s="265">
        <v>0.1255</v>
      </c>
      <c r="DA63" s="265">
        <v>0.1273</v>
      </c>
      <c r="DC63" s="265">
        <v>0.12595000000000001</v>
      </c>
      <c r="DE63" s="265">
        <v>4.3499999999999997E-2</v>
      </c>
      <c r="DF63" s="265">
        <v>5.1680000000000004E-2</v>
      </c>
      <c r="DH63" s="265">
        <v>5.602E-2</v>
      </c>
      <c r="DI63" s="265">
        <v>6.0100000000000001E-2</v>
      </c>
      <c r="DJ63" s="265">
        <v>6.0010000000000001E-2</v>
      </c>
      <c r="DL63" s="265">
        <v>5.9400000000000001E-2</v>
      </c>
      <c r="DO63" s="267"/>
      <c r="DP63" s="267"/>
      <c r="DQ63" s="267"/>
      <c r="DR63" s="267"/>
      <c r="DS63" s="267"/>
      <c r="DT63" s="267"/>
      <c r="DU63" s="267"/>
      <c r="DV63" s="267"/>
      <c r="DW63" s="267"/>
      <c r="DX63" s="267"/>
      <c r="DY63" s="267"/>
      <c r="DZ63" s="205">
        <f t="shared" si="46"/>
        <v>6.0100000000000001E-2</v>
      </c>
      <c r="EA63" s="205" t="e">
        <f t="shared" si="52"/>
        <v>#DIV/0!</v>
      </c>
      <c r="EC63" s="195">
        <v>2022</v>
      </c>
      <c r="ED63" s="195" t="s">
        <v>454</v>
      </c>
      <c r="EE63" s="209">
        <v>0.12529999999999999</v>
      </c>
      <c r="EF63" s="208">
        <v>0.12280000000000001</v>
      </c>
      <c r="EG63" s="195">
        <v>12.53</v>
      </c>
      <c r="EH63" s="195">
        <f t="shared" si="53"/>
        <v>0.12529999999999999</v>
      </c>
    </row>
    <row r="64" spans="2:138" ht="22.7" customHeight="1">
      <c r="B64" s="272">
        <v>44831</v>
      </c>
      <c r="C64" s="271">
        <v>44831</v>
      </c>
      <c r="D64" s="263" t="e">
        <f>+SUMIFS(Tabla6[Nominal COP],Tabla6[Concepto],COSTO_OPORTUNIDAD!$B$18,Tabla6[Nemotécnico],COSTO_OPORTUNIDAD!D$16,Tabla6[Fecha Cumplimiento y/ liquidacion],COSTO_OPORTUNIDAD!$C64)/+SUMIFS(Tabla6[Nominal COP],Tabla6[Concepto],COSTO_OPORTUNIDAD!$B$18,Tabla6[Fecha Cumplimiento y/ liquidacion],COSTO_OPORTUNIDAD!$C64)</f>
        <v>#DIV/0!</v>
      </c>
      <c r="E64" s="263" t="e">
        <f>+SUMIFS(Tabla6[Nominal COP],Tabla6[Concepto],COSTO_OPORTUNIDAD!$B$18,Tabla6[Nemotécnico],COSTO_OPORTUNIDAD!E$16,Tabla6[Fecha Cumplimiento y/ liquidacion],COSTO_OPORTUNIDAD!$C64)/+SUMIFS(Tabla6[Nominal COP],Tabla6[Concepto],COSTO_OPORTUNIDAD!$B$18,Tabla6[Fecha Cumplimiento y/ liquidacion],COSTO_OPORTUNIDAD!$C64)</f>
        <v>#DIV/0!</v>
      </c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3"/>
      <c r="S64" s="263"/>
      <c r="T64" s="263"/>
      <c r="U64" s="263"/>
      <c r="AA64" s="263">
        <v>1</v>
      </c>
      <c r="AB64" s="262"/>
      <c r="AC64" s="262"/>
      <c r="AD64" s="262"/>
      <c r="AE64" s="262"/>
      <c r="AF64" s="262"/>
      <c r="AG64" s="262"/>
      <c r="AH64" s="274">
        <f t="shared" si="0"/>
        <v>1429</v>
      </c>
      <c r="AI64" s="274">
        <f t="shared" si="1"/>
        <v>1863</v>
      </c>
      <c r="AJ64" s="274">
        <f t="shared" si="2"/>
        <v>2040</v>
      </c>
      <c r="AK64" s="274"/>
      <c r="AL64" s="274">
        <f t="shared" si="3"/>
        <v>2913</v>
      </c>
      <c r="AM64" s="274">
        <f t="shared" si="4"/>
        <v>3102</v>
      </c>
      <c r="AN64" s="274">
        <f t="shared" si="5"/>
        <v>3564</v>
      </c>
      <c r="AO64" s="274"/>
      <c r="AP64" s="274">
        <f t="shared" si="6"/>
        <v>4404</v>
      </c>
      <c r="AQ64" s="274"/>
      <c r="AR64" s="274">
        <f t="shared" si="7"/>
        <v>5034</v>
      </c>
      <c r="AS64" s="274"/>
      <c r="AT64" s="274">
        <f t="shared" si="8"/>
        <v>7183</v>
      </c>
      <c r="AU64" s="274"/>
      <c r="AV64" s="274">
        <f t="shared" si="9"/>
        <v>10256</v>
      </c>
      <c r="AW64" s="274"/>
      <c r="AX64" s="274">
        <f t="shared" si="10"/>
        <v>953</v>
      </c>
      <c r="AY64" s="274">
        <f t="shared" si="11"/>
        <v>1632</v>
      </c>
      <c r="AZ64" s="274">
        <f t="shared" si="12"/>
        <v>2395</v>
      </c>
      <c r="BA64" s="274"/>
      <c r="BB64" s="274">
        <f t="shared" si="13"/>
        <v>3832</v>
      </c>
      <c r="BC64" s="274">
        <f t="shared" si="14"/>
        <v>4572</v>
      </c>
      <c r="BD64" s="274">
        <f t="shared" si="15"/>
        <v>5265</v>
      </c>
      <c r="BE64" s="274"/>
      <c r="BF64" s="274">
        <f t="shared" si="16"/>
        <v>9759</v>
      </c>
      <c r="BG64" s="274"/>
      <c r="BH64" s="274"/>
      <c r="BI64" s="266">
        <f t="shared" si="17"/>
        <v>1</v>
      </c>
      <c r="BJ64" s="266" t="e">
        <f t="shared" si="18"/>
        <v>#DIV/0!</v>
      </c>
      <c r="BK64" s="263" t="str">
        <f t="shared" si="19"/>
        <v/>
      </c>
      <c r="BL64" s="263" t="str">
        <f t="shared" si="20"/>
        <v/>
      </c>
      <c r="BM64" s="263" t="str">
        <f t="shared" si="21"/>
        <v/>
      </c>
      <c r="BN64" s="263"/>
      <c r="BO64" s="263" t="str">
        <f t="shared" si="22"/>
        <v/>
      </c>
      <c r="BP64" s="263" t="str">
        <f t="shared" si="23"/>
        <v/>
      </c>
      <c r="BQ64" s="263" t="str">
        <f t="shared" si="24"/>
        <v/>
      </c>
      <c r="BR64" s="263" t="str">
        <f t="shared" si="25"/>
        <v/>
      </c>
      <c r="BS64" s="263" t="str">
        <f t="shared" si="26"/>
        <v/>
      </c>
      <c r="BT64" s="263" t="str">
        <f t="shared" si="27"/>
        <v/>
      </c>
      <c r="BU64" s="263" t="str">
        <f t="shared" si="28"/>
        <v/>
      </c>
      <c r="BV64" s="263"/>
      <c r="BW64" s="263" t="str">
        <f t="shared" si="29"/>
        <v/>
      </c>
      <c r="BX64" s="263"/>
      <c r="BY64" s="263" t="str">
        <f t="shared" si="30"/>
        <v/>
      </c>
      <c r="BZ64" s="263"/>
      <c r="CA64" s="263">
        <f t="shared" si="47"/>
        <v>0</v>
      </c>
      <c r="CB64" s="263">
        <f t="shared" si="32"/>
        <v>0</v>
      </c>
      <c r="CC64" s="263">
        <f t="shared" si="48"/>
        <v>0</v>
      </c>
      <c r="CD64" s="263">
        <f t="shared" si="34"/>
        <v>0</v>
      </c>
      <c r="CE64" s="263"/>
      <c r="CF64" s="263">
        <f t="shared" si="49"/>
        <v>1</v>
      </c>
      <c r="CG64" s="263">
        <f t="shared" si="50"/>
        <v>0</v>
      </c>
      <c r="CH64" s="263"/>
      <c r="CI64" s="263">
        <f t="shared" si="38"/>
        <v>0</v>
      </c>
      <c r="CJ64" s="263"/>
      <c r="CK64" s="263">
        <f t="shared" si="39"/>
        <v>0</v>
      </c>
      <c r="CL64" s="264">
        <f t="shared" si="51"/>
        <v>0</v>
      </c>
      <c r="CM64" s="264">
        <f t="shared" si="41"/>
        <v>4572</v>
      </c>
      <c r="CO64" s="265">
        <v>0.12502000000000002</v>
      </c>
      <c r="CP64" s="265">
        <v>0.12536</v>
      </c>
      <c r="CQ64" s="265">
        <v>0.12634999999999999</v>
      </c>
      <c r="CS64" s="265">
        <v>0.12756000000000001</v>
      </c>
      <c r="CT64" s="265">
        <v>0.12689999999999999</v>
      </c>
      <c r="CU64" s="265">
        <v>0.1275</v>
      </c>
      <c r="CW64" s="265">
        <v>0.12742000000000001</v>
      </c>
      <c r="CY64" s="265">
        <v>0.12710000000000002</v>
      </c>
      <c r="DA64" s="265">
        <v>0.129</v>
      </c>
      <c r="DC64" s="265">
        <v>0.12791</v>
      </c>
      <c r="DE64" s="265">
        <v>4.5010000000000001E-2</v>
      </c>
      <c r="DF64" s="265">
        <v>5.1699999999999996E-2</v>
      </c>
      <c r="DH64" s="265">
        <v>5.7000000000000002E-2</v>
      </c>
      <c r="DI64" s="265">
        <v>6.0289999999999996E-2</v>
      </c>
      <c r="DJ64" s="265">
        <v>5.9930000000000004E-2</v>
      </c>
      <c r="DL64" s="265">
        <v>5.9569999999999998E-2</v>
      </c>
      <c r="DO64" s="267"/>
      <c r="DP64" s="267"/>
      <c r="DQ64" s="267"/>
      <c r="DR64" s="267"/>
      <c r="DS64" s="267"/>
      <c r="DT64" s="267"/>
      <c r="DU64" s="267"/>
      <c r="DV64" s="267"/>
      <c r="DW64" s="267"/>
      <c r="DX64" s="267"/>
      <c r="DY64" s="267"/>
      <c r="DZ64" s="205">
        <f t="shared" si="46"/>
        <v>6.0289999999999996E-2</v>
      </c>
      <c r="EA64" s="205" t="e">
        <f t="shared" si="52"/>
        <v>#DIV/0!</v>
      </c>
      <c r="EC64" s="195">
        <v>2022</v>
      </c>
      <c r="ED64" s="195" t="s">
        <v>455</v>
      </c>
      <c r="EE64" s="210">
        <v>0.13119999999999998</v>
      </c>
      <c r="EF64" s="208">
        <v>0.12529999999999999</v>
      </c>
      <c r="EG64" s="195">
        <v>13.12</v>
      </c>
      <c r="EH64" s="195">
        <f t="shared" si="53"/>
        <v>0.13119999999999998</v>
      </c>
    </row>
    <row r="65" spans="2:138" ht="22.7" customHeight="1">
      <c r="B65" s="272">
        <v>44832</v>
      </c>
      <c r="C65" s="271">
        <v>44832</v>
      </c>
      <c r="D65" s="263" t="e">
        <f>+SUMIFS(Tabla6[Nominal COP],Tabla6[Concepto],COSTO_OPORTUNIDAD!$B$18,Tabla6[Nemotécnico],COSTO_OPORTUNIDAD!D$16,Tabla6[Fecha Cumplimiento y/ liquidacion],COSTO_OPORTUNIDAD!$C65)/+SUMIFS(Tabla6[Nominal COP],Tabla6[Concepto],COSTO_OPORTUNIDAD!$B$18,Tabla6[Fecha Cumplimiento y/ liquidacion],COSTO_OPORTUNIDAD!$C65)</f>
        <v>#DIV/0!</v>
      </c>
      <c r="E65" s="263" t="e">
        <f>+SUMIFS(Tabla6[Nominal COP],Tabla6[Concepto],COSTO_OPORTUNIDAD!$B$18,Tabla6[Nemotécnico],COSTO_OPORTUNIDAD!E$16,Tabla6[Fecha Cumplimiento y/ liquidacion],COSTO_OPORTUNIDAD!$C65)/+SUMIFS(Tabla6[Nominal COP],Tabla6[Concepto],COSTO_OPORTUNIDAD!$B$18,Tabla6[Fecha Cumplimiento y/ liquidacion],COSTO_OPORTUNIDAD!$C65)</f>
        <v>#DIV/0!</v>
      </c>
      <c r="F65" s="262"/>
      <c r="G65" s="262"/>
      <c r="H65" s="262"/>
      <c r="I65" s="262"/>
      <c r="J65" s="262"/>
      <c r="K65" s="262"/>
      <c r="L65" s="262"/>
      <c r="M65" s="262"/>
      <c r="N65" s="262"/>
      <c r="O65" s="262"/>
      <c r="P65" s="262"/>
      <c r="Q65" s="262"/>
      <c r="R65" s="263"/>
      <c r="S65" s="263"/>
      <c r="T65" s="263"/>
      <c r="U65" s="263"/>
      <c r="AA65" s="263">
        <v>1</v>
      </c>
      <c r="AB65" s="262"/>
      <c r="AC65" s="262"/>
      <c r="AD65" s="262"/>
      <c r="AE65" s="262"/>
      <c r="AF65" s="262"/>
      <c r="AG65" s="262"/>
      <c r="AH65" s="274">
        <f t="shared" si="0"/>
        <v>1428</v>
      </c>
      <c r="AI65" s="274">
        <f t="shared" si="1"/>
        <v>1862</v>
      </c>
      <c r="AJ65" s="274">
        <f t="shared" si="2"/>
        <v>2039</v>
      </c>
      <c r="AK65" s="274"/>
      <c r="AL65" s="274">
        <f t="shared" si="3"/>
        <v>2912</v>
      </c>
      <c r="AM65" s="274">
        <f t="shared" si="4"/>
        <v>3101</v>
      </c>
      <c r="AN65" s="274">
        <f t="shared" si="5"/>
        <v>3563</v>
      </c>
      <c r="AO65" s="274"/>
      <c r="AP65" s="274">
        <f t="shared" si="6"/>
        <v>4403</v>
      </c>
      <c r="AQ65" s="274"/>
      <c r="AR65" s="274">
        <f t="shared" si="7"/>
        <v>5033</v>
      </c>
      <c r="AS65" s="274"/>
      <c r="AT65" s="274">
        <f t="shared" si="8"/>
        <v>7182</v>
      </c>
      <c r="AU65" s="274"/>
      <c r="AV65" s="274">
        <f t="shared" si="9"/>
        <v>10255</v>
      </c>
      <c r="AW65" s="274"/>
      <c r="AX65" s="274">
        <f t="shared" si="10"/>
        <v>952</v>
      </c>
      <c r="AY65" s="274">
        <f t="shared" si="11"/>
        <v>1631</v>
      </c>
      <c r="AZ65" s="274">
        <f t="shared" si="12"/>
        <v>2394</v>
      </c>
      <c r="BA65" s="274"/>
      <c r="BB65" s="274">
        <f t="shared" si="13"/>
        <v>3831</v>
      </c>
      <c r="BC65" s="274">
        <f t="shared" si="14"/>
        <v>4571</v>
      </c>
      <c r="BD65" s="274">
        <f t="shared" si="15"/>
        <v>5264</v>
      </c>
      <c r="BE65" s="274"/>
      <c r="BF65" s="274">
        <f t="shared" si="16"/>
        <v>9758</v>
      </c>
      <c r="BG65" s="274"/>
      <c r="BH65" s="274"/>
      <c r="BI65" s="266">
        <f t="shared" si="17"/>
        <v>1</v>
      </c>
      <c r="BJ65" s="266" t="e">
        <f t="shared" si="18"/>
        <v>#DIV/0!</v>
      </c>
      <c r="BK65" s="263" t="str">
        <f t="shared" si="19"/>
        <v/>
      </c>
      <c r="BL65" s="263" t="str">
        <f t="shared" si="20"/>
        <v/>
      </c>
      <c r="BM65" s="263" t="str">
        <f t="shared" si="21"/>
        <v/>
      </c>
      <c r="BN65" s="263"/>
      <c r="BO65" s="263" t="str">
        <f t="shared" si="22"/>
        <v/>
      </c>
      <c r="BP65" s="263" t="str">
        <f t="shared" si="23"/>
        <v/>
      </c>
      <c r="BQ65" s="263" t="str">
        <f t="shared" si="24"/>
        <v/>
      </c>
      <c r="BR65" s="263" t="str">
        <f t="shared" si="25"/>
        <v/>
      </c>
      <c r="BS65" s="263" t="str">
        <f t="shared" si="26"/>
        <v/>
      </c>
      <c r="BT65" s="263" t="str">
        <f t="shared" si="27"/>
        <v/>
      </c>
      <c r="BU65" s="263" t="str">
        <f t="shared" si="28"/>
        <v/>
      </c>
      <c r="BV65" s="263"/>
      <c r="BW65" s="263" t="str">
        <f t="shared" si="29"/>
        <v/>
      </c>
      <c r="BX65" s="263"/>
      <c r="BY65" s="263" t="str">
        <f t="shared" si="30"/>
        <v/>
      </c>
      <c r="BZ65" s="263"/>
      <c r="CA65" s="263">
        <f t="shared" si="47"/>
        <v>0</v>
      </c>
      <c r="CB65" s="263">
        <f t="shared" si="32"/>
        <v>0</v>
      </c>
      <c r="CC65" s="263">
        <f t="shared" si="48"/>
        <v>0</v>
      </c>
      <c r="CD65" s="263">
        <f t="shared" si="34"/>
        <v>0</v>
      </c>
      <c r="CE65" s="263"/>
      <c r="CF65" s="263">
        <f t="shared" si="49"/>
        <v>1</v>
      </c>
      <c r="CG65" s="263">
        <f t="shared" si="50"/>
        <v>0</v>
      </c>
      <c r="CH65" s="263"/>
      <c r="CI65" s="263">
        <f t="shared" si="38"/>
        <v>0</v>
      </c>
      <c r="CJ65" s="263"/>
      <c r="CK65" s="263">
        <f t="shared" si="39"/>
        <v>0</v>
      </c>
      <c r="CL65" s="264">
        <f t="shared" si="51"/>
        <v>0</v>
      </c>
      <c r="CM65" s="264">
        <f t="shared" si="41"/>
        <v>4571</v>
      </c>
      <c r="CO65" s="265">
        <v>0.12469</v>
      </c>
      <c r="CP65" s="265">
        <v>0.125</v>
      </c>
      <c r="CQ65" s="265">
        <v>0.12619999999999998</v>
      </c>
      <c r="CS65" s="265">
        <v>0.12740000000000001</v>
      </c>
      <c r="CT65" s="265">
        <v>0.12705</v>
      </c>
      <c r="CU65" s="265">
        <v>0.12740000000000001</v>
      </c>
      <c r="CW65" s="265">
        <v>0.12764</v>
      </c>
      <c r="CY65" s="265">
        <v>0.12710000000000002</v>
      </c>
      <c r="DA65" s="265">
        <v>0.129</v>
      </c>
      <c r="DC65" s="265">
        <v>0.128</v>
      </c>
      <c r="DE65" s="265">
        <v>4.6730000000000001E-2</v>
      </c>
      <c r="DF65" s="265">
        <v>5.2400000000000002E-2</v>
      </c>
      <c r="DH65" s="265">
        <v>5.6609999999999994E-2</v>
      </c>
      <c r="DI65" s="265">
        <v>5.985E-2</v>
      </c>
      <c r="DJ65" s="265">
        <v>5.9749999999999998E-2</v>
      </c>
      <c r="DL65" s="265">
        <v>5.9379999999999995E-2</v>
      </c>
      <c r="DO65" s="267"/>
      <c r="DP65" s="267"/>
      <c r="DQ65" s="267"/>
      <c r="DR65" s="267"/>
      <c r="DS65" s="267"/>
      <c r="DT65" s="267"/>
      <c r="DU65" s="267"/>
      <c r="DV65" s="267"/>
      <c r="DW65" s="267"/>
      <c r="DX65" s="267"/>
      <c r="DY65" s="267"/>
      <c r="DZ65" s="205">
        <f t="shared" si="46"/>
        <v>5.985E-2</v>
      </c>
      <c r="EA65" s="205" t="e">
        <f t="shared" si="52"/>
        <v>#DIV/0!</v>
      </c>
      <c r="EC65" s="195">
        <v>2023</v>
      </c>
      <c r="ED65" s="195" t="s">
        <v>456</v>
      </c>
      <c r="EE65" s="205">
        <v>0.13250000000000001</v>
      </c>
      <c r="EG65" s="195">
        <v>13.25</v>
      </c>
      <c r="EH65" s="195">
        <f t="shared" si="53"/>
        <v>0.13250000000000001</v>
      </c>
    </row>
    <row r="66" spans="2:138" ht="22.7" customHeight="1">
      <c r="B66" s="272">
        <v>44833</v>
      </c>
      <c r="C66" s="271">
        <v>44833</v>
      </c>
      <c r="D66" s="263" t="e">
        <f>+SUMIFS(Tabla6[Nominal COP],Tabla6[Concepto],COSTO_OPORTUNIDAD!$B$18,Tabla6[Nemotécnico],COSTO_OPORTUNIDAD!D$16,Tabla6[Fecha Cumplimiento y/ liquidacion],COSTO_OPORTUNIDAD!$C66)/+SUMIFS(Tabla6[Nominal COP],Tabla6[Concepto],COSTO_OPORTUNIDAD!$B$18,Tabla6[Fecha Cumplimiento y/ liquidacion],COSTO_OPORTUNIDAD!$C66)</f>
        <v>#DIV/0!</v>
      </c>
      <c r="E66" s="263" t="e">
        <f>+SUMIFS(Tabla6[Nominal COP],Tabla6[Concepto],COSTO_OPORTUNIDAD!$B$18,Tabla6[Nemotécnico],COSTO_OPORTUNIDAD!E$16,Tabla6[Fecha Cumplimiento y/ liquidacion],COSTO_OPORTUNIDAD!$C66)/+SUMIFS(Tabla6[Nominal COP],Tabla6[Concepto],COSTO_OPORTUNIDAD!$B$18,Tabla6[Fecha Cumplimiento y/ liquidacion],COSTO_OPORTUNIDAD!$C66)</f>
        <v>#DIV/0!</v>
      </c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3"/>
      <c r="S66" s="263"/>
      <c r="T66" s="263"/>
      <c r="U66" s="263"/>
      <c r="AA66" s="263">
        <v>1</v>
      </c>
      <c r="AB66" s="262"/>
      <c r="AC66" s="262"/>
      <c r="AD66" s="262"/>
      <c r="AE66" s="262"/>
      <c r="AF66" s="262"/>
      <c r="AG66" s="262"/>
      <c r="AH66" s="274">
        <f t="shared" si="0"/>
        <v>1427</v>
      </c>
      <c r="AI66" s="274">
        <f t="shared" si="1"/>
        <v>1861</v>
      </c>
      <c r="AJ66" s="274">
        <f t="shared" si="2"/>
        <v>2038</v>
      </c>
      <c r="AK66" s="274"/>
      <c r="AL66" s="274">
        <f t="shared" si="3"/>
        <v>2911</v>
      </c>
      <c r="AM66" s="274">
        <f t="shared" si="4"/>
        <v>3100</v>
      </c>
      <c r="AN66" s="274">
        <f t="shared" si="5"/>
        <v>3562</v>
      </c>
      <c r="AO66" s="274"/>
      <c r="AP66" s="274">
        <f t="shared" si="6"/>
        <v>4402</v>
      </c>
      <c r="AQ66" s="274"/>
      <c r="AR66" s="274">
        <f t="shared" si="7"/>
        <v>5032</v>
      </c>
      <c r="AS66" s="274"/>
      <c r="AT66" s="274">
        <f t="shared" si="8"/>
        <v>7181</v>
      </c>
      <c r="AU66" s="274"/>
      <c r="AV66" s="274">
        <f t="shared" si="9"/>
        <v>10254</v>
      </c>
      <c r="AW66" s="274"/>
      <c r="AX66" s="274">
        <f t="shared" si="10"/>
        <v>951</v>
      </c>
      <c r="AY66" s="274">
        <f t="shared" si="11"/>
        <v>1630</v>
      </c>
      <c r="AZ66" s="274">
        <f t="shared" si="12"/>
        <v>2393</v>
      </c>
      <c r="BA66" s="274"/>
      <c r="BB66" s="274">
        <f t="shared" si="13"/>
        <v>3830</v>
      </c>
      <c r="BC66" s="274">
        <f t="shared" si="14"/>
        <v>4570</v>
      </c>
      <c r="BD66" s="274">
        <f t="shared" si="15"/>
        <v>5263</v>
      </c>
      <c r="BE66" s="274"/>
      <c r="BF66" s="274">
        <f t="shared" si="16"/>
        <v>9757</v>
      </c>
      <c r="BG66" s="274"/>
      <c r="BH66" s="274"/>
      <c r="BI66" s="266">
        <f t="shared" si="17"/>
        <v>1</v>
      </c>
      <c r="BJ66" s="266" t="e">
        <f t="shared" si="18"/>
        <v>#DIV/0!</v>
      </c>
      <c r="BK66" s="263" t="str">
        <f t="shared" si="19"/>
        <v/>
      </c>
      <c r="BL66" s="263" t="str">
        <f t="shared" si="20"/>
        <v/>
      </c>
      <c r="BM66" s="263" t="str">
        <f t="shared" si="21"/>
        <v/>
      </c>
      <c r="BN66" s="263"/>
      <c r="BO66" s="263" t="str">
        <f t="shared" si="22"/>
        <v/>
      </c>
      <c r="BP66" s="263" t="str">
        <f t="shared" si="23"/>
        <v/>
      </c>
      <c r="BQ66" s="263" t="str">
        <f t="shared" si="24"/>
        <v/>
      </c>
      <c r="BR66" s="263" t="str">
        <f t="shared" si="25"/>
        <v/>
      </c>
      <c r="BS66" s="263" t="str">
        <f t="shared" si="26"/>
        <v/>
      </c>
      <c r="BT66" s="263" t="str">
        <f t="shared" si="27"/>
        <v/>
      </c>
      <c r="BU66" s="263" t="str">
        <f t="shared" si="28"/>
        <v/>
      </c>
      <c r="BV66" s="263"/>
      <c r="BW66" s="263" t="str">
        <f t="shared" si="29"/>
        <v/>
      </c>
      <c r="BX66" s="263"/>
      <c r="BY66" s="263" t="str">
        <f t="shared" si="30"/>
        <v/>
      </c>
      <c r="BZ66" s="263"/>
      <c r="CA66" s="263">
        <f t="shared" si="47"/>
        <v>0</v>
      </c>
      <c r="CB66" s="263">
        <f t="shared" si="32"/>
        <v>0</v>
      </c>
      <c r="CC66" s="263">
        <f t="shared" si="48"/>
        <v>0</v>
      </c>
      <c r="CD66" s="263">
        <f t="shared" si="34"/>
        <v>0</v>
      </c>
      <c r="CE66" s="263"/>
      <c r="CF66" s="263">
        <f t="shared" si="49"/>
        <v>1</v>
      </c>
      <c r="CG66" s="263">
        <f t="shared" si="50"/>
        <v>0</v>
      </c>
      <c r="CH66" s="263"/>
      <c r="CI66" s="263">
        <f t="shared" si="38"/>
        <v>0</v>
      </c>
      <c r="CJ66" s="263"/>
      <c r="CK66" s="263">
        <f t="shared" si="39"/>
        <v>0</v>
      </c>
      <c r="CL66" s="264">
        <f t="shared" si="51"/>
        <v>0</v>
      </c>
      <c r="CM66" s="264">
        <f t="shared" si="41"/>
        <v>4570</v>
      </c>
      <c r="CO66" s="265">
        <v>0.12486000000000001</v>
      </c>
      <c r="CP66" s="265">
        <v>0.12531999999999999</v>
      </c>
      <c r="CQ66" s="265">
        <v>0.1263</v>
      </c>
      <c r="CS66" s="265">
        <v>0.128</v>
      </c>
      <c r="CT66" s="265">
        <v>0.12753</v>
      </c>
      <c r="CU66" s="265">
        <v>0.12770000000000001</v>
      </c>
      <c r="CW66" s="265">
        <v>0.12825</v>
      </c>
      <c r="CY66" s="265">
        <v>0.1278</v>
      </c>
      <c r="DA66" s="265">
        <v>0.12934999999999999</v>
      </c>
      <c r="DC66" s="265">
        <v>0.12781999999999999</v>
      </c>
      <c r="DE66" s="265">
        <v>4.8499999999999995E-2</v>
      </c>
      <c r="DF66" s="265">
        <v>5.3099999999999994E-2</v>
      </c>
      <c r="DH66" s="265">
        <v>5.7350000000000005E-2</v>
      </c>
      <c r="DI66" s="265">
        <v>6.003E-2</v>
      </c>
      <c r="DJ66" s="265">
        <v>5.9820000000000005E-2</v>
      </c>
      <c r="DL66" s="265">
        <v>5.9200000000000003E-2</v>
      </c>
      <c r="DO66" s="267"/>
      <c r="DP66" s="267"/>
      <c r="DQ66" s="267"/>
      <c r="DR66" s="267"/>
      <c r="DS66" s="267"/>
      <c r="DT66" s="267"/>
      <c r="DU66" s="267"/>
      <c r="DV66" s="267"/>
      <c r="DW66" s="267"/>
      <c r="DX66" s="267"/>
      <c r="DY66" s="267"/>
      <c r="DZ66" s="205">
        <f t="shared" si="46"/>
        <v>6.003E-2</v>
      </c>
      <c r="EA66" s="205" t="e">
        <f t="shared" si="52"/>
        <v>#DIV/0!</v>
      </c>
      <c r="EC66" s="195">
        <v>2023</v>
      </c>
      <c r="ED66" s="195" t="s">
        <v>457</v>
      </c>
      <c r="EE66" s="205">
        <v>0.1328</v>
      </c>
      <c r="EG66" s="195">
        <v>13.28</v>
      </c>
      <c r="EH66" s="195">
        <f t="shared" si="53"/>
        <v>0.1328</v>
      </c>
    </row>
    <row r="67" spans="2:138" ht="22.7" customHeight="1">
      <c r="B67" s="272">
        <v>44837</v>
      </c>
      <c r="C67" s="271">
        <v>44837</v>
      </c>
      <c r="D67" s="263" t="e">
        <f>+SUMIFS(Tabla6[Nominal COP],Tabla6[Concepto],COSTO_OPORTUNIDAD!$B$18,Tabla6[Nemotécnico],COSTO_OPORTUNIDAD!D$16,Tabla6[Fecha Cumplimiento y/ liquidacion],COSTO_OPORTUNIDAD!$C67)/+SUMIFS(Tabla6[Nominal COP],Tabla6[Concepto],COSTO_OPORTUNIDAD!$B$18,Tabla6[Fecha Cumplimiento y/ liquidacion],COSTO_OPORTUNIDAD!$C67)</f>
        <v>#DIV/0!</v>
      </c>
      <c r="E67" s="263" t="e">
        <f>+SUMIFS(Tabla6[Nominal COP],Tabla6[Concepto],COSTO_OPORTUNIDAD!$B$18,Tabla6[Nemotécnico],COSTO_OPORTUNIDAD!E$16,Tabla6[Fecha Cumplimiento y/ liquidacion],COSTO_OPORTUNIDAD!$C67)/+SUMIFS(Tabla6[Nominal COP],Tabla6[Concepto],COSTO_OPORTUNIDAD!$B$18,Tabla6[Fecha Cumplimiento y/ liquidacion],COSTO_OPORTUNIDAD!$C67)</f>
        <v>#DIV/0!</v>
      </c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3"/>
      <c r="S67" s="263"/>
      <c r="T67" s="263"/>
      <c r="U67" s="263"/>
      <c r="AA67" s="263">
        <v>1</v>
      </c>
      <c r="AB67" s="262"/>
      <c r="AC67" s="262"/>
      <c r="AD67" s="262"/>
      <c r="AE67" s="262"/>
      <c r="AF67" s="262"/>
      <c r="AG67" s="262"/>
      <c r="AH67" s="274">
        <f t="shared" si="0"/>
        <v>1423</v>
      </c>
      <c r="AI67" s="274">
        <f t="shared" si="1"/>
        <v>1857</v>
      </c>
      <c r="AJ67" s="274">
        <f t="shared" si="2"/>
        <v>2034</v>
      </c>
      <c r="AK67" s="274"/>
      <c r="AL67" s="274">
        <f t="shared" si="3"/>
        <v>2907</v>
      </c>
      <c r="AM67" s="274">
        <f t="shared" si="4"/>
        <v>3096</v>
      </c>
      <c r="AN67" s="274">
        <f t="shared" si="5"/>
        <v>3558</v>
      </c>
      <c r="AO67" s="274"/>
      <c r="AP67" s="274">
        <f t="shared" si="6"/>
        <v>4398</v>
      </c>
      <c r="AQ67" s="274"/>
      <c r="AR67" s="274">
        <f t="shared" si="7"/>
        <v>5028</v>
      </c>
      <c r="AS67" s="274"/>
      <c r="AT67" s="274">
        <f t="shared" si="8"/>
        <v>7177</v>
      </c>
      <c r="AU67" s="274"/>
      <c r="AV67" s="274">
        <f t="shared" si="9"/>
        <v>10250</v>
      </c>
      <c r="AW67" s="274"/>
      <c r="AX67" s="274">
        <f t="shared" si="10"/>
        <v>947</v>
      </c>
      <c r="AY67" s="274">
        <f t="shared" si="11"/>
        <v>1626</v>
      </c>
      <c r="AZ67" s="274">
        <f t="shared" si="12"/>
        <v>2389</v>
      </c>
      <c r="BA67" s="274"/>
      <c r="BB67" s="274">
        <f t="shared" si="13"/>
        <v>3826</v>
      </c>
      <c r="BC67" s="274">
        <f t="shared" si="14"/>
        <v>4566</v>
      </c>
      <c r="BD67" s="274">
        <f t="shared" si="15"/>
        <v>5259</v>
      </c>
      <c r="BE67" s="274"/>
      <c r="BF67" s="274">
        <f t="shared" si="16"/>
        <v>9753</v>
      </c>
      <c r="BG67" s="274"/>
      <c r="BH67" s="274"/>
      <c r="BI67" s="266">
        <f t="shared" si="17"/>
        <v>1</v>
      </c>
      <c r="BJ67" s="266" t="e">
        <f t="shared" si="18"/>
        <v>#DIV/0!</v>
      </c>
      <c r="BK67" s="263" t="str">
        <f t="shared" si="19"/>
        <v/>
      </c>
      <c r="BL67" s="263" t="str">
        <f t="shared" si="20"/>
        <v/>
      </c>
      <c r="BM67" s="263" t="str">
        <f t="shared" si="21"/>
        <v/>
      </c>
      <c r="BN67" s="263"/>
      <c r="BO67" s="263" t="str">
        <f t="shared" si="22"/>
        <v/>
      </c>
      <c r="BP67" s="263" t="str">
        <f t="shared" si="23"/>
        <v/>
      </c>
      <c r="BQ67" s="263" t="str">
        <f t="shared" si="24"/>
        <v/>
      </c>
      <c r="BR67" s="263" t="str">
        <f t="shared" si="25"/>
        <v/>
      </c>
      <c r="BS67" s="263" t="str">
        <f t="shared" si="26"/>
        <v/>
      </c>
      <c r="BT67" s="263" t="str">
        <f t="shared" si="27"/>
        <v/>
      </c>
      <c r="BU67" s="263" t="str">
        <f t="shared" si="28"/>
        <v/>
      </c>
      <c r="BV67" s="263"/>
      <c r="BW67" s="263" t="str">
        <f t="shared" si="29"/>
        <v/>
      </c>
      <c r="BX67" s="263"/>
      <c r="BY67" s="263" t="str">
        <f t="shared" si="30"/>
        <v/>
      </c>
      <c r="BZ67" s="263"/>
      <c r="CA67" s="263">
        <f t="shared" si="47"/>
        <v>0</v>
      </c>
      <c r="CB67" s="263">
        <f t="shared" si="32"/>
        <v>0</v>
      </c>
      <c r="CC67" s="263">
        <f t="shared" si="48"/>
        <v>0</v>
      </c>
      <c r="CD67" s="263">
        <f t="shared" si="34"/>
        <v>0</v>
      </c>
      <c r="CE67" s="263"/>
      <c r="CF67" s="263">
        <f t="shared" si="49"/>
        <v>1</v>
      </c>
      <c r="CG67" s="263">
        <f t="shared" si="50"/>
        <v>0</v>
      </c>
      <c r="CH67" s="263"/>
      <c r="CI67" s="263">
        <f t="shared" si="38"/>
        <v>0</v>
      </c>
      <c r="CJ67" s="263"/>
      <c r="CK67" s="263">
        <f t="shared" si="39"/>
        <v>0</v>
      </c>
      <c r="CL67" s="264">
        <f t="shared" si="51"/>
        <v>0</v>
      </c>
      <c r="CM67" s="264">
        <f t="shared" si="41"/>
        <v>4566</v>
      </c>
      <c r="CO67" s="265">
        <v>0.12230000000000001</v>
      </c>
      <c r="CP67" s="265">
        <v>0.124</v>
      </c>
      <c r="CQ67" s="265">
        <v>0.12523999999999999</v>
      </c>
      <c r="CS67" s="265">
        <v>0.12683</v>
      </c>
      <c r="CT67" s="265">
        <v>0.12659999999999999</v>
      </c>
      <c r="CU67" s="265">
        <v>0.12664999999999998</v>
      </c>
      <c r="CW67" s="265">
        <v>0.12737999999999999</v>
      </c>
      <c r="CY67" s="265">
        <v>0.12665999999999999</v>
      </c>
      <c r="DA67" s="265">
        <v>0.12883</v>
      </c>
      <c r="DC67" s="265">
        <v>0.12775</v>
      </c>
      <c r="DE67" s="265">
        <v>4.9299999999999997E-2</v>
      </c>
      <c r="DF67" s="265">
        <v>5.2430000000000004E-2</v>
      </c>
      <c r="DH67" s="265">
        <v>5.67E-2</v>
      </c>
      <c r="DI67" s="265">
        <v>5.9800000000000006E-2</v>
      </c>
      <c r="DJ67" s="265">
        <v>5.9500000000000004E-2</v>
      </c>
      <c r="DL67" s="265">
        <v>5.9000000000000004E-2</v>
      </c>
      <c r="DO67" s="267"/>
      <c r="DP67" s="267"/>
      <c r="DQ67" s="267"/>
      <c r="DR67" s="267"/>
      <c r="DS67" s="267"/>
      <c r="DT67" s="267"/>
      <c r="DU67" s="267"/>
      <c r="DV67" s="267"/>
      <c r="DW67" s="267"/>
      <c r="DX67" s="267"/>
      <c r="DY67" s="267"/>
      <c r="DZ67" s="205">
        <f t="shared" si="46"/>
        <v>5.9800000000000006E-2</v>
      </c>
      <c r="EA67" s="205" t="e">
        <f t="shared" si="52"/>
        <v>#DIV/0!</v>
      </c>
      <c r="EC67" s="195">
        <v>2023</v>
      </c>
      <c r="ED67" s="195" t="s">
        <v>446</v>
      </c>
      <c r="EE67" s="205">
        <v>0.13339999999999999</v>
      </c>
      <c r="EG67" s="195">
        <v>13.34</v>
      </c>
      <c r="EH67" s="195">
        <f t="shared" si="53"/>
        <v>0.13339999999999999</v>
      </c>
    </row>
    <row r="68" spans="2:138" ht="22.7" customHeight="1">
      <c r="B68" s="272">
        <v>44838</v>
      </c>
      <c r="C68" s="271">
        <v>44838</v>
      </c>
      <c r="D68" s="263" t="e">
        <f>+SUMIFS(Tabla6[Nominal COP],Tabla6[Concepto],COSTO_OPORTUNIDAD!$B$18,Tabla6[Nemotécnico],COSTO_OPORTUNIDAD!D$16,Tabla6[Fecha Cumplimiento y/ liquidacion],COSTO_OPORTUNIDAD!$C68)/+SUMIFS(Tabla6[Nominal COP],Tabla6[Concepto],COSTO_OPORTUNIDAD!$B$18,Tabla6[Fecha Cumplimiento y/ liquidacion],COSTO_OPORTUNIDAD!$C68)</f>
        <v>#DIV/0!</v>
      </c>
      <c r="E68" s="263" t="e">
        <f>+SUMIFS(Tabla6[Nominal COP],Tabla6[Concepto],COSTO_OPORTUNIDAD!$B$18,Tabla6[Nemotécnico],COSTO_OPORTUNIDAD!E$16,Tabla6[Fecha Cumplimiento y/ liquidacion],COSTO_OPORTUNIDAD!$C68)/+SUMIFS(Tabla6[Nominal COP],Tabla6[Concepto],COSTO_OPORTUNIDAD!$B$18,Tabla6[Fecha Cumplimiento y/ liquidacion],COSTO_OPORTUNIDAD!$C68)</f>
        <v>#DIV/0!</v>
      </c>
      <c r="F68" s="262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3"/>
      <c r="S68" s="263"/>
      <c r="T68" s="263"/>
      <c r="U68" s="263"/>
      <c r="AA68" s="263">
        <v>1</v>
      </c>
      <c r="AB68" s="262"/>
      <c r="AC68" s="262"/>
      <c r="AD68" s="262"/>
      <c r="AE68" s="262"/>
      <c r="AF68" s="262"/>
      <c r="AG68" s="262"/>
      <c r="AH68" s="274">
        <f t="shared" si="0"/>
        <v>1422</v>
      </c>
      <c r="AI68" s="274">
        <f t="shared" si="1"/>
        <v>1856</v>
      </c>
      <c r="AJ68" s="274">
        <f t="shared" si="2"/>
        <v>2033</v>
      </c>
      <c r="AK68" s="274"/>
      <c r="AL68" s="274">
        <f t="shared" si="3"/>
        <v>2906</v>
      </c>
      <c r="AM68" s="274">
        <f t="shared" si="4"/>
        <v>3095</v>
      </c>
      <c r="AN68" s="274">
        <f t="shared" si="5"/>
        <v>3557</v>
      </c>
      <c r="AO68" s="274"/>
      <c r="AP68" s="274">
        <f t="shared" si="6"/>
        <v>4397</v>
      </c>
      <c r="AQ68" s="274"/>
      <c r="AR68" s="274">
        <f t="shared" si="7"/>
        <v>5027</v>
      </c>
      <c r="AS68" s="274"/>
      <c r="AT68" s="274">
        <f t="shared" si="8"/>
        <v>7176</v>
      </c>
      <c r="AU68" s="274"/>
      <c r="AV68" s="274">
        <f t="shared" si="9"/>
        <v>10249</v>
      </c>
      <c r="AW68" s="274"/>
      <c r="AX68" s="274">
        <f t="shared" si="10"/>
        <v>946</v>
      </c>
      <c r="AY68" s="274">
        <f t="shared" si="11"/>
        <v>1625</v>
      </c>
      <c r="AZ68" s="274">
        <f t="shared" si="12"/>
        <v>2388</v>
      </c>
      <c r="BA68" s="274"/>
      <c r="BB68" s="274">
        <f t="shared" si="13"/>
        <v>3825</v>
      </c>
      <c r="BC68" s="274">
        <f t="shared" si="14"/>
        <v>4565</v>
      </c>
      <c r="BD68" s="274">
        <f t="shared" si="15"/>
        <v>5258</v>
      </c>
      <c r="BE68" s="274"/>
      <c r="BF68" s="274">
        <f t="shared" si="16"/>
        <v>9752</v>
      </c>
      <c r="BG68" s="274"/>
      <c r="BH68" s="274"/>
      <c r="BI68" s="266">
        <f t="shared" si="17"/>
        <v>1</v>
      </c>
      <c r="BJ68" s="266" t="e">
        <f t="shared" si="18"/>
        <v>#DIV/0!</v>
      </c>
      <c r="BK68" s="263" t="str">
        <f t="shared" si="19"/>
        <v/>
      </c>
      <c r="BL68" s="263" t="str">
        <f t="shared" si="20"/>
        <v/>
      </c>
      <c r="BM68" s="263" t="str">
        <f t="shared" si="21"/>
        <v/>
      </c>
      <c r="BN68" s="263"/>
      <c r="BO68" s="263" t="str">
        <f t="shared" si="22"/>
        <v/>
      </c>
      <c r="BP68" s="263" t="str">
        <f t="shared" si="23"/>
        <v/>
      </c>
      <c r="BQ68" s="263" t="str">
        <f t="shared" si="24"/>
        <v/>
      </c>
      <c r="BR68" s="263" t="str">
        <f t="shared" si="25"/>
        <v/>
      </c>
      <c r="BS68" s="263" t="str">
        <f t="shared" si="26"/>
        <v/>
      </c>
      <c r="BT68" s="263" t="str">
        <f t="shared" si="27"/>
        <v/>
      </c>
      <c r="BU68" s="263" t="str">
        <f t="shared" si="28"/>
        <v/>
      </c>
      <c r="BV68" s="263"/>
      <c r="BW68" s="263" t="str">
        <f t="shared" si="29"/>
        <v/>
      </c>
      <c r="BX68" s="263"/>
      <c r="BY68" s="263" t="str">
        <f t="shared" si="30"/>
        <v/>
      </c>
      <c r="BZ68" s="263"/>
      <c r="CA68" s="263">
        <f t="shared" si="47"/>
        <v>0</v>
      </c>
      <c r="CB68" s="263">
        <f t="shared" si="32"/>
        <v>0</v>
      </c>
      <c r="CC68" s="263">
        <f t="shared" si="48"/>
        <v>0</v>
      </c>
      <c r="CD68" s="263">
        <f t="shared" si="34"/>
        <v>0</v>
      </c>
      <c r="CE68" s="263"/>
      <c r="CF68" s="263">
        <f t="shared" si="49"/>
        <v>1</v>
      </c>
      <c r="CG68" s="263">
        <f t="shared" si="50"/>
        <v>0</v>
      </c>
      <c r="CH68" s="263"/>
      <c r="CI68" s="263">
        <f t="shared" si="38"/>
        <v>0</v>
      </c>
      <c r="CJ68" s="263"/>
      <c r="CK68" s="263">
        <f t="shared" si="39"/>
        <v>0</v>
      </c>
      <c r="CL68" s="264">
        <f t="shared" si="51"/>
        <v>0</v>
      </c>
      <c r="CM68" s="264">
        <f t="shared" si="41"/>
        <v>4565</v>
      </c>
      <c r="CO68" s="265">
        <v>0.12215999999999999</v>
      </c>
      <c r="CP68" s="265">
        <v>0.12380000000000001</v>
      </c>
      <c r="CQ68" s="265">
        <v>0.1246</v>
      </c>
      <c r="CS68" s="265">
        <v>0.12631000000000001</v>
      </c>
      <c r="CT68" s="265">
        <v>0.12659999999999999</v>
      </c>
      <c r="CU68" s="265">
        <v>0.12609999999999999</v>
      </c>
      <c r="CW68" s="265">
        <v>0.12667</v>
      </c>
      <c r="CY68" s="265">
        <v>0.1263</v>
      </c>
      <c r="DA68" s="265">
        <v>0.1283</v>
      </c>
      <c r="DC68" s="265">
        <v>0.127</v>
      </c>
      <c r="DE68" s="265">
        <v>4.8310000000000006E-2</v>
      </c>
      <c r="DF68" s="265">
        <v>5.2699999999999997E-2</v>
      </c>
      <c r="DH68" s="265">
        <v>5.7000000000000002E-2</v>
      </c>
      <c r="DI68" s="265">
        <v>0.06</v>
      </c>
      <c r="DJ68" s="265">
        <v>5.9800000000000006E-2</v>
      </c>
      <c r="DL68" s="265">
        <v>5.9500000000000004E-2</v>
      </c>
      <c r="DO68" s="267"/>
      <c r="DP68" s="267"/>
      <c r="DQ68" s="267"/>
      <c r="DR68" s="267"/>
      <c r="DS68" s="267"/>
      <c r="DT68" s="267"/>
      <c r="DU68" s="267"/>
      <c r="DV68" s="267"/>
      <c r="DW68" s="267"/>
      <c r="DX68" s="267"/>
      <c r="DY68" s="267"/>
      <c r="DZ68" s="205">
        <f t="shared" si="46"/>
        <v>0.06</v>
      </c>
      <c r="EA68" s="205" t="e">
        <f t="shared" si="52"/>
        <v>#DIV/0!</v>
      </c>
      <c r="EC68" s="195">
        <v>2023</v>
      </c>
      <c r="ED68" s="195" t="s">
        <v>447</v>
      </c>
      <c r="EE68" s="205">
        <v>0.12820000000000001</v>
      </c>
      <c r="EG68" s="195">
        <v>12.82</v>
      </c>
      <c r="EH68" s="195">
        <f t="shared" si="53"/>
        <v>0.12820000000000001</v>
      </c>
    </row>
    <row r="69" spans="2:138" ht="22.7" customHeight="1">
      <c r="B69" s="272">
        <v>44839</v>
      </c>
      <c r="C69" s="271">
        <v>44839</v>
      </c>
      <c r="D69" s="263" t="e">
        <f>+SUMIFS(Tabla6[Nominal COP],Tabla6[Concepto],COSTO_OPORTUNIDAD!$B$18,Tabla6[Nemotécnico],COSTO_OPORTUNIDAD!D$16,Tabla6[Fecha Cumplimiento y/ liquidacion],COSTO_OPORTUNIDAD!$C69)/+SUMIFS(Tabla6[Nominal COP],Tabla6[Concepto],COSTO_OPORTUNIDAD!$B$18,Tabla6[Fecha Cumplimiento y/ liquidacion],COSTO_OPORTUNIDAD!$C69)</f>
        <v>#DIV/0!</v>
      </c>
      <c r="E69" s="263" t="e">
        <f>+SUMIFS(Tabla6[Nominal COP],Tabla6[Concepto],COSTO_OPORTUNIDAD!$B$18,Tabla6[Nemotécnico],COSTO_OPORTUNIDAD!E$16,Tabla6[Fecha Cumplimiento y/ liquidacion],COSTO_OPORTUNIDAD!$C69)/+SUMIFS(Tabla6[Nominal COP],Tabla6[Concepto],COSTO_OPORTUNIDAD!$B$18,Tabla6[Fecha Cumplimiento y/ liquidacion],COSTO_OPORTUNIDAD!$C69)</f>
        <v>#DIV/0!</v>
      </c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3"/>
      <c r="S69" s="263"/>
      <c r="T69" s="263"/>
      <c r="U69" s="263"/>
      <c r="AA69" s="263">
        <v>1</v>
      </c>
      <c r="AB69" s="262"/>
      <c r="AC69" s="262"/>
      <c r="AD69" s="262"/>
      <c r="AE69" s="262"/>
      <c r="AF69" s="262"/>
      <c r="AG69" s="262"/>
      <c r="AH69" s="274">
        <f t="shared" si="0"/>
        <v>1421</v>
      </c>
      <c r="AI69" s="274">
        <f t="shared" si="1"/>
        <v>1855</v>
      </c>
      <c r="AJ69" s="274">
        <f t="shared" si="2"/>
        <v>2032</v>
      </c>
      <c r="AK69" s="274"/>
      <c r="AL69" s="274">
        <f t="shared" si="3"/>
        <v>2905</v>
      </c>
      <c r="AM69" s="274">
        <f t="shared" si="4"/>
        <v>3094</v>
      </c>
      <c r="AN69" s="274">
        <f t="shared" si="5"/>
        <v>3556</v>
      </c>
      <c r="AO69" s="274"/>
      <c r="AP69" s="274">
        <f t="shared" si="6"/>
        <v>4396</v>
      </c>
      <c r="AQ69" s="274"/>
      <c r="AR69" s="274">
        <f t="shared" si="7"/>
        <v>5026</v>
      </c>
      <c r="AS69" s="274"/>
      <c r="AT69" s="274">
        <f t="shared" si="8"/>
        <v>7175</v>
      </c>
      <c r="AU69" s="274"/>
      <c r="AV69" s="274">
        <f t="shared" si="9"/>
        <v>10248</v>
      </c>
      <c r="AW69" s="274"/>
      <c r="AX69" s="274">
        <f t="shared" si="10"/>
        <v>945</v>
      </c>
      <c r="AY69" s="274">
        <f t="shared" si="11"/>
        <v>1624</v>
      </c>
      <c r="AZ69" s="274">
        <f t="shared" si="12"/>
        <v>2387</v>
      </c>
      <c r="BA69" s="274"/>
      <c r="BB69" s="274">
        <f t="shared" si="13"/>
        <v>3824</v>
      </c>
      <c r="BC69" s="274">
        <f t="shared" si="14"/>
        <v>4564</v>
      </c>
      <c r="BD69" s="274">
        <f t="shared" si="15"/>
        <v>5257</v>
      </c>
      <c r="BE69" s="274"/>
      <c r="BF69" s="274">
        <f t="shared" si="16"/>
        <v>9751</v>
      </c>
      <c r="BG69" s="274"/>
      <c r="BH69" s="274"/>
      <c r="BI69" s="266">
        <f t="shared" si="17"/>
        <v>1</v>
      </c>
      <c r="BJ69" s="266" t="e">
        <f t="shared" si="18"/>
        <v>#DIV/0!</v>
      </c>
      <c r="BK69" s="263" t="str">
        <f t="shared" si="19"/>
        <v/>
      </c>
      <c r="BL69" s="263" t="str">
        <f t="shared" si="20"/>
        <v/>
      </c>
      <c r="BM69" s="263" t="str">
        <f t="shared" si="21"/>
        <v/>
      </c>
      <c r="BN69" s="263"/>
      <c r="BO69" s="263" t="str">
        <f t="shared" si="22"/>
        <v/>
      </c>
      <c r="BP69" s="263" t="str">
        <f t="shared" si="23"/>
        <v/>
      </c>
      <c r="BQ69" s="263" t="str">
        <f t="shared" si="24"/>
        <v/>
      </c>
      <c r="BR69" s="263" t="str">
        <f t="shared" si="25"/>
        <v/>
      </c>
      <c r="BS69" s="263" t="str">
        <f t="shared" si="26"/>
        <v/>
      </c>
      <c r="BT69" s="263" t="str">
        <f t="shared" si="27"/>
        <v/>
      </c>
      <c r="BU69" s="263" t="str">
        <f t="shared" si="28"/>
        <v/>
      </c>
      <c r="BV69" s="263"/>
      <c r="BW69" s="263" t="str">
        <f t="shared" si="29"/>
        <v/>
      </c>
      <c r="BX69" s="263"/>
      <c r="BY69" s="263" t="str">
        <f t="shared" si="30"/>
        <v/>
      </c>
      <c r="BZ69" s="263"/>
      <c r="CA69" s="263">
        <f t="shared" si="47"/>
        <v>0</v>
      </c>
      <c r="CB69" s="263">
        <f t="shared" si="32"/>
        <v>0</v>
      </c>
      <c r="CC69" s="263">
        <f t="shared" si="48"/>
        <v>0</v>
      </c>
      <c r="CD69" s="263">
        <f t="shared" si="34"/>
        <v>0</v>
      </c>
      <c r="CE69" s="263"/>
      <c r="CF69" s="263">
        <f t="shared" si="49"/>
        <v>1</v>
      </c>
      <c r="CG69" s="263">
        <f t="shared" si="50"/>
        <v>0</v>
      </c>
      <c r="CH69" s="263"/>
      <c r="CI69" s="263">
        <f t="shared" si="38"/>
        <v>0</v>
      </c>
      <c r="CJ69" s="263"/>
      <c r="CK69" s="263">
        <f t="shared" si="39"/>
        <v>0</v>
      </c>
      <c r="CL69" s="264">
        <f t="shared" si="51"/>
        <v>0</v>
      </c>
      <c r="CM69" s="264">
        <f t="shared" si="41"/>
        <v>4564</v>
      </c>
      <c r="CO69" s="265">
        <v>0.1235</v>
      </c>
      <c r="CP69" s="265">
        <v>0.12560000000000002</v>
      </c>
      <c r="CQ69" s="265">
        <v>0.12670000000000001</v>
      </c>
      <c r="CS69" s="265">
        <v>0.12786</v>
      </c>
      <c r="CT69" s="265">
        <v>0.12792999999999999</v>
      </c>
      <c r="CU69" s="265">
        <v>0.128</v>
      </c>
      <c r="CW69" s="265">
        <v>0.12827</v>
      </c>
      <c r="CY69" s="265">
        <v>0.12789</v>
      </c>
      <c r="DA69" s="265">
        <v>0.13000999999999999</v>
      </c>
      <c r="DC69" s="265">
        <v>0.12883</v>
      </c>
      <c r="DE69" s="265">
        <v>4.7500000000000001E-2</v>
      </c>
      <c r="DF69" s="265">
        <v>5.28E-2</v>
      </c>
      <c r="DH69" s="265">
        <v>5.7000000000000002E-2</v>
      </c>
      <c r="DI69" s="265">
        <v>6.0299999999999999E-2</v>
      </c>
      <c r="DJ69" s="265">
        <v>0.06</v>
      </c>
      <c r="DL69" s="265">
        <v>5.9900000000000002E-2</v>
      </c>
      <c r="DO69" s="267"/>
      <c r="DP69" s="267"/>
      <c r="DQ69" s="267"/>
      <c r="DR69" s="267"/>
      <c r="DS69" s="267"/>
      <c r="DT69" s="267"/>
      <c r="DU69" s="267"/>
      <c r="DV69" s="267"/>
      <c r="DW69" s="267"/>
      <c r="DX69" s="267"/>
      <c r="DY69" s="267"/>
      <c r="DZ69" s="205">
        <f t="shared" si="46"/>
        <v>6.0299999999999999E-2</v>
      </c>
      <c r="EA69" s="205" t="e">
        <f>DA69*BJ69+(((1+$EE$62)*(1+DZ69))-1)*BI69</f>
        <v>#DIV/0!</v>
      </c>
      <c r="EC69" s="195">
        <v>2023</v>
      </c>
      <c r="ED69" s="195" t="s">
        <v>448</v>
      </c>
      <c r="EE69" s="205">
        <v>0.12359999999999999</v>
      </c>
      <c r="EG69" s="195">
        <v>12.36</v>
      </c>
      <c r="EH69" s="195">
        <f t="shared" si="53"/>
        <v>0.12359999999999999</v>
      </c>
    </row>
    <row r="70" spans="2:138" ht="22.7" customHeight="1">
      <c r="B70" s="272">
        <v>44846</v>
      </c>
      <c r="C70" s="271">
        <v>44846</v>
      </c>
      <c r="D70" s="263" t="e">
        <f>+SUMIFS(Tabla6[Nominal COP],Tabla6[Concepto],COSTO_OPORTUNIDAD!$B$18,Tabla6[Nemotécnico],COSTO_OPORTUNIDAD!D$16,Tabla6[Fecha Cumplimiento y/ liquidacion],COSTO_OPORTUNIDAD!$C70)/+SUMIFS(Tabla6[Nominal COP],Tabla6[Concepto],COSTO_OPORTUNIDAD!$B$18,Tabla6[Fecha Cumplimiento y/ liquidacion],COSTO_OPORTUNIDAD!$C70)</f>
        <v>#DIV/0!</v>
      </c>
      <c r="E70" s="263" t="e">
        <f>+SUMIFS(Tabla6[Nominal COP],Tabla6[Concepto],COSTO_OPORTUNIDAD!$B$18,Tabla6[Nemotécnico],COSTO_OPORTUNIDAD!E$16,Tabla6[Fecha Cumplimiento y/ liquidacion],COSTO_OPORTUNIDAD!$C70)/+SUMIFS(Tabla6[Nominal COP],Tabla6[Concepto],COSTO_OPORTUNIDAD!$B$18,Tabla6[Fecha Cumplimiento y/ liquidacion],COSTO_OPORTUNIDAD!$C70)</f>
        <v>#DIV/0!</v>
      </c>
      <c r="F70" s="262"/>
      <c r="G70" s="262"/>
      <c r="H70" s="262"/>
      <c r="I70" s="262"/>
      <c r="J70" s="262"/>
      <c r="K70" s="262"/>
      <c r="L70" s="262"/>
      <c r="M70" s="262"/>
      <c r="N70" s="262"/>
      <c r="O70" s="262"/>
      <c r="P70" s="262"/>
      <c r="Q70" s="262"/>
      <c r="R70" s="263"/>
      <c r="S70" s="263"/>
      <c r="T70" s="263"/>
      <c r="U70" s="263"/>
      <c r="AA70" s="263">
        <v>1</v>
      </c>
      <c r="AB70" s="262"/>
      <c r="AC70" s="262"/>
      <c r="AD70" s="262"/>
      <c r="AE70" s="262"/>
      <c r="AF70" s="262"/>
      <c r="AG70" s="262"/>
      <c r="AH70" s="274">
        <f t="shared" si="0"/>
        <v>1414</v>
      </c>
      <c r="AI70" s="274">
        <f t="shared" si="1"/>
        <v>1848</v>
      </c>
      <c r="AJ70" s="274">
        <f t="shared" si="2"/>
        <v>2025</v>
      </c>
      <c r="AK70" s="274"/>
      <c r="AL70" s="274">
        <f t="shared" si="3"/>
        <v>2898</v>
      </c>
      <c r="AM70" s="274">
        <f t="shared" si="4"/>
        <v>3087</v>
      </c>
      <c r="AN70" s="274">
        <f t="shared" si="5"/>
        <v>3549</v>
      </c>
      <c r="AO70" s="274"/>
      <c r="AP70" s="274">
        <f t="shared" si="6"/>
        <v>4389</v>
      </c>
      <c r="AQ70" s="274"/>
      <c r="AR70" s="274">
        <f t="shared" si="7"/>
        <v>5019</v>
      </c>
      <c r="AS70" s="274"/>
      <c r="AT70" s="274">
        <f t="shared" si="8"/>
        <v>7168</v>
      </c>
      <c r="AU70" s="274"/>
      <c r="AV70" s="274">
        <f t="shared" si="9"/>
        <v>10241</v>
      </c>
      <c r="AW70" s="274"/>
      <c r="AX70" s="274">
        <f t="shared" si="10"/>
        <v>938</v>
      </c>
      <c r="AY70" s="274">
        <f t="shared" si="11"/>
        <v>1617</v>
      </c>
      <c r="AZ70" s="274">
        <f t="shared" si="12"/>
        <v>2380</v>
      </c>
      <c r="BA70" s="274"/>
      <c r="BB70" s="274">
        <f t="shared" si="13"/>
        <v>3817</v>
      </c>
      <c r="BC70" s="274">
        <f t="shared" si="14"/>
        <v>4557</v>
      </c>
      <c r="BD70" s="274">
        <f t="shared" si="15"/>
        <v>5250</v>
      </c>
      <c r="BE70" s="274"/>
      <c r="BF70" s="274">
        <f t="shared" si="16"/>
        <v>9744</v>
      </c>
      <c r="BG70" s="274"/>
      <c r="BH70" s="274"/>
      <c r="BI70" s="266">
        <f t="shared" si="17"/>
        <v>1</v>
      </c>
      <c r="BJ70" s="266" t="e">
        <f t="shared" si="18"/>
        <v>#DIV/0!</v>
      </c>
      <c r="BK70" s="263" t="str">
        <f t="shared" si="19"/>
        <v/>
      </c>
      <c r="BL70" s="263" t="str">
        <f t="shared" si="20"/>
        <v/>
      </c>
      <c r="BM70" s="263" t="str">
        <f t="shared" si="21"/>
        <v/>
      </c>
      <c r="BN70" s="263"/>
      <c r="BO70" s="263" t="str">
        <f t="shared" si="22"/>
        <v/>
      </c>
      <c r="BP70" s="263" t="str">
        <f t="shared" si="23"/>
        <v/>
      </c>
      <c r="BQ70" s="263" t="str">
        <f t="shared" si="24"/>
        <v/>
      </c>
      <c r="BR70" s="263" t="str">
        <f t="shared" si="25"/>
        <v/>
      </c>
      <c r="BS70" s="263" t="str">
        <f t="shared" si="26"/>
        <v/>
      </c>
      <c r="BT70" s="263" t="str">
        <f t="shared" si="27"/>
        <v/>
      </c>
      <c r="BU70" s="263" t="str">
        <f t="shared" si="28"/>
        <v/>
      </c>
      <c r="BV70" s="263"/>
      <c r="BW70" s="263" t="str">
        <f t="shared" si="29"/>
        <v/>
      </c>
      <c r="BX70" s="263"/>
      <c r="BY70" s="263" t="str">
        <f t="shared" si="30"/>
        <v/>
      </c>
      <c r="BZ70" s="263"/>
      <c r="CA70" s="263">
        <f t="shared" si="47"/>
        <v>0</v>
      </c>
      <c r="CB70" s="263">
        <f t="shared" si="32"/>
        <v>0</v>
      </c>
      <c r="CC70" s="263">
        <f t="shared" si="48"/>
        <v>0</v>
      </c>
      <c r="CD70" s="263">
        <f t="shared" si="34"/>
        <v>0</v>
      </c>
      <c r="CE70" s="263"/>
      <c r="CF70" s="263">
        <f t="shared" si="49"/>
        <v>1</v>
      </c>
      <c r="CG70" s="263">
        <f t="shared" si="50"/>
        <v>0</v>
      </c>
      <c r="CH70" s="263"/>
      <c r="CI70" s="263">
        <f t="shared" si="38"/>
        <v>0</v>
      </c>
      <c r="CJ70" s="263"/>
      <c r="CK70" s="263">
        <f t="shared" si="39"/>
        <v>0</v>
      </c>
      <c r="CL70" s="264">
        <f t="shared" si="51"/>
        <v>0</v>
      </c>
      <c r="CM70" s="264">
        <f t="shared" si="41"/>
        <v>4557</v>
      </c>
      <c r="CO70" s="265">
        <v>0.1308</v>
      </c>
      <c r="CP70" s="265">
        <v>0.1326</v>
      </c>
      <c r="CQ70" s="265">
        <v>0.13351000000000002</v>
      </c>
      <c r="CS70" s="265">
        <v>0.13461999999999999</v>
      </c>
      <c r="CT70" s="265">
        <v>0.13061</v>
      </c>
      <c r="CU70" s="265">
        <v>0.1348</v>
      </c>
      <c r="CW70" s="265">
        <v>0.13455</v>
      </c>
      <c r="CY70" s="265">
        <v>0.13449999999999998</v>
      </c>
      <c r="DA70" s="265">
        <v>0.13784000000000002</v>
      </c>
      <c r="DC70" s="265">
        <v>0.13649</v>
      </c>
      <c r="DE70" s="265">
        <v>4.9790000000000001E-2</v>
      </c>
      <c r="DF70" s="265">
        <v>5.5899999999999998E-2</v>
      </c>
      <c r="DH70" s="265">
        <v>5.7999999999999996E-2</v>
      </c>
      <c r="DI70" s="265">
        <v>6.0899999999999996E-2</v>
      </c>
      <c r="DJ70" s="265">
        <v>6.0350000000000001E-2</v>
      </c>
      <c r="DL70" s="265">
        <v>5.96E-2</v>
      </c>
      <c r="DO70" s="267"/>
      <c r="DP70" s="267"/>
      <c r="DQ70" s="267"/>
      <c r="DR70" s="267"/>
      <c r="DS70" s="267"/>
      <c r="DT70" s="267"/>
      <c r="DU70" s="267"/>
      <c r="DV70" s="267"/>
      <c r="DW70" s="267"/>
      <c r="DX70" s="267"/>
      <c r="DY70" s="267"/>
      <c r="DZ70" s="205">
        <f t="shared" si="46"/>
        <v>6.0899999999999996E-2</v>
      </c>
      <c r="EA70" s="205" t="e">
        <f>DA70*BJ70+(((1+$EE$62)*(1+DZ70))-1)*BI70</f>
        <v>#DIV/0!</v>
      </c>
      <c r="EC70" s="195">
        <v>2023</v>
      </c>
      <c r="ED70" s="195" t="s">
        <v>449</v>
      </c>
      <c r="EE70" s="205">
        <v>0.12130000000000001</v>
      </c>
      <c r="EG70" s="195">
        <v>12.13</v>
      </c>
      <c r="EH70" s="195">
        <f t="shared" si="53"/>
        <v>0.12130000000000001</v>
      </c>
    </row>
    <row r="71" spans="2:138" ht="22.7" customHeight="1">
      <c r="B71" s="272">
        <v>44847</v>
      </c>
      <c r="C71" s="271">
        <v>44847</v>
      </c>
      <c r="D71" s="263" t="e">
        <f>+SUMIFS(Tabla6[Nominal COP],Tabla6[Concepto],COSTO_OPORTUNIDAD!$B$18,Tabla6[Nemotécnico],COSTO_OPORTUNIDAD!D$16,Tabla6[Fecha Cumplimiento y/ liquidacion],COSTO_OPORTUNIDAD!$C71)/+SUMIFS(Tabla6[Nominal COP],Tabla6[Concepto],COSTO_OPORTUNIDAD!$B$18,Tabla6[Fecha Cumplimiento y/ liquidacion],COSTO_OPORTUNIDAD!$C71)</f>
        <v>#DIV/0!</v>
      </c>
      <c r="E71" s="263" t="e">
        <f>+SUMIFS(Tabla6[Nominal COP],Tabla6[Concepto],COSTO_OPORTUNIDAD!$B$18,Tabla6[Nemotécnico],COSTO_OPORTUNIDAD!E$16,Tabla6[Fecha Cumplimiento y/ liquidacion],COSTO_OPORTUNIDAD!$C71)/+SUMIFS(Tabla6[Nominal COP],Tabla6[Concepto],COSTO_OPORTUNIDAD!$B$18,Tabla6[Fecha Cumplimiento y/ liquidacion],COSTO_OPORTUNIDAD!$C71)</f>
        <v>#DIV/0!</v>
      </c>
      <c r="F71" s="262"/>
      <c r="G71" s="262"/>
      <c r="H71" s="262"/>
      <c r="I71" s="262"/>
      <c r="J71" s="262"/>
      <c r="K71" s="262"/>
      <c r="L71" s="262"/>
      <c r="M71" s="262"/>
      <c r="N71" s="262"/>
      <c r="O71" s="262"/>
      <c r="P71" s="262"/>
      <c r="Q71" s="262"/>
      <c r="R71" s="263"/>
      <c r="S71" s="263"/>
      <c r="T71" s="263"/>
      <c r="U71" s="263"/>
      <c r="AA71" s="263">
        <v>1</v>
      </c>
      <c r="AB71" s="262"/>
      <c r="AC71" s="262"/>
      <c r="AD71" s="262"/>
      <c r="AE71" s="262"/>
      <c r="AF71" s="262"/>
      <c r="AG71" s="262"/>
      <c r="AH71" s="274">
        <f t="shared" si="0"/>
        <v>1413</v>
      </c>
      <c r="AI71" s="274">
        <f t="shared" si="1"/>
        <v>1847</v>
      </c>
      <c r="AJ71" s="274">
        <f t="shared" si="2"/>
        <v>2024</v>
      </c>
      <c r="AK71" s="274"/>
      <c r="AL71" s="274">
        <f t="shared" si="3"/>
        <v>2897</v>
      </c>
      <c r="AM71" s="274">
        <f t="shared" si="4"/>
        <v>3086</v>
      </c>
      <c r="AN71" s="274">
        <f t="shared" si="5"/>
        <v>3548</v>
      </c>
      <c r="AO71" s="274"/>
      <c r="AP71" s="274">
        <f t="shared" si="6"/>
        <v>4388</v>
      </c>
      <c r="AQ71" s="274"/>
      <c r="AR71" s="274">
        <f t="shared" si="7"/>
        <v>5018</v>
      </c>
      <c r="AS71" s="274"/>
      <c r="AT71" s="274">
        <f t="shared" si="8"/>
        <v>7167</v>
      </c>
      <c r="AU71" s="274"/>
      <c r="AV71" s="274">
        <f t="shared" si="9"/>
        <v>10240</v>
      </c>
      <c r="AW71" s="274"/>
      <c r="AX71" s="274">
        <f t="shared" si="10"/>
        <v>937</v>
      </c>
      <c r="AY71" s="274">
        <f t="shared" si="11"/>
        <v>1616</v>
      </c>
      <c r="AZ71" s="274">
        <f t="shared" si="12"/>
        <v>2379</v>
      </c>
      <c r="BA71" s="274"/>
      <c r="BB71" s="274">
        <f t="shared" si="13"/>
        <v>3816</v>
      </c>
      <c r="BC71" s="274">
        <f t="shared" si="14"/>
        <v>4556</v>
      </c>
      <c r="BD71" s="274">
        <f t="shared" si="15"/>
        <v>5249</v>
      </c>
      <c r="BE71" s="274"/>
      <c r="BF71" s="274">
        <f t="shared" si="16"/>
        <v>9743</v>
      </c>
      <c r="BG71" s="274"/>
      <c r="BH71" s="274"/>
      <c r="BI71" s="266">
        <f t="shared" si="17"/>
        <v>1</v>
      </c>
      <c r="BJ71" s="266" t="e">
        <f t="shared" si="18"/>
        <v>#DIV/0!</v>
      </c>
      <c r="BK71" s="263" t="str">
        <f t="shared" si="19"/>
        <v/>
      </c>
      <c r="BL71" s="263" t="str">
        <f t="shared" si="20"/>
        <v/>
      </c>
      <c r="BM71" s="263" t="str">
        <f t="shared" si="21"/>
        <v/>
      </c>
      <c r="BN71" s="263"/>
      <c r="BO71" s="263" t="str">
        <f t="shared" si="22"/>
        <v/>
      </c>
      <c r="BP71" s="263" t="str">
        <f t="shared" si="23"/>
        <v/>
      </c>
      <c r="BQ71" s="263" t="str">
        <f t="shared" si="24"/>
        <v/>
      </c>
      <c r="BR71" s="263" t="str">
        <f t="shared" si="25"/>
        <v/>
      </c>
      <c r="BS71" s="263" t="str">
        <f t="shared" si="26"/>
        <v/>
      </c>
      <c r="BT71" s="263" t="str">
        <f t="shared" si="27"/>
        <v/>
      </c>
      <c r="BU71" s="263" t="str">
        <f t="shared" si="28"/>
        <v/>
      </c>
      <c r="BV71" s="263"/>
      <c r="BW71" s="263" t="str">
        <f t="shared" si="29"/>
        <v/>
      </c>
      <c r="BX71" s="263"/>
      <c r="BY71" s="263" t="str">
        <f t="shared" si="30"/>
        <v/>
      </c>
      <c r="BZ71" s="263"/>
      <c r="CA71" s="263">
        <f t="shared" si="47"/>
        <v>0</v>
      </c>
      <c r="CB71" s="263">
        <f t="shared" si="32"/>
        <v>0</v>
      </c>
      <c r="CC71" s="263">
        <f t="shared" si="48"/>
        <v>0</v>
      </c>
      <c r="CD71" s="263">
        <f t="shared" si="34"/>
        <v>0</v>
      </c>
      <c r="CE71" s="263"/>
      <c r="CF71" s="263">
        <f t="shared" si="49"/>
        <v>1</v>
      </c>
      <c r="CG71" s="263">
        <f t="shared" si="50"/>
        <v>0</v>
      </c>
      <c r="CH71" s="263"/>
      <c r="CI71" s="263">
        <f t="shared" si="38"/>
        <v>0</v>
      </c>
      <c r="CJ71" s="263"/>
      <c r="CK71" s="263">
        <f t="shared" si="39"/>
        <v>0</v>
      </c>
      <c r="CL71" s="264">
        <f t="shared" si="51"/>
        <v>0</v>
      </c>
      <c r="CM71" s="264">
        <f t="shared" si="41"/>
        <v>4556</v>
      </c>
      <c r="CO71" s="265">
        <v>0.13250000000000001</v>
      </c>
      <c r="CP71" s="265">
        <v>0.13400000000000001</v>
      </c>
      <c r="CQ71" s="265">
        <v>0.13400000000000001</v>
      </c>
      <c r="CS71" s="265">
        <v>0.13600000000000001</v>
      </c>
      <c r="CT71" s="265">
        <v>0.13061</v>
      </c>
      <c r="CU71" s="265">
        <v>0.1363</v>
      </c>
      <c r="CW71" s="265">
        <v>0.13600000000000001</v>
      </c>
      <c r="CY71" s="265">
        <v>0.13600000000000001</v>
      </c>
      <c r="DA71" s="265">
        <v>0.13933999999999999</v>
      </c>
      <c r="DC71" s="265">
        <v>0.13780000000000001</v>
      </c>
      <c r="DE71" s="265">
        <v>5.0700000000000002E-2</v>
      </c>
      <c r="DF71" s="265">
        <v>5.6500000000000002E-2</v>
      </c>
      <c r="DH71" s="265">
        <v>5.8499999999999996E-2</v>
      </c>
      <c r="DI71" s="265">
        <v>6.0999999999999999E-2</v>
      </c>
      <c r="DJ71" s="265">
        <v>6.0400000000000002E-2</v>
      </c>
      <c r="DL71" s="265">
        <v>5.9960000000000006E-2</v>
      </c>
      <c r="DO71" s="267"/>
      <c r="DP71" s="267"/>
      <c r="DQ71" s="267"/>
      <c r="DR71" s="267"/>
      <c r="DS71" s="267"/>
      <c r="DT71" s="267"/>
      <c r="DU71" s="267"/>
      <c r="DV71" s="267"/>
      <c r="DW71" s="267"/>
      <c r="DX71" s="267"/>
      <c r="DY71" s="267"/>
      <c r="DZ71" s="205">
        <f t="shared" si="46"/>
        <v>6.0999999999999999E-2</v>
      </c>
      <c r="EA71" s="205" t="e">
        <f>DA71*BJ71+(((1+$EE$62)*(1+DZ71))-1)*BI71</f>
        <v>#DIV/0!</v>
      </c>
      <c r="EC71" s="195">
        <v>2023</v>
      </c>
      <c r="ED71" s="195" t="s">
        <v>450</v>
      </c>
      <c r="EE71" s="205">
        <v>0.11779999999999999</v>
      </c>
      <c r="EG71" s="195">
        <v>11.78</v>
      </c>
      <c r="EH71" s="195">
        <f t="shared" si="53"/>
        <v>0.11779999999999999</v>
      </c>
    </row>
    <row r="72" spans="2:138" ht="22.7" customHeight="1">
      <c r="B72" s="272">
        <v>44852</v>
      </c>
      <c r="C72" s="271">
        <v>44852</v>
      </c>
      <c r="D72" s="263" t="e">
        <f>+SUMIFS(Tabla6[Nominal COP],Tabla6[Concepto],COSTO_OPORTUNIDAD!$B$18,Tabla6[Nemotécnico],COSTO_OPORTUNIDAD!D$16,Tabla6[Fecha Cumplimiento y/ liquidacion],COSTO_OPORTUNIDAD!$C72)/+SUMIFS(Tabla6[Nominal COP],Tabla6[Concepto],COSTO_OPORTUNIDAD!$B$18,Tabla6[Fecha Cumplimiento y/ liquidacion],COSTO_OPORTUNIDAD!$C72)</f>
        <v>#DIV/0!</v>
      </c>
      <c r="E72" s="263" t="e">
        <f>+SUMIFS(Tabla6[Nominal COP],Tabla6[Concepto],COSTO_OPORTUNIDAD!$B$18,Tabla6[Nemotécnico],COSTO_OPORTUNIDAD!E$16,Tabla6[Fecha Cumplimiento y/ liquidacion],COSTO_OPORTUNIDAD!$C72)/+SUMIFS(Tabla6[Nominal COP],Tabla6[Concepto],COSTO_OPORTUNIDAD!$B$18,Tabla6[Fecha Cumplimiento y/ liquidacion],COSTO_OPORTUNIDAD!$C72)</f>
        <v>#DIV/0!</v>
      </c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2"/>
      <c r="Q72" s="262"/>
      <c r="R72" s="263"/>
      <c r="S72" s="263"/>
      <c r="T72" s="263"/>
      <c r="U72" s="263"/>
      <c r="AA72" s="263">
        <v>1</v>
      </c>
      <c r="AB72" s="262"/>
      <c r="AC72" s="262"/>
      <c r="AD72" s="262"/>
      <c r="AE72" s="262"/>
      <c r="AF72" s="262"/>
      <c r="AG72" s="262"/>
      <c r="AH72" s="274">
        <f t="shared" si="0"/>
        <v>1408</v>
      </c>
      <c r="AI72" s="274">
        <f t="shared" si="1"/>
        <v>1842</v>
      </c>
      <c r="AJ72" s="274">
        <f t="shared" si="2"/>
        <v>2019</v>
      </c>
      <c r="AK72" s="274"/>
      <c r="AL72" s="274">
        <f t="shared" si="3"/>
        <v>2892</v>
      </c>
      <c r="AM72" s="274">
        <f t="shared" si="4"/>
        <v>3081</v>
      </c>
      <c r="AN72" s="274">
        <f t="shared" si="5"/>
        <v>3543</v>
      </c>
      <c r="AO72" s="274"/>
      <c r="AP72" s="274">
        <f t="shared" si="6"/>
        <v>4383</v>
      </c>
      <c r="AQ72" s="274"/>
      <c r="AR72" s="274">
        <f t="shared" si="7"/>
        <v>5013</v>
      </c>
      <c r="AS72" s="274"/>
      <c r="AT72" s="274">
        <f t="shared" si="8"/>
        <v>7162</v>
      </c>
      <c r="AU72" s="274"/>
      <c r="AV72" s="274">
        <f t="shared" si="9"/>
        <v>10235</v>
      </c>
      <c r="AW72" s="274"/>
      <c r="AX72" s="274">
        <f t="shared" si="10"/>
        <v>932</v>
      </c>
      <c r="AY72" s="274">
        <f t="shared" si="11"/>
        <v>1611</v>
      </c>
      <c r="AZ72" s="274">
        <f t="shared" si="12"/>
        <v>2374</v>
      </c>
      <c r="BA72" s="274"/>
      <c r="BB72" s="274">
        <f t="shared" si="13"/>
        <v>3811</v>
      </c>
      <c r="BC72" s="274">
        <f t="shared" si="14"/>
        <v>4551</v>
      </c>
      <c r="BD72" s="274">
        <f t="shared" si="15"/>
        <v>5244</v>
      </c>
      <c r="BE72" s="274"/>
      <c r="BF72" s="274">
        <f t="shared" si="16"/>
        <v>9738</v>
      </c>
      <c r="BG72" s="274"/>
      <c r="BH72" s="274"/>
      <c r="BI72" s="266">
        <f t="shared" si="17"/>
        <v>1</v>
      </c>
      <c r="BJ72" s="266" t="e">
        <f t="shared" si="18"/>
        <v>#DIV/0!</v>
      </c>
      <c r="BK72" s="263" t="str">
        <f t="shared" si="19"/>
        <v/>
      </c>
      <c r="BL72" s="263" t="str">
        <f t="shared" si="20"/>
        <v/>
      </c>
      <c r="BM72" s="263" t="str">
        <f t="shared" si="21"/>
        <v/>
      </c>
      <c r="BN72" s="263"/>
      <c r="BO72" s="263" t="str">
        <f t="shared" si="22"/>
        <v/>
      </c>
      <c r="BP72" s="263" t="str">
        <f t="shared" si="23"/>
        <v/>
      </c>
      <c r="BQ72" s="263" t="str">
        <f t="shared" si="24"/>
        <v/>
      </c>
      <c r="BR72" s="263" t="str">
        <f t="shared" si="25"/>
        <v/>
      </c>
      <c r="BS72" s="263" t="str">
        <f t="shared" si="26"/>
        <v/>
      </c>
      <c r="BT72" s="263" t="str">
        <f t="shared" si="27"/>
        <v/>
      </c>
      <c r="BU72" s="263" t="str">
        <f t="shared" si="28"/>
        <v/>
      </c>
      <c r="BV72" s="263"/>
      <c r="BW72" s="263" t="str">
        <f t="shared" si="29"/>
        <v/>
      </c>
      <c r="BX72" s="263"/>
      <c r="BY72" s="263" t="str">
        <f t="shared" si="30"/>
        <v/>
      </c>
      <c r="BZ72" s="263"/>
      <c r="CA72" s="263">
        <f t="shared" si="47"/>
        <v>0</v>
      </c>
      <c r="CB72" s="263">
        <f t="shared" si="32"/>
        <v>0</v>
      </c>
      <c r="CC72" s="263">
        <f t="shared" si="48"/>
        <v>0</v>
      </c>
      <c r="CD72" s="263">
        <f t="shared" si="34"/>
        <v>0</v>
      </c>
      <c r="CE72" s="263"/>
      <c r="CF72" s="263">
        <f t="shared" si="49"/>
        <v>1</v>
      </c>
      <c r="CG72" s="263">
        <f t="shared" si="50"/>
        <v>0</v>
      </c>
      <c r="CH72" s="263"/>
      <c r="CI72" s="263">
        <f t="shared" si="38"/>
        <v>0</v>
      </c>
      <c r="CJ72" s="263"/>
      <c r="CK72" s="263">
        <f t="shared" si="39"/>
        <v>0</v>
      </c>
      <c r="CL72" s="264">
        <f t="shared" si="51"/>
        <v>0</v>
      </c>
      <c r="CM72" s="264">
        <f t="shared" si="41"/>
        <v>4551</v>
      </c>
      <c r="CO72" s="265">
        <v>0.13730999999999999</v>
      </c>
      <c r="CP72" s="265">
        <v>0.13949999999999999</v>
      </c>
      <c r="CQ72" s="265">
        <v>0.13949999999999999</v>
      </c>
      <c r="CS72" s="265">
        <v>0.14105000000000001</v>
      </c>
      <c r="CT72" s="265">
        <v>0.13061</v>
      </c>
      <c r="CU72" s="265">
        <v>0.14099999999999999</v>
      </c>
      <c r="CW72" s="265">
        <v>0.14099999999999999</v>
      </c>
      <c r="CY72" s="265">
        <v>0.1401</v>
      </c>
      <c r="DA72" s="265">
        <v>0.14300000000000002</v>
      </c>
      <c r="DC72" s="265">
        <v>0.14219999999999999</v>
      </c>
      <c r="DE72" s="265">
        <v>5.3520000000000005E-2</v>
      </c>
      <c r="DF72" s="265">
        <v>5.8310000000000001E-2</v>
      </c>
      <c r="DH72" s="265">
        <v>0.06</v>
      </c>
      <c r="DI72" s="265">
        <v>6.1900000000000004E-2</v>
      </c>
      <c r="DJ72" s="265">
        <v>6.2009999999999996E-2</v>
      </c>
      <c r="DL72" s="265">
        <v>6.2E-2</v>
      </c>
      <c r="DO72" s="267"/>
      <c r="DP72" s="267"/>
      <c r="DQ72" s="267"/>
      <c r="DR72" s="267"/>
      <c r="DS72" s="267"/>
      <c r="DT72" s="267"/>
      <c r="DU72" s="267"/>
      <c r="DV72" s="267"/>
      <c r="DW72" s="267"/>
      <c r="DX72" s="267"/>
      <c r="DY72" s="267"/>
      <c r="DZ72" s="205">
        <f t="shared" si="46"/>
        <v>6.1900000000000004E-2</v>
      </c>
      <c r="EA72" s="205" t="e">
        <f>DA72*BJ72+(((1+$EE$62)*(1+DZ72))-1)*BI72</f>
        <v>#DIV/0!</v>
      </c>
      <c r="EC72" s="195">
        <v>2023</v>
      </c>
      <c r="ED72" s="195" t="s">
        <v>451</v>
      </c>
      <c r="EE72" s="205">
        <v>0.1143</v>
      </c>
      <c r="EG72" s="195">
        <v>11.43</v>
      </c>
      <c r="EH72" s="195">
        <f t="shared" si="53"/>
        <v>0.1143</v>
      </c>
    </row>
    <row r="73" spans="2:138">
      <c r="B73" s="272">
        <v>44875</v>
      </c>
      <c r="C73" s="271">
        <v>44875</v>
      </c>
      <c r="D73" s="263" t="e">
        <f>+SUMIFS(Tabla6[Nominal COP],Tabla6[Concepto],COSTO_OPORTUNIDAD!$B$18,Tabla6[Nemotécnico],COSTO_OPORTUNIDAD!D$16,Tabla6[Fecha Cumplimiento y/ liquidacion],COSTO_OPORTUNIDAD!$C73)/+SUMIFS(Tabla6[Nominal COP],Tabla6[Concepto],COSTO_OPORTUNIDAD!$B$18,Tabla6[Fecha Cumplimiento y/ liquidacion],COSTO_OPORTUNIDAD!$C73)</f>
        <v>#DIV/0!</v>
      </c>
      <c r="E73" s="263" t="e">
        <f>+SUMIFS(Tabla6[Nominal COP],Tabla6[Concepto],COSTO_OPORTUNIDAD!$B$18,Tabla6[Nemotécnico],COSTO_OPORTUNIDAD!E$16,Tabla6[Fecha Cumplimiento y/ liquidacion],COSTO_OPORTUNIDAD!$C73)/+SUMIFS(Tabla6[Nominal COP],Tabla6[Concepto],COSTO_OPORTUNIDAD!$B$18,Tabla6[Fecha Cumplimiento y/ liquidacion],COSTO_OPORTUNIDAD!$C73)</f>
        <v>#DIV/0!</v>
      </c>
      <c r="F73" s="262"/>
      <c r="G73" s="262"/>
      <c r="H73" s="262"/>
      <c r="I73" s="262"/>
      <c r="J73" s="262"/>
      <c r="K73" s="262"/>
      <c r="L73" s="262"/>
      <c r="M73" s="262"/>
      <c r="N73" s="262"/>
      <c r="O73" s="262"/>
      <c r="P73" s="262"/>
      <c r="Q73" s="262"/>
      <c r="R73" s="263"/>
      <c r="S73" s="263"/>
      <c r="T73" s="263"/>
      <c r="U73" s="263"/>
      <c r="AA73" s="263">
        <v>1</v>
      </c>
      <c r="AB73" s="262"/>
      <c r="AC73" s="262"/>
      <c r="AD73" s="262"/>
      <c r="AE73" s="262"/>
      <c r="AF73" s="262"/>
      <c r="AG73" s="262"/>
      <c r="AH73" s="274">
        <f t="shared" si="0"/>
        <v>1385</v>
      </c>
      <c r="AI73" s="274">
        <f t="shared" si="1"/>
        <v>1819</v>
      </c>
      <c r="AJ73" s="274">
        <f t="shared" si="2"/>
        <v>1996</v>
      </c>
      <c r="AK73" s="274">
        <f t="shared" ref="AK73:AK136" si="54">(I$17-$B73)</f>
        <v>2477</v>
      </c>
      <c r="AL73" s="274">
        <f t="shared" si="3"/>
        <v>2869</v>
      </c>
      <c r="AM73" s="274">
        <f t="shared" si="4"/>
        <v>3058</v>
      </c>
      <c r="AN73" s="274">
        <f t="shared" si="5"/>
        <v>3520</v>
      </c>
      <c r="AO73" s="274"/>
      <c r="AP73" s="274">
        <f t="shared" si="6"/>
        <v>4360</v>
      </c>
      <c r="AQ73" s="274"/>
      <c r="AR73" s="274">
        <f t="shared" si="7"/>
        <v>4990</v>
      </c>
      <c r="AS73" s="274">
        <f t="shared" ref="AS73:AS136" si="55">(Q$17-$B73)</f>
        <v>6593</v>
      </c>
      <c r="AT73" s="274">
        <f t="shared" si="8"/>
        <v>7139</v>
      </c>
      <c r="AU73" s="274"/>
      <c r="AV73" s="274">
        <f t="shared" si="9"/>
        <v>10212</v>
      </c>
      <c r="AW73" s="274"/>
      <c r="AX73" s="274">
        <f t="shared" si="10"/>
        <v>909</v>
      </c>
      <c r="AY73" s="274">
        <f t="shared" si="11"/>
        <v>1588</v>
      </c>
      <c r="AZ73" s="274">
        <f t="shared" si="12"/>
        <v>2351</v>
      </c>
      <c r="BA73" s="274"/>
      <c r="BB73" s="274">
        <f t="shared" si="13"/>
        <v>3788</v>
      </c>
      <c r="BC73" s="274">
        <f t="shared" si="14"/>
        <v>4528</v>
      </c>
      <c r="BD73" s="274">
        <f t="shared" si="15"/>
        <v>5221</v>
      </c>
      <c r="BE73" s="274"/>
      <c r="BF73" s="274">
        <f t="shared" si="16"/>
        <v>9715</v>
      </c>
      <c r="BG73" s="274"/>
      <c r="BH73" s="274"/>
      <c r="BI73" s="266">
        <f t="shared" si="17"/>
        <v>1</v>
      </c>
      <c r="BJ73" s="266" t="e">
        <f t="shared" si="18"/>
        <v>#DIV/0!</v>
      </c>
      <c r="BK73" s="263" t="str">
        <f t="shared" si="19"/>
        <v/>
      </c>
      <c r="BL73" s="263" t="str">
        <f t="shared" si="20"/>
        <v/>
      </c>
      <c r="BM73" s="263" t="str">
        <f t="shared" si="21"/>
        <v/>
      </c>
      <c r="BN73" s="263"/>
      <c r="BO73" s="263" t="str">
        <f t="shared" si="22"/>
        <v/>
      </c>
      <c r="BP73" s="263" t="str">
        <f t="shared" si="23"/>
        <v/>
      </c>
      <c r="BQ73" s="263" t="str">
        <f t="shared" si="24"/>
        <v/>
      </c>
      <c r="BR73" s="263" t="str">
        <f t="shared" si="25"/>
        <v/>
      </c>
      <c r="BS73" s="263" t="str">
        <f t="shared" si="26"/>
        <v/>
      </c>
      <c r="BT73" s="263" t="str">
        <f t="shared" si="27"/>
        <v/>
      </c>
      <c r="BU73" s="263" t="str">
        <f t="shared" si="28"/>
        <v/>
      </c>
      <c r="BV73" s="263"/>
      <c r="BW73" s="263" t="str">
        <f t="shared" si="29"/>
        <v/>
      </c>
      <c r="BX73" s="263"/>
      <c r="BY73" s="263" t="str">
        <f t="shared" si="30"/>
        <v/>
      </c>
      <c r="BZ73" s="263"/>
      <c r="CA73" s="263">
        <f t="shared" si="47"/>
        <v>0</v>
      </c>
      <c r="CB73" s="263">
        <f t="shared" si="32"/>
        <v>0</v>
      </c>
      <c r="CC73" s="263">
        <f t="shared" si="48"/>
        <v>0</v>
      </c>
      <c r="CD73" s="263">
        <f t="shared" si="34"/>
        <v>0</v>
      </c>
      <c r="CE73" s="263"/>
      <c r="CF73" s="263">
        <f t="shared" si="49"/>
        <v>1</v>
      </c>
      <c r="CG73" s="263">
        <f t="shared" si="50"/>
        <v>0</v>
      </c>
      <c r="CH73" s="263"/>
      <c r="CI73" s="263">
        <f t="shared" si="38"/>
        <v>0</v>
      </c>
      <c r="CJ73" s="263"/>
      <c r="CK73" s="263">
        <f t="shared" si="39"/>
        <v>0</v>
      </c>
      <c r="CL73" s="264">
        <f t="shared" si="51"/>
        <v>0</v>
      </c>
      <c r="CM73" s="264">
        <f t="shared" si="41"/>
        <v>4528</v>
      </c>
      <c r="CO73" s="265">
        <v>0.13277</v>
      </c>
      <c r="CP73" s="265">
        <v>0.13289999999999999</v>
      </c>
      <c r="CQ73" s="265">
        <v>0.13330999999999998</v>
      </c>
      <c r="CS73" s="265">
        <v>0.13489999999999999</v>
      </c>
      <c r="CT73" s="265">
        <v>0.13205</v>
      </c>
      <c r="CU73" s="265">
        <v>0.1341</v>
      </c>
      <c r="CW73" s="265">
        <v>0.13449999999999998</v>
      </c>
      <c r="CY73" s="265">
        <v>0.13452999999999998</v>
      </c>
      <c r="DA73" s="265">
        <v>0.13500000000000001</v>
      </c>
      <c r="DC73" s="265">
        <v>0.13350000000000001</v>
      </c>
      <c r="DE73" s="265">
        <v>5.3510000000000002E-2</v>
      </c>
      <c r="DF73" s="265">
        <v>5.4900000000000004E-2</v>
      </c>
      <c r="DH73" s="265">
        <v>5.8939999999999999E-2</v>
      </c>
      <c r="DI73" s="265">
        <v>5.7999999999999996E-2</v>
      </c>
      <c r="DJ73" s="265">
        <v>5.7699999999999994E-2</v>
      </c>
      <c r="DL73" s="265">
        <v>5.6500000000000002E-2</v>
      </c>
      <c r="DO73" s="267"/>
      <c r="DP73" s="267"/>
      <c r="DQ73" s="267"/>
      <c r="DR73" s="267"/>
      <c r="DS73" s="267"/>
      <c r="DT73" s="267"/>
      <c r="DU73" s="267"/>
      <c r="DV73" s="267"/>
      <c r="DW73" s="267"/>
      <c r="DX73" s="267"/>
      <c r="DY73" s="267"/>
      <c r="DZ73" s="195">
        <f t="shared" si="46"/>
        <v>5.7999999999999996E-2</v>
      </c>
      <c r="EA73" s="205" t="e">
        <f t="shared" ref="EA73:EA82" si="56">DA73*BJ73+(((1+$EE$63)*(1+DZ73))-1)*BI73</f>
        <v>#DIV/0!</v>
      </c>
      <c r="EC73" s="195">
        <v>2023</v>
      </c>
      <c r="ED73" s="195" t="s">
        <v>452</v>
      </c>
      <c r="EE73" s="205">
        <v>0.1099</v>
      </c>
      <c r="EG73" s="195">
        <v>10.99</v>
      </c>
      <c r="EH73" s="195">
        <f t="shared" si="53"/>
        <v>0.1099</v>
      </c>
    </row>
    <row r="74" spans="2:138">
      <c r="B74" s="272">
        <v>44880</v>
      </c>
      <c r="C74" s="271">
        <v>44880</v>
      </c>
      <c r="D74" s="263" t="e">
        <f>+SUMIFS(Tabla6[Nominal COP],Tabla6[Concepto],COSTO_OPORTUNIDAD!$B$18,Tabla6[Nemotécnico],COSTO_OPORTUNIDAD!D$16,Tabla6[Fecha Cumplimiento y/ liquidacion],COSTO_OPORTUNIDAD!$C74)/+SUMIFS(Tabla6[Nominal COP],Tabla6[Concepto],COSTO_OPORTUNIDAD!$B$18,Tabla6[Fecha Cumplimiento y/ liquidacion],COSTO_OPORTUNIDAD!$C74)</f>
        <v>#DIV/0!</v>
      </c>
      <c r="E74" s="263" t="e">
        <f>+SUMIFS(Tabla6[Nominal COP],Tabla6[Concepto],COSTO_OPORTUNIDAD!$B$18,Tabla6[Nemotécnico],COSTO_OPORTUNIDAD!E$16,Tabla6[Fecha Cumplimiento y/ liquidacion],COSTO_OPORTUNIDAD!$C74)/+SUMIFS(Tabla6[Nominal COP],Tabla6[Concepto],COSTO_OPORTUNIDAD!$B$18,Tabla6[Fecha Cumplimiento y/ liquidacion],COSTO_OPORTUNIDAD!$C74)</f>
        <v>#DIV/0!</v>
      </c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2"/>
      <c r="Q74" s="262"/>
      <c r="R74" s="263"/>
      <c r="S74" s="263"/>
      <c r="T74" s="263"/>
      <c r="U74" s="263"/>
      <c r="AA74" s="263">
        <v>1</v>
      </c>
      <c r="AB74" s="262"/>
      <c r="AC74" s="262"/>
      <c r="AD74" s="262"/>
      <c r="AE74" s="262"/>
      <c r="AF74" s="262"/>
      <c r="AG74" s="262"/>
      <c r="AH74" s="274">
        <f t="shared" si="0"/>
        <v>1380</v>
      </c>
      <c r="AI74" s="274">
        <f t="shared" si="1"/>
        <v>1814</v>
      </c>
      <c r="AJ74" s="274">
        <f t="shared" si="2"/>
        <v>1991</v>
      </c>
      <c r="AK74" s="274">
        <f t="shared" si="54"/>
        <v>2472</v>
      </c>
      <c r="AL74" s="274">
        <f t="shared" si="3"/>
        <v>2864</v>
      </c>
      <c r="AM74" s="274">
        <f t="shared" si="4"/>
        <v>3053</v>
      </c>
      <c r="AN74" s="274">
        <f t="shared" si="5"/>
        <v>3515</v>
      </c>
      <c r="AO74" s="274"/>
      <c r="AP74" s="274">
        <f t="shared" si="6"/>
        <v>4355</v>
      </c>
      <c r="AQ74" s="274"/>
      <c r="AR74" s="274">
        <f t="shared" si="7"/>
        <v>4985</v>
      </c>
      <c r="AS74" s="274">
        <f t="shared" si="55"/>
        <v>6588</v>
      </c>
      <c r="AT74" s="274">
        <f t="shared" si="8"/>
        <v>7134</v>
      </c>
      <c r="AU74" s="274"/>
      <c r="AV74" s="274">
        <f t="shared" si="9"/>
        <v>10207</v>
      </c>
      <c r="AW74" s="274"/>
      <c r="AX74" s="274">
        <f t="shared" si="10"/>
        <v>904</v>
      </c>
      <c r="AY74" s="274">
        <f t="shared" si="11"/>
        <v>1583</v>
      </c>
      <c r="AZ74" s="274">
        <f t="shared" si="12"/>
        <v>2346</v>
      </c>
      <c r="BA74" s="274"/>
      <c r="BB74" s="274">
        <f t="shared" si="13"/>
        <v>3783</v>
      </c>
      <c r="BC74" s="274">
        <f t="shared" si="14"/>
        <v>4523</v>
      </c>
      <c r="BD74" s="274">
        <f t="shared" si="15"/>
        <v>5216</v>
      </c>
      <c r="BE74" s="274"/>
      <c r="BF74" s="274">
        <f t="shared" si="16"/>
        <v>9710</v>
      </c>
      <c r="BG74" s="274"/>
      <c r="BH74" s="274"/>
      <c r="BI74" s="266">
        <f t="shared" si="17"/>
        <v>1</v>
      </c>
      <c r="BJ74" s="266" t="e">
        <f t="shared" si="18"/>
        <v>#DIV/0!</v>
      </c>
      <c r="BK74" s="263" t="str">
        <f t="shared" si="19"/>
        <v/>
      </c>
      <c r="BL74" s="263" t="str">
        <f t="shared" si="20"/>
        <v/>
      </c>
      <c r="BM74" s="263" t="str">
        <f t="shared" si="21"/>
        <v/>
      </c>
      <c r="BN74" s="263"/>
      <c r="BO74" s="263" t="str">
        <f t="shared" si="22"/>
        <v/>
      </c>
      <c r="BP74" s="263" t="str">
        <f t="shared" si="23"/>
        <v/>
      </c>
      <c r="BQ74" s="263" t="str">
        <f t="shared" si="24"/>
        <v/>
      </c>
      <c r="BR74" s="263" t="str">
        <f t="shared" si="25"/>
        <v/>
      </c>
      <c r="BS74" s="263" t="str">
        <f t="shared" si="26"/>
        <v/>
      </c>
      <c r="BT74" s="263" t="str">
        <f t="shared" si="27"/>
        <v/>
      </c>
      <c r="BU74" s="263" t="str">
        <f t="shared" si="28"/>
        <v/>
      </c>
      <c r="BV74" s="263"/>
      <c r="BW74" s="263" t="str">
        <f t="shared" si="29"/>
        <v/>
      </c>
      <c r="BX74" s="263"/>
      <c r="BY74" s="263" t="str">
        <f t="shared" si="30"/>
        <v/>
      </c>
      <c r="BZ74" s="263"/>
      <c r="CA74" s="263">
        <f t="shared" si="47"/>
        <v>0</v>
      </c>
      <c r="CB74" s="263">
        <f t="shared" si="32"/>
        <v>0</v>
      </c>
      <c r="CC74" s="263">
        <f t="shared" si="48"/>
        <v>0</v>
      </c>
      <c r="CD74" s="263">
        <f t="shared" si="34"/>
        <v>0</v>
      </c>
      <c r="CE74" s="263"/>
      <c r="CF74" s="263">
        <f t="shared" si="49"/>
        <v>1</v>
      </c>
      <c r="CG74" s="263">
        <f t="shared" si="50"/>
        <v>0</v>
      </c>
      <c r="CH74" s="263"/>
      <c r="CI74" s="263">
        <f t="shared" si="38"/>
        <v>0</v>
      </c>
      <c r="CJ74" s="263"/>
      <c r="CK74" s="263">
        <f t="shared" si="39"/>
        <v>0</v>
      </c>
      <c r="CL74" s="264">
        <f t="shared" si="51"/>
        <v>0</v>
      </c>
      <c r="CM74" s="264">
        <f t="shared" si="41"/>
        <v>4523</v>
      </c>
      <c r="CO74" s="265">
        <v>0.12936999999999999</v>
      </c>
      <c r="CP74" s="265">
        <v>0.13019999999999998</v>
      </c>
      <c r="CQ74" s="265">
        <v>0.12945000000000001</v>
      </c>
      <c r="CS74" s="265">
        <v>0.13200000000000001</v>
      </c>
      <c r="CT74" s="265">
        <v>0.13205</v>
      </c>
      <c r="CU74" s="265">
        <v>0.13244999999999998</v>
      </c>
      <c r="CW74" s="265">
        <v>0.13192999999999999</v>
      </c>
      <c r="CY74" s="265">
        <v>0.13150000000000001</v>
      </c>
      <c r="DA74" s="265">
        <v>0.13341</v>
      </c>
      <c r="DC74" s="265">
        <v>0.13159999999999999</v>
      </c>
      <c r="DE74" s="265">
        <v>5.518E-2</v>
      </c>
      <c r="DF74" s="265">
        <v>5.5300000000000002E-2</v>
      </c>
      <c r="DH74" s="265">
        <v>5.67E-2</v>
      </c>
      <c r="DI74" s="265">
        <v>5.8700000000000002E-2</v>
      </c>
      <c r="DJ74" s="265">
        <v>5.8099999999999999E-2</v>
      </c>
      <c r="DL74" s="265">
        <v>5.8400000000000001E-2</v>
      </c>
      <c r="DO74" s="267"/>
      <c r="DP74" s="267"/>
      <c r="DQ74" s="267"/>
      <c r="DR74" s="267"/>
      <c r="DS74" s="267"/>
      <c r="DT74" s="267"/>
      <c r="DU74" s="267"/>
      <c r="DV74" s="267"/>
      <c r="DW74" s="267"/>
      <c r="DX74" s="267"/>
      <c r="DY74" s="267"/>
      <c r="DZ74" s="205">
        <f t="shared" si="46"/>
        <v>5.8700000000000002E-2</v>
      </c>
      <c r="EA74" s="205" t="e">
        <f t="shared" si="56"/>
        <v>#DIV/0!</v>
      </c>
      <c r="EC74" s="195">
        <v>2023</v>
      </c>
      <c r="ED74" s="195" t="s">
        <v>453</v>
      </c>
      <c r="EE74" s="205">
        <v>0.1048</v>
      </c>
      <c r="EG74" s="195">
        <v>10.48</v>
      </c>
      <c r="EH74" s="195">
        <f t="shared" si="53"/>
        <v>0.1048</v>
      </c>
    </row>
    <row r="75" spans="2:138">
      <c r="B75" s="272">
        <v>44881</v>
      </c>
      <c r="C75" s="271">
        <v>44881</v>
      </c>
      <c r="D75" s="263" t="e">
        <f>+SUMIFS(Tabla6[Nominal COP],Tabla6[Concepto],COSTO_OPORTUNIDAD!$B$18,Tabla6[Nemotécnico],COSTO_OPORTUNIDAD!D$16,Tabla6[Fecha Cumplimiento y/ liquidacion],COSTO_OPORTUNIDAD!$C75)/+SUMIFS(Tabla6[Nominal COP],Tabla6[Concepto],COSTO_OPORTUNIDAD!$B$18,Tabla6[Fecha Cumplimiento y/ liquidacion],COSTO_OPORTUNIDAD!$C75)</f>
        <v>#DIV/0!</v>
      </c>
      <c r="E75" s="263" t="e">
        <f>+SUMIFS(Tabla6[Nominal COP],Tabla6[Concepto],COSTO_OPORTUNIDAD!$B$18,Tabla6[Nemotécnico],COSTO_OPORTUNIDAD!E$16,Tabla6[Fecha Cumplimiento y/ liquidacion],COSTO_OPORTUNIDAD!$C75)/+SUMIFS(Tabla6[Nominal COP],Tabla6[Concepto],COSTO_OPORTUNIDAD!$B$18,Tabla6[Fecha Cumplimiento y/ liquidacion],COSTO_OPORTUNIDAD!$C75)</f>
        <v>#DIV/0!</v>
      </c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2"/>
      <c r="Q75" s="262"/>
      <c r="R75" s="263"/>
      <c r="S75" s="263"/>
      <c r="T75" s="263"/>
      <c r="U75" s="263"/>
      <c r="AA75" s="263">
        <v>1</v>
      </c>
      <c r="AB75" s="262"/>
      <c r="AC75" s="262"/>
      <c r="AD75" s="262"/>
      <c r="AE75" s="262"/>
      <c r="AF75" s="262"/>
      <c r="AG75" s="262"/>
      <c r="AH75" s="274">
        <f t="shared" si="0"/>
        <v>1379</v>
      </c>
      <c r="AI75" s="274">
        <f t="shared" si="1"/>
        <v>1813</v>
      </c>
      <c r="AJ75" s="274">
        <f t="shared" si="2"/>
        <v>1990</v>
      </c>
      <c r="AK75" s="274">
        <f t="shared" si="54"/>
        <v>2471</v>
      </c>
      <c r="AL75" s="274">
        <f t="shared" si="3"/>
        <v>2863</v>
      </c>
      <c r="AM75" s="274">
        <f t="shared" si="4"/>
        <v>3052</v>
      </c>
      <c r="AN75" s="274">
        <f t="shared" si="5"/>
        <v>3514</v>
      </c>
      <c r="AO75" s="274"/>
      <c r="AP75" s="274">
        <f t="shared" si="6"/>
        <v>4354</v>
      </c>
      <c r="AQ75" s="274"/>
      <c r="AR75" s="274">
        <f t="shared" si="7"/>
        <v>4984</v>
      </c>
      <c r="AS75" s="274">
        <f t="shared" si="55"/>
        <v>6587</v>
      </c>
      <c r="AT75" s="274">
        <f t="shared" si="8"/>
        <v>7133</v>
      </c>
      <c r="AU75" s="274"/>
      <c r="AV75" s="274">
        <f t="shared" si="9"/>
        <v>10206</v>
      </c>
      <c r="AW75" s="274"/>
      <c r="AX75" s="274">
        <f t="shared" si="10"/>
        <v>903</v>
      </c>
      <c r="AY75" s="274">
        <f t="shared" si="11"/>
        <v>1582</v>
      </c>
      <c r="AZ75" s="274">
        <f t="shared" si="12"/>
        <v>2345</v>
      </c>
      <c r="BA75" s="274"/>
      <c r="BB75" s="274">
        <f t="shared" si="13"/>
        <v>3782</v>
      </c>
      <c r="BC75" s="274">
        <f t="shared" si="14"/>
        <v>4522</v>
      </c>
      <c r="BD75" s="274">
        <f t="shared" si="15"/>
        <v>5215</v>
      </c>
      <c r="BE75" s="274"/>
      <c r="BF75" s="274">
        <f t="shared" si="16"/>
        <v>9709</v>
      </c>
      <c r="BG75" s="274"/>
      <c r="BH75" s="274"/>
      <c r="BI75" s="266">
        <f t="shared" si="17"/>
        <v>1</v>
      </c>
      <c r="BJ75" s="266" t="e">
        <f t="shared" si="18"/>
        <v>#DIV/0!</v>
      </c>
      <c r="BK75" s="263" t="str">
        <f t="shared" si="19"/>
        <v/>
      </c>
      <c r="BL75" s="263" t="str">
        <f t="shared" si="20"/>
        <v/>
      </c>
      <c r="BM75" s="263" t="str">
        <f t="shared" si="21"/>
        <v/>
      </c>
      <c r="BN75" s="263"/>
      <c r="BO75" s="263" t="str">
        <f t="shared" si="22"/>
        <v/>
      </c>
      <c r="BP75" s="263" t="str">
        <f t="shared" si="23"/>
        <v/>
      </c>
      <c r="BQ75" s="263" t="str">
        <f t="shared" si="24"/>
        <v/>
      </c>
      <c r="BR75" s="263" t="str">
        <f t="shared" si="25"/>
        <v/>
      </c>
      <c r="BS75" s="263" t="str">
        <f t="shared" si="26"/>
        <v/>
      </c>
      <c r="BT75" s="263" t="str">
        <f t="shared" si="27"/>
        <v/>
      </c>
      <c r="BU75" s="263" t="str">
        <f t="shared" si="28"/>
        <v/>
      </c>
      <c r="BV75" s="263"/>
      <c r="BW75" s="263" t="str">
        <f t="shared" si="29"/>
        <v/>
      </c>
      <c r="BX75" s="263"/>
      <c r="BY75" s="263" t="str">
        <f t="shared" si="30"/>
        <v/>
      </c>
      <c r="BZ75" s="263"/>
      <c r="CA75" s="263">
        <f t="shared" si="47"/>
        <v>0</v>
      </c>
      <c r="CB75" s="263">
        <f t="shared" si="32"/>
        <v>0</v>
      </c>
      <c r="CC75" s="263">
        <f t="shared" si="48"/>
        <v>0</v>
      </c>
      <c r="CD75" s="263">
        <f t="shared" si="34"/>
        <v>0</v>
      </c>
      <c r="CE75" s="263"/>
      <c r="CF75" s="263">
        <f t="shared" si="49"/>
        <v>1</v>
      </c>
      <c r="CG75" s="263">
        <f t="shared" si="50"/>
        <v>0</v>
      </c>
      <c r="CH75" s="263"/>
      <c r="CI75" s="263">
        <f t="shared" si="38"/>
        <v>0</v>
      </c>
      <c r="CJ75" s="263"/>
      <c r="CK75" s="263">
        <f t="shared" si="39"/>
        <v>0</v>
      </c>
      <c r="CL75" s="264">
        <f t="shared" si="51"/>
        <v>0</v>
      </c>
      <c r="CM75" s="264">
        <f t="shared" si="41"/>
        <v>4522</v>
      </c>
      <c r="CO75" s="265">
        <v>0.13058</v>
      </c>
      <c r="CP75" s="265">
        <v>0.13034999999999999</v>
      </c>
      <c r="CQ75" s="265">
        <v>0.13075000000000001</v>
      </c>
      <c r="CS75" s="265">
        <v>0.13295999999999999</v>
      </c>
      <c r="CT75" s="265">
        <v>0.13205</v>
      </c>
      <c r="CU75" s="265">
        <v>0.13289999999999999</v>
      </c>
      <c r="CW75" s="265">
        <v>0.13281999999999999</v>
      </c>
      <c r="CY75" s="265">
        <v>0.13300000000000001</v>
      </c>
      <c r="DA75" s="265">
        <v>0.13364999999999999</v>
      </c>
      <c r="DC75" s="265">
        <v>0.13214999999999999</v>
      </c>
      <c r="DE75" s="265">
        <v>5.595E-2</v>
      </c>
      <c r="DF75" s="265">
        <v>5.6309999999999999E-2</v>
      </c>
      <c r="DH75" s="265">
        <v>5.8499999999999996E-2</v>
      </c>
      <c r="DI75" s="265">
        <v>6.0299999999999999E-2</v>
      </c>
      <c r="DJ75" s="265">
        <v>5.9900000000000002E-2</v>
      </c>
      <c r="DL75" s="265">
        <v>5.9200000000000003E-2</v>
      </c>
      <c r="DO75" s="267"/>
      <c r="DP75" s="267"/>
      <c r="DQ75" s="267"/>
      <c r="DR75" s="267"/>
      <c r="DS75" s="267"/>
      <c r="DT75" s="267"/>
      <c r="DU75" s="267"/>
      <c r="DV75" s="267"/>
      <c r="DW75" s="267"/>
      <c r="DX75" s="267"/>
      <c r="DY75" s="267"/>
      <c r="DZ75" s="205">
        <f t="shared" si="46"/>
        <v>6.0299999999999999E-2</v>
      </c>
      <c r="EA75" s="205" t="e">
        <f t="shared" si="56"/>
        <v>#DIV/0!</v>
      </c>
      <c r="EC75" s="195">
        <v>2023</v>
      </c>
      <c r="ED75" s="195" t="s">
        <v>454</v>
      </c>
      <c r="EE75" s="205">
        <v>0.10150000000000001</v>
      </c>
      <c r="EG75" s="195">
        <v>10.15</v>
      </c>
      <c r="EH75" s="195">
        <f t="shared" si="53"/>
        <v>0.10150000000000001</v>
      </c>
    </row>
    <row r="76" spans="2:138">
      <c r="B76" s="272">
        <v>44887</v>
      </c>
      <c r="C76" s="271">
        <v>44887</v>
      </c>
      <c r="D76" s="263" t="e">
        <f>+SUMIFS(Tabla6[Nominal COP],Tabla6[Concepto],COSTO_OPORTUNIDAD!$B$18,Tabla6[Nemotécnico],COSTO_OPORTUNIDAD!D$16,Tabla6[Fecha Cumplimiento y/ liquidacion],COSTO_OPORTUNIDAD!$C76)/+SUMIFS(Tabla6[Nominal COP],Tabla6[Concepto],COSTO_OPORTUNIDAD!$B$18,Tabla6[Fecha Cumplimiento y/ liquidacion],COSTO_OPORTUNIDAD!$C76)</f>
        <v>#DIV/0!</v>
      </c>
      <c r="E76" s="263" t="e">
        <f>+SUMIFS(Tabla6[Nominal COP],Tabla6[Concepto],COSTO_OPORTUNIDAD!$B$18,Tabla6[Nemotécnico],COSTO_OPORTUNIDAD!E$16,Tabla6[Fecha Cumplimiento y/ liquidacion],COSTO_OPORTUNIDAD!$C76)/+SUMIFS(Tabla6[Nominal COP],Tabla6[Concepto],COSTO_OPORTUNIDAD!$B$18,Tabla6[Fecha Cumplimiento y/ liquidacion],COSTO_OPORTUNIDAD!$C76)</f>
        <v>#DIV/0!</v>
      </c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3"/>
      <c r="S76" s="263"/>
      <c r="T76" s="263"/>
      <c r="U76" s="263"/>
      <c r="AA76" s="263">
        <v>1</v>
      </c>
      <c r="AB76" s="262"/>
      <c r="AC76" s="262"/>
      <c r="AD76" s="262"/>
      <c r="AE76" s="262"/>
      <c r="AF76" s="262"/>
      <c r="AG76" s="262"/>
      <c r="AH76" s="274">
        <f t="shared" si="0"/>
        <v>1373</v>
      </c>
      <c r="AI76" s="274">
        <f t="shared" si="1"/>
        <v>1807</v>
      </c>
      <c r="AJ76" s="274">
        <f t="shared" si="2"/>
        <v>1984</v>
      </c>
      <c r="AK76" s="274">
        <f t="shared" si="54"/>
        <v>2465</v>
      </c>
      <c r="AL76" s="274">
        <f t="shared" si="3"/>
        <v>2857</v>
      </c>
      <c r="AM76" s="274">
        <f t="shared" si="4"/>
        <v>3046</v>
      </c>
      <c r="AN76" s="274">
        <f t="shared" si="5"/>
        <v>3508</v>
      </c>
      <c r="AO76" s="274"/>
      <c r="AP76" s="274">
        <f t="shared" si="6"/>
        <v>4348</v>
      </c>
      <c r="AQ76" s="274"/>
      <c r="AR76" s="274">
        <f t="shared" si="7"/>
        <v>4978</v>
      </c>
      <c r="AS76" s="274">
        <f t="shared" si="55"/>
        <v>6581</v>
      </c>
      <c r="AT76" s="274">
        <f t="shared" si="8"/>
        <v>7127</v>
      </c>
      <c r="AU76" s="274"/>
      <c r="AV76" s="274">
        <f t="shared" si="9"/>
        <v>10200</v>
      </c>
      <c r="AW76" s="274"/>
      <c r="AX76" s="274">
        <f t="shared" si="10"/>
        <v>897</v>
      </c>
      <c r="AY76" s="274">
        <f t="shared" si="11"/>
        <v>1576</v>
      </c>
      <c r="AZ76" s="274">
        <f t="shared" si="12"/>
        <v>2339</v>
      </c>
      <c r="BA76" s="274"/>
      <c r="BB76" s="274">
        <f t="shared" si="13"/>
        <v>3776</v>
      </c>
      <c r="BC76" s="274">
        <f t="shared" si="14"/>
        <v>4516</v>
      </c>
      <c r="BD76" s="274">
        <f t="shared" si="15"/>
        <v>5209</v>
      </c>
      <c r="BE76" s="274"/>
      <c r="BF76" s="274">
        <f t="shared" si="16"/>
        <v>9703</v>
      </c>
      <c r="BG76" s="274"/>
      <c r="BH76" s="274"/>
      <c r="BI76" s="266">
        <f t="shared" si="17"/>
        <v>1</v>
      </c>
      <c r="BJ76" s="266" t="e">
        <f t="shared" si="18"/>
        <v>#DIV/0!</v>
      </c>
      <c r="BK76" s="263" t="str">
        <f t="shared" si="19"/>
        <v/>
      </c>
      <c r="BL76" s="263" t="str">
        <f t="shared" si="20"/>
        <v/>
      </c>
      <c r="BM76" s="263" t="str">
        <f t="shared" si="21"/>
        <v/>
      </c>
      <c r="BN76" s="263"/>
      <c r="BO76" s="263" t="str">
        <f t="shared" si="22"/>
        <v/>
      </c>
      <c r="BP76" s="263" t="str">
        <f t="shared" si="23"/>
        <v/>
      </c>
      <c r="BQ76" s="263" t="str">
        <f t="shared" si="24"/>
        <v/>
      </c>
      <c r="BR76" s="263" t="str">
        <f t="shared" si="25"/>
        <v/>
      </c>
      <c r="BS76" s="263" t="str">
        <f t="shared" si="26"/>
        <v/>
      </c>
      <c r="BT76" s="263" t="str">
        <f t="shared" si="27"/>
        <v/>
      </c>
      <c r="BU76" s="263" t="str">
        <f t="shared" si="28"/>
        <v/>
      </c>
      <c r="BV76" s="263"/>
      <c r="BW76" s="263" t="str">
        <f t="shared" si="29"/>
        <v/>
      </c>
      <c r="BX76" s="263"/>
      <c r="BY76" s="263" t="str">
        <f t="shared" si="30"/>
        <v/>
      </c>
      <c r="BZ76" s="263"/>
      <c r="CA76" s="263">
        <f t="shared" si="47"/>
        <v>0</v>
      </c>
      <c r="CB76" s="263">
        <f t="shared" si="32"/>
        <v>0</v>
      </c>
      <c r="CC76" s="263">
        <f t="shared" si="48"/>
        <v>0</v>
      </c>
      <c r="CD76" s="263">
        <f t="shared" si="34"/>
        <v>0</v>
      </c>
      <c r="CE76" s="263"/>
      <c r="CF76" s="263">
        <f t="shared" si="49"/>
        <v>1</v>
      </c>
      <c r="CG76" s="263">
        <f t="shared" si="50"/>
        <v>0</v>
      </c>
      <c r="CH76" s="263"/>
      <c r="CI76" s="263">
        <f t="shared" si="38"/>
        <v>0</v>
      </c>
      <c r="CJ76" s="263"/>
      <c r="CK76" s="263">
        <f t="shared" si="39"/>
        <v>0</v>
      </c>
      <c r="CL76" s="264">
        <f t="shared" si="51"/>
        <v>0</v>
      </c>
      <c r="CM76" s="264">
        <f t="shared" si="41"/>
        <v>4516</v>
      </c>
      <c r="CO76" s="265">
        <v>0.1275</v>
      </c>
      <c r="CP76" s="265">
        <v>0.1295</v>
      </c>
      <c r="CQ76" s="265">
        <v>0.13</v>
      </c>
      <c r="CS76" s="265">
        <v>0.13153999999999999</v>
      </c>
      <c r="CT76" s="265">
        <v>0.13100000000000001</v>
      </c>
      <c r="CU76" s="265">
        <v>0.1321</v>
      </c>
      <c r="CW76" s="265">
        <v>0.13262000000000002</v>
      </c>
      <c r="CY76" s="265">
        <v>0.1328</v>
      </c>
      <c r="DA76" s="265">
        <v>0.13371</v>
      </c>
      <c r="DC76" s="265">
        <v>0.13249</v>
      </c>
      <c r="DE76" s="265">
        <v>5.6799999999999996E-2</v>
      </c>
      <c r="DF76" s="265">
        <v>5.74E-2</v>
      </c>
      <c r="DH76" s="265">
        <v>5.9000000000000004E-2</v>
      </c>
      <c r="DI76" s="265">
        <v>6.4000000000000001E-2</v>
      </c>
      <c r="DJ76" s="265">
        <v>6.3120000000000009E-2</v>
      </c>
      <c r="DL76" s="265">
        <v>6.2800000000000009E-2</v>
      </c>
      <c r="DO76" s="267"/>
      <c r="DP76" s="267"/>
      <c r="DQ76" s="267"/>
      <c r="DR76" s="267"/>
      <c r="DS76" s="267"/>
      <c r="DT76" s="267"/>
      <c r="DU76" s="267"/>
      <c r="DV76" s="267"/>
      <c r="DW76" s="267"/>
      <c r="DX76" s="267"/>
      <c r="DY76" s="267"/>
      <c r="DZ76" s="205">
        <f t="shared" si="46"/>
        <v>6.4000000000000001E-2</v>
      </c>
      <c r="EA76" s="205" t="e">
        <f t="shared" si="56"/>
        <v>#DIV/0!</v>
      </c>
      <c r="EC76" s="195">
        <v>2023</v>
      </c>
      <c r="ED76" s="195" t="s">
        <v>455</v>
      </c>
      <c r="EE76" s="205">
        <v>9.2799999999999994E-2</v>
      </c>
      <c r="EG76" s="195">
        <v>9.2799999999999994</v>
      </c>
      <c r="EH76" s="195">
        <f t="shared" si="53"/>
        <v>9.2799999999999994E-2</v>
      </c>
    </row>
    <row r="77" spans="2:138">
      <c r="B77" s="272">
        <v>44888</v>
      </c>
      <c r="C77" s="271">
        <v>44888</v>
      </c>
      <c r="D77" s="263" t="e">
        <f>+SUMIFS(Tabla6[Nominal COP],Tabla6[Concepto],COSTO_OPORTUNIDAD!$B$18,Tabla6[Nemotécnico],COSTO_OPORTUNIDAD!D$16,Tabla6[Fecha Cumplimiento y/ liquidacion],COSTO_OPORTUNIDAD!$C77)/+SUMIFS(Tabla6[Nominal COP],Tabla6[Concepto],COSTO_OPORTUNIDAD!$B$18,Tabla6[Fecha Cumplimiento y/ liquidacion],COSTO_OPORTUNIDAD!$C77)</f>
        <v>#DIV/0!</v>
      </c>
      <c r="E77" s="263" t="e">
        <f>+SUMIFS(Tabla6[Nominal COP],Tabla6[Concepto],COSTO_OPORTUNIDAD!$B$18,Tabla6[Nemotécnico],COSTO_OPORTUNIDAD!E$16,Tabla6[Fecha Cumplimiento y/ liquidacion],COSTO_OPORTUNIDAD!$C77)/+SUMIFS(Tabla6[Nominal COP],Tabla6[Concepto],COSTO_OPORTUNIDAD!$B$18,Tabla6[Fecha Cumplimiento y/ liquidacion],COSTO_OPORTUNIDAD!$C77)</f>
        <v>#DIV/0!</v>
      </c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3"/>
      <c r="S77" s="263"/>
      <c r="T77" s="263"/>
      <c r="U77" s="263"/>
      <c r="AA77" s="263">
        <v>1</v>
      </c>
      <c r="AB77" s="262"/>
      <c r="AC77" s="262"/>
      <c r="AD77" s="262"/>
      <c r="AE77" s="262"/>
      <c r="AF77" s="262"/>
      <c r="AG77" s="262"/>
      <c r="AH77" s="274">
        <f t="shared" si="0"/>
        <v>1372</v>
      </c>
      <c r="AI77" s="274">
        <f t="shared" si="1"/>
        <v>1806</v>
      </c>
      <c r="AJ77" s="274">
        <f t="shared" si="2"/>
        <v>1983</v>
      </c>
      <c r="AK77" s="274">
        <f t="shared" si="54"/>
        <v>2464</v>
      </c>
      <c r="AL77" s="274">
        <f t="shared" si="3"/>
        <v>2856</v>
      </c>
      <c r="AM77" s="274">
        <f t="shared" si="4"/>
        <v>3045</v>
      </c>
      <c r="AN77" s="274">
        <f t="shared" si="5"/>
        <v>3507</v>
      </c>
      <c r="AO77" s="274"/>
      <c r="AP77" s="274">
        <f t="shared" si="6"/>
        <v>4347</v>
      </c>
      <c r="AQ77" s="274"/>
      <c r="AR77" s="274">
        <f t="shared" si="7"/>
        <v>4977</v>
      </c>
      <c r="AS77" s="274">
        <f t="shared" si="55"/>
        <v>6580</v>
      </c>
      <c r="AT77" s="274">
        <f t="shared" si="8"/>
        <v>7126</v>
      </c>
      <c r="AU77" s="274"/>
      <c r="AV77" s="274">
        <f t="shared" si="9"/>
        <v>10199</v>
      </c>
      <c r="AW77" s="274"/>
      <c r="AX77" s="274">
        <f t="shared" si="10"/>
        <v>896</v>
      </c>
      <c r="AY77" s="274">
        <f t="shared" si="11"/>
        <v>1575</v>
      </c>
      <c r="AZ77" s="274">
        <f t="shared" si="12"/>
        <v>2338</v>
      </c>
      <c r="BA77" s="274"/>
      <c r="BB77" s="274">
        <f t="shared" si="13"/>
        <v>3775</v>
      </c>
      <c r="BC77" s="274">
        <f t="shared" si="14"/>
        <v>4515</v>
      </c>
      <c r="BD77" s="274">
        <f t="shared" si="15"/>
        <v>5208</v>
      </c>
      <c r="BE77" s="274"/>
      <c r="BF77" s="274">
        <f t="shared" si="16"/>
        <v>9702</v>
      </c>
      <c r="BG77" s="274"/>
      <c r="BH77" s="274"/>
      <c r="BI77" s="266">
        <f t="shared" si="17"/>
        <v>1</v>
      </c>
      <c r="BJ77" s="266" t="e">
        <f t="shared" si="18"/>
        <v>#DIV/0!</v>
      </c>
      <c r="BK77" s="263" t="str">
        <f t="shared" si="19"/>
        <v/>
      </c>
      <c r="BL77" s="263" t="str">
        <f t="shared" si="20"/>
        <v/>
      </c>
      <c r="BM77" s="263" t="str">
        <f t="shared" si="21"/>
        <v/>
      </c>
      <c r="BN77" s="263"/>
      <c r="BO77" s="263" t="str">
        <f t="shared" si="22"/>
        <v/>
      </c>
      <c r="BP77" s="263" t="str">
        <f t="shared" si="23"/>
        <v/>
      </c>
      <c r="BQ77" s="263" t="str">
        <f t="shared" si="24"/>
        <v/>
      </c>
      <c r="BR77" s="263" t="str">
        <f t="shared" si="25"/>
        <v/>
      </c>
      <c r="BS77" s="263" t="str">
        <f t="shared" si="26"/>
        <v/>
      </c>
      <c r="BT77" s="263" t="str">
        <f t="shared" si="27"/>
        <v/>
      </c>
      <c r="BU77" s="263" t="str">
        <f t="shared" si="28"/>
        <v/>
      </c>
      <c r="BV77" s="263"/>
      <c r="BW77" s="263" t="str">
        <f t="shared" si="29"/>
        <v/>
      </c>
      <c r="BX77" s="263"/>
      <c r="BY77" s="263" t="str">
        <f t="shared" si="30"/>
        <v/>
      </c>
      <c r="BZ77" s="263"/>
      <c r="CA77" s="263">
        <f t="shared" si="47"/>
        <v>0</v>
      </c>
      <c r="CB77" s="263">
        <f t="shared" si="32"/>
        <v>0</v>
      </c>
      <c r="CC77" s="263">
        <f t="shared" si="48"/>
        <v>0</v>
      </c>
      <c r="CD77" s="263">
        <f t="shared" si="34"/>
        <v>0</v>
      </c>
      <c r="CE77" s="263"/>
      <c r="CF77" s="263">
        <f t="shared" si="49"/>
        <v>1</v>
      </c>
      <c r="CG77" s="263">
        <f t="shared" si="50"/>
        <v>0</v>
      </c>
      <c r="CH77" s="263"/>
      <c r="CI77" s="263">
        <f t="shared" si="38"/>
        <v>0</v>
      </c>
      <c r="CJ77" s="263"/>
      <c r="CK77" s="263">
        <f t="shared" si="39"/>
        <v>0</v>
      </c>
      <c r="CL77" s="264">
        <f t="shared" si="51"/>
        <v>0</v>
      </c>
      <c r="CM77" s="264">
        <f t="shared" si="41"/>
        <v>4515</v>
      </c>
      <c r="CO77" s="265">
        <v>0.12664999999999998</v>
      </c>
      <c r="CP77" s="265">
        <v>0.12869999999999998</v>
      </c>
      <c r="CQ77" s="265">
        <v>0.12898999999999999</v>
      </c>
      <c r="CS77" s="265">
        <v>0.12914</v>
      </c>
      <c r="CT77" s="265">
        <v>0.12958999999999998</v>
      </c>
      <c r="CU77" s="265">
        <v>0.1295</v>
      </c>
      <c r="CW77" s="265">
        <v>0.1308</v>
      </c>
      <c r="CY77" s="265">
        <v>0.13000999999999999</v>
      </c>
      <c r="DA77" s="265">
        <v>0.13287000000000002</v>
      </c>
      <c r="DC77" s="265">
        <v>0.12926000000000001</v>
      </c>
      <c r="DE77" s="265">
        <v>5.5E-2</v>
      </c>
      <c r="DF77" s="265">
        <v>5.5800000000000002E-2</v>
      </c>
      <c r="DH77" s="265">
        <v>5.7999999999999996E-2</v>
      </c>
      <c r="DI77" s="265">
        <v>6.4489999999999992E-2</v>
      </c>
      <c r="DJ77" s="265">
        <v>6.2809999999999991E-2</v>
      </c>
      <c r="DL77" s="265">
        <v>6.2E-2</v>
      </c>
      <c r="DO77" s="267"/>
      <c r="DP77" s="267"/>
      <c r="DQ77" s="267"/>
      <c r="DR77" s="267"/>
      <c r="DS77" s="267"/>
      <c r="DT77" s="267"/>
      <c r="DU77" s="267"/>
      <c r="DV77" s="267"/>
      <c r="DW77" s="267"/>
      <c r="DX77" s="267"/>
      <c r="DY77" s="267"/>
      <c r="DZ77" s="205">
        <f t="shared" si="46"/>
        <v>6.4489999999999992E-2</v>
      </c>
      <c r="EA77" s="205" t="e">
        <f t="shared" si="56"/>
        <v>#DIV/0!</v>
      </c>
      <c r="EC77" s="195">
        <v>2024</v>
      </c>
      <c r="ED77" s="195" t="s">
        <v>456</v>
      </c>
      <c r="EE77" s="205">
        <v>8.3499999999999991E-2</v>
      </c>
      <c r="EG77" s="195">
        <v>8.35</v>
      </c>
      <c r="EH77" s="195">
        <f>+EG77/100</f>
        <v>8.3499999999999991E-2</v>
      </c>
    </row>
    <row r="78" spans="2:138">
      <c r="B78" s="272">
        <v>44889</v>
      </c>
      <c r="C78" s="271">
        <v>44889</v>
      </c>
      <c r="D78" s="263" t="e">
        <f>+SUMIFS(Tabla6[Nominal COP],Tabla6[Concepto],COSTO_OPORTUNIDAD!$B$18,Tabla6[Nemotécnico],COSTO_OPORTUNIDAD!D$16,Tabla6[Fecha Cumplimiento y/ liquidacion],COSTO_OPORTUNIDAD!$C78)/+SUMIFS(Tabla6[Nominal COP],Tabla6[Concepto],COSTO_OPORTUNIDAD!$B$18,Tabla6[Fecha Cumplimiento y/ liquidacion],COSTO_OPORTUNIDAD!$C78)</f>
        <v>#DIV/0!</v>
      </c>
      <c r="E78" s="263" t="e">
        <f>+SUMIFS(Tabla6[Nominal COP],Tabla6[Concepto],COSTO_OPORTUNIDAD!$B$18,Tabla6[Nemotécnico],COSTO_OPORTUNIDAD!E$16,Tabla6[Fecha Cumplimiento y/ liquidacion],COSTO_OPORTUNIDAD!$C78)/+SUMIFS(Tabla6[Nominal COP],Tabla6[Concepto],COSTO_OPORTUNIDAD!$B$18,Tabla6[Fecha Cumplimiento y/ liquidacion],COSTO_OPORTUNIDAD!$C78)</f>
        <v>#DIV/0!</v>
      </c>
      <c r="F78" s="262"/>
      <c r="G78" s="262"/>
      <c r="H78" s="262"/>
      <c r="I78" s="262"/>
      <c r="J78" s="262"/>
      <c r="K78" s="262"/>
      <c r="L78" s="262"/>
      <c r="M78" s="262"/>
      <c r="N78" s="262"/>
      <c r="O78" s="262"/>
      <c r="P78" s="262"/>
      <c r="Q78" s="262"/>
      <c r="R78" s="263"/>
      <c r="S78" s="263"/>
      <c r="T78" s="263"/>
      <c r="U78" s="263"/>
      <c r="AA78" s="263">
        <v>1</v>
      </c>
      <c r="AB78" s="262"/>
      <c r="AC78" s="262"/>
      <c r="AD78" s="262"/>
      <c r="AE78" s="262"/>
      <c r="AF78" s="262"/>
      <c r="AG78" s="262"/>
      <c r="AH78" s="274">
        <f t="shared" si="0"/>
        <v>1371</v>
      </c>
      <c r="AI78" s="274">
        <f t="shared" si="1"/>
        <v>1805</v>
      </c>
      <c r="AJ78" s="274">
        <f t="shared" si="2"/>
        <v>1982</v>
      </c>
      <c r="AK78" s="274">
        <f t="shared" si="54"/>
        <v>2463</v>
      </c>
      <c r="AL78" s="274">
        <f t="shared" si="3"/>
        <v>2855</v>
      </c>
      <c r="AM78" s="274">
        <f t="shared" si="4"/>
        <v>3044</v>
      </c>
      <c r="AN78" s="274">
        <f t="shared" si="5"/>
        <v>3506</v>
      </c>
      <c r="AO78" s="274"/>
      <c r="AP78" s="274">
        <f t="shared" si="6"/>
        <v>4346</v>
      </c>
      <c r="AQ78" s="274"/>
      <c r="AR78" s="274">
        <f t="shared" si="7"/>
        <v>4976</v>
      </c>
      <c r="AS78" s="274">
        <f t="shared" si="55"/>
        <v>6579</v>
      </c>
      <c r="AT78" s="274">
        <f t="shared" si="8"/>
        <v>7125</v>
      </c>
      <c r="AU78" s="274"/>
      <c r="AV78" s="274">
        <f t="shared" si="9"/>
        <v>10198</v>
      </c>
      <c r="AW78" s="274"/>
      <c r="AX78" s="274">
        <f t="shared" si="10"/>
        <v>895</v>
      </c>
      <c r="AY78" s="274">
        <f t="shared" si="11"/>
        <v>1574</v>
      </c>
      <c r="AZ78" s="274">
        <f t="shared" si="12"/>
        <v>2337</v>
      </c>
      <c r="BA78" s="274"/>
      <c r="BB78" s="274">
        <f t="shared" si="13"/>
        <v>3774</v>
      </c>
      <c r="BC78" s="274">
        <f t="shared" si="14"/>
        <v>4514</v>
      </c>
      <c r="BD78" s="274">
        <f t="shared" si="15"/>
        <v>5207</v>
      </c>
      <c r="BE78" s="274"/>
      <c r="BF78" s="274">
        <f t="shared" si="16"/>
        <v>9701</v>
      </c>
      <c r="BG78" s="274"/>
      <c r="BH78" s="274"/>
      <c r="BI78" s="266">
        <f t="shared" si="17"/>
        <v>1</v>
      </c>
      <c r="BJ78" s="266" t="e">
        <f t="shared" si="18"/>
        <v>#DIV/0!</v>
      </c>
      <c r="BK78" s="263" t="str">
        <f t="shared" si="19"/>
        <v/>
      </c>
      <c r="BL78" s="263" t="str">
        <f t="shared" si="20"/>
        <v/>
      </c>
      <c r="BM78" s="263" t="str">
        <f t="shared" si="21"/>
        <v/>
      </c>
      <c r="BN78" s="263"/>
      <c r="BO78" s="263" t="str">
        <f t="shared" si="22"/>
        <v/>
      </c>
      <c r="BP78" s="263" t="str">
        <f t="shared" si="23"/>
        <v/>
      </c>
      <c r="BQ78" s="263" t="str">
        <f t="shared" si="24"/>
        <v/>
      </c>
      <c r="BR78" s="263" t="str">
        <f t="shared" si="25"/>
        <v/>
      </c>
      <c r="BS78" s="263" t="str">
        <f t="shared" si="26"/>
        <v/>
      </c>
      <c r="BT78" s="263" t="str">
        <f t="shared" si="27"/>
        <v/>
      </c>
      <c r="BU78" s="263" t="str">
        <f t="shared" si="28"/>
        <v/>
      </c>
      <c r="BV78" s="263"/>
      <c r="BW78" s="263" t="str">
        <f t="shared" si="29"/>
        <v/>
      </c>
      <c r="BX78" s="263"/>
      <c r="BY78" s="263" t="str">
        <f t="shared" si="30"/>
        <v/>
      </c>
      <c r="BZ78" s="263"/>
      <c r="CA78" s="263">
        <f t="shared" si="47"/>
        <v>0</v>
      </c>
      <c r="CB78" s="263">
        <f t="shared" si="32"/>
        <v>0</v>
      </c>
      <c r="CC78" s="263">
        <f t="shared" si="48"/>
        <v>0</v>
      </c>
      <c r="CD78" s="263">
        <f t="shared" si="34"/>
        <v>0</v>
      </c>
      <c r="CE78" s="263"/>
      <c r="CF78" s="263">
        <f t="shared" si="49"/>
        <v>1</v>
      </c>
      <c r="CG78" s="263">
        <f t="shared" si="50"/>
        <v>0</v>
      </c>
      <c r="CH78" s="263"/>
      <c r="CI78" s="263">
        <f t="shared" si="38"/>
        <v>0</v>
      </c>
      <c r="CJ78" s="263"/>
      <c r="CK78" s="263">
        <f t="shared" si="39"/>
        <v>0</v>
      </c>
      <c r="CL78" s="264">
        <f t="shared" si="51"/>
        <v>0</v>
      </c>
      <c r="CM78" s="264">
        <f t="shared" si="41"/>
        <v>4514</v>
      </c>
      <c r="CO78" s="265">
        <v>0.1275</v>
      </c>
      <c r="CP78" s="265">
        <v>0.12958</v>
      </c>
      <c r="CQ78" s="265">
        <v>0.13069</v>
      </c>
      <c r="CS78" s="265">
        <v>0.13100000000000001</v>
      </c>
      <c r="CT78" s="265">
        <v>0.12762999999999999</v>
      </c>
      <c r="CU78" s="265">
        <v>0.13059999999999999</v>
      </c>
      <c r="CW78" s="265">
        <v>0.13039000000000001</v>
      </c>
      <c r="CY78" s="265">
        <v>0.12998999999999999</v>
      </c>
      <c r="DA78" s="265">
        <v>0.13324</v>
      </c>
      <c r="DC78" s="265">
        <v>0.13075000000000001</v>
      </c>
      <c r="DE78" s="265">
        <v>5.57E-2</v>
      </c>
      <c r="DF78" s="265">
        <v>5.6989999999999999E-2</v>
      </c>
      <c r="DH78" s="265">
        <v>5.9500000000000004E-2</v>
      </c>
      <c r="DI78" s="265">
        <v>6.4500000000000002E-2</v>
      </c>
      <c r="DJ78" s="265">
        <v>6.3700000000000007E-2</v>
      </c>
      <c r="DL78" s="265">
        <v>6.2899999999999998E-2</v>
      </c>
      <c r="DO78" s="267"/>
      <c r="DP78" s="267"/>
      <c r="DQ78" s="267"/>
      <c r="DR78" s="267"/>
      <c r="DS78" s="267"/>
      <c r="DT78" s="267"/>
      <c r="DU78" s="267"/>
      <c r="DV78" s="267"/>
      <c r="DW78" s="267"/>
      <c r="DX78" s="267"/>
      <c r="DY78" s="267"/>
      <c r="DZ78" s="205">
        <f t="shared" si="46"/>
        <v>6.4500000000000002E-2</v>
      </c>
      <c r="EA78" s="205" t="e">
        <f t="shared" si="56"/>
        <v>#DIV/0!</v>
      </c>
      <c r="EC78" s="195">
        <v>2024</v>
      </c>
      <c r="ED78" s="195" t="s">
        <v>457</v>
      </c>
      <c r="EE78" s="205">
        <v>7.7399999999999997E-2</v>
      </c>
      <c r="EG78" s="195">
        <v>7.74</v>
      </c>
      <c r="EH78" s="195">
        <f t="shared" si="53"/>
        <v>7.7399999999999997E-2</v>
      </c>
    </row>
    <row r="79" spans="2:138">
      <c r="B79" s="272">
        <v>44890</v>
      </c>
      <c r="C79" s="271">
        <v>44890</v>
      </c>
      <c r="D79" s="263" t="e">
        <f>+SUMIFS(Tabla6[Nominal COP],Tabla6[Concepto],COSTO_OPORTUNIDAD!$B$18,Tabla6[Nemotécnico],COSTO_OPORTUNIDAD!D$16,Tabla6[Fecha Cumplimiento y/ liquidacion],COSTO_OPORTUNIDAD!$C79)/+SUMIFS(Tabla6[Nominal COP],Tabla6[Concepto],COSTO_OPORTUNIDAD!$B$18,Tabla6[Fecha Cumplimiento y/ liquidacion],COSTO_OPORTUNIDAD!$C79)</f>
        <v>#DIV/0!</v>
      </c>
      <c r="E79" s="263" t="e">
        <f>+SUMIFS(Tabla6[Nominal COP],Tabla6[Concepto],COSTO_OPORTUNIDAD!$B$18,Tabla6[Nemotécnico],COSTO_OPORTUNIDAD!E$16,Tabla6[Fecha Cumplimiento y/ liquidacion],COSTO_OPORTUNIDAD!$C79)/+SUMIFS(Tabla6[Nominal COP],Tabla6[Concepto],COSTO_OPORTUNIDAD!$B$18,Tabla6[Fecha Cumplimiento y/ liquidacion],COSTO_OPORTUNIDAD!$C79)</f>
        <v>#DIV/0!</v>
      </c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3"/>
      <c r="S79" s="263"/>
      <c r="T79" s="263"/>
      <c r="U79" s="263"/>
      <c r="AA79" s="263">
        <v>1</v>
      </c>
      <c r="AB79" s="262"/>
      <c r="AC79" s="262"/>
      <c r="AD79" s="262"/>
      <c r="AE79" s="262"/>
      <c r="AF79" s="262"/>
      <c r="AG79" s="262"/>
      <c r="AH79" s="274">
        <f t="shared" si="0"/>
        <v>1370</v>
      </c>
      <c r="AI79" s="274">
        <f t="shared" si="1"/>
        <v>1804</v>
      </c>
      <c r="AJ79" s="274">
        <f t="shared" si="2"/>
        <v>1981</v>
      </c>
      <c r="AK79" s="274">
        <f t="shared" si="54"/>
        <v>2462</v>
      </c>
      <c r="AL79" s="274">
        <f t="shared" si="3"/>
        <v>2854</v>
      </c>
      <c r="AM79" s="274">
        <f t="shared" si="4"/>
        <v>3043</v>
      </c>
      <c r="AN79" s="274">
        <f t="shared" si="5"/>
        <v>3505</v>
      </c>
      <c r="AO79" s="274"/>
      <c r="AP79" s="274">
        <f t="shared" si="6"/>
        <v>4345</v>
      </c>
      <c r="AQ79" s="274"/>
      <c r="AR79" s="274">
        <f t="shared" si="7"/>
        <v>4975</v>
      </c>
      <c r="AS79" s="274">
        <f t="shared" si="55"/>
        <v>6578</v>
      </c>
      <c r="AT79" s="274">
        <f t="shared" si="8"/>
        <v>7124</v>
      </c>
      <c r="AU79" s="274"/>
      <c r="AV79" s="274">
        <f t="shared" si="9"/>
        <v>10197</v>
      </c>
      <c r="AW79" s="274"/>
      <c r="AX79" s="274">
        <f t="shared" si="10"/>
        <v>894</v>
      </c>
      <c r="AY79" s="274">
        <f t="shared" si="11"/>
        <v>1573</v>
      </c>
      <c r="AZ79" s="274">
        <f t="shared" si="12"/>
        <v>2336</v>
      </c>
      <c r="BA79" s="274"/>
      <c r="BB79" s="274">
        <f t="shared" si="13"/>
        <v>3773</v>
      </c>
      <c r="BC79" s="274">
        <f t="shared" si="14"/>
        <v>4513</v>
      </c>
      <c r="BD79" s="274">
        <f t="shared" si="15"/>
        <v>5206</v>
      </c>
      <c r="BE79" s="274"/>
      <c r="BF79" s="274">
        <f t="shared" si="16"/>
        <v>9700</v>
      </c>
      <c r="BG79" s="274"/>
      <c r="BH79" s="274"/>
      <c r="BI79" s="266">
        <f t="shared" si="17"/>
        <v>1</v>
      </c>
      <c r="BJ79" s="266" t="e">
        <f t="shared" si="18"/>
        <v>#DIV/0!</v>
      </c>
      <c r="BK79" s="263" t="str">
        <f t="shared" si="19"/>
        <v/>
      </c>
      <c r="BL79" s="263" t="str">
        <f t="shared" si="20"/>
        <v/>
      </c>
      <c r="BM79" s="263" t="str">
        <f t="shared" si="21"/>
        <v/>
      </c>
      <c r="BN79" s="263"/>
      <c r="BO79" s="263" t="str">
        <f t="shared" si="22"/>
        <v/>
      </c>
      <c r="BP79" s="263" t="str">
        <f t="shared" si="23"/>
        <v/>
      </c>
      <c r="BQ79" s="263" t="str">
        <f t="shared" si="24"/>
        <v/>
      </c>
      <c r="BR79" s="263" t="str">
        <f t="shared" si="25"/>
        <v/>
      </c>
      <c r="BS79" s="263" t="str">
        <f t="shared" si="26"/>
        <v/>
      </c>
      <c r="BT79" s="263" t="str">
        <f t="shared" si="27"/>
        <v/>
      </c>
      <c r="BU79" s="263" t="str">
        <f t="shared" si="28"/>
        <v/>
      </c>
      <c r="BV79" s="263"/>
      <c r="BW79" s="263" t="str">
        <f t="shared" si="29"/>
        <v/>
      </c>
      <c r="BX79" s="263"/>
      <c r="BY79" s="263" t="str">
        <f t="shared" si="30"/>
        <v/>
      </c>
      <c r="BZ79" s="263"/>
      <c r="CA79" s="263">
        <f t="shared" si="47"/>
        <v>0</v>
      </c>
      <c r="CB79" s="263">
        <f t="shared" si="32"/>
        <v>0</v>
      </c>
      <c r="CC79" s="263">
        <f t="shared" si="48"/>
        <v>0</v>
      </c>
      <c r="CD79" s="263">
        <f t="shared" si="34"/>
        <v>0</v>
      </c>
      <c r="CE79" s="263"/>
      <c r="CF79" s="263">
        <f t="shared" si="49"/>
        <v>1</v>
      </c>
      <c r="CG79" s="263">
        <f t="shared" si="50"/>
        <v>0</v>
      </c>
      <c r="CH79" s="263"/>
      <c r="CI79" s="263">
        <f t="shared" si="38"/>
        <v>0</v>
      </c>
      <c r="CJ79" s="263"/>
      <c r="CK79" s="263">
        <f t="shared" si="39"/>
        <v>0</v>
      </c>
      <c r="CL79" s="264">
        <f t="shared" si="51"/>
        <v>0</v>
      </c>
      <c r="CM79" s="264">
        <f t="shared" si="41"/>
        <v>4513</v>
      </c>
      <c r="CO79" s="265">
        <v>0.1293</v>
      </c>
      <c r="CP79" s="265">
        <v>0.13149</v>
      </c>
      <c r="CQ79" s="265">
        <v>0.13224</v>
      </c>
      <c r="CS79" s="265">
        <v>0.13281999999999999</v>
      </c>
      <c r="CT79" s="265">
        <v>0.12762999999999999</v>
      </c>
      <c r="CU79" s="265">
        <v>0.13255</v>
      </c>
      <c r="CW79" s="265">
        <v>0.1328</v>
      </c>
      <c r="CY79" s="265">
        <v>0.13250999999999999</v>
      </c>
      <c r="DA79" s="265">
        <v>0.13471</v>
      </c>
      <c r="DC79" s="265">
        <v>0.13300000000000001</v>
      </c>
      <c r="DE79" s="265">
        <v>5.57E-2</v>
      </c>
      <c r="DF79" s="265">
        <v>5.7699999999999994E-2</v>
      </c>
      <c r="DH79" s="265">
        <v>6.0490000000000002E-2</v>
      </c>
      <c r="DI79" s="265">
        <v>6.5500000000000003E-2</v>
      </c>
      <c r="DJ79" s="265">
        <v>6.5000000000000002E-2</v>
      </c>
      <c r="DL79" s="265">
        <v>6.3909999999999995E-2</v>
      </c>
      <c r="DO79" s="267"/>
      <c r="DP79" s="267"/>
      <c r="DQ79" s="267"/>
      <c r="DR79" s="267"/>
      <c r="DS79" s="267"/>
      <c r="DT79" s="267"/>
      <c r="DU79" s="267"/>
      <c r="DV79" s="267"/>
      <c r="DW79" s="267"/>
      <c r="DX79" s="267"/>
      <c r="DY79" s="267"/>
      <c r="DZ79" s="205">
        <f t="shared" si="46"/>
        <v>6.5500000000000003E-2</v>
      </c>
      <c r="EA79" s="205" t="e">
        <f t="shared" si="56"/>
        <v>#DIV/0!</v>
      </c>
      <c r="EC79" s="195">
        <v>2024</v>
      </c>
      <c r="ED79" s="195" t="s">
        <v>446</v>
      </c>
      <c r="EE79" s="205">
        <v>7.3599999999999999E-2</v>
      </c>
      <c r="EG79" s="195">
        <v>7.36</v>
      </c>
      <c r="EH79" s="195">
        <f t="shared" si="53"/>
        <v>7.3599999999999999E-2</v>
      </c>
    </row>
    <row r="80" spans="2:138">
      <c r="B80" s="272">
        <v>44894</v>
      </c>
      <c r="C80" s="271">
        <v>44894</v>
      </c>
      <c r="D80" s="263" t="e">
        <f>+SUMIFS(Tabla6[Nominal COP],Tabla6[Concepto],COSTO_OPORTUNIDAD!$B$18,Tabla6[Nemotécnico],COSTO_OPORTUNIDAD!D$16,Tabla6[Fecha Cumplimiento y/ liquidacion],COSTO_OPORTUNIDAD!$C80)/+SUMIFS(Tabla6[Nominal COP],Tabla6[Concepto],COSTO_OPORTUNIDAD!$B$18,Tabla6[Fecha Cumplimiento y/ liquidacion],COSTO_OPORTUNIDAD!$C80)</f>
        <v>#DIV/0!</v>
      </c>
      <c r="E80" s="263" t="e">
        <f>+SUMIFS(Tabla6[Nominal COP],Tabla6[Concepto],COSTO_OPORTUNIDAD!$B$18,Tabla6[Nemotécnico],COSTO_OPORTUNIDAD!E$16,Tabla6[Fecha Cumplimiento y/ liquidacion],COSTO_OPORTUNIDAD!$C80)/+SUMIFS(Tabla6[Nominal COP],Tabla6[Concepto],COSTO_OPORTUNIDAD!$B$18,Tabla6[Fecha Cumplimiento y/ liquidacion],COSTO_OPORTUNIDAD!$C80)</f>
        <v>#DIV/0!</v>
      </c>
      <c r="F80" s="262"/>
      <c r="G80" s="262"/>
      <c r="H80" s="262"/>
      <c r="I80" s="262"/>
      <c r="J80" s="262"/>
      <c r="K80" s="262"/>
      <c r="L80" s="262"/>
      <c r="M80" s="262"/>
      <c r="N80" s="262"/>
      <c r="O80" s="262"/>
      <c r="P80" s="262"/>
      <c r="Q80" s="262"/>
      <c r="R80" s="263"/>
      <c r="S80" s="263"/>
      <c r="T80" s="263"/>
      <c r="U80" s="263"/>
      <c r="AA80" s="263">
        <v>1</v>
      </c>
      <c r="AB80" s="262"/>
      <c r="AC80" s="262"/>
      <c r="AD80" s="262"/>
      <c r="AE80" s="262"/>
      <c r="AF80" s="262"/>
      <c r="AG80" s="262"/>
      <c r="AH80" s="274">
        <f t="shared" si="0"/>
        <v>1366</v>
      </c>
      <c r="AI80" s="274">
        <f t="shared" si="1"/>
        <v>1800</v>
      </c>
      <c r="AJ80" s="274">
        <f t="shared" si="2"/>
        <v>1977</v>
      </c>
      <c r="AK80" s="274">
        <f t="shared" si="54"/>
        <v>2458</v>
      </c>
      <c r="AL80" s="274">
        <f t="shared" si="3"/>
        <v>2850</v>
      </c>
      <c r="AM80" s="274">
        <f t="shared" si="4"/>
        <v>3039</v>
      </c>
      <c r="AN80" s="274">
        <f t="shared" si="5"/>
        <v>3501</v>
      </c>
      <c r="AO80" s="274"/>
      <c r="AP80" s="274">
        <f t="shared" si="6"/>
        <v>4341</v>
      </c>
      <c r="AQ80" s="274"/>
      <c r="AR80" s="274">
        <f t="shared" si="7"/>
        <v>4971</v>
      </c>
      <c r="AS80" s="274">
        <f t="shared" si="55"/>
        <v>6574</v>
      </c>
      <c r="AT80" s="274">
        <f t="shared" si="8"/>
        <v>7120</v>
      </c>
      <c r="AU80" s="274"/>
      <c r="AV80" s="274">
        <f t="shared" si="9"/>
        <v>10193</v>
      </c>
      <c r="AW80" s="274"/>
      <c r="AX80" s="274">
        <f t="shared" si="10"/>
        <v>890</v>
      </c>
      <c r="AY80" s="274">
        <f t="shared" si="11"/>
        <v>1569</v>
      </c>
      <c r="AZ80" s="274">
        <f t="shared" si="12"/>
        <v>2332</v>
      </c>
      <c r="BA80" s="274"/>
      <c r="BB80" s="274">
        <f t="shared" si="13"/>
        <v>3769</v>
      </c>
      <c r="BC80" s="274">
        <f t="shared" si="14"/>
        <v>4509</v>
      </c>
      <c r="BD80" s="274">
        <f t="shared" si="15"/>
        <v>5202</v>
      </c>
      <c r="BE80" s="274"/>
      <c r="BF80" s="274">
        <f t="shared" si="16"/>
        <v>9696</v>
      </c>
      <c r="BG80" s="274"/>
      <c r="BH80" s="274"/>
      <c r="BI80" s="266">
        <f t="shared" si="17"/>
        <v>1</v>
      </c>
      <c r="BJ80" s="266" t="e">
        <f t="shared" si="18"/>
        <v>#DIV/0!</v>
      </c>
      <c r="BK80" s="263" t="str">
        <f t="shared" si="19"/>
        <v/>
      </c>
      <c r="BL80" s="263" t="str">
        <f t="shared" si="20"/>
        <v/>
      </c>
      <c r="BM80" s="263" t="str">
        <f t="shared" si="21"/>
        <v/>
      </c>
      <c r="BN80" s="263"/>
      <c r="BO80" s="263" t="str">
        <f t="shared" si="22"/>
        <v/>
      </c>
      <c r="BP80" s="263" t="str">
        <f t="shared" si="23"/>
        <v/>
      </c>
      <c r="BQ80" s="263" t="str">
        <f t="shared" si="24"/>
        <v/>
      </c>
      <c r="BR80" s="263" t="str">
        <f t="shared" si="25"/>
        <v/>
      </c>
      <c r="BS80" s="263" t="str">
        <f t="shared" si="26"/>
        <v/>
      </c>
      <c r="BT80" s="263" t="str">
        <f t="shared" si="27"/>
        <v/>
      </c>
      <c r="BU80" s="263" t="str">
        <f t="shared" si="28"/>
        <v/>
      </c>
      <c r="BV80" s="263"/>
      <c r="BW80" s="263" t="str">
        <f t="shared" si="29"/>
        <v/>
      </c>
      <c r="BX80" s="263"/>
      <c r="BY80" s="263" t="str">
        <f t="shared" si="30"/>
        <v/>
      </c>
      <c r="BZ80" s="263"/>
      <c r="CA80" s="263">
        <f t="shared" si="47"/>
        <v>0</v>
      </c>
      <c r="CB80" s="263">
        <f t="shared" si="32"/>
        <v>0</v>
      </c>
      <c r="CC80" s="263">
        <f t="shared" si="48"/>
        <v>0</v>
      </c>
      <c r="CD80" s="263">
        <f t="shared" si="34"/>
        <v>0</v>
      </c>
      <c r="CE80" s="263"/>
      <c r="CF80" s="263">
        <f t="shared" si="49"/>
        <v>1</v>
      </c>
      <c r="CG80" s="263">
        <f t="shared" si="50"/>
        <v>0</v>
      </c>
      <c r="CH80" s="263"/>
      <c r="CI80" s="263">
        <f t="shared" si="38"/>
        <v>0</v>
      </c>
      <c r="CJ80" s="263"/>
      <c r="CK80" s="263">
        <f t="shared" si="39"/>
        <v>0</v>
      </c>
      <c r="CL80" s="264">
        <f t="shared" si="51"/>
        <v>0</v>
      </c>
      <c r="CM80" s="264">
        <f t="shared" si="41"/>
        <v>4509</v>
      </c>
      <c r="CO80" s="265">
        <v>0.12615000000000001</v>
      </c>
      <c r="CP80" s="265">
        <v>0.12805999999999998</v>
      </c>
      <c r="CQ80" s="265">
        <v>0.12855</v>
      </c>
      <c r="CS80" s="265">
        <v>0.12960000000000002</v>
      </c>
      <c r="CT80" s="265">
        <v>0.13059999999999999</v>
      </c>
      <c r="CU80" s="265">
        <v>0.1303</v>
      </c>
      <c r="CW80" s="265">
        <v>0.13048999999999999</v>
      </c>
      <c r="CY80" s="265">
        <v>0.13200000000000001</v>
      </c>
      <c r="DA80" s="265">
        <v>0.13144999999999998</v>
      </c>
      <c r="DC80" s="265">
        <v>0.13</v>
      </c>
      <c r="DE80" s="265">
        <v>5.2979999999999999E-2</v>
      </c>
      <c r="DF80" s="265">
        <v>5.5389999999999995E-2</v>
      </c>
      <c r="DH80" s="265">
        <v>5.9989999999999995E-2</v>
      </c>
      <c r="DI80" s="265">
        <v>6.4399999999999999E-2</v>
      </c>
      <c r="DJ80" s="265">
        <v>6.3299999999999995E-2</v>
      </c>
      <c r="DL80" s="265">
        <v>6.2400000000000004E-2</v>
      </c>
      <c r="DO80" s="267"/>
      <c r="DP80" s="267"/>
      <c r="DQ80" s="267"/>
      <c r="DR80" s="267"/>
      <c r="DS80" s="267"/>
      <c r="DT80" s="267"/>
      <c r="DU80" s="267"/>
      <c r="DV80" s="267"/>
      <c r="DW80" s="267"/>
      <c r="DX80" s="267"/>
      <c r="DY80" s="267"/>
      <c r="DZ80" s="205">
        <f t="shared" si="46"/>
        <v>6.4399999999999999E-2</v>
      </c>
      <c r="EA80" s="205" t="e">
        <f t="shared" si="56"/>
        <v>#DIV/0!</v>
      </c>
      <c r="EC80" s="195">
        <v>2024</v>
      </c>
      <c r="ED80" s="195" t="s">
        <v>447</v>
      </c>
      <c r="EE80" s="205">
        <v>7.1599999999999997E-2</v>
      </c>
      <c r="EG80" s="195">
        <v>7.16</v>
      </c>
      <c r="EH80" s="195">
        <f t="shared" si="53"/>
        <v>7.1599999999999997E-2</v>
      </c>
    </row>
    <row r="81" spans="2:138">
      <c r="B81" s="272">
        <v>44896</v>
      </c>
      <c r="C81" s="271">
        <v>44896</v>
      </c>
      <c r="D81" s="263" t="e">
        <f>+SUMIFS(Tabla6[Nominal COP],Tabla6[Concepto],COSTO_OPORTUNIDAD!$B$18,Tabla6[Nemotécnico],COSTO_OPORTUNIDAD!D$16,Tabla6[Fecha Cumplimiento y/ liquidacion],COSTO_OPORTUNIDAD!$C81)/+SUMIFS(Tabla6[Nominal COP],Tabla6[Concepto],COSTO_OPORTUNIDAD!$B$18,Tabla6[Fecha Cumplimiento y/ liquidacion],COSTO_OPORTUNIDAD!$C81)</f>
        <v>#DIV/0!</v>
      </c>
      <c r="E81" s="263" t="e">
        <f>+SUMIFS(Tabla6[Nominal COP],Tabla6[Concepto],COSTO_OPORTUNIDAD!$B$18,Tabla6[Nemotécnico],COSTO_OPORTUNIDAD!E$16,Tabla6[Fecha Cumplimiento y/ liquidacion],COSTO_OPORTUNIDAD!$C81)/+SUMIFS(Tabla6[Nominal COP],Tabla6[Concepto],COSTO_OPORTUNIDAD!$B$18,Tabla6[Fecha Cumplimiento y/ liquidacion],COSTO_OPORTUNIDAD!$C81)</f>
        <v>#DIV/0!</v>
      </c>
      <c r="F81" s="263">
        <v>0.7</v>
      </c>
      <c r="G81" s="263"/>
      <c r="H81" s="263"/>
      <c r="I81" s="263"/>
      <c r="J81" s="263"/>
      <c r="K81" s="263"/>
      <c r="L81" s="263"/>
      <c r="M81" s="263"/>
      <c r="N81" s="263"/>
      <c r="O81" s="263"/>
      <c r="P81" s="263"/>
      <c r="Q81" s="263"/>
      <c r="R81" s="263"/>
      <c r="S81" s="263"/>
      <c r="T81" s="263"/>
      <c r="U81" s="263"/>
      <c r="AA81" s="263">
        <v>0.3</v>
      </c>
      <c r="AB81" s="262"/>
      <c r="AC81" s="262"/>
      <c r="AD81" s="262"/>
      <c r="AE81" s="262"/>
      <c r="AF81" s="262"/>
      <c r="AG81" s="262"/>
      <c r="AH81" s="274">
        <f t="shared" si="0"/>
        <v>1364</v>
      </c>
      <c r="AI81" s="274">
        <f t="shared" si="1"/>
        <v>1798</v>
      </c>
      <c r="AJ81" s="274">
        <f t="shared" si="2"/>
        <v>1975</v>
      </c>
      <c r="AK81" s="274">
        <f t="shared" si="54"/>
        <v>2456</v>
      </c>
      <c r="AL81" s="274">
        <f t="shared" si="3"/>
        <v>2848</v>
      </c>
      <c r="AM81" s="274">
        <f t="shared" si="4"/>
        <v>3037</v>
      </c>
      <c r="AN81" s="274">
        <f t="shared" si="5"/>
        <v>3499</v>
      </c>
      <c r="AO81" s="274"/>
      <c r="AP81" s="274">
        <f t="shared" si="6"/>
        <v>4339</v>
      </c>
      <c r="AQ81" s="274"/>
      <c r="AR81" s="274">
        <f t="shared" si="7"/>
        <v>4969</v>
      </c>
      <c r="AS81" s="274">
        <f t="shared" si="55"/>
        <v>6572</v>
      </c>
      <c r="AT81" s="274">
        <f t="shared" si="8"/>
        <v>7118</v>
      </c>
      <c r="AU81" s="274"/>
      <c r="AV81" s="274">
        <f t="shared" si="9"/>
        <v>10191</v>
      </c>
      <c r="AW81" s="274"/>
      <c r="AX81" s="274">
        <f t="shared" si="10"/>
        <v>888</v>
      </c>
      <c r="AY81" s="274">
        <f t="shared" si="11"/>
        <v>1567</v>
      </c>
      <c r="AZ81" s="274">
        <f t="shared" si="12"/>
        <v>2330</v>
      </c>
      <c r="BA81" s="274"/>
      <c r="BB81" s="274">
        <f t="shared" si="13"/>
        <v>3767</v>
      </c>
      <c r="BC81" s="274">
        <f t="shared" si="14"/>
        <v>4507</v>
      </c>
      <c r="BD81" s="274">
        <f t="shared" si="15"/>
        <v>5200</v>
      </c>
      <c r="BE81" s="274"/>
      <c r="BF81" s="274">
        <f t="shared" si="16"/>
        <v>9694</v>
      </c>
      <c r="BG81" s="274"/>
      <c r="BH81" s="274"/>
      <c r="BI81" s="266">
        <f t="shared" si="17"/>
        <v>0.3</v>
      </c>
      <c r="BJ81" s="266" t="e">
        <f t="shared" si="18"/>
        <v>#DIV/0!</v>
      </c>
      <c r="BK81" s="263" t="str">
        <f t="shared" si="19"/>
        <v/>
      </c>
      <c r="BL81" s="263" t="str">
        <f t="shared" si="20"/>
        <v/>
      </c>
      <c r="BM81" s="263" t="str">
        <f t="shared" si="21"/>
        <v/>
      </c>
      <c r="BN81" s="263"/>
      <c r="BO81" s="263" t="str">
        <f t="shared" si="22"/>
        <v/>
      </c>
      <c r="BP81" s="263" t="str">
        <f t="shared" si="23"/>
        <v/>
      </c>
      <c r="BQ81" s="263" t="str">
        <f t="shared" si="24"/>
        <v/>
      </c>
      <c r="BR81" s="263" t="str">
        <f t="shared" si="25"/>
        <v/>
      </c>
      <c r="BS81" s="263" t="str">
        <f t="shared" si="26"/>
        <v/>
      </c>
      <c r="BT81" s="263" t="str">
        <f t="shared" si="27"/>
        <v/>
      </c>
      <c r="BU81" s="263" t="str">
        <f t="shared" si="28"/>
        <v/>
      </c>
      <c r="BV81" s="263"/>
      <c r="BW81" s="263" t="str">
        <f t="shared" si="29"/>
        <v/>
      </c>
      <c r="BX81" s="263"/>
      <c r="BY81" s="263" t="str">
        <f t="shared" si="30"/>
        <v/>
      </c>
      <c r="BZ81" s="263"/>
      <c r="CA81" s="263">
        <f t="shared" si="47"/>
        <v>0</v>
      </c>
      <c r="CB81" s="263">
        <f t="shared" si="32"/>
        <v>0</v>
      </c>
      <c r="CC81" s="263">
        <f t="shared" si="48"/>
        <v>0</v>
      </c>
      <c r="CD81" s="263">
        <f t="shared" si="34"/>
        <v>0</v>
      </c>
      <c r="CE81" s="263"/>
      <c r="CF81" s="263">
        <f t="shared" si="49"/>
        <v>1</v>
      </c>
      <c r="CG81" s="263">
        <f t="shared" si="50"/>
        <v>0</v>
      </c>
      <c r="CH81" s="263"/>
      <c r="CI81" s="263">
        <f t="shared" si="38"/>
        <v>0</v>
      </c>
      <c r="CJ81" s="263"/>
      <c r="CK81" s="263">
        <f t="shared" si="39"/>
        <v>0</v>
      </c>
      <c r="CL81" s="264">
        <f t="shared" si="51"/>
        <v>0</v>
      </c>
      <c r="CM81" s="264">
        <f t="shared" si="41"/>
        <v>4507</v>
      </c>
      <c r="CO81" s="265">
        <v>0.12300000000000001</v>
      </c>
      <c r="CP81" s="265">
        <v>0.12246</v>
      </c>
      <c r="CQ81" s="265">
        <v>0.12368</v>
      </c>
      <c r="CS81" s="265">
        <v>0.12529999999999999</v>
      </c>
      <c r="CT81" s="265">
        <v>0.129</v>
      </c>
      <c r="CU81" s="265">
        <v>0.125</v>
      </c>
      <c r="CW81" s="265">
        <v>0.126</v>
      </c>
      <c r="CY81" s="265">
        <v>0.12601000000000001</v>
      </c>
      <c r="DA81" s="265">
        <v>0.1265</v>
      </c>
      <c r="DC81" s="265">
        <v>0.12606000000000001</v>
      </c>
      <c r="DE81" s="265">
        <v>5.0499999999999996E-2</v>
      </c>
      <c r="DF81" s="265">
        <v>5.21E-2</v>
      </c>
      <c r="DH81" s="265">
        <v>5.7000000000000002E-2</v>
      </c>
      <c r="DI81" s="265">
        <v>6.1460000000000001E-2</v>
      </c>
      <c r="DJ81" s="265">
        <v>5.9800000000000006E-2</v>
      </c>
      <c r="DL81" s="265">
        <v>5.9519999999999997E-2</v>
      </c>
      <c r="DO81" s="267"/>
      <c r="DP81" s="267"/>
      <c r="DQ81" s="267"/>
      <c r="DR81" s="267"/>
      <c r="DS81" s="267"/>
      <c r="DT81" s="267"/>
      <c r="DU81" s="267"/>
      <c r="DV81" s="267"/>
      <c r="DW81" s="267"/>
      <c r="DX81" s="267"/>
      <c r="DY81" s="267"/>
      <c r="DZ81" s="205">
        <f t="shared" ref="DZ81:DZ103" si="57">DF81+(DI81-DF81)*(CM81-AZ81)/(BC81-AZ81)</f>
        <v>6.1460000000000001E-2</v>
      </c>
      <c r="EA81" s="205" t="e">
        <f t="shared" si="56"/>
        <v>#DIV/0!</v>
      </c>
      <c r="EC81" s="195">
        <v>2024</v>
      </c>
      <c r="ED81" s="195" t="s">
        <v>448</v>
      </c>
      <c r="EE81" s="205">
        <v>7.1599999999999997E-2</v>
      </c>
      <c r="EG81" s="195">
        <v>7.16</v>
      </c>
      <c r="EH81" s="195">
        <f t="shared" si="53"/>
        <v>7.1599999999999997E-2</v>
      </c>
    </row>
    <row r="82" spans="2:138">
      <c r="B82" s="272">
        <v>44897</v>
      </c>
      <c r="C82" s="271">
        <v>44897</v>
      </c>
      <c r="D82" s="263" t="e">
        <f>+SUMIFS(Tabla6[Nominal COP],Tabla6[Concepto],COSTO_OPORTUNIDAD!$B$18,Tabla6[Nemotécnico],COSTO_OPORTUNIDAD!D$16,Tabla6[Fecha Cumplimiento y/ liquidacion],COSTO_OPORTUNIDAD!$C82)/+SUMIFS(Tabla6[Nominal COP],Tabla6[Concepto],COSTO_OPORTUNIDAD!$B$18,Tabla6[Fecha Cumplimiento y/ liquidacion],COSTO_OPORTUNIDAD!$C82)</f>
        <v>#DIV/0!</v>
      </c>
      <c r="E82" s="263" t="e">
        <f>+SUMIFS(Tabla6[Nominal COP],Tabla6[Concepto],COSTO_OPORTUNIDAD!$B$18,Tabla6[Nemotécnico],COSTO_OPORTUNIDAD!E$16,Tabla6[Fecha Cumplimiento y/ liquidacion],COSTO_OPORTUNIDAD!$C82)/+SUMIFS(Tabla6[Nominal COP],Tabla6[Concepto],COSTO_OPORTUNIDAD!$B$18,Tabla6[Fecha Cumplimiento y/ liquidacion],COSTO_OPORTUNIDAD!$C82)</f>
        <v>#DIV/0!</v>
      </c>
      <c r="F82" s="263">
        <v>0.31307987554230993</v>
      </c>
      <c r="G82" s="263"/>
      <c r="H82" s="263"/>
      <c r="I82" s="263"/>
      <c r="J82" s="263"/>
      <c r="K82" s="263"/>
      <c r="L82" s="263"/>
      <c r="M82" s="263"/>
      <c r="N82" s="263"/>
      <c r="O82" s="263"/>
      <c r="P82" s="263"/>
      <c r="Q82" s="263"/>
      <c r="R82" s="263"/>
      <c r="S82" s="263"/>
      <c r="T82" s="263"/>
      <c r="U82" s="263"/>
      <c r="AA82" s="263">
        <v>0.68692012445769013</v>
      </c>
      <c r="AB82" s="262"/>
      <c r="AC82" s="262"/>
      <c r="AD82" s="262"/>
      <c r="AE82" s="262"/>
      <c r="AF82" s="262"/>
      <c r="AG82" s="262"/>
      <c r="AH82" s="274">
        <f t="shared" si="0"/>
        <v>1363</v>
      </c>
      <c r="AI82" s="274">
        <f t="shared" si="1"/>
        <v>1797</v>
      </c>
      <c r="AJ82" s="274">
        <f t="shared" si="2"/>
        <v>1974</v>
      </c>
      <c r="AK82" s="274">
        <f t="shared" si="54"/>
        <v>2455</v>
      </c>
      <c r="AL82" s="274">
        <f t="shared" si="3"/>
        <v>2847</v>
      </c>
      <c r="AM82" s="274">
        <f t="shared" si="4"/>
        <v>3036</v>
      </c>
      <c r="AN82" s="274">
        <f t="shared" si="5"/>
        <v>3498</v>
      </c>
      <c r="AO82" s="274"/>
      <c r="AP82" s="274">
        <f t="shared" si="6"/>
        <v>4338</v>
      </c>
      <c r="AQ82" s="274"/>
      <c r="AR82" s="274">
        <f t="shared" si="7"/>
        <v>4968</v>
      </c>
      <c r="AS82" s="274">
        <f t="shared" si="55"/>
        <v>6571</v>
      </c>
      <c r="AT82" s="274">
        <f t="shared" si="8"/>
        <v>7117</v>
      </c>
      <c r="AU82" s="274"/>
      <c r="AV82" s="274">
        <f t="shared" si="9"/>
        <v>10190</v>
      </c>
      <c r="AW82" s="274"/>
      <c r="AX82" s="274">
        <f t="shared" si="10"/>
        <v>887</v>
      </c>
      <c r="AY82" s="274">
        <f t="shared" si="11"/>
        <v>1566</v>
      </c>
      <c r="AZ82" s="274">
        <f t="shared" si="12"/>
        <v>2329</v>
      </c>
      <c r="BA82" s="274"/>
      <c r="BB82" s="274">
        <f t="shared" si="13"/>
        <v>3766</v>
      </c>
      <c r="BC82" s="274">
        <f t="shared" si="14"/>
        <v>4506</v>
      </c>
      <c r="BD82" s="274">
        <f t="shared" si="15"/>
        <v>5199</v>
      </c>
      <c r="BE82" s="274"/>
      <c r="BF82" s="274">
        <f t="shared" si="16"/>
        <v>9693</v>
      </c>
      <c r="BG82" s="274"/>
      <c r="BH82" s="274"/>
      <c r="BI82" s="266">
        <f t="shared" si="17"/>
        <v>0.68692012445769013</v>
      </c>
      <c r="BJ82" s="266" t="e">
        <f t="shared" si="18"/>
        <v>#DIV/0!</v>
      </c>
      <c r="BK82" s="263" t="str">
        <f t="shared" si="19"/>
        <v/>
      </c>
      <c r="BL82" s="263" t="str">
        <f t="shared" si="20"/>
        <v/>
      </c>
      <c r="BM82" s="263" t="str">
        <f t="shared" si="21"/>
        <v/>
      </c>
      <c r="BN82" s="263"/>
      <c r="BO82" s="263" t="str">
        <f t="shared" si="22"/>
        <v/>
      </c>
      <c r="BP82" s="263" t="str">
        <f t="shared" si="23"/>
        <v/>
      </c>
      <c r="BQ82" s="263" t="str">
        <f t="shared" si="24"/>
        <v/>
      </c>
      <c r="BR82" s="263" t="str">
        <f t="shared" si="25"/>
        <v/>
      </c>
      <c r="BS82" s="263" t="str">
        <f t="shared" si="26"/>
        <v/>
      </c>
      <c r="BT82" s="263" t="str">
        <f t="shared" si="27"/>
        <v/>
      </c>
      <c r="BU82" s="263" t="str">
        <f t="shared" si="28"/>
        <v/>
      </c>
      <c r="BV82" s="263"/>
      <c r="BW82" s="263" t="str">
        <f t="shared" si="29"/>
        <v/>
      </c>
      <c r="BX82" s="263"/>
      <c r="BY82" s="263" t="str">
        <f t="shared" si="30"/>
        <v/>
      </c>
      <c r="BZ82" s="263"/>
      <c r="CA82" s="263">
        <f t="shared" si="47"/>
        <v>0</v>
      </c>
      <c r="CB82" s="263">
        <f t="shared" si="32"/>
        <v>0</v>
      </c>
      <c r="CC82" s="263">
        <f t="shared" si="48"/>
        <v>0</v>
      </c>
      <c r="CD82" s="263">
        <f t="shared" si="34"/>
        <v>0</v>
      </c>
      <c r="CE82" s="263"/>
      <c r="CF82" s="263">
        <f t="shared" si="49"/>
        <v>1</v>
      </c>
      <c r="CG82" s="263">
        <f t="shared" si="50"/>
        <v>0</v>
      </c>
      <c r="CH82" s="263"/>
      <c r="CI82" s="263">
        <f t="shared" si="38"/>
        <v>0</v>
      </c>
      <c r="CJ82" s="263"/>
      <c r="CK82" s="263">
        <f t="shared" si="39"/>
        <v>0</v>
      </c>
      <c r="CL82" s="264">
        <f t="shared" si="51"/>
        <v>0</v>
      </c>
      <c r="CM82" s="264">
        <f t="shared" si="41"/>
        <v>4506</v>
      </c>
      <c r="CO82" s="265">
        <v>0.11990000000000001</v>
      </c>
      <c r="CP82" s="265">
        <v>0.121</v>
      </c>
      <c r="CQ82" s="265">
        <v>0.122</v>
      </c>
      <c r="CS82" s="265">
        <v>0.1225</v>
      </c>
      <c r="CT82" s="265">
        <v>0.121</v>
      </c>
      <c r="CU82" s="265">
        <v>0.122</v>
      </c>
      <c r="CW82" s="265">
        <v>0.12300000000000001</v>
      </c>
      <c r="CY82" s="265">
        <v>0.122</v>
      </c>
      <c r="DA82" s="265">
        <v>0.12300000000000001</v>
      </c>
      <c r="DC82" s="265">
        <v>0.12304</v>
      </c>
      <c r="DE82" s="265">
        <v>4.6020000000000005E-2</v>
      </c>
      <c r="DF82" s="265">
        <v>4.9000000000000002E-2</v>
      </c>
      <c r="DH82" s="265">
        <v>5.4699999999999999E-2</v>
      </c>
      <c r="DI82" s="265">
        <v>0.06</v>
      </c>
      <c r="DJ82" s="265">
        <v>5.8499999999999996E-2</v>
      </c>
      <c r="DL82" s="265">
        <v>5.7190000000000005E-2</v>
      </c>
      <c r="DO82" s="267"/>
      <c r="DP82" s="267"/>
      <c r="DQ82" s="267"/>
      <c r="DR82" s="267"/>
      <c r="DS82" s="267"/>
      <c r="DT82" s="267"/>
      <c r="DU82" s="267"/>
      <c r="DV82" s="267"/>
      <c r="DW82" s="267"/>
      <c r="DX82" s="267"/>
      <c r="DY82" s="267"/>
      <c r="DZ82" s="205">
        <f t="shared" si="57"/>
        <v>0.06</v>
      </c>
      <c r="EA82" s="205" t="e">
        <f t="shared" si="56"/>
        <v>#DIV/0!</v>
      </c>
      <c r="EC82" s="195">
        <v>2024</v>
      </c>
      <c r="ED82" s="195" t="s">
        <v>449</v>
      </c>
      <c r="EE82" s="205">
        <v>7.1800000000000003E-2</v>
      </c>
      <c r="EG82" s="195">
        <v>7.18</v>
      </c>
      <c r="EH82" s="195">
        <f t="shared" si="53"/>
        <v>7.1800000000000003E-2</v>
      </c>
    </row>
    <row r="83" spans="2:138">
      <c r="B83" s="272">
        <v>44900</v>
      </c>
      <c r="C83" s="271">
        <v>44900</v>
      </c>
      <c r="D83" s="263" t="e">
        <f>+SUMIFS(Tabla6[Nominal COP],Tabla6[Concepto],COSTO_OPORTUNIDAD!$B$18,Tabla6[Nemotécnico],COSTO_OPORTUNIDAD!D$16,Tabla6[Fecha Cumplimiento y/ liquidacion],COSTO_OPORTUNIDAD!$C83)/+SUMIFS(Tabla6[Nominal COP],Tabla6[Concepto],COSTO_OPORTUNIDAD!$B$18,Tabla6[Fecha Cumplimiento y/ liquidacion],COSTO_OPORTUNIDAD!$C83)</f>
        <v>#DIV/0!</v>
      </c>
      <c r="E83" s="263" t="e">
        <f>+SUMIFS(Tabla6[Nominal COP],Tabla6[Concepto],COSTO_OPORTUNIDAD!$B$18,Tabla6[Nemotécnico],COSTO_OPORTUNIDAD!E$16,Tabla6[Fecha Cumplimiento y/ liquidacion],COSTO_OPORTUNIDAD!$C83)/+SUMIFS(Tabla6[Nominal COP],Tabla6[Concepto],COSTO_OPORTUNIDAD!$B$18,Tabla6[Fecha Cumplimiento y/ liquidacion],COSTO_OPORTUNIDAD!$C83)</f>
        <v>#DIV/0!</v>
      </c>
      <c r="F83" s="263">
        <v>0.37</v>
      </c>
      <c r="G83" s="263"/>
      <c r="H83" s="263"/>
      <c r="I83" s="263"/>
      <c r="J83" s="263"/>
      <c r="K83" s="263"/>
      <c r="L83" s="263"/>
      <c r="M83" s="263"/>
      <c r="N83" s="263"/>
      <c r="O83" s="263"/>
      <c r="P83" s="263"/>
      <c r="Q83" s="263"/>
      <c r="R83" s="263"/>
      <c r="S83" s="263"/>
      <c r="T83" s="263"/>
      <c r="U83" s="263"/>
      <c r="AA83" s="263">
        <v>0.63</v>
      </c>
      <c r="AB83" s="262"/>
      <c r="AC83" s="262"/>
      <c r="AD83" s="262"/>
      <c r="AE83" s="262"/>
      <c r="AF83" s="262"/>
      <c r="AG83" s="262"/>
      <c r="AH83" s="274">
        <f t="shared" ref="AH83:AH146" si="58">(F$17-$B83)</f>
        <v>1360</v>
      </c>
      <c r="AI83" s="274">
        <f t="shared" ref="AI83:AI146" si="59">(G$17-$B83)</f>
        <v>1794</v>
      </c>
      <c r="AJ83" s="274">
        <f t="shared" ref="AJ83:AJ146" si="60">(H$17-$B83)</f>
        <v>1971</v>
      </c>
      <c r="AK83" s="274">
        <f t="shared" si="54"/>
        <v>2452</v>
      </c>
      <c r="AL83" s="274">
        <f t="shared" ref="AL83:AL146" si="61">(J$17-$B83)</f>
        <v>2844</v>
      </c>
      <c r="AM83" s="274">
        <f t="shared" ref="AM83:AM146" si="62">(K$17-$B83)</f>
        <v>3033</v>
      </c>
      <c r="AN83" s="274">
        <f t="shared" ref="AN83:AN146" si="63">(L$17-$B83)</f>
        <v>3495</v>
      </c>
      <c r="AO83" s="274"/>
      <c r="AP83" s="274">
        <f t="shared" ref="AP83:AP146" si="64">(N$17-$B83)</f>
        <v>4335</v>
      </c>
      <c r="AQ83" s="274"/>
      <c r="AR83" s="274">
        <f t="shared" ref="AR83:AR146" si="65">(P$17-$B83)</f>
        <v>4965</v>
      </c>
      <c r="AS83" s="274">
        <f t="shared" si="55"/>
        <v>6568</v>
      </c>
      <c r="AT83" s="274">
        <f t="shared" ref="AT83:AT146" si="66">(R$17-$B83)</f>
        <v>7114</v>
      </c>
      <c r="AU83" s="274"/>
      <c r="AV83" s="274">
        <f t="shared" ref="AV83:AV146" si="67">(T$17-$B83)</f>
        <v>10187</v>
      </c>
      <c r="AW83" s="274"/>
      <c r="AX83" s="274">
        <f t="shared" ref="AX83:AX146" si="68">(V$17-$B83)</f>
        <v>884</v>
      </c>
      <c r="AY83" s="274">
        <f t="shared" ref="AY83:AY146" si="69">(W$17-$B83)</f>
        <v>1563</v>
      </c>
      <c r="AZ83" s="274">
        <f t="shared" ref="AZ83:AZ146" si="70">(X$17-$B83)</f>
        <v>2326</v>
      </c>
      <c r="BA83" s="274"/>
      <c r="BB83" s="274">
        <f t="shared" ref="BB83:BB146" si="71">(Z$17-$B83)</f>
        <v>3763</v>
      </c>
      <c r="BC83" s="274">
        <f t="shared" ref="BC83:BC146" si="72">(AA$17-$B83)</f>
        <v>4503</v>
      </c>
      <c r="BD83" s="274">
        <f t="shared" ref="BD83:BD146" si="73">(AB$17-$B83)</f>
        <v>5196</v>
      </c>
      <c r="BE83" s="274"/>
      <c r="BF83" s="274">
        <f t="shared" ref="BF83:BF146" si="74">(AD$17-$B83)</f>
        <v>9690</v>
      </c>
      <c r="BG83" s="274"/>
      <c r="BH83" s="274"/>
      <c r="BI83" s="266">
        <f t="shared" ref="BI83:BI146" si="75">+SUM(V83:AF83)</f>
        <v>0.63</v>
      </c>
      <c r="BJ83" s="266" t="e">
        <f t="shared" ref="BJ83:BJ146" si="76">+SUM(D83:T83)</f>
        <v>#DIV/0!</v>
      </c>
      <c r="BK83" s="263" t="str">
        <f t="shared" ref="BK83:BK146" si="77">IFERROR(F83/$BJ83,"")</f>
        <v/>
      </c>
      <c r="BL83" s="263" t="str">
        <f t="shared" ref="BL83:BL146" si="78">IFERROR(G83/$BJ83,"")</f>
        <v/>
      </c>
      <c r="BM83" s="263" t="str">
        <f t="shared" ref="BM83:BM146" si="79">IFERROR(H83/$BJ83,"")</f>
        <v/>
      </c>
      <c r="BN83" s="263"/>
      <c r="BO83" s="263" t="str">
        <f t="shared" ref="BO83:BO146" si="80">IFERROR(J83/$BJ83,"")</f>
        <v/>
      </c>
      <c r="BP83" s="263" t="str">
        <f t="shared" ref="BP83:BP146" si="81">IFERROR(K83/$BJ83,"")</f>
        <v/>
      </c>
      <c r="BQ83" s="263" t="str">
        <f t="shared" ref="BQ83:BQ146" si="82">IFERROR(L83/$BJ83,"")</f>
        <v/>
      </c>
      <c r="BR83" s="263" t="str">
        <f t="shared" ref="BR83:BR146" si="83">IFERROR(M83/$BJ83,"")</f>
        <v/>
      </c>
      <c r="BS83" s="263" t="str">
        <f t="shared" ref="BS83:BS146" si="84">IFERROR(N83/$BJ83,"")</f>
        <v/>
      </c>
      <c r="BT83" s="263" t="str">
        <f t="shared" ref="BT83:BT146" si="85">IFERROR(P83/$BJ83,"")</f>
        <v/>
      </c>
      <c r="BU83" s="263" t="str">
        <f t="shared" ref="BU83:BU146" si="86">IFERROR(P83/$BJ83,"")</f>
        <v/>
      </c>
      <c r="BV83" s="263"/>
      <c r="BW83" s="263" t="str">
        <f t="shared" ref="BW83:BW146" si="87">IFERROR(R83/$BJ83,"")</f>
        <v/>
      </c>
      <c r="BX83" s="263"/>
      <c r="BY83" s="263" t="str">
        <f t="shared" ref="BY83:BY146" si="88">IFERROR(T83/$BJ83,"")</f>
        <v/>
      </c>
      <c r="BZ83" s="263"/>
      <c r="CA83" s="263">
        <f t="shared" si="47"/>
        <v>0</v>
      </c>
      <c r="CB83" s="263">
        <f t="shared" ref="CB83:CB146" si="89">IFERROR(W83/$BI83,"")</f>
        <v>0</v>
      </c>
      <c r="CC83" s="263">
        <f t="shared" si="48"/>
        <v>0</v>
      </c>
      <c r="CD83" s="263">
        <f t="shared" ref="CD83:CD146" si="90">IFERROR(Y83/$BI83,"")</f>
        <v>0</v>
      </c>
      <c r="CE83" s="263"/>
      <c r="CF83" s="263">
        <f t="shared" si="49"/>
        <v>1</v>
      </c>
      <c r="CG83" s="263">
        <f t="shared" si="50"/>
        <v>0</v>
      </c>
      <c r="CH83" s="263"/>
      <c r="CI83" s="263">
        <f t="shared" ref="CI83:CI146" si="91">IFERROR(AD83/$BI83,"")</f>
        <v>0</v>
      </c>
      <c r="CJ83" s="263"/>
      <c r="CK83" s="263">
        <f t="shared" ref="CK83:CK146" si="92">IFERROR(AF83/$BI83,"")</f>
        <v>0</v>
      </c>
      <c r="CL83" s="264">
        <f t="shared" ref="CL83:CL89" si="93">ROUND(IFERROR((_xlfn.DAYS($F$17,B83)*BK83),0)+IFERROR((_xlfn.DAYS($G$17,B83)*BL83),0)+IFERROR((_xlfn.DAYS($H$17,B83)*BM83),0)+IFERROR((_xlfn.DAYS($J$17,B83)*BO83),0)+IFERROR((_xlfn.DAYS($K$17,B83)*BP83),0)+IFERROR((_xlfn.DAYS($L$17,B83)*BQ83),0)+IFERROR((_xlfn.DAYS($N$17,B83)*BS83),0)+IFERROR((_xlfn.DAYS($P$17,B83)*BU83),0)+IFERROR((_xlfn.DAYS($R$17,B83)*BW83),0)+IFERROR((_xlfn.DAYS($T$17,B83)*BY83),0),0)</f>
        <v>0</v>
      </c>
      <c r="CM83" s="264">
        <f t="shared" ref="CM83:CM146" si="94">ROUND(IFERROR((_xlfn.DAYS($V$17,B83)*CA83),0)+IFERROR((_xlfn.DAYS($Z$17,B83)*CB83),0)+IFERROR((_xlfn.DAYS($W$17,B83)*CC83),0)+IFERROR((_xlfn.DAYS($X$17,B83)*CE83),0)+IFERROR((_xlfn.DAYS($AA$17,B83)*CF83),0)+IFERROR((_xlfn.DAYS($AB$17,B83)*CG83),0)+IFERROR((_xlfn.DAYS($AD$17,B83)*CI83),0),0)</f>
        <v>4503</v>
      </c>
      <c r="CO83" s="265">
        <v>0.12279999999999999</v>
      </c>
      <c r="CP83" s="265">
        <v>0.12298999999999999</v>
      </c>
      <c r="CQ83" s="265">
        <v>0.12300000000000001</v>
      </c>
      <c r="CS83" s="265">
        <v>0.124</v>
      </c>
      <c r="CT83" s="265">
        <v>0.121</v>
      </c>
      <c r="CU83" s="265">
        <v>0.124</v>
      </c>
      <c r="CW83" s="265">
        <v>0.124</v>
      </c>
      <c r="CY83" s="265">
        <v>0.124</v>
      </c>
      <c r="DA83" s="265">
        <v>0.1244</v>
      </c>
      <c r="DC83" s="265">
        <v>0.12352</v>
      </c>
      <c r="DE83" s="265">
        <v>4.7400000000000005E-2</v>
      </c>
      <c r="DF83" s="265">
        <v>4.8399999999999999E-2</v>
      </c>
      <c r="DH83" s="265">
        <v>5.3499999999999999E-2</v>
      </c>
      <c r="DI83" s="265">
        <v>0.06</v>
      </c>
      <c r="DJ83" s="265">
        <v>5.8499999999999996E-2</v>
      </c>
      <c r="DL83" s="265">
        <v>5.6230000000000002E-2</v>
      </c>
      <c r="DO83" s="267"/>
      <c r="DP83" s="267"/>
      <c r="DQ83" s="267"/>
      <c r="DR83" s="267"/>
      <c r="DS83" s="267"/>
      <c r="DT83" s="267"/>
      <c r="DU83" s="267"/>
      <c r="DV83" s="267"/>
      <c r="DW83" s="267"/>
      <c r="DX83" s="267"/>
      <c r="DY83" s="267"/>
      <c r="DZ83" s="205">
        <f t="shared" si="57"/>
        <v>0.06</v>
      </c>
      <c r="EA83" s="205" t="e">
        <f t="shared" ref="EA83:EA103" si="95">DA83*BJ83+(((1+$EE$64)*(1+DZ83))-1)*BI83</f>
        <v>#DIV/0!</v>
      </c>
      <c r="EB83" s="195" t="s">
        <v>455</v>
      </c>
      <c r="EC83" s="195">
        <v>2024</v>
      </c>
      <c r="ED83" s="195" t="s">
        <v>450</v>
      </c>
      <c r="EE83" s="205">
        <v>6.8600000000000008E-2</v>
      </c>
      <c r="EG83" s="195">
        <v>6.86</v>
      </c>
      <c r="EH83" s="195">
        <f t="shared" si="53"/>
        <v>6.8600000000000008E-2</v>
      </c>
    </row>
    <row r="84" spans="2:138">
      <c r="B84" s="272">
        <v>44901</v>
      </c>
      <c r="C84" s="271">
        <v>44901</v>
      </c>
      <c r="D84" s="263" t="e">
        <f>+SUMIFS(Tabla6[Nominal COP],Tabla6[Concepto],COSTO_OPORTUNIDAD!$B$18,Tabla6[Nemotécnico],COSTO_OPORTUNIDAD!D$16,Tabla6[Fecha Cumplimiento y/ liquidacion],COSTO_OPORTUNIDAD!$C84)/+SUMIFS(Tabla6[Nominal COP],Tabla6[Concepto],COSTO_OPORTUNIDAD!$B$18,Tabla6[Fecha Cumplimiento y/ liquidacion],COSTO_OPORTUNIDAD!$C84)</f>
        <v>#DIV/0!</v>
      </c>
      <c r="E84" s="263" t="e">
        <f>+SUMIFS(Tabla6[Nominal COP],Tabla6[Concepto],COSTO_OPORTUNIDAD!$B$18,Tabla6[Nemotécnico],COSTO_OPORTUNIDAD!E$16,Tabla6[Fecha Cumplimiento y/ liquidacion],COSTO_OPORTUNIDAD!$C84)/+SUMIFS(Tabla6[Nominal COP],Tabla6[Concepto],COSTO_OPORTUNIDAD!$B$18,Tabla6[Fecha Cumplimiento y/ liquidacion],COSTO_OPORTUNIDAD!$C84)</f>
        <v>#DIV/0!</v>
      </c>
      <c r="F84" s="263">
        <v>0.16</v>
      </c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AA84" s="263">
        <v>0.84</v>
      </c>
      <c r="AB84" s="262"/>
      <c r="AC84" s="262"/>
      <c r="AD84" s="262"/>
      <c r="AE84" s="262"/>
      <c r="AF84" s="262"/>
      <c r="AG84" s="262"/>
      <c r="AH84" s="274">
        <f t="shared" si="58"/>
        <v>1359</v>
      </c>
      <c r="AI84" s="274">
        <f t="shared" si="59"/>
        <v>1793</v>
      </c>
      <c r="AJ84" s="274">
        <f t="shared" si="60"/>
        <v>1970</v>
      </c>
      <c r="AK84" s="274">
        <f t="shared" si="54"/>
        <v>2451</v>
      </c>
      <c r="AL84" s="274">
        <f t="shared" si="61"/>
        <v>2843</v>
      </c>
      <c r="AM84" s="274">
        <f t="shared" si="62"/>
        <v>3032</v>
      </c>
      <c r="AN84" s="274">
        <f t="shared" si="63"/>
        <v>3494</v>
      </c>
      <c r="AO84" s="274"/>
      <c r="AP84" s="274">
        <f t="shared" si="64"/>
        <v>4334</v>
      </c>
      <c r="AQ84" s="274"/>
      <c r="AR84" s="274">
        <f t="shared" si="65"/>
        <v>4964</v>
      </c>
      <c r="AS84" s="274">
        <f t="shared" si="55"/>
        <v>6567</v>
      </c>
      <c r="AT84" s="274">
        <f t="shared" si="66"/>
        <v>7113</v>
      </c>
      <c r="AU84" s="274"/>
      <c r="AV84" s="274">
        <f t="shared" si="67"/>
        <v>10186</v>
      </c>
      <c r="AW84" s="274"/>
      <c r="AX84" s="274">
        <f t="shared" si="68"/>
        <v>883</v>
      </c>
      <c r="AY84" s="274">
        <f t="shared" si="69"/>
        <v>1562</v>
      </c>
      <c r="AZ84" s="274">
        <f t="shared" si="70"/>
        <v>2325</v>
      </c>
      <c r="BA84" s="274"/>
      <c r="BB84" s="274">
        <f t="shared" si="71"/>
        <v>3762</v>
      </c>
      <c r="BC84" s="274">
        <f t="shared" si="72"/>
        <v>4502</v>
      </c>
      <c r="BD84" s="274">
        <f t="shared" si="73"/>
        <v>5195</v>
      </c>
      <c r="BE84" s="274"/>
      <c r="BF84" s="274">
        <f t="shared" si="74"/>
        <v>9689</v>
      </c>
      <c r="BG84" s="274"/>
      <c r="BH84" s="274"/>
      <c r="BI84" s="266">
        <f t="shared" si="75"/>
        <v>0.84</v>
      </c>
      <c r="BJ84" s="266" t="e">
        <f t="shared" si="76"/>
        <v>#DIV/0!</v>
      </c>
      <c r="BK84" s="263" t="str">
        <f t="shared" si="77"/>
        <v/>
      </c>
      <c r="BL84" s="263" t="str">
        <f t="shared" si="78"/>
        <v/>
      </c>
      <c r="BM84" s="263" t="str">
        <f t="shared" si="79"/>
        <v/>
      </c>
      <c r="BN84" s="263"/>
      <c r="BO84" s="263" t="str">
        <f t="shared" si="80"/>
        <v/>
      </c>
      <c r="BP84" s="263" t="str">
        <f t="shared" si="81"/>
        <v/>
      </c>
      <c r="BQ84" s="263" t="str">
        <f t="shared" si="82"/>
        <v/>
      </c>
      <c r="BR84" s="263" t="str">
        <f t="shared" si="83"/>
        <v/>
      </c>
      <c r="BS84" s="263" t="str">
        <f t="shared" si="84"/>
        <v/>
      </c>
      <c r="BT84" s="263" t="str">
        <f t="shared" si="85"/>
        <v/>
      </c>
      <c r="BU84" s="263" t="str">
        <f t="shared" si="86"/>
        <v/>
      </c>
      <c r="BV84" s="263"/>
      <c r="BW84" s="263" t="str">
        <f t="shared" si="87"/>
        <v/>
      </c>
      <c r="BX84" s="263"/>
      <c r="BY84" s="263" t="str">
        <f t="shared" si="88"/>
        <v/>
      </c>
      <c r="BZ84" s="263"/>
      <c r="CA84" s="263">
        <f t="shared" si="47"/>
        <v>0</v>
      </c>
      <c r="CB84" s="263">
        <f t="shared" si="89"/>
        <v>0</v>
      </c>
      <c r="CC84" s="263">
        <f t="shared" si="48"/>
        <v>0</v>
      </c>
      <c r="CD84" s="263">
        <f t="shared" si="90"/>
        <v>0</v>
      </c>
      <c r="CE84" s="263"/>
      <c r="CF84" s="263">
        <f t="shared" si="49"/>
        <v>1</v>
      </c>
      <c r="CG84" s="263">
        <f t="shared" si="50"/>
        <v>0</v>
      </c>
      <c r="CH84" s="263"/>
      <c r="CI84" s="263">
        <f t="shared" si="91"/>
        <v>0</v>
      </c>
      <c r="CJ84" s="263"/>
      <c r="CK84" s="263">
        <f t="shared" si="92"/>
        <v>0</v>
      </c>
      <c r="CL84" s="264">
        <f t="shared" si="93"/>
        <v>0</v>
      </c>
      <c r="CM84" s="264">
        <f t="shared" si="94"/>
        <v>4502</v>
      </c>
      <c r="CO84" s="265">
        <v>0.12375</v>
      </c>
      <c r="CP84" s="265">
        <v>0.12425000000000001</v>
      </c>
      <c r="CQ84" s="265">
        <v>0.12342</v>
      </c>
      <c r="CS84" s="265">
        <v>0.124</v>
      </c>
      <c r="CT84" s="265">
        <v>0.12300000000000001</v>
      </c>
      <c r="CU84" s="265">
        <v>0.12490999999999999</v>
      </c>
      <c r="CW84" s="265">
        <v>0.12493</v>
      </c>
      <c r="CY84" s="265">
        <v>0.1246</v>
      </c>
      <c r="DA84" s="265">
        <v>0.12594</v>
      </c>
      <c r="DC84" s="265">
        <v>0.125</v>
      </c>
      <c r="DE84" s="265">
        <v>4.888E-2</v>
      </c>
      <c r="DF84" s="265">
        <v>5.0499999999999996E-2</v>
      </c>
      <c r="DH84" s="265">
        <v>5.5E-2</v>
      </c>
      <c r="DI84" s="265">
        <v>6.0469999999999996E-2</v>
      </c>
      <c r="DJ84" s="265">
        <v>5.8600000000000006E-2</v>
      </c>
      <c r="DL84" s="265">
        <v>5.7980000000000004E-2</v>
      </c>
      <c r="DO84" s="267"/>
      <c r="DP84" s="267"/>
      <c r="DQ84" s="267"/>
      <c r="DR84" s="267"/>
      <c r="DS84" s="267"/>
      <c r="DT84" s="267"/>
      <c r="DU84" s="267"/>
      <c r="DV84" s="267"/>
      <c r="DW84" s="267"/>
      <c r="DX84" s="267"/>
      <c r="DY84" s="267"/>
      <c r="DZ84" s="205">
        <f t="shared" si="57"/>
        <v>6.0469999999999996E-2</v>
      </c>
      <c r="EA84" s="205" t="e">
        <f t="shared" si="95"/>
        <v>#DIV/0!</v>
      </c>
      <c r="EC84" s="195">
        <v>2024</v>
      </c>
      <c r="ED84" s="195" t="s">
        <v>451</v>
      </c>
      <c r="EE84" s="205">
        <v>6.1200000000000004E-2</v>
      </c>
      <c r="EG84" s="195">
        <v>6.12</v>
      </c>
      <c r="EH84" s="195">
        <f t="shared" si="53"/>
        <v>6.1200000000000004E-2</v>
      </c>
    </row>
    <row r="85" spans="2:138">
      <c r="B85" s="272">
        <v>44902</v>
      </c>
      <c r="C85" s="271">
        <v>44902</v>
      </c>
      <c r="D85" s="263" t="e">
        <f>+SUMIFS(Tabla6[Nominal COP],Tabla6[Concepto],COSTO_OPORTUNIDAD!$B$18,Tabla6[Nemotécnico],COSTO_OPORTUNIDAD!D$16,Tabla6[Fecha Cumplimiento y/ liquidacion],COSTO_OPORTUNIDAD!$C85)/+SUMIFS(Tabla6[Nominal COP],Tabla6[Concepto],COSTO_OPORTUNIDAD!$B$18,Tabla6[Fecha Cumplimiento y/ liquidacion],COSTO_OPORTUNIDAD!$C85)</f>
        <v>#DIV/0!</v>
      </c>
      <c r="E85" s="263" t="e">
        <f>+SUMIFS(Tabla6[Nominal COP],Tabla6[Concepto],COSTO_OPORTUNIDAD!$B$18,Tabla6[Nemotécnico],COSTO_OPORTUNIDAD!E$16,Tabla6[Fecha Cumplimiento y/ liquidacion],COSTO_OPORTUNIDAD!$C85)/+SUMIFS(Tabla6[Nominal COP],Tabla6[Concepto],COSTO_OPORTUNIDAD!$B$18,Tabla6[Fecha Cumplimiento y/ liquidacion],COSTO_OPORTUNIDAD!$C85)</f>
        <v>#DIV/0!</v>
      </c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3"/>
      <c r="S85" s="263"/>
      <c r="T85" s="263"/>
      <c r="U85" s="263"/>
      <c r="AA85" s="263">
        <v>1</v>
      </c>
      <c r="AB85" s="262"/>
      <c r="AC85" s="262"/>
      <c r="AD85" s="262"/>
      <c r="AE85" s="262"/>
      <c r="AF85" s="262"/>
      <c r="AG85" s="262"/>
      <c r="AH85" s="274">
        <f t="shared" si="58"/>
        <v>1358</v>
      </c>
      <c r="AI85" s="274">
        <f t="shared" si="59"/>
        <v>1792</v>
      </c>
      <c r="AJ85" s="274">
        <f t="shared" si="60"/>
        <v>1969</v>
      </c>
      <c r="AK85" s="274">
        <f t="shared" si="54"/>
        <v>2450</v>
      </c>
      <c r="AL85" s="274">
        <f t="shared" si="61"/>
        <v>2842</v>
      </c>
      <c r="AM85" s="274">
        <f t="shared" si="62"/>
        <v>3031</v>
      </c>
      <c r="AN85" s="274">
        <f t="shared" si="63"/>
        <v>3493</v>
      </c>
      <c r="AO85" s="274"/>
      <c r="AP85" s="274">
        <f t="shared" si="64"/>
        <v>4333</v>
      </c>
      <c r="AQ85" s="274"/>
      <c r="AR85" s="274">
        <f t="shared" si="65"/>
        <v>4963</v>
      </c>
      <c r="AS85" s="274">
        <f t="shared" si="55"/>
        <v>6566</v>
      </c>
      <c r="AT85" s="274">
        <f t="shared" si="66"/>
        <v>7112</v>
      </c>
      <c r="AU85" s="274"/>
      <c r="AV85" s="274">
        <f t="shared" si="67"/>
        <v>10185</v>
      </c>
      <c r="AW85" s="274"/>
      <c r="AX85" s="274">
        <f t="shared" si="68"/>
        <v>882</v>
      </c>
      <c r="AY85" s="274">
        <f t="shared" si="69"/>
        <v>1561</v>
      </c>
      <c r="AZ85" s="274">
        <f t="shared" si="70"/>
        <v>2324</v>
      </c>
      <c r="BA85" s="274"/>
      <c r="BB85" s="274">
        <f t="shared" si="71"/>
        <v>3761</v>
      </c>
      <c r="BC85" s="274">
        <f t="shared" si="72"/>
        <v>4501</v>
      </c>
      <c r="BD85" s="274">
        <f t="shared" si="73"/>
        <v>5194</v>
      </c>
      <c r="BE85" s="274"/>
      <c r="BF85" s="274">
        <f t="shared" si="74"/>
        <v>9688</v>
      </c>
      <c r="BG85" s="274"/>
      <c r="BH85" s="274"/>
      <c r="BI85" s="266">
        <f t="shared" si="75"/>
        <v>1</v>
      </c>
      <c r="BJ85" s="266" t="e">
        <f t="shared" si="76"/>
        <v>#DIV/0!</v>
      </c>
      <c r="BK85" s="263" t="str">
        <f t="shared" si="77"/>
        <v/>
      </c>
      <c r="BL85" s="263" t="str">
        <f t="shared" si="78"/>
        <v/>
      </c>
      <c r="BM85" s="263" t="str">
        <f t="shared" si="79"/>
        <v/>
      </c>
      <c r="BN85" s="263"/>
      <c r="BO85" s="263" t="str">
        <f t="shared" si="80"/>
        <v/>
      </c>
      <c r="BP85" s="263" t="str">
        <f t="shared" si="81"/>
        <v/>
      </c>
      <c r="BQ85" s="263" t="str">
        <f t="shared" si="82"/>
        <v/>
      </c>
      <c r="BR85" s="263" t="str">
        <f t="shared" si="83"/>
        <v/>
      </c>
      <c r="BS85" s="263" t="str">
        <f t="shared" si="84"/>
        <v/>
      </c>
      <c r="BT85" s="263" t="str">
        <f t="shared" si="85"/>
        <v/>
      </c>
      <c r="BU85" s="263" t="str">
        <f t="shared" si="86"/>
        <v/>
      </c>
      <c r="BV85" s="263"/>
      <c r="BW85" s="263" t="str">
        <f t="shared" si="87"/>
        <v/>
      </c>
      <c r="BX85" s="263"/>
      <c r="BY85" s="263" t="str">
        <f t="shared" si="88"/>
        <v/>
      </c>
      <c r="BZ85" s="263"/>
      <c r="CA85" s="263">
        <f t="shared" si="47"/>
        <v>0</v>
      </c>
      <c r="CB85" s="263">
        <f t="shared" si="89"/>
        <v>0</v>
      </c>
      <c r="CC85" s="263">
        <f t="shared" si="48"/>
        <v>0</v>
      </c>
      <c r="CD85" s="263">
        <f t="shared" si="90"/>
        <v>0</v>
      </c>
      <c r="CE85" s="263"/>
      <c r="CF85" s="263">
        <f t="shared" si="49"/>
        <v>1</v>
      </c>
      <c r="CG85" s="263">
        <f t="shared" si="50"/>
        <v>0</v>
      </c>
      <c r="CH85" s="263"/>
      <c r="CI85" s="263">
        <f t="shared" si="91"/>
        <v>0</v>
      </c>
      <c r="CJ85" s="263"/>
      <c r="CK85" s="263">
        <f t="shared" si="92"/>
        <v>0</v>
      </c>
      <c r="CL85" s="264">
        <f t="shared" si="93"/>
        <v>0</v>
      </c>
      <c r="CM85" s="264">
        <f t="shared" si="94"/>
        <v>4501</v>
      </c>
      <c r="CO85" s="265">
        <v>0.12480000000000001</v>
      </c>
      <c r="CP85" s="265">
        <v>0.1245</v>
      </c>
      <c r="CQ85" s="265">
        <v>0.12471</v>
      </c>
      <c r="CS85" s="265">
        <v>0.1265</v>
      </c>
      <c r="CT85" s="265">
        <v>0.1255</v>
      </c>
      <c r="CU85" s="265">
        <v>0.12582000000000002</v>
      </c>
      <c r="CW85" s="265">
        <v>0.12669</v>
      </c>
      <c r="CY85" s="265">
        <v>0.1265</v>
      </c>
      <c r="DA85" s="265">
        <v>0.12776999999999999</v>
      </c>
      <c r="DC85" s="265">
        <v>0.126</v>
      </c>
      <c r="DE85" s="265">
        <v>5.2499999999999998E-2</v>
      </c>
      <c r="DF85" s="265">
        <v>5.1799999999999999E-2</v>
      </c>
      <c r="DH85" s="265">
        <v>5.6500000000000002E-2</v>
      </c>
      <c r="DI85" s="265">
        <v>6.1799999999999994E-2</v>
      </c>
      <c r="DJ85" s="265">
        <v>6.0100000000000001E-2</v>
      </c>
      <c r="DL85" s="265">
        <v>5.8520000000000003E-2</v>
      </c>
      <c r="DO85" s="267"/>
      <c r="DP85" s="267"/>
      <c r="DQ85" s="267"/>
      <c r="DR85" s="267"/>
      <c r="DS85" s="267"/>
      <c r="DT85" s="267"/>
      <c r="DU85" s="267"/>
      <c r="DV85" s="267"/>
      <c r="DW85" s="267"/>
      <c r="DX85" s="267"/>
      <c r="DY85" s="267"/>
      <c r="DZ85" s="205">
        <f t="shared" si="57"/>
        <v>6.1799999999999994E-2</v>
      </c>
      <c r="EA85" s="205" t="e">
        <f t="shared" si="95"/>
        <v>#DIV/0!</v>
      </c>
      <c r="EC85" s="195">
        <v>2024</v>
      </c>
      <c r="ED85" s="195" t="s">
        <v>452</v>
      </c>
      <c r="EE85" s="205">
        <v>5.8099999999999999E-2</v>
      </c>
    </row>
    <row r="86" spans="2:138">
      <c r="B86" s="272">
        <v>44907</v>
      </c>
      <c r="C86" s="271">
        <v>44907</v>
      </c>
      <c r="D86" s="263" t="e">
        <f>+SUMIFS(Tabla6[Nominal COP],Tabla6[Concepto],COSTO_OPORTUNIDAD!$B$18,Tabla6[Nemotécnico],COSTO_OPORTUNIDAD!D$16,Tabla6[Fecha Cumplimiento y/ liquidacion],COSTO_OPORTUNIDAD!$C86)/+SUMIFS(Tabla6[Nominal COP],Tabla6[Concepto],COSTO_OPORTUNIDAD!$B$18,Tabla6[Fecha Cumplimiento y/ liquidacion],COSTO_OPORTUNIDAD!$C86)</f>
        <v>#DIV/0!</v>
      </c>
      <c r="E86" s="263" t="e">
        <f>+SUMIFS(Tabla6[Nominal COP],Tabla6[Concepto],COSTO_OPORTUNIDAD!$B$18,Tabla6[Nemotécnico],COSTO_OPORTUNIDAD!E$16,Tabla6[Fecha Cumplimiento y/ liquidacion],COSTO_OPORTUNIDAD!$C86)/+SUMIFS(Tabla6[Nominal COP],Tabla6[Concepto],COSTO_OPORTUNIDAD!$B$18,Tabla6[Fecha Cumplimiento y/ liquidacion],COSTO_OPORTUNIDAD!$C86)</f>
        <v>#DIV/0!</v>
      </c>
      <c r="F86" s="262"/>
      <c r="G86" s="262"/>
      <c r="H86" s="262"/>
      <c r="I86" s="262"/>
      <c r="J86" s="262"/>
      <c r="K86" s="262"/>
      <c r="L86" s="262"/>
      <c r="M86" s="262"/>
      <c r="N86" s="262"/>
      <c r="O86" s="262"/>
      <c r="P86" s="262"/>
      <c r="Q86" s="262"/>
      <c r="R86" s="263"/>
      <c r="S86" s="263"/>
      <c r="T86" s="263"/>
      <c r="U86" s="263"/>
      <c r="AA86" s="263">
        <v>1</v>
      </c>
      <c r="AB86" s="262"/>
      <c r="AC86" s="262"/>
      <c r="AD86" s="262"/>
      <c r="AE86" s="262"/>
      <c r="AF86" s="262"/>
      <c r="AG86" s="262"/>
      <c r="AH86" s="274">
        <f t="shared" si="58"/>
        <v>1353</v>
      </c>
      <c r="AI86" s="274">
        <f t="shared" si="59"/>
        <v>1787</v>
      </c>
      <c r="AJ86" s="274">
        <f t="shared" si="60"/>
        <v>1964</v>
      </c>
      <c r="AK86" s="274">
        <f t="shared" si="54"/>
        <v>2445</v>
      </c>
      <c r="AL86" s="274">
        <f t="shared" si="61"/>
        <v>2837</v>
      </c>
      <c r="AM86" s="274">
        <f t="shared" si="62"/>
        <v>3026</v>
      </c>
      <c r="AN86" s="274">
        <f t="shared" si="63"/>
        <v>3488</v>
      </c>
      <c r="AO86" s="274"/>
      <c r="AP86" s="274">
        <f t="shared" si="64"/>
        <v>4328</v>
      </c>
      <c r="AQ86" s="274"/>
      <c r="AR86" s="274">
        <f t="shared" si="65"/>
        <v>4958</v>
      </c>
      <c r="AS86" s="274">
        <f t="shared" si="55"/>
        <v>6561</v>
      </c>
      <c r="AT86" s="274">
        <f t="shared" si="66"/>
        <v>7107</v>
      </c>
      <c r="AU86" s="274"/>
      <c r="AV86" s="274">
        <f t="shared" si="67"/>
        <v>10180</v>
      </c>
      <c r="AW86" s="274"/>
      <c r="AX86" s="274">
        <f t="shared" si="68"/>
        <v>877</v>
      </c>
      <c r="AY86" s="274">
        <f t="shared" si="69"/>
        <v>1556</v>
      </c>
      <c r="AZ86" s="274">
        <f t="shared" si="70"/>
        <v>2319</v>
      </c>
      <c r="BA86" s="274"/>
      <c r="BB86" s="274">
        <f t="shared" si="71"/>
        <v>3756</v>
      </c>
      <c r="BC86" s="274">
        <f t="shared" si="72"/>
        <v>4496</v>
      </c>
      <c r="BD86" s="274">
        <f t="shared" si="73"/>
        <v>5189</v>
      </c>
      <c r="BE86" s="274"/>
      <c r="BF86" s="274">
        <f t="shared" si="74"/>
        <v>9683</v>
      </c>
      <c r="BG86" s="274"/>
      <c r="BH86" s="274"/>
      <c r="BI86" s="266">
        <f t="shared" si="75"/>
        <v>1</v>
      </c>
      <c r="BJ86" s="266" t="e">
        <f t="shared" si="76"/>
        <v>#DIV/0!</v>
      </c>
      <c r="BK86" s="263" t="str">
        <f t="shared" si="77"/>
        <v/>
      </c>
      <c r="BL86" s="263" t="str">
        <f t="shared" si="78"/>
        <v/>
      </c>
      <c r="BM86" s="263" t="str">
        <f t="shared" si="79"/>
        <v/>
      </c>
      <c r="BN86" s="263"/>
      <c r="BO86" s="263" t="str">
        <f t="shared" si="80"/>
        <v/>
      </c>
      <c r="BP86" s="263" t="str">
        <f t="shared" si="81"/>
        <v/>
      </c>
      <c r="BQ86" s="263" t="str">
        <f t="shared" si="82"/>
        <v/>
      </c>
      <c r="BR86" s="263" t="str">
        <f t="shared" si="83"/>
        <v/>
      </c>
      <c r="BS86" s="263" t="str">
        <f t="shared" si="84"/>
        <v/>
      </c>
      <c r="BT86" s="263" t="str">
        <f t="shared" si="85"/>
        <v/>
      </c>
      <c r="BU86" s="263" t="str">
        <f t="shared" si="86"/>
        <v/>
      </c>
      <c r="BV86" s="263"/>
      <c r="BW86" s="263" t="str">
        <f t="shared" si="87"/>
        <v/>
      </c>
      <c r="BX86" s="263"/>
      <c r="BY86" s="263" t="str">
        <f t="shared" si="88"/>
        <v/>
      </c>
      <c r="BZ86" s="263"/>
      <c r="CA86" s="263">
        <f t="shared" si="47"/>
        <v>0</v>
      </c>
      <c r="CB86" s="263">
        <f t="shared" si="89"/>
        <v>0</v>
      </c>
      <c r="CC86" s="263">
        <f t="shared" si="48"/>
        <v>0</v>
      </c>
      <c r="CD86" s="263">
        <f t="shared" si="90"/>
        <v>0</v>
      </c>
      <c r="CE86" s="263"/>
      <c r="CF86" s="263">
        <f t="shared" si="49"/>
        <v>1</v>
      </c>
      <c r="CG86" s="263">
        <f t="shared" si="50"/>
        <v>0</v>
      </c>
      <c r="CH86" s="263"/>
      <c r="CI86" s="263">
        <f t="shared" si="91"/>
        <v>0</v>
      </c>
      <c r="CJ86" s="263"/>
      <c r="CK86" s="263">
        <f t="shared" si="92"/>
        <v>0</v>
      </c>
      <c r="CL86" s="264">
        <f t="shared" si="93"/>
        <v>0</v>
      </c>
      <c r="CM86" s="264">
        <f t="shared" si="94"/>
        <v>4496</v>
      </c>
      <c r="CO86" s="265">
        <v>0.13006999999999999</v>
      </c>
      <c r="CP86" s="265">
        <v>0.1303</v>
      </c>
      <c r="CQ86" s="265">
        <v>0.13070000000000001</v>
      </c>
      <c r="CS86" s="265">
        <v>0.13250000000000001</v>
      </c>
      <c r="CT86" s="265">
        <v>0.1255</v>
      </c>
      <c r="CU86" s="265">
        <v>0.13281999999999999</v>
      </c>
      <c r="CW86" s="265">
        <v>0.13291</v>
      </c>
      <c r="CY86" s="265">
        <v>0.13275000000000001</v>
      </c>
      <c r="DA86" s="265">
        <v>0.13439999999999999</v>
      </c>
      <c r="DC86" s="265">
        <v>0.1323</v>
      </c>
      <c r="DE86" s="265">
        <v>5.441E-2</v>
      </c>
      <c r="DF86" s="265">
        <v>5.5149999999999998E-2</v>
      </c>
      <c r="DH86" s="265">
        <v>5.9229999999999998E-2</v>
      </c>
      <c r="DI86" s="265">
        <v>6.5000000000000002E-2</v>
      </c>
      <c r="DJ86" s="265">
        <v>6.2560000000000004E-2</v>
      </c>
      <c r="DL86" s="265">
        <v>6.1020000000000005E-2</v>
      </c>
      <c r="DO86" s="267"/>
      <c r="DP86" s="267"/>
      <c r="DQ86" s="267"/>
      <c r="DR86" s="267"/>
      <c r="DS86" s="267"/>
      <c r="DT86" s="267"/>
      <c r="DU86" s="267"/>
      <c r="DV86" s="267"/>
      <c r="DW86" s="267"/>
      <c r="DX86" s="267"/>
      <c r="DY86" s="267"/>
      <c r="DZ86" s="205">
        <f t="shared" si="57"/>
        <v>6.5000000000000002E-2</v>
      </c>
      <c r="EA86" s="205" t="e">
        <f t="shared" si="95"/>
        <v>#DIV/0!</v>
      </c>
      <c r="EC86" s="195">
        <v>2024</v>
      </c>
      <c r="ED86" s="195" t="s">
        <v>453</v>
      </c>
      <c r="EE86" s="205">
        <v>5.4100000000000002E-2</v>
      </c>
    </row>
    <row r="87" spans="2:138">
      <c r="B87" s="272">
        <v>44908</v>
      </c>
      <c r="C87" s="271">
        <v>44908</v>
      </c>
      <c r="D87" s="263" t="e">
        <f>+SUMIFS(Tabla6[Nominal COP],Tabla6[Concepto],COSTO_OPORTUNIDAD!$B$18,Tabla6[Nemotécnico],COSTO_OPORTUNIDAD!D$16,Tabla6[Fecha Cumplimiento y/ liquidacion],COSTO_OPORTUNIDAD!$C87)/+SUMIFS(Tabla6[Nominal COP],Tabla6[Concepto],COSTO_OPORTUNIDAD!$B$18,Tabla6[Fecha Cumplimiento y/ liquidacion],COSTO_OPORTUNIDAD!$C87)</f>
        <v>#DIV/0!</v>
      </c>
      <c r="E87" s="263" t="e">
        <f>+SUMIFS(Tabla6[Nominal COP],Tabla6[Concepto],COSTO_OPORTUNIDAD!$B$18,Tabla6[Nemotécnico],COSTO_OPORTUNIDAD!E$16,Tabla6[Fecha Cumplimiento y/ liquidacion],COSTO_OPORTUNIDAD!$C87)/+SUMIFS(Tabla6[Nominal COP],Tabla6[Concepto],COSTO_OPORTUNIDAD!$B$18,Tabla6[Fecha Cumplimiento y/ liquidacion],COSTO_OPORTUNIDAD!$C87)</f>
        <v>#DIV/0!</v>
      </c>
      <c r="F87" s="263"/>
      <c r="G87" s="263"/>
      <c r="H87" s="263"/>
      <c r="I87" s="263"/>
      <c r="J87" s="263"/>
      <c r="K87" s="263"/>
      <c r="L87" s="263"/>
      <c r="M87" s="263"/>
      <c r="N87" s="263"/>
      <c r="O87" s="263"/>
      <c r="P87" s="263"/>
      <c r="Q87" s="263"/>
      <c r="R87" s="263"/>
      <c r="S87" s="263"/>
      <c r="T87" s="263"/>
      <c r="U87" s="263"/>
      <c r="AA87" s="263">
        <v>1</v>
      </c>
      <c r="AB87" s="262"/>
      <c r="AC87" s="262"/>
      <c r="AD87" s="262"/>
      <c r="AE87" s="262"/>
      <c r="AF87" s="262"/>
      <c r="AG87" s="262"/>
      <c r="AH87" s="274">
        <f t="shared" si="58"/>
        <v>1352</v>
      </c>
      <c r="AI87" s="274">
        <f t="shared" si="59"/>
        <v>1786</v>
      </c>
      <c r="AJ87" s="274">
        <f t="shared" si="60"/>
        <v>1963</v>
      </c>
      <c r="AK87" s="274">
        <f t="shared" si="54"/>
        <v>2444</v>
      </c>
      <c r="AL87" s="274">
        <f t="shared" si="61"/>
        <v>2836</v>
      </c>
      <c r="AM87" s="274">
        <f t="shared" si="62"/>
        <v>3025</v>
      </c>
      <c r="AN87" s="274">
        <f t="shared" si="63"/>
        <v>3487</v>
      </c>
      <c r="AO87" s="274"/>
      <c r="AP87" s="274">
        <f t="shared" si="64"/>
        <v>4327</v>
      </c>
      <c r="AQ87" s="274"/>
      <c r="AR87" s="274">
        <f t="shared" si="65"/>
        <v>4957</v>
      </c>
      <c r="AS87" s="274">
        <f t="shared" si="55"/>
        <v>6560</v>
      </c>
      <c r="AT87" s="274">
        <f t="shared" si="66"/>
        <v>7106</v>
      </c>
      <c r="AU87" s="274"/>
      <c r="AV87" s="274">
        <f t="shared" si="67"/>
        <v>10179</v>
      </c>
      <c r="AW87" s="274"/>
      <c r="AX87" s="274">
        <f t="shared" si="68"/>
        <v>876</v>
      </c>
      <c r="AY87" s="274">
        <f t="shared" si="69"/>
        <v>1555</v>
      </c>
      <c r="AZ87" s="274">
        <f t="shared" si="70"/>
        <v>2318</v>
      </c>
      <c r="BA87" s="274"/>
      <c r="BB87" s="274">
        <f t="shared" si="71"/>
        <v>3755</v>
      </c>
      <c r="BC87" s="274">
        <f t="shared" si="72"/>
        <v>4495</v>
      </c>
      <c r="BD87" s="274">
        <f t="shared" si="73"/>
        <v>5188</v>
      </c>
      <c r="BE87" s="274"/>
      <c r="BF87" s="274">
        <f t="shared" si="74"/>
        <v>9682</v>
      </c>
      <c r="BG87" s="274"/>
      <c r="BH87" s="274"/>
      <c r="BI87" s="266">
        <f t="shared" si="75"/>
        <v>1</v>
      </c>
      <c r="BJ87" s="266" t="e">
        <f t="shared" si="76"/>
        <v>#DIV/0!</v>
      </c>
      <c r="BK87" s="263" t="str">
        <f t="shared" si="77"/>
        <v/>
      </c>
      <c r="BL87" s="263" t="str">
        <f t="shared" si="78"/>
        <v/>
      </c>
      <c r="BM87" s="263" t="str">
        <f t="shared" si="79"/>
        <v/>
      </c>
      <c r="BN87" s="263"/>
      <c r="BO87" s="263" t="str">
        <f t="shared" si="80"/>
        <v/>
      </c>
      <c r="BP87" s="263" t="str">
        <f t="shared" si="81"/>
        <v/>
      </c>
      <c r="BQ87" s="263" t="str">
        <f t="shared" si="82"/>
        <v/>
      </c>
      <c r="BR87" s="263" t="str">
        <f t="shared" si="83"/>
        <v/>
      </c>
      <c r="BS87" s="263" t="str">
        <f t="shared" si="84"/>
        <v/>
      </c>
      <c r="BT87" s="263" t="str">
        <f t="shared" si="85"/>
        <v/>
      </c>
      <c r="BU87" s="263" t="str">
        <f t="shared" si="86"/>
        <v/>
      </c>
      <c r="BV87" s="263"/>
      <c r="BW87" s="263" t="str">
        <f t="shared" si="87"/>
        <v/>
      </c>
      <c r="BX87" s="263"/>
      <c r="BY87" s="263" t="str">
        <f t="shared" si="88"/>
        <v/>
      </c>
      <c r="BZ87" s="263"/>
      <c r="CA87" s="263">
        <f t="shared" si="47"/>
        <v>0</v>
      </c>
      <c r="CB87" s="263">
        <f t="shared" si="89"/>
        <v>0</v>
      </c>
      <c r="CC87" s="263">
        <f t="shared" si="48"/>
        <v>0</v>
      </c>
      <c r="CD87" s="263">
        <f t="shared" si="90"/>
        <v>0</v>
      </c>
      <c r="CE87" s="263"/>
      <c r="CF87" s="263">
        <f t="shared" si="49"/>
        <v>1</v>
      </c>
      <c r="CG87" s="263">
        <f t="shared" si="50"/>
        <v>0</v>
      </c>
      <c r="CH87" s="263"/>
      <c r="CI87" s="263">
        <f t="shared" si="91"/>
        <v>0</v>
      </c>
      <c r="CJ87" s="263"/>
      <c r="CK87" s="263">
        <f t="shared" si="92"/>
        <v>0</v>
      </c>
      <c r="CL87" s="264">
        <f t="shared" si="93"/>
        <v>0</v>
      </c>
      <c r="CM87" s="264">
        <f t="shared" si="94"/>
        <v>4495</v>
      </c>
      <c r="CO87" s="265">
        <v>0.12791</v>
      </c>
      <c r="CP87" s="265">
        <v>0.12908</v>
      </c>
      <c r="CQ87" s="265">
        <v>0.1295</v>
      </c>
      <c r="CS87" s="265">
        <v>0.1305</v>
      </c>
      <c r="CT87" s="265">
        <v>0.129</v>
      </c>
      <c r="CU87" s="265">
        <v>0.12947</v>
      </c>
      <c r="CW87" s="265">
        <v>0.13000999999999999</v>
      </c>
      <c r="CY87" s="265">
        <v>0.13</v>
      </c>
      <c r="DA87" s="265">
        <v>0.13150999999999999</v>
      </c>
      <c r="DC87" s="265">
        <v>0.13008</v>
      </c>
      <c r="DE87" s="265">
        <v>5.3699999999999998E-2</v>
      </c>
      <c r="DF87" s="265">
        <v>5.4000000000000006E-2</v>
      </c>
      <c r="DH87" s="265">
        <v>5.6150000000000005E-2</v>
      </c>
      <c r="DI87" s="265">
        <v>6.4000000000000001E-2</v>
      </c>
      <c r="DJ87" s="265">
        <v>6.2E-2</v>
      </c>
      <c r="DL87" s="265">
        <v>6.0890000000000007E-2</v>
      </c>
      <c r="DO87" s="267"/>
      <c r="DP87" s="267"/>
      <c r="DQ87" s="267"/>
      <c r="DR87" s="267"/>
      <c r="DS87" s="267"/>
      <c r="DT87" s="267"/>
      <c r="DU87" s="267"/>
      <c r="DV87" s="267"/>
      <c r="DW87" s="267"/>
      <c r="DX87" s="267"/>
      <c r="DY87" s="267"/>
      <c r="DZ87" s="205">
        <f t="shared" si="57"/>
        <v>6.4000000000000001E-2</v>
      </c>
      <c r="EA87" s="205" t="e">
        <f t="shared" si="95"/>
        <v>#DIV/0!</v>
      </c>
      <c r="EC87" s="195">
        <v>2024</v>
      </c>
      <c r="ED87" s="195" t="s">
        <v>454</v>
      </c>
      <c r="EE87" s="205">
        <v>5.2000000000000005E-2</v>
      </c>
    </row>
    <row r="88" spans="2:138">
      <c r="B88" s="272">
        <v>44909</v>
      </c>
      <c r="C88" s="271">
        <v>44909</v>
      </c>
      <c r="D88" s="263" t="e">
        <f>+SUMIFS(Tabla6[Nominal COP],Tabla6[Concepto],COSTO_OPORTUNIDAD!$B$18,Tabla6[Nemotécnico],COSTO_OPORTUNIDAD!D$16,Tabla6[Fecha Cumplimiento y/ liquidacion],COSTO_OPORTUNIDAD!$C88)/+SUMIFS(Tabla6[Nominal COP],Tabla6[Concepto],COSTO_OPORTUNIDAD!$B$18,Tabla6[Fecha Cumplimiento y/ liquidacion],COSTO_OPORTUNIDAD!$C88)</f>
        <v>#DIV/0!</v>
      </c>
      <c r="E88" s="263" t="e">
        <f>+SUMIFS(Tabla6[Nominal COP],Tabla6[Concepto],COSTO_OPORTUNIDAD!$B$18,Tabla6[Nemotécnico],COSTO_OPORTUNIDAD!E$16,Tabla6[Fecha Cumplimiento y/ liquidacion],COSTO_OPORTUNIDAD!$C88)/+SUMIFS(Tabla6[Nominal COP],Tabla6[Concepto],COSTO_OPORTUNIDAD!$B$18,Tabla6[Fecha Cumplimiento y/ liquidacion],COSTO_OPORTUNIDAD!$C88)</f>
        <v>#DIV/0!</v>
      </c>
      <c r="F88" s="263">
        <v>0.33</v>
      </c>
      <c r="G88" s="263"/>
      <c r="H88" s="263"/>
      <c r="I88" s="263"/>
      <c r="J88" s="263"/>
      <c r="K88" s="263"/>
      <c r="L88" s="263"/>
      <c r="M88" s="263"/>
      <c r="N88" s="263"/>
      <c r="O88" s="263"/>
      <c r="P88" s="263"/>
      <c r="Q88" s="263"/>
      <c r="R88" s="263"/>
      <c r="S88" s="263"/>
      <c r="T88" s="263"/>
      <c r="U88" s="263"/>
      <c r="AA88" s="263">
        <v>0.67</v>
      </c>
      <c r="AB88" s="262"/>
      <c r="AC88" s="262"/>
      <c r="AD88" s="262"/>
      <c r="AE88" s="262"/>
      <c r="AF88" s="262"/>
      <c r="AG88" s="262"/>
      <c r="AH88" s="274">
        <f t="shared" si="58"/>
        <v>1351</v>
      </c>
      <c r="AI88" s="274">
        <f t="shared" si="59"/>
        <v>1785</v>
      </c>
      <c r="AJ88" s="274">
        <f t="shared" si="60"/>
        <v>1962</v>
      </c>
      <c r="AK88" s="274">
        <f t="shared" si="54"/>
        <v>2443</v>
      </c>
      <c r="AL88" s="274">
        <f t="shared" si="61"/>
        <v>2835</v>
      </c>
      <c r="AM88" s="274">
        <f t="shared" si="62"/>
        <v>3024</v>
      </c>
      <c r="AN88" s="274">
        <f t="shared" si="63"/>
        <v>3486</v>
      </c>
      <c r="AO88" s="274"/>
      <c r="AP88" s="274">
        <f t="shared" si="64"/>
        <v>4326</v>
      </c>
      <c r="AQ88" s="274"/>
      <c r="AR88" s="274">
        <f t="shared" si="65"/>
        <v>4956</v>
      </c>
      <c r="AS88" s="274">
        <f t="shared" si="55"/>
        <v>6559</v>
      </c>
      <c r="AT88" s="274">
        <f t="shared" si="66"/>
        <v>7105</v>
      </c>
      <c r="AU88" s="274"/>
      <c r="AV88" s="274">
        <f t="shared" si="67"/>
        <v>10178</v>
      </c>
      <c r="AW88" s="274"/>
      <c r="AX88" s="274">
        <f t="shared" si="68"/>
        <v>875</v>
      </c>
      <c r="AY88" s="274">
        <f t="shared" si="69"/>
        <v>1554</v>
      </c>
      <c r="AZ88" s="274">
        <f t="shared" si="70"/>
        <v>2317</v>
      </c>
      <c r="BA88" s="274"/>
      <c r="BB88" s="274">
        <f t="shared" si="71"/>
        <v>3754</v>
      </c>
      <c r="BC88" s="274">
        <f t="shared" si="72"/>
        <v>4494</v>
      </c>
      <c r="BD88" s="274">
        <f t="shared" si="73"/>
        <v>5187</v>
      </c>
      <c r="BE88" s="274"/>
      <c r="BF88" s="274">
        <f t="shared" si="74"/>
        <v>9681</v>
      </c>
      <c r="BG88" s="274"/>
      <c r="BH88" s="274"/>
      <c r="BI88" s="266">
        <f t="shared" si="75"/>
        <v>0.67</v>
      </c>
      <c r="BJ88" s="266" t="e">
        <f t="shared" si="76"/>
        <v>#DIV/0!</v>
      </c>
      <c r="BK88" s="263" t="str">
        <f t="shared" si="77"/>
        <v/>
      </c>
      <c r="BL88" s="263" t="str">
        <f t="shared" si="78"/>
        <v/>
      </c>
      <c r="BM88" s="263" t="str">
        <f t="shared" si="79"/>
        <v/>
      </c>
      <c r="BN88" s="263"/>
      <c r="BO88" s="263" t="str">
        <f t="shared" si="80"/>
        <v/>
      </c>
      <c r="BP88" s="263" t="str">
        <f t="shared" si="81"/>
        <v/>
      </c>
      <c r="BQ88" s="263" t="str">
        <f t="shared" si="82"/>
        <v/>
      </c>
      <c r="BR88" s="263" t="str">
        <f t="shared" si="83"/>
        <v/>
      </c>
      <c r="BS88" s="263" t="str">
        <f t="shared" si="84"/>
        <v/>
      </c>
      <c r="BT88" s="263" t="str">
        <f t="shared" si="85"/>
        <v/>
      </c>
      <c r="BU88" s="263" t="str">
        <f t="shared" si="86"/>
        <v/>
      </c>
      <c r="BV88" s="263"/>
      <c r="BW88" s="263" t="str">
        <f t="shared" si="87"/>
        <v/>
      </c>
      <c r="BX88" s="263"/>
      <c r="BY88" s="263" t="str">
        <f t="shared" si="88"/>
        <v/>
      </c>
      <c r="BZ88" s="263"/>
      <c r="CA88" s="263">
        <f t="shared" si="47"/>
        <v>0</v>
      </c>
      <c r="CB88" s="263">
        <f t="shared" si="89"/>
        <v>0</v>
      </c>
      <c r="CC88" s="263">
        <f t="shared" si="48"/>
        <v>0</v>
      </c>
      <c r="CD88" s="263">
        <f t="shared" si="90"/>
        <v>0</v>
      </c>
      <c r="CE88" s="263"/>
      <c r="CF88" s="263">
        <f t="shared" si="49"/>
        <v>1</v>
      </c>
      <c r="CG88" s="263">
        <f t="shared" si="50"/>
        <v>0</v>
      </c>
      <c r="CH88" s="263"/>
      <c r="CI88" s="263">
        <f t="shared" si="91"/>
        <v>0</v>
      </c>
      <c r="CJ88" s="263"/>
      <c r="CK88" s="263">
        <f t="shared" si="92"/>
        <v>0</v>
      </c>
      <c r="CL88" s="264">
        <f t="shared" si="93"/>
        <v>0</v>
      </c>
      <c r="CM88" s="264">
        <f t="shared" si="94"/>
        <v>4494</v>
      </c>
      <c r="CO88" s="265">
        <v>0.12798999999999999</v>
      </c>
      <c r="CP88" s="265">
        <v>0.12903000000000001</v>
      </c>
      <c r="CQ88" s="265">
        <v>0.12970000000000001</v>
      </c>
      <c r="CS88" s="265">
        <v>0.13019999999999998</v>
      </c>
      <c r="CT88" s="265">
        <v>0.129</v>
      </c>
      <c r="CU88" s="265">
        <v>0.13099</v>
      </c>
      <c r="CW88" s="265">
        <v>0.13099</v>
      </c>
      <c r="CY88" s="265">
        <v>0.13100000000000001</v>
      </c>
      <c r="DA88" s="265">
        <v>0.13200000000000001</v>
      </c>
      <c r="DC88" s="265">
        <v>0.13</v>
      </c>
      <c r="DE88" s="265">
        <v>5.3120000000000001E-2</v>
      </c>
      <c r="DF88" s="265">
        <v>5.5899999999999998E-2</v>
      </c>
      <c r="DH88" s="265">
        <v>6.0499999999999998E-2</v>
      </c>
      <c r="DI88" s="265">
        <v>6.4989999999999992E-2</v>
      </c>
      <c r="DJ88" s="265">
        <v>6.3030000000000003E-2</v>
      </c>
      <c r="DL88" s="265">
        <v>6.1699999999999998E-2</v>
      </c>
      <c r="DO88" s="267"/>
      <c r="DP88" s="267"/>
      <c r="DQ88" s="267"/>
      <c r="DR88" s="267"/>
      <c r="DS88" s="267"/>
      <c r="DT88" s="267"/>
      <c r="DU88" s="267"/>
      <c r="DV88" s="267"/>
      <c r="DW88" s="267"/>
      <c r="DX88" s="267"/>
      <c r="DY88" s="267"/>
      <c r="DZ88" s="205">
        <f t="shared" si="57"/>
        <v>6.4989999999999992E-2</v>
      </c>
      <c r="EA88" s="205" t="e">
        <f t="shared" si="95"/>
        <v>#DIV/0!</v>
      </c>
      <c r="EC88" s="195">
        <v>2024</v>
      </c>
      <c r="ED88" s="195" t="s">
        <v>455</v>
      </c>
      <c r="EE88" s="205">
        <v>5.2000000000000005E-2</v>
      </c>
    </row>
    <row r="89" spans="2:138" s="211" customFormat="1" ht="16.5" thickBot="1">
      <c r="B89" s="272">
        <v>44917</v>
      </c>
      <c r="C89" s="271">
        <v>44917</v>
      </c>
      <c r="D89" s="263" t="e">
        <f>+SUMIFS(Tabla6[Nominal COP],Tabla6[Concepto],COSTO_OPORTUNIDAD!$B$18,Tabla6[Nemotécnico],COSTO_OPORTUNIDAD!D$16,Tabla6[Fecha Cumplimiento y/ liquidacion],COSTO_OPORTUNIDAD!$C89)/+SUMIFS(Tabla6[Nominal COP],Tabla6[Concepto],COSTO_OPORTUNIDAD!$B$18,Tabla6[Fecha Cumplimiento y/ liquidacion],COSTO_OPORTUNIDAD!$C89)</f>
        <v>#DIV/0!</v>
      </c>
      <c r="E89" s="263" t="e">
        <f>+SUMIFS(Tabla6[Nominal COP],Tabla6[Concepto],COSTO_OPORTUNIDAD!$B$18,Tabla6[Nemotécnico],COSTO_OPORTUNIDAD!E$16,Tabla6[Fecha Cumplimiento y/ liquidacion],COSTO_OPORTUNIDAD!$C89)/+SUMIFS(Tabla6[Nominal COP],Tabla6[Concepto],COSTO_OPORTUNIDAD!$B$18,Tabla6[Fecha Cumplimiento y/ liquidacion],COSTO_OPORTUNIDAD!$C89)</f>
        <v>#DIV/0!</v>
      </c>
      <c r="F89" s="263">
        <v>0.7</v>
      </c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195"/>
      <c r="W89" s="195"/>
      <c r="X89" s="195"/>
      <c r="Y89" s="195"/>
      <c r="Z89" s="195"/>
      <c r="AA89" s="263">
        <v>0.3</v>
      </c>
      <c r="AB89" s="262"/>
      <c r="AC89" s="262"/>
      <c r="AD89" s="262"/>
      <c r="AE89" s="262"/>
      <c r="AF89" s="262"/>
      <c r="AG89" s="262"/>
      <c r="AH89" s="274">
        <f t="shared" si="58"/>
        <v>1343</v>
      </c>
      <c r="AI89" s="274">
        <f t="shared" si="59"/>
        <v>1777</v>
      </c>
      <c r="AJ89" s="274">
        <f t="shared" si="60"/>
        <v>1954</v>
      </c>
      <c r="AK89" s="274">
        <f t="shared" si="54"/>
        <v>2435</v>
      </c>
      <c r="AL89" s="274">
        <f t="shared" si="61"/>
        <v>2827</v>
      </c>
      <c r="AM89" s="274">
        <f t="shared" si="62"/>
        <v>3016</v>
      </c>
      <c r="AN89" s="274">
        <f t="shared" si="63"/>
        <v>3478</v>
      </c>
      <c r="AO89" s="274"/>
      <c r="AP89" s="274">
        <f t="shared" si="64"/>
        <v>4318</v>
      </c>
      <c r="AQ89" s="274"/>
      <c r="AR89" s="274">
        <f t="shared" si="65"/>
        <v>4948</v>
      </c>
      <c r="AS89" s="274">
        <f t="shared" si="55"/>
        <v>6551</v>
      </c>
      <c r="AT89" s="274">
        <f t="shared" si="66"/>
        <v>7097</v>
      </c>
      <c r="AU89" s="274"/>
      <c r="AV89" s="274">
        <f t="shared" si="67"/>
        <v>10170</v>
      </c>
      <c r="AW89" s="274"/>
      <c r="AX89" s="274">
        <f t="shared" si="68"/>
        <v>867</v>
      </c>
      <c r="AY89" s="274">
        <f t="shared" si="69"/>
        <v>1546</v>
      </c>
      <c r="AZ89" s="274">
        <f t="shared" si="70"/>
        <v>2309</v>
      </c>
      <c r="BA89" s="274"/>
      <c r="BB89" s="274">
        <f t="shared" si="71"/>
        <v>3746</v>
      </c>
      <c r="BC89" s="274">
        <f t="shared" si="72"/>
        <v>4486</v>
      </c>
      <c r="BD89" s="274">
        <f t="shared" si="73"/>
        <v>5179</v>
      </c>
      <c r="BE89" s="274"/>
      <c r="BF89" s="274">
        <f t="shared" si="74"/>
        <v>9673</v>
      </c>
      <c r="BG89" s="274"/>
      <c r="BH89" s="274"/>
      <c r="BI89" s="266">
        <f t="shared" si="75"/>
        <v>0.3</v>
      </c>
      <c r="BJ89" s="266" t="e">
        <f t="shared" si="76"/>
        <v>#DIV/0!</v>
      </c>
      <c r="BK89" s="263" t="str">
        <f t="shared" si="77"/>
        <v/>
      </c>
      <c r="BL89" s="263" t="str">
        <f t="shared" si="78"/>
        <v/>
      </c>
      <c r="BM89" s="263" t="str">
        <f t="shared" si="79"/>
        <v/>
      </c>
      <c r="BN89" s="263"/>
      <c r="BO89" s="263" t="str">
        <f t="shared" si="80"/>
        <v/>
      </c>
      <c r="BP89" s="263" t="str">
        <f t="shared" si="81"/>
        <v/>
      </c>
      <c r="BQ89" s="263" t="str">
        <f t="shared" si="82"/>
        <v/>
      </c>
      <c r="BR89" s="263" t="str">
        <f t="shared" si="83"/>
        <v/>
      </c>
      <c r="BS89" s="263" t="str">
        <f t="shared" si="84"/>
        <v/>
      </c>
      <c r="BT89" s="263" t="str">
        <f t="shared" si="85"/>
        <v/>
      </c>
      <c r="BU89" s="263" t="str">
        <f t="shared" si="86"/>
        <v/>
      </c>
      <c r="BV89" s="263"/>
      <c r="BW89" s="263" t="str">
        <f t="shared" si="87"/>
        <v/>
      </c>
      <c r="BX89" s="263"/>
      <c r="BY89" s="263" t="str">
        <f t="shared" si="88"/>
        <v/>
      </c>
      <c r="BZ89" s="263"/>
      <c r="CA89" s="263">
        <f t="shared" si="47"/>
        <v>0</v>
      </c>
      <c r="CB89" s="263">
        <f t="shared" si="89"/>
        <v>0</v>
      </c>
      <c r="CC89" s="263">
        <f t="shared" si="48"/>
        <v>0</v>
      </c>
      <c r="CD89" s="263">
        <f t="shared" si="90"/>
        <v>0</v>
      </c>
      <c r="CE89" s="263">
        <f t="shared" ref="CE89:CE152" si="96">IFERROR(Z89/$BI89,"")</f>
        <v>0</v>
      </c>
      <c r="CF89" s="263">
        <f t="shared" si="49"/>
        <v>1</v>
      </c>
      <c r="CG89" s="263">
        <f t="shared" si="50"/>
        <v>0</v>
      </c>
      <c r="CH89" s="263"/>
      <c r="CI89" s="263">
        <f t="shared" si="91"/>
        <v>0</v>
      </c>
      <c r="CJ89" s="263"/>
      <c r="CK89" s="263">
        <f t="shared" si="92"/>
        <v>0</v>
      </c>
      <c r="CL89" s="264">
        <f t="shared" si="93"/>
        <v>0</v>
      </c>
      <c r="CM89" s="264">
        <f t="shared" si="94"/>
        <v>4486</v>
      </c>
      <c r="CN89" s="264"/>
      <c r="CO89" s="265">
        <v>0.1263</v>
      </c>
      <c r="CP89" s="265">
        <v>0.12695000000000001</v>
      </c>
      <c r="CQ89" s="265">
        <v>0.12753</v>
      </c>
      <c r="CR89" s="265"/>
      <c r="CS89" s="265">
        <v>0.12791</v>
      </c>
      <c r="CT89" s="265">
        <v>0.129</v>
      </c>
      <c r="CU89" s="265">
        <v>0.128</v>
      </c>
      <c r="CV89" s="265"/>
      <c r="CW89" s="265">
        <v>0.129</v>
      </c>
      <c r="CX89" s="265"/>
      <c r="CY89" s="265">
        <v>0.12710000000000002</v>
      </c>
      <c r="CZ89" s="265"/>
      <c r="DA89" s="265">
        <v>0.1295</v>
      </c>
      <c r="DB89" s="265"/>
      <c r="DC89" s="265">
        <v>0.12759999999999999</v>
      </c>
      <c r="DD89" s="265"/>
      <c r="DE89" s="265">
        <v>5.5999999999999994E-2</v>
      </c>
      <c r="DF89" s="265">
        <v>5.7990000000000007E-2</v>
      </c>
      <c r="DG89" s="265"/>
      <c r="DH89" s="265">
        <v>6.0400000000000002E-2</v>
      </c>
      <c r="DI89" s="265">
        <v>6.5189999999999998E-2</v>
      </c>
      <c r="DJ89" s="265">
        <v>6.2E-2</v>
      </c>
      <c r="DK89" s="265"/>
      <c r="DL89" s="265">
        <v>6.1870000000000001E-2</v>
      </c>
      <c r="DM89" s="265"/>
      <c r="DN89" s="265"/>
      <c r="DO89" s="267"/>
      <c r="DP89" s="267"/>
      <c r="DQ89" s="267"/>
      <c r="DR89" s="267"/>
      <c r="DS89" s="267"/>
      <c r="DT89" s="267"/>
      <c r="DU89" s="267"/>
      <c r="DV89" s="267"/>
      <c r="DW89" s="267"/>
      <c r="DX89" s="267"/>
      <c r="DY89" s="267"/>
      <c r="DZ89" s="205">
        <f t="shared" si="57"/>
        <v>6.5189999999999998E-2</v>
      </c>
      <c r="EA89" s="205" t="e">
        <f t="shared" si="95"/>
        <v>#DIV/0!</v>
      </c>
      <c r="EC89" s="195">
        <v>2025</v>
      </c>
      <c r="ED89" s="195" t="s">
        <v>456</v>
      </c>
      <c r="EE89" s="205">
        <v>5.2200000000000003E-2</v>
      </c>
      <c r="EF89" s="212">
        <v>45695</v>
      </c>
    </row>
    <row r="90" spans="2:138">
      <c r="B90" s="272">
        <v>45009</v>
      </c>
      <c r="C90" s="271">
        <v>45009</v>
      </c>
      <c r="D90" s="263" t="e">
        <f>+SUMIFS(Tabla6[Nominal COP],Tabla6[Concepto],COSTO_OPORTUNIDAD!$B$18,Tabla6[Nemotécnico],COSTO_OPORTUNIDAD!D$16,Tabla6[Fecha Cumplimiento y/ liquidacion],COSTO_OPORTUNIDAD!$C90)/+SUMIFS(Tabla6[Nominal COP],Tabla6[Concepto],COSTO_OPORTUNIDAD!$B$18,Tabla6[Fecha Cumplimiento y/ liquidacion],COSTO_OPORTUNIDAD!$C90)</f>
        <v>#DIV/0!</v>
      </c>
      <c r="E90" s="263" t="e">
        <f>+SUMIFS(Tabla6[Nominal COP],Tabla6[Concepto],COSTO_OPORTUNIDAD!$B$18,Tabla6[Nemotécnico],COSTO_OPORTUNIDAD!E$16,Tabla6[Fecha Cumplimiento y/ liquidacion],COSTO_OPORTUNIDAD!$C90)/+SUMIFS(Tabla6[Nominal COP],Tabla6[Concepto],COSTO_OPORTUNIDAD!$B$18,Tabla6[Fecha Cumplimiento y/ liquidacion],COSTO_OPORTUNIDAD!$C90)</f>
        <v>#DIV/0!</v>
      </c>
      <c r="F90" s="263"/>
      <c r="G90" s="263"/>
      <c r="H90" s="263">
        <v>0.1</v>
      </c>
      <c r="I90" s="263"/>
      <c r="J90" s="263"/>
      <c r="K90" s="263"/>
      <c r="L90" s="263"/>
      <c r="M90" s="263">
        <v>0.8</v>
      </c>
      <c r="N90" s="263"/>
      <c r="O90" s="263"/>
      <c r="P90" s="263"/>
      <c r="Q90" s="263"/>
      <c r="R90" s="263">
        <v>0.1</v>
      </c>
      <c r="S90" s="263"/>
      <c r="T90" s="263"/>
      <c r="U90" s="263"/>
      <c r="AA90" s="263"/>
      <c r="AB90" s="262"/>
      <c r="AC90" s="262"/>
      <c r="AD90" s="262"/>
      <c r="AE90" s="262"/>
      <c r="AF90" s="262"/>
      <c r="AG90" s="262"/>
      <c r="AH90" s="274">
        <f t="shared" si="58"/>
        <v>1251</v>
      </c>
      <c r="AI90" s="274">
        <f t="shared" si="59"/>
        <v>1685</v>
      </c>
      <c r="AJ90" s="274">
        <f t="shared" si="60"/>
        <v>1862</v>
      </c>
      <c r="AK90" s="274">
        <f t="shared" si="54"/>
        <v>2343</v>
      </c>
      <c r="AL90" s="274">
        <f t="shared" si="61"/>
        <v>2735</v>
      </c>
      <c r="AM90" s="274">
        <f t="shared" si="62"/>
        <v>2924</v>
      </c>
      <c r="AN90" s="274">
        <f t="shared" si="63"/>
        <v>3386</v>
      </c>
      <c r="AO90" s="274">
        <f t="shared" ref="AO90:AO121" si="97">(M$17-$B90)</f>
        <v>3610</v>
      </c>
      <c r="AP90" s="274">
        <f t="shared" si="64"/>
        <v>4226</v>
      </c>
      <c r="AQ90" s="274"/>
      <c r="AR90" s="274">
        <f t="shared" si="65"/>
        <v>4856</v>
      </c>
      <c r="AS90" s="274">
        <f t="shared" si="55"/>
        <v>6459</v>
      </c>
      <c r="AT90" s="274">
        <f t="shared" si="66"/>
        <v>7005</v>
      </c>
      <c r="AU90" s="274"/>
      <c r="AV90" s="274">
        <f t="shared" si="67"/>
        <v>10078</v>
      </c>
      <c r="AW90" s="274"/>
      <c r="AX90" s="274">
        <f t="shared" si="68"/>
        <v>775</v>
      </c>
      <c r="AY90" s="274">
        <f t="shared" si="69"/>
        <v>1454</v>
      </c>
      <c r="AZ90" s="274">
        <f t="shared" si="70"/>
        <v>2217</v>
      </c>
      <c r="BA90" s="274"/>
      <c r="BB90" s="274">
        <f t="shared" si="71"/>
        <v>3654</v>
      </c>
      <c r="BC90" s="274">
        <f t="shared" si="72"/>
        <v>4394</v>
      </c>
      <c r="BD90" s="274">
        <f t="shared" si="73"/>
        <v>5087</v>
      </c>
      <c r="BE90" s="274"/>
      <c r="BF90" s="274">
        <f t="shared" si="74"/>
        <v>9581</v>
      </c>
      <c r="BG90" s="274"/>
      <c r="BH90" s="274"/>
      <c r="BI90" s="266">
        <f t="shared" si="75"/>
        <v>0</v>
      </c>
      <c r="BJ90" s="266" t="e">
        <f t="shared" si="76"/>
        <v>#DIV/0!</v>
      </c>
      <c r="BK90" s="263" t="str">
        <f t="shared" si="77"/>
        <v/>
      </c>
      <c r="BL90" s="263" t="str">
        <f t="shared" si="78"/>
        <v/>
      </c>
      <c r="BM90" s="263" t="str">
        <f t="shared" si="79"/>
        <v/>
      </c>
      <c r="BN90" s="263"/>
      <c r="BO90" s="263" t="str">
        <f t="shared" si="80"/>
        <v/>
      </c>
      <c r="BP90" s="263" t="str">
        <f t="shared" si="81"/>
        <v/>
      </c>
      <c r="BQ90" s="263" t="str">
        <f t="shared" si="82"/>
        <v/>
      </c>
      <c r="BR90" s="263" t="str">
        <f t="shared" si="83"/>
        <v/>
      </c>
      <c r="BS90" s="263" t="str">
        <f t="shared" si="84"/>
        <v/>
      </c>
      <c r="BT90" s="263" t="str">
        <f t="shared" si="85"/>
        <v/>
      </c>
      <c r="BU90" s="263" t="str">
        <f t="shared" si="86"/>
        <v/>
      </c>
      <c r="BV90" s="263"/>
      <c r="BW90" s="263" t="str">
        <f t="shared" si="87"/>
        <v/>
      </c>
      <c r="BX90" s="263"/>
      <c r="BY90" s="263" t="str">
        <f t="shared" si="88"/>
        <v/>
      </c>
      <c r="BZ90" s="263"/>
      <c r="CA90" s="263" t="str">
        <f t="shared" si="47"/>
        <v/>
      </c>
      <c r="CB90" s="263" t="str">
        <f t="shared" si="89"/>
        <v/>
      </c>
      <c r="CC90" s="263" t="str">
        <f t="shared" si="48"/>
        <v/>
      </c>
      <c r="CD90" s="263" t="str">
        <f t="shared" si="90"/>
        <v/>
      </c>
      <c r="CE90" s="263" t="str">
        <f t="shared" si="96"/>
        <v/>
      </c>
      <c r="CF90" s="263" t="str">
        <f t="shared" si="49"/>
        <v/>
      </c>
      <c r="CG90" s="263" t="str">
        <f t="shared" si="50"/>
        <v/>
      </c>
      <c r="CH90" s="263"/>
      <c r="CI90" s="263" t="str">
        <f t="shared" si="91"/>
        <v/>
      </c>
      <c r="CJ90" s="263"/>
      <c r="CK90" s="263" t="str">
        <f t="shared" si="92"/>
        <v/>
      </c>
      <c r="CL90" s="264">
        <f t="shared" ref="CL90:CL121" si="98">ROUND(IFERROR((_xlfn.DAYS($F$17,B90)*BK90),0)+IFERROR((_xlfn.DAYS($G$17,B90)*BL90),0)+IFERROR((_xlfn.DAYS($H$17,B90)*BM90),0)+IFERROR((_xlfn.DAYS($J$17,B90)*BO90),0)+IFERROR((_xlfn.DAYS($K$17,B90)*BP90),0)+IFERROR((_xlfn.DAYS($L$17,B90)*BQ90),0)+IFERROR((_xlfn.DAYS($M$17,B90)*BR90),0)+IFERROR((_xlfn.DAYS($N$17,B90)*BS90),0)+IFERROR((_xlfn.DAYS($P$17,B90)*BU90),0)+IFERROR((_xlfn.DAYS($R$17,B90)*BW90),0)+IFERROR((_xlfn.DAYS($T$17,B90)*BY90),0),0)</f>
        <v>0</v>
      </c>
      <c r="CM90" s="264">
        <f t="shared" si="94"/>
        <v>0</v>
      </c>
      <c r="CO90" s="265">
        <v>0.1119</v>
      </c>
      <c r="CP90" s="265">
        <v>0.11298999999999999</v>
      </c>
      <c r="CQ90" s="265">
        <v>0.11351000000000001</v>
      </c>
      <c r="CS90" s="265">
        <v>0.11699999999999999</v>
      </c>
      <c r="CT90" s="265">
        <v>0.11739000000000001</v>
      </c>
      <c r="CU90" s="265">
        <v>0.11885</v>
      </c>
      <c r="CV90" s="265">
        <v>0.12028</v>
      </c>
      <c r="CW90" s="265">
        <v>0.12050000000000001</v>
      </c>
      <c r="CY90" s="265">
        <v>0.12051000000000001</v>
      </c>
      <c r="DA90" s="265">
        <v>0.12404</v>
      </c>
      <c r="DC90" s="265">
        <v>0.12390000000000001</v>
      </c>
      <c r="DE90" s="265">
        <v>4.5199999999999997E-2</v>
      </c>
      <c r="DF90" s="265">
        <v>4.7869999999999996E-2</v>
      </c>
      <c r="DH90" s="265">
        <v>4.9100000000000005E-2</v>
      </c>
      <c r="DI90" s="265">
        <v>5.1550000000000006E-2</v>
      </c>
      <c r="DJ90" s="265">
        <v>5.2729999999999999E-2</v>
      </c>
      <c r="DL90" s="265">
        <v>5.0689999999999999E-2</v>
      </c>
      <c r="DO90" s="267"/>
      <c r="DP90" s="267"/>
      <c r="DQ90" s="267"/>
      <c r="DR90" s="267"/>
      <c r="DS90" s="267"/>
      <c r="DT90" s="267"/>
      <c r="DU90" s="267"/>
      <c r="DV90" s="267"/>
      <c r="DW90" s="267"/>
      <c r="DX90" s="267"/>
      <c r="DY90" s="267"/>
      <c r="DZ90" s="267">
        <f t="shared" si="57"/>
        <v>4.4122384014699111E-2</v>
      </c>
      <c r="EA90" s="205" t="e">
        <f t="shared" si="95"/>
        <v>#DIV/0!</v>
      </c>
      <c r="EC90" s="195">
        <v>2025</v>
      </c>
      <c r="ED90" s="195" t="s">
        <v>457</v>
      </c>
      <c r="EE90" s="205">
        <v>5.28E-2</v>
      </c>
      <c r="EF90" s="213">
        <v>45723</v>
      </c>
    </row>
    <row r="91" spans="2:138">
      <c r="B91" s="272">
        <v>45012</v>
      </c>
      <c r="C91" s="271">
        <v>45012</v>
      </c>
      <c r="D91" s="263" t="e">
        <f>+SUMIFS(Tabla6[Nominal COP],Tabla6[Concepto],COSTO_OPORTUNIDAD!$B$18,Tabla6[Nemotécnico],COSTO_OPORTUNIDAD!D$16,Tabla6[Fecha Cumplimiento y/ liquidacion],COSTO_OPORTUNIDAD!$C91)/+SUMIFS(Tabla6[Nominal COP],Tabla6[Concepto],COSTO_OPORTUNIDAD!$B$18,Tabla6[Fecha Cumplimiento y/ liquidacion],COSTO_OPORTUNIDAD!$C91)</f>
        <v>#DIV/0!</v>
      </c>
      <c r="E91" s="263" t="e">
        <f>+SUMIFS(Tabla6[Nominal COP],Tabla6[Concepto],COSTO_OPORTUNIDAD!$B$18,Tabla6[Nemotécnico],COSTO_OPORTUNIDAD!E$16,Tabla6[Fecha Cumplimiento y/ liquidacion],COSTO_OPORTUNIDAD!$C91)/+SUMIFS(Tabla6[Nominal COP],Tabla6[Concepto],COSTO_OPORTUNIDAD!$B$18,Tabla6[Fecha Cumplimiento y/ liquidacion],COSTO_OPORTUNIDAD!$C91)</f>
        <v>#DIV/0!</v>
      </c>
      <c r="F91" s="263"/>
      <c r="G91" s="263"/>
      <c r="H91" s="263">
        <v>0.09</v>
      </c>
      <c r="I91" s="263"/>
      <c r="J91" s="263"/>
      <c r="K91" s="263"/>
      <c r="L91" s="263"/>
      <c r="M91" s="263">
        <v>0.81</v>
      </c>
      <c r="N91" s="263"/>
      <c r="O91" s="263"/>
      <c r="P91" s="263"/>
      <c r="Q91" s="263"/>
      <c r="R91" s="263">
        <v>0.09</v>
      </c>
      <c r="S91" s="263"/>
      <c r="T91" s="263"/>
      <c r="U91" s="263"/>
      <c r="AA91" s="263"/>
      <c r="AB91" s="262"/>
      <c r="AC91" s="262"/>
      <c r="AD91" s="262"/>
      <c r="AE91" s="262"/>
      <c r="AF91" s="262"/>
      <c r="AG91" s="262"/>
      <c r="AH91" s="274">
        <f t="shared" si="58"/>
        <v>1248</v>
      </c>
      <c r="AI91" s="274">
        <f t="shared" si="59"/>
        <v>1682</v>
      </c>
      <c r="AJ91" s="274">
        <f t="shared" si="60"/>
        <v>1859</v>
      </c>
      <c r="AK91" s="274">
        <f t="shared" si="54"/>
        <v>2340</v>
      </c>
      <c r="AL91" s="274">
        <f t="shared" si="61"/>
        <v>2732</v>
      </c>
      <c r="AM91" s="274">
        <f t="shared" si="62"/>
        <v>2921</v>
      </c>
      <c r="AN91" s="274">
        <f t="shared" si="63"/>
        <v>3383</v>
      </c>
      <c r="AO91" s="274">
        <f t="shared" si="97"/>
        <v>3607</v>
      </c>
      <c r="AP91" s="274">
        <f t="shared" si="64"/>
        <v>4223</v>
      </c>
      <c r="AQ91" s="274"/>
      <c r="AR91" s="274">
        <f t="shared" si="65"/>
        <v>4853</v>
      </c>
      <c r="AS91" s="274">
        <f t="shared" si="55"/>
        <v>6456</v>
      </c>
      <c r="AT91" s="274">
        <f t="shared" si="66"/>
        <v>7002</v>
      </c>
      <c r="AU91" s="274"/>
      <c r="AV91" s="274">
        <f t="shared" si="67"/>
        <v>10075</v>
      </c>
      <c r="AW91" s="274"/>
      <c r="AX91" s="274">
        <f t="shared" si="68"/>
        <v>772</v>
      </c>
      <c r="AY91" s="274">
        <f t="shared" si="69"/>
        <v>1451</v>
      </c>
      <c r="AZ91" s="274">
        <f t="shared" si="70"/>
        <v>2214</v>
      </c>
      <c r="BA91" s="274"/>
      <c r="BB91" s="274">
        <f t="shared" si="71"/>
        <v>3651</v>
      </c>
      <c r="BC91" s="274">
        <f t="shared" si="72"/>
        <v>4391</v>
      </c>
      <c r="BD91" s="274">
        <f t="shared" si="73"/>
        <v>5084</v>
      </c>
      <c r="BE91" s="274"/>
      <c r="BF91" s="274">
        <f t="shared" si="74"/>
        <v>9578</v>
      </c>
      <c r="BG91" s="274"/>
      <c r="BH91" s="274"/>
      <c r="BI91" s="266">
        <f t="shared" si="75"/>
        <v>0</v>
      </c>
      <c r="BJ91" s="266" t="e">
        <f t="shared" si="76"/>
        <v>#DIV/0!</v>
      </c>
      <c r="BK91" s="263" t="str">
        <f t="shared" si="77"/>
        <v/>
      </c>
      <c r="BL91" s="263" t="str">
        <f t="shared" si="78"/>
        <v/>
      </c>
      <c r="BM91" s="263" t="str">
        <f t="shared" si="79"/>
        <v/>
      </c>
      <c r="BN91" s="263"/>
      <c r="BO91" s="263" t="str">
        <f t="shared" si="80"/>
        <v/>
      </c>
      <c r="BP91" s="263" t="str">
        <f t="shared" si="81"/>
        <v/>
      </c>
      <c r="BQ91" s="263" t="str">
        <f t="shared" si="82"/>
        <v/>
      </c>
      <c r="BR91" s="263" t="str">
        <f t="shared" si="83"/>
        <v/>
      </c>
      <c r="BS91" s="263" t="str">
        <f t="shared" si="84"/>
        <v/>
      </c>
      <c r="BT91" s="263" t="str">
        <f t="shared" si="85"/>
        <v/>
      </c>
      <c r="BU91" s="263" t="str">
        <f t="shared" si="86"/>
        <v/>
      </c>
      <c r="BV91" s="263"/>
      <c r="BW91" s="263" t="str">
        <f t="shared" si="87"/>
        <v/>
      </c>
      <c r="BX91" s="263"/>
      <c r="BY91" s="263" t="str">
        <f t="shared" si="88"/>
        <v/>
      </c>
      <c r="BZ91" s="263"/>
      <c r="CA91" s="263" t="str">
        <f t="shared" si="47"/>
        <v/>
      </c>
      <c r="CB91" s="263" t="str">
        <f t="shared" si="89"/>
        <v/>
      </c>
      <c r="CC91" s="263" t="str">
        <f t="shared" si="48"/>
        <v/>
      </c>
      <c r="CD91" s="263" t="str">
        <f t="shared" si="90"/>
        <v/>
      </c>
      <c r="CE91" s="263" t="str">
        <f t="shared" si="96"/>
        <v/>
      </c>
      <c r="CF91" s="263" t="str">
        <f t="shared" si="49"/>
        <v/>
      </c>
      <c r="CG91" s="263" t="str">
        <f t="shared" si="50"/>
        <v/>
      </c>
      <c r="CH91" s="263"/>
      <c r="CI91" s="263" t="str">
        <f t="shared" si="91"/>
        <v/>
      </c>
      <c r="CJ91" s="263"/>
      <c r="CK91" s="263" t="str">
        <f t="shared" si="92"/>
        <v/>
      </c>
      <c r="CL91" s="264">
        <f t="shared" si="98"/>
        <v>0</v>
      </c>
      <c r="CM91" s="264">
        <f t="shared" si="94"/>
        <v>0</v>
      </c>
      <c r="CO91" s="265">
        <v>0.11166999999999999</v>
      </c>
      <c r="CP91" s="265">
        <v>0.11312</v>
      </c>
      <c r="CQ91" s="265">
        <v>0.11449999999999999</v>
      </c>
      <c r="CS91" s="265">
        <v>0.11652</v>
      </c>
      <c r="CT91" s="265">
        <v>0.11871000000000001</v>
      </c>
      <c r="CU91" s="265">
        <v>0.11900000000000001</v>
      </c>
      <c r="CV91" s="265">
        <v>0.11968999999999999</v>
      </c>
      <c r="CW91" s="265">
        <v>0.11948</v>
      </c>
      <c r="CY91" s="265">
        <v>0.12039999999999999</v>
      </c>
      <c r="DA91" s="265">
        <v>0.12330999999999999</v>
      </c>
      <c r="DC91" s="265">
        <v>0.12351000000000001</v>
      </c>
      <c r="DE91" s="265">
        <v>4.6010000000000002E-2</v>
      </c>
      <c r="DF91" s="265">
        <v>4.8600000000000004E-2</v>
      </c>
      <c r="DH91" s="265">
        <v>4.9000000000000002E-2</v>
      </c>
      <c r="DI91" s="265">
        <v>5.1429999999999997E-2</v>
      </c>
      <c r="DJ91" s="265">
        <v>5.28E-2</v>
      </c>
      <c r="DL91" s="265">
        <v>5.0799999999999998E-2</v>
      </c>
      <c r="DO91" s="267"/>
      <c r="DP91" s="267"/>
      <c r="DQ91" s="267"/>
      <c r="DR91" s="267"/>
      <c r="DS91" s="267"/>
      <c r="DT91" s="267"/>
      <c r="DU91" s="267"/>
      <c r="DV91" s="267"/>
      <c r="DW91" s="267"/>
      <c r="DX91" s="267"/>
      <c r="DY91" s="267"/>
      <c r="DZ91" s="205">
        <f t="shared" si="57"/>
        <v>4.5721901699586599E-2</v>
      </c>
      <c r="EA91" s="205" t="e">
        <f t="shared" si="95"/>
        <v>#DIV/0!</v>
      </c>
      <c r="EC91" s="195">
        <v>2025</v>
      </c>
      <c r="ED91" s="195" t="s">
        <v>446</v>
      </c>
      <c r="EE91" s="205">
        <v>5.0900000000000001E-2</v>
      </c>
    </row>
    <row r="92" spans="2:138">
      <c r="B92" s="272">
        <v>45013</v>
      </c>
      <c r="C92" s="271">
        <v>45013</v>
      </c>
      <c r="D92" s="263" t="e">
        <f>+SUMIFS(Tabla6[Nominal COP],Tabla6[Concepto],COSTO_OPORTUNIDAD!$B$18,Tabla6[Nemotécnico],COSTO_OPORTUNIDAD!D$16,Tabla6[Fecha Cumplimiento y/ liquidacion],COSTO_OPORTUNIDAD!$C92)/+SUMIFS(Tabla6[Nominal COP],Tabla6[Concepto],COSTO_OPORTUNIDAD!$B$18,Tabla6[Fecha Cumplimiento y/ liquidacion],COSTO_OPORTUNIDAD!$C92)</f>
        <v>#DIV/0!</v>
      </c>
      <c r="E92" s="263" t="e">
        <f>+SUMIFS(Tabla6[Nominal COP],Tabla6[Concepto],COSTO_OPORTUNIDAD!$B$18,Tabla6[Nemotécnico],COSTO_OPORTUNIDAD!E$16,Tabla6[Fecha Cumplimiento y/ liquidacion],COSTO_OPORTUNIDAD!$C92)/+SUMIFS(Tabla6[Nominal COP],Tabla6[Concepto],COSTO_OPORTUNIDAD!$B$18,Tabla6[Fecha Cumplimiento y/ liquidacion],COSTO_OPORTUNIDAD!$C92)</f>
        <v>#DIV/0!</v>
      </c>
      <c r="F92" s="263"/>
      <c r="G92" s="263"/>
      <c r="H92" s="263">
        <v>7.0000000000000007E-2</v>
      </c>
      <c r="I92" s="263"/>
      <c r="J92" s="263"/>
      <c r="K92" s="263"/>
      <c r="L92" s="263"/>
      <c r="M92" s="263">
        <v>0.86</v>
      </c>
      <c r="N92" s="263"/>
      <c r="O92" s="263"/>
      <c r="P92" s="263"/>
      <c r="Q92" s="263"/>
      <c r="R92" s="263">
        <v>7.0000000000000007E-2</v>
      </c>
      <c r="S92" s="263"/>
      <c r="T92" s="263"/>
      <c r="U92" s="263"/>
      <c r="AA92" s="263"/>
      <c r="AB92" s="262"/>
      <c r="AC92" s="262"/>
      <c r="AD92" s="262"/>
      <c r="AE92" s="262"/>
      <c r="AF92" s="262"/>
      <c r="AG92" s="262"/>
      <c r="AH92" s="274">
        <f t="shared" si="58"/>
        <v>1247</v>
      </c>
      <c r="AI92" s="274">
        <f t="shared" si="59"/>
        <v>1681</v>
      </c>
      <c r="AJ92" s="274">
        <f t="shared" si="60"/>
        <v>1858</v>
      </c>
      <c r="AK92" s="274">
        <f t="shared" si="54"/>
        <v>2339</v>
      </c>
      <c r="AL92" s="274">
        <f t="shared" si="61"/>
        <v>2731</v>
      </c>
      <c r="AM92" s="274">
        <f t="shared" si="62"/>
        <v>2920</v>
      </c>
      <c r="AN92" s="274">
        <f t="shared" si="63"/>
        <v>3382</v>
      </c>
      <c r="AO92" s="274">
        <f t="shared" si="97"/>
        <v>3606</v>
      </c>
      <c r="AP92" s="274">
        <f t="shared" si="64"/>
        <v>4222</v>
      </c>
      <c r="AQ92" s="274"/>
      <c r="AR92" s="274">
        <f t="shared" si="65"/>
        <v>4852</v>
      </c>
      <c r="AS92" s="274">
        <f t="shared" si="55"/>
        <v>6455</v>
      </c>
      <c r="AT92" s="274">
        <f t="shared" si="66"/>
        <v>7001</v>
      </c>
      <c r="AU92" s="274"/>
      <c r="AV92" s="274">
        <f t="shared" si="67"/>
        <v>10074</v>
      </c>
      <c r="AW92" s="274"/>
      <c r="AX92" s="274">
        <f t="shared" si="68"/>
        <v>771</v>
      </c>
      <c r="AY92" s="274">
        <f t="shared" si="69"/>
        <v>1450</v>
      </c>
      <c r="AZ92" s="274">
        <f t="shared" si="70"/>
        <v>2213</v>
      </c>
      <c r="BA92" s="274"/>
      <c r="BB92" s="274">
        <f t="shared" si="71"/>
        <v>3650</v>
      </c>
      <c r="BC92" s="274">
        <f t="shared" si="72"/>
        <v>4390</v>
      </c>
      <c r="BD92" s="274">
        <f t="shared" si="73"/>
        <v>5083</v>
      </c>
      <c r="BE92" s="274"/>
      <c r="BF92" s="274">
        <f t="shared" si="74"/>
        <v>9577</v>
      </c>
      <c r="BG92" s="274"/>
      <c r="BH92" s="274"/>
      <c r="BI92" s="266">
        <f t="shared" si="75"/>
        <v>0</v>
      </c>
      <c r="BJ92" s="266" t="e">
        <f t="shared" si="76"/>
        <v>#DIV/0!</v>
      </c>
      <c r="BK92" s="263" t="str">
        <f t="shared" si="77"/>
        <v/>
      </c>
      <c r="BL92" s="263" t="str">
        <f t="shared" si="78"/>
        <v/>
      </c>
      <c r="BM92" s="263" t="str">
        <f t="shared" si="79"/>
        <v/>
      </c>
      <c r="BN92" s="263"/>
      <c r="BO92" s="263" t="str">
        <f t="shared" si="80"/>
        <v/>
      </c>
      <c r="BP92" s="263" t="str">
        <f t="shared" si="81"/>
        <v/>
      </c>
      <c r="BQ92" s="263" t="str">
        <f t="shared" si="82"/>
        <v/>
      </c>
      <c r="BR92" s="263" t="str">
        <f t="shared" si="83"/>
        <v/>
      </c>
      <c r="BS92" s="263" t="str">
        <f t="shared" si="84"/>
        <v/>
      </c>
      <c r="BT92" s="263" t="str">
        <f t="shared" si="85"/>
        <v/>
      </c>
      <c r="BU92" s="263" t="str">
        <f t="shared" si="86"/>
        <v/>
      </c>
      <c r="BV92" s="263"/>
      <c r="BW92" s="263" t="str">
        <f t="shared" si="87"/>
        <v/>
      </c>
      <c r="BX92" s="263"/>
      <c r="BY92" s="263" t="str">
        <f t="shared" si="88"/>
        <v/>
      </c>
      <c r="BZ92" s="263"/>
      <c r="CA92" s="263" t="str">
        <f t="shared" si="47"/>
        <v/>
      </c>
      <c r="CB92" s="263" t="str">
        <f t="shared" si="89"/>
        <v/>
      </c>
      <c r="CC92" s="263" t="str">
        <f t="shared" si="48"/>
        <v/>
      </c>
      <c r="CD92" s="263" t="str">
        <f t="shared" si="90"/>
        <v/>
      </c>
      <c r="CE92" s="263" t="str">
        <f t="shared" si="96"/>
        <v/>
      </c>
      <c r="CF92" s="263" t="str">
        <f t="shared" si="49"/>
        <v/>
      </c>
      <c r="CG92" s="263" t="str">
        <f t="shared" si="50"/>
        <v/>
      </c>
      <c r="CH92" s="263"/>
      <c r="CI92" s="263" t="str">
        <f t="shared" si="91"/>
        <v/>
      </c>
      <c r="CJ92" s="263"/>
      <c r="CK92" s="263" t="str">
        <f t="shared" si="92"/>
        <v/>
      </c>
      <c r="CL92" s="264">
        <f t="shared" si="98"/>
        <v>0</v>
      </c>
      <c r="CM92" s="264">
        <f t="shared" si="94"/>
        <v>0</v>
      </c>
      <c r="CO92" s="265">
        <v>0.11252000000000001</v>
      </c>
      <c r="CP92" s="265">
        <v>0.11404</v>
      </c>
      <c r="CQ92" s="265">
        <v>0.11484</v>
      </c>
      <c r="CS92" s="265">
        <v>0.11797000000000001</v>
      </c>
      <c r="CT92" s="265">
        <v>0.11869</v>
      </c>
      <c r="CU92" s="265">
        <v>0.1202</v>
      </c>
      <c r="CV92" s="265">
        <v>0.12018000000000001</v>
      </c>
      <c r="CW92" s="265">
        <v>0.12115000000000001</v>
      </c>
      <c r="CY92" s="265">
        <v>0.12166</v>
      </c>
      <c r="DA92" s="265">
        <v>0.12391999999999999</v>
      </c>
      <c r="DC92" s="265">
        <v>0.12391999999999999</v>
      </c>
      <c r="DE92" s="265">
        <v>4.6989999999999997E-2</v>
      </c>
      <c r="DF92" s="265">
        <v>4.9070000000000003E-2</v>
      </c>
      <c r="DH92" s="265">
        <v>4.99E-2</v>
      </c>
      <c r="DI92" s="265">
        <v>5.2300000000000006E-2</v>
      </c>
      <c r="DJ92" s="265">
        <v>5.2699999999999997E-2</v>
      </c>
      <c r="DL92" s="265">
        <v>5.0890000000000005E-2</v>
      </c>
      <c r="DO92" s="267"/>
      <c r="DP92" s="267"/>
      <c r="DQ92" s="267"/>
      <c r="DR92" s="267"/>
      <c r="DS92" s="267"/>
      <c r="DT92" s="267"/>
      <c r="DU92" s="267"/>
      <c r="DV92" s="267"/>
      <c r="DW92" s="267"/>
      <c r="DX92" s="267"/>
      <c r="DY92" s="267"/>
      <c r="DZ92" s="205">
        <f t="shared" si="57"/>
        <v>4.5786587046394121E-2</v>
      </c>
      <c r="EA92" s="205" t="e">
        <f t="shared" si="95"/>
        <v>#DIV/0!</v>
      </c>
      <c r="EC92" s="195">
        <v>2025</v>
      </c>
      <c r="ED92" s="195" t="s">
        <v>447</v>
      </c>
      <c r="EE92" s="205">
        <v>5.16E-2</v>
      </c>
    </row>
    <row r="93" spans="2:138">
      <c r="B93" s="272">
        <v>45014</v>
      </c>
      <c r="C93" s="271">
        <v>45014</v>
      </c>
      <c r="D93" s="263" t="e">
        <f>+SUMIFS(Tabla6[Nominal COP],Tabla6[Concepto],COSTO_OPORTUNIDAD!$B$18,Tabla6[Nemotécnico],COSTO_OPORTUNIDAD!D$16,Tabla6[Fecha Cumplimiento y/ liquidacion],COSTO_OPORTUNIDAD!$C93)/+SUMIFS(Tabla6[Nominal COP],Tabla6[Concepto],COSTO_OPORTUNIDAD!$B$18,Tabla6[Fecha Cumplimiento y/ liquidacion],COSTO_OPORTUNIDAD!$C93)</f>
        <v>#DIV/0!</v>
      </c>
      <c r="E93" s="263" t="e">
        <f>+SUMIFS(Tabla6[Nominal COP],Tabla6[Concepto],COSTO_OPORTUNIDAD!$B$18,Tabla6[Nemotécnico],COSTO_OPORTUNIDAD!E$16,Tabla6[Fecha Cumplimiento y/ liquidacion],COSTO_OPORTUNIDAD!$C93)/+SUMIFS(Tabla6[Nominal COP],Tabla6[Concepto],COSTO_OPORTUNIDAD!$B$18,Tabla6[Fecha Cumplimiento y/ liquidacion],COSTO_OPORTUNIDAD!$C93)</f>
        <v>#DIV/0!</v>
      </c>
      <c r="F93" s="263"/>
      <c r="G93" s="263"/>
      <c r="H93" s="263">
        <v>0.05</v>
      </c>
      <c r="I93" s="263"/>
      <c r="J93" s="263"/>
      <c r="K93" s="263"/>
      <c r="L93" s="263"/>
      <c r="M93" s="263">
        <v>0.89</v>
      </c>
      <c r="N93" s="263"/>
      <c r="O93" s="263"/>
      <c r="P93" s="263"/>
      <c r="Q93" s="263"/>
      <c r="R93" s="263">
        <v>0.05</v>
      </c>
      <c r="S93" s="263"/>
      <c r="T93" s="263"/>
      <c r="U93" s="263"/>
      <c r="AA93" s="263"/>
      <c r="AB93" s="262"/>
      <c r="AC93" s="262"/>
      <c r="AD93" s="262"/>
      <c r="AE93" s="262"/>
      <c r="AF93" s="262"/>
      <c r="AG93" s="262"/>
      <c r="AH93" s="274">
        <f t="shared" si="58"/>
        <v>1246</v>
      </c>
      <c r="AI93" s="274">
        <f t="shared" si="59"/>
        <v>1680</v>
      </c>
      <c r="AJ93" s="274">
        <f t="shared" si="60"/>
        <v>1857</v>
      </c>
      <c r="AK93" s="274">
        <f t="shared" si="54"/>
        <v>2338</v>
      </c>
      <c r="AL93" s="274">
        <f t="shared" si="61"/>
        <v>2730</v>
      </c>
      <c r="AM93" s="274">
        <f t="shared" si="62"/>
        <v>2919</v>
      </c>
      <c r="AN93" s="274">
        <f t="shared" si="63"/>
        <v>3381</v>
      </c>
      <c r="AO93" s="274">
        <f t="shared" si="97"/>
        <v>3605</v>
      </c>
      <c r="AP93" s="274">
        <f t="shared" si="64"/>
        <v>4221</v>
      </c>
      <c r="AQ93" s="274"/>
      <c r="AR93" s="274">
        <f t="shared" si="65"/>
        <v>4851</v>
      </c>
      <c r="AS93" s="274">
        <f t="shared" si="55"/>
        <v>6454</v>
      </c>
      <c r="AT93" s="274">
        <f t="shared" si="66"/>
        <v>7000</v>
      </c>
      <c r="AU93" s="274"/>
      <c r="AV93" s="274">
        <f t="shared" si="67"/>
        <v>10073</v>
      </c>
      <c r="AW93" s="274"/>
      <c r="AX93" s="274">
        <f t="shared" si="68"/>
        <v>770</v>
      </c>
      <c r="AY93" s="274">
        <f t="shared" si="69"/>
        <v>1449</v>
      </c>
      <c r="AZ93" s="274">
        <f t="shared" si="70"/>
        <v>2212</v>
      </c>
      <c r="BA93" s="274"/>
      <c r="BB93" s="274">
        <f t="shared" si="71"/>
        <v>3649</v>
      </c>
      <c r="BC93" s="274">
        <f t="shared" si="72"/>
        <v>4389</v>
      </c>
      <c r="BD93" s="274">
        <f t="shared" si="73"/>
        <v>5082</v>
      </c>
      <c r="BE93" s="274"/>
      <c r="BF93" s="274">
        <f t="shared" si="74"/>
        <v>9576</v>
      </c>
      <c r="BG93" s="274"/>
      <c r="BH93" s="274"/>
      <c r="BI93" s="266">
        <f t="shared" si="75"/>
        <v>0</v>
      </c>
      <c r="BJ93" s="266" t="e">
        <f t="shared" si="76"/>
        <v>#DIV/0!</v>
      </c>
      <c r="BK93" s="263" t="str">
        <f t="shared" si="77"/>
        <v/>
      </c>
      <c r="BL93" s="263" t="str">
        <f t="shared" si="78"/>
        <v/>
      </c>
      <c r="BM93" s="263" t="str">
        <f t="shared" si="79"/>
        <v/>
      </c>
      <c r="BN93" s="263"/>
      <c r="BO93" s="263" t="str">
        <f t="shared" si="80"/>
        <v/>
      </c>
      <c r="BP93" s="263" t="str">
        <f t="shared" si="81"/>
        <v/>
      </c>
      <c r="BQ93" s="263" t="str">
        <f t="shared" si="82"/>
        <v/>
      </c>
      <c r="BR93" s="263" t="str">
        <f t="shared" si="83"/>
        <v/>
      </c>
      <c r="BS93" s="263" t="str">
        <f t="shared" si="84"/>
        <v/>
      </c>
      <c r="BT93" s="263" t="str">
        <f t="shared" si="85"/>
        <v/>
      </c>
      <c r="BU93" s="263" t="str">
        <f t="shared" si="86"/>
        <v/>
      </c>
      <c r="BV93" s="263"/>
      <c r="BW93" s="263" t="str">
        <f t="shared" si="87"/>
        <v/>
      </c>
      <c r="BX93" s="263"/>
      <c r="BY93" s="263" t="str">
        <f t="shared" si="88"/>
        <v/>
      </c>
      <c r="BZ93" s="263"/>
      <c r="CA93" s="263" t="str">
        <f t="shared" si="47"/>
        <v/>
      </c>
      <c r="CB93" s="263" t="str">
        <f t="shared" si="89"/>
        <v/>
      </c>
      <c r="CC93" s="263" t="str">
        <f t="shared" si="48"/>
        <v/>
      </c>
      <c r="CD93" s="263" t="str">
        <f t="shared" si="90"/>
        <v/>
      </c>
      <c r="CE93" s="263" t="str">
        <f t="shared" si="96"/>
        <v/>
      </c>
      <c r="CF93" s="263" t="str">
        <f t="shared" si="49"/>
        <v/>
      </c>
      <c r="CG93" s="263" t="str">
        <f t="shared" si="50"/>
        <v/>
      </c>
      <c r="CH93" s="263"/>
      <c r="CI93" s="263" t="str">
        <f t="shared" si="91"/>
        <v/>
      </c>
      <c r="CJ93" s="263"/>
      <c r="CK93" s="263" t="str">
        <f t="shared" si="92"/>
        <v/>
      </c>
      <c r="CL93" s="264">
        <f t="shared" si="98"/>
        <v>0</v>
      </c>
      <c r="CM93" s="264">
        <f t="shared" si="94"/>
        <v>0</v>
      </c>
      <c r="CO93" s="265">
        <v>0.11217000000000001</v>
      </c>
      <c r="CP93" s="265">
        <v>0.11377000000000001</v>
      </c>
      <c r="CQ93" s="265">
        <v>0.11410000000000001</v>
      </c>
      <c r="CS93" s="265">
        <v>0.1166</v>
      </c>
      <c r="CT93" s="265">
        <v>0.11599999999999999</v>
      </c>
      <c r="CU93" s="265">
        <v>0.11953</v>
      </c>
      <c r="CV93" s="265">
        <v>0.11990000000000001</v>
      </c>
      <c r="CW93" s="265">
        <v>0.12039999999999999</v>
      </c>
      <c r="CY93" s="265">
        <v>0.12135</v>
      </c>
      <c r="DA93" s="265">
        <v>0.1232</v>
      </c>
      <c r="DC93" s="265">
        <v>0.12300000000000001</v>
      </c>
      <c r="DE93" s="265">
        <v>4.614E-2</v>
      </c>
      <c r="DF93" s="265">
        <v>4.9200000000000001E-2</v>
      </c>
      <c r="DH93" s="265">
        <v>5.04E-2</v>
      </c>
      <c r="DI93" s="265">
        <v>5.2199999999999996E-2</v>
      </c>
      <c r="DJ93" s="265">
        <v>5.2499999999999998E-2</v>
      </c>
      <c r="DL93" s="265">
        <v>5.0509999999999999E-2</v>
      </c>
      <c r="DO93" s="267"/>
      <c r="DP93" s="267"/>
      <c r="DQ93" s="267"/>
      <c r="DR93" s="267"/>
      <c r="DS93" s="267"/>
      <c r="DT93" s="267"/>
      <c r="DU93" s="267"/>
      <c r="DV93" s="267"/>
      <c r="DW93" s="267"/>
      <c r="DX93" s="267"/>
      <c r="DY93" s="267"/>
      <c r="DZ93" s="205">
        <f t="shared" si="57"/>
        <v>4.6151768488745984E-2</v>
      </c>
      <c r="EA93" s="205" t="e">
        <f t="shared" si="95"/>
        <v>#DIV/0!</v>
      </c>
      <c r="EC93" s="195">
        <v>2025</v>
      </c>
      <c r="ED93" s="195" t="s">
        <v>448</v>
      </c>
      <c r="EE93" s="205">
        <v>5.0500000000000003E-2</v>
      </c>
    </row>
    <row r="94" spans="2:138">
      <c r="B94" s="272">
        <v>45015</v>
      </c>
      <c r="C94" s="271">
        <v>45015</v>
      </c>
      <c r="D94" s="263" t="e">
        <f>+SUMIFS(Tabla6[Nominal COP],Tabla6[Concepto],COSTO_OPORTUNIDAD!$B$18,Tabla6[Nemotécnico],COSTO_OPORTUNIDAD!D$16,Tabla6[Fecha Cumplimiento y/ liquidacion],COSTO_OPORTUNIDAD!$C94)/+SUMIFS(Tabla6[Nominal COP],Tabla6[Concepto],COSTO_OPORTUNIDAD!$B$18,Tabla6[Fecha Cumplimiento y/ liquidacion],COSTO_OPORTUNIDAD!$C94)</f>
        <v>#DIV/0!</v>
      </c>
      <c r="E94" s="263" t="e">
        <f>+SUMIFS(Tabla6[Nominal COP],Tabla6[Concepto],COSTO_OPORTUNIDAD!$B$18,Tabla6[Nemotécnico],COSTO_OPORTUNIDAD!E$16,Tabla6[Fecha Cumplimiento y/ liquidacion],COSTO_OPORTUNIDAD!$C94)/+SUMIFS(Tabla6[Nominal COP],Tabla6[Concepto],COSTO_OPORTUNIDAD!$B$18,Tabla6[Fecha Cumplimiento y/ liquidacion],COSTO_OPORTUNIDAD!$C94)</f>
        <v>#DIV/0!</v>
      </c>
      <c r="F94" s="263"/>
      <c r="G94" s="263"/>
      <c r="H94" s="263">
        <v>0.06</v>
      </c>
      <c r="I94" s="263"/>
      <c r="J94" s="263"/>
      <c r="K94" s="263"/>
      <c r="L94" s="263"/>
      <c r="M94" s="263">
        <v>0.88</v>
      </c>
      <c r="N94" s="263"/>
      <c r="O94" s="263"/>
      <c r="P94" s="263"/>
      <c r="Q94" s="263"/>
      <c r="R94" s="263">
        <v>0.06</v>
      </c>
      <c r="S94" s="263"/>
      <c r="T94" s="263"/>
      <c r="U94" s="263"/>
      <c r="AA94" s="263"/>
      <c r="AB94" s="262"/>
      <c r="AC94" s="262"/>
      <c r="AD94" s="262"/>
      <c r="AE94" s="262"/>
      <c r="AF94" s="262"/>
      <c r="AG94" s="262"/>
      <c r="AH94" s="274">
        <f t="shared" si="58"/>
        <v>1245</v>
      </c>
      <c r="AI94" s="274">
        <f t="shared" si="59"/>
        <v>1679</v>
      </c>
      <c r="AJ94" s="274">
        <f t="shared" si="60"/>
        <v>1856</v>
      </c>
      <c r="AK94" s="274">
        <f t="shared" si="54"/>
        <v>2337</v>
      </c>
      <c r="AL94" s="274">
        <f t="shared" si="61"/>
        <v>2729</v>
      </c>
      <c r="AM94" s="274">
        <f t="shared" si="62"/>
        <v>2918</v>
      </c>
      <c r="AN94" s="274">
        <f t="shared" si="63"/>
        <v>3380</v>
      </c>
      <c r="AO94" s="274">
        <f t="shared" si="97"/>
        <v>3604</v>
      </c>
      <c r="AP94" s="274">
        <f t="shared" si="64"/>
        <v>4220</v>
      </c>
      <c r="AQ94" s="274"/>
      <c r="AR94" s="274">
        <f t="shared" si="65"/>
        <v>4850</v>
      </c>
      <c r="AS94" s="274">
        <f t="shared" si="55"/>
        <v>6453</v>
      </c>
      <c r="AT94" s="274">
        <f t="shared" si="66"/>
        <v>6999</v>
      </c>
      <c r="AU94" s="274"/>
      <c r="AV94" s="274">
        <f t="shared" si="67"/>
        <v>10072</v>
      </c>
      <c r="AW94" s="274"/>
      <c r="AX94" s="274">
        <f t="shared" si="68"/>
        <v>769</v>
      </c>
      <c r="AY94" s="274">
        <f t="shared" si="69"/>
        <v>1448</v>
      </c>
      <c r="AZ94" s="274">
        <f t="shared" si="70"/>
        <v>2211</v>
      </c>
      <c r="BA94" s="274"/>
      <c r="BB94" s="274">
        <f t="shared" si="71"/>
        <v>3648</v>
      </c>
      <c r="BC94" s="274">
        <f t="shared" si="72"/>
        <v>4388</v>
      </c>
      <c r="BD94" s="274">
        <f t="shared" si="73"/>
        <v>5081</v>
      </c>
      <c r="BE94" s="274"/>
      <c r="BF94" s="274">
        <f t="shared" si="74"/>
        <v>9575</v>
      </c>
      <c r="BG94" s="274"/>
      <c r="BH94" s="274"/>
      <c r="BI94" s="266">
        <f t="shared" si="75"/>
        <v>0</v>
      </c>
      <c r="BJ94" s="266" t="e">
        <f t="shared" si="76"/>
        <v>#DIV/0!</v>
      </c>
      <c r="BK94" s="263" t="str">
        <f t="shared" si="77"/>
        <v/>
      </c>
      <c r="BL94" s="263" t="str">
        <f t="shared" si="78"/>
        <v/>
      </c>
      <c r="BM94" s="263" t="str">
        <f t="shared" si="79"/>
        <v/>
      </c>
      <c r="BN94" s="263"/>
      <c r="BO94" s="263" t="str">
        <f t="shared" si="80"/>
        <v/>
      </c>
      <c r="BP94" s="263" t="str">
        <f t="shared" si="81"/>
        <v/>
      </c>
      <c r="BQ94" s="263" t="str">
        <f t="shared" si="82"/>
        <v/>
      </c>
      <c r="BR94" s="263" t="str">
        <f t="shared" si="83"/>
        <v/>
      </c>
      <c r="BS94" s="263" t="str">
        <f t="shared" si="84"/>
        <v/>
      </c>
      <c r="BT94" s="263" t="str">
        <f t="shared" si="85"/>
        <v/>
      </c>
      <c r="BU94" s="263" t="str">
        <f t="shared" si="86"/>
        <v/>
      </c>
      <c r="BV94" s="263"/>
      <c r="BW94" s="263" t="str">
        <f t="shared" si="87"/>
        <v/>
      </c>
      <c r="BX94" s="263"/>
      <c r="BY94" s="263" t="str">
        <f t="shared" si="88"/>
        <v/>
      </c>
      <c r="BZ94" s="263"/>
      <c r="CA94" s="263" t="str">
        <f t="shared" si="47"/>
        <v/>
      </c>
      <c r="CB94" s="263" t="str">
        <f t="shared" si="89"/>
        <v/>
      </c>
      <c r="CC94" s="263" t="str">
        <f t="shared" si="48"/>
        <v/>
      </c>
      <c r="CD94" s="263" t="str">
        <f t="shared" si="90"/>
        <v/>
      </c>
      <c r="CE94" s="263" t="str">
        <f t="shared" si="96"/>
        <v/>
      </c>
      <c r="CF94" s="263" t="str">
        <f t="shared" si="49"/>
        <v/>
      </c>
      <c r="CG94" s="263" t="str">
        <f t="shared" si="50"/>
        <v/>
      </c>
      <c r="CH94" s="263"/>
      <c r="CI94" s="263" t="str">
        <f t="shared" si="91"/>
        <v/>
      </c>
      <c r="CJ94" s="263"/>
      <c r="CK94" s="263" t="str">
        <f t="shared" si="92"/>
        <v/>
      </c>
      <c r="CL94" s="264">
        <f t="shared" si="98"/>
        <v>0</v>
      </c>
      <c r="CM94" s="264">
        <f t="shared" si="94"/>
        <v>0</v>
      </c>
      <c r="CO94" s="265">
        <v>0.11141999999999999</v>
      </c>
      <c r="CP94" s="265">
        <v>0.11362</v>
      </c>
      <c r="CQ94" s="265">
        <v>0.11410000000000001</v>
      </c>
      <c r="CS94" s="265">
        <v>0.11645</v>
      </c>
      <c r="CT94" s="265">
        <v>0.11599999999999999</v>
      </c>
      <c r="CU94" s="265">
        <v>0.11779999999999999</v>
      </c>
      <c r="CV94" s="265">
        <v>0.12026999999999999</v>
      </c>
      <c r="CW94" s="265">
        <v>0.11901999999999999</v>
      </c>
      <c r="CY94" s="265">
        <v>0.1201</v>
      </c>
      <c r="DA94" s="265">
        <v>0.12254</v>
      </c>
      <c r="DC94" s="265">
        <v>0.1225</v>
      </c>
      <c r="DE94" s="265">
        <v>4.6199999999999998E-2</v>
      </c>
      <c r="DF94" s="265">
        <v>4.8799999999999996E-2</v>
      </c>
      <c r="DH94" s="265">
        <v>0.05</v>
      </c>
      <c r="DI94" s="265">
        <v>5.1849999999999993E-2</v>
      </c>
      <c r="DJ94" s="265">
        <v>5.2019999999999997E-2</v>
      </c>
      <c r="DL94" s="265">
        <v>5.0290000000000001E-2</v>
      </c>
      <c r="DO94" s="267"/>
      <c r="DP94" s="267"/>
      <c r="DQ94" s="267"/>
      <c r="DR94" s="267"/>
      <c r="DS94" s="267"/>
      <c r="DT94" s="267"/>
      <c r="DU94" s="267"/>
      <c r="DV94" s="267"/>
      <c r="DW94" s="267"/>
      <c r="DX94" s="267"/>
      <c r="DY94" s="267"/>
      <c r="DZ94" s="205">
        <f t="shared" si="57"/>
        <v>4.5702365640790076E-2</v>
      </c>
      <c r="EA94" s="205" t="e">
        <f t="shared" si="95"/>
        <v>#DIV/0!</v>
      </c>
      <c r="EC94" s="195">
        <v>2025</v>
      </c>
      <c r="ED94" s="195" t="s">
        <v>449</v>
      </c>
      <c r="EE94" s="205">
        <v>4.82E-2</v>
      </c>
    </row>
    <row r="95" spans="2:138">
      <c r="B95" s="272">
        <v>45016</v>
      </c>
      <c r="C95" s="271">
        <v>45016</v>
      </c>
      <c r="D95" s="263" t="e">
        <f>+SUMIFS(Tabla6[Nominal COP],Tabla6[Concepto],COSTO_OPORTUNIDAD!$B$18,Tabla6[Nemotécnico],COSTO_OPORTUNIDAD!D$16,Tabla6[Fecha Cumplimiento y/ liquidacion],COSTO_OPORTUNIDAD!$C95)/+SUMIFS(Tabla6[Nominal COP],Tabla6[Concepto],COSTO_OPORTUNIDAD!$B$18,Tabla6[Fecha Cumplimiento y/ liquidacion],COSTO_OPORTUNIDAD!$C95)</f>
        <v>#DIV/0!</v>
      </c>
      <c r="E95" s="263" t="e">
        <f>+SUMIFS(Tabla6[Nominal COP],Tabla6[Concepto],COSTO_OPORTUNIDAD!$B$18,Tabla6[Nemotécnico],COSTO_OPORTUNIDAD!E$16,Tabla6[Fecha Cumplimiento y/ liquidacion],COSTO_OPORTUNIDAD!$C95)/+SUMIFS(Tabla6[Nominal COP],Tabla6[Concepto],COSTO_OPORTUNIDAD!$B$18,Tabla6[Fecha Cumplimiento y/ liquidacion],COSTO_OPORTUNIDAD!$C95)</f>
        <v>#DIV/0!</v>
      </c>
      <c r="F95" s="263"/>
      <c r="G95" s="263"/>
      <c r="H95" s="263">
        <v>0.05</v>
      </c>
      <c r="I95" s="263"/>
      <c r="J95" s="263"/>
      <c r="K95" s="263"/>
      <c r="L95" s="263"/>
      <c r="M95" s="263">
        <v>0.9</v>
      </c>
      <c r="N95" s="263"/>
      <c r="O95" s="263"/>
      <c r="P95" s="263"/>
      <c r="Q95" s="263"/>
      <c r="R95" s="263">
        <v>0.05</v>
      </c>
      <c r="S95" s="263"/>
      <c r="T95" s="263"/>
      <c r="U95" s="263"/>
      <c r="AA95" s="263"/>
      <c r="AB95" s="262"/>
      <c r="AC95" s="262"/>
      <c r="AD95" s="262"/>
      <c r="AE95" s="262"/>
      <c r="AF95" s="262"/>
      <c r="AG95" s="262"/>
      <c r="AH95" s="274">
        <f t="shared" si="58"/>
        <v>1244</v>
      </c>
      <c r="AI95" s="274">
        <f t="shared" si="59"/>
        <v>1678</v>
      </c>
      <c r="AJ95" s="274">
        <f t="shared" si="60"/>
        <v>1855</v>
      </c>
      <c r="AK95" s="274">
        <f t="shared" si="54"/>
        <v>2336</v>
      </c>
      <c r="AL95" s="274">
        <f t="shared" si="61"/>
        <v>2728</v>
      </c>
      <c r="AM95" s="274">
        <f t="shared" si="62"/>
        <v>2917</v>
      </c>
      <c r="AN95" s="274">
        <f t="shared" si="63"/>
        <v>3379</v>
      </c>
      <c r="AO95" s="274">
        <f t="shared" si="97"/>
        <v>3603</v>
      </c>
      <c r="AP95" s="274">
        <f t="shared" si="64"/>
        <v>4219</v>
      </c>
      <c r="AQ95" s="274"/>
      <c r="AR95" s="274">
        <f t="shared" si="65"/>
        <v>4849</v>
      </c>
      <c r="AS95" s="274">
        <f t="shared" si="55"/>
        <v>6452</v>
      </c>
      <c r="AT95" s="274">
        <f t="shared" si="66"/>
        <v>6998</v>
      </c>
      <c r="AU95" s="274"/>
      <c r="AV95" s="274">
        <f t="shared" si="67"/>
        <v>10071</v>
      </c>
      <c r="AW95" s="274"/>
      <c r="AX95" s="274">
        <f t="shared" si="68"/>
        <v>768</v>
      </c>
      <c r="AY95" s="274">
        <f t="shared" si="69"/>
        <v>1447</v>
      </c>
      <c r="AZ95" s="274">
        <f t="shared" si="70"/>
        <v>2210</v>
      </c>
      <c r="BA95" s="274"/>
      <c r="BB95" s="274">
        <f t="shared" si="71"/>
        <v>3647</v>
      </c>
      <c r="BC95" s="274">
        <f t="shared" si="72"/>
        <v>4387</v>
      </c>
      <c r="BD95" s="274">
        <f t="shared" si="73"/>
        <v>5080</v>
      </c>
      <c r="BE95" s="274"/>
      <c r="BF95" s="274">
        <f t="shared" si="74"/>
        <v>9574</v>
      </c>
      <c r="BG95" s="274"/>
      <c r="BH95" s="274"/>
      <c r="BI95" s="266">
        <f t="shared" si="75"/>
        <v>0</v>
      </c>
      <c r="BJ95" s="266" t="e">
        <f t="shared" si="76"/>
        <v>#DIV/0!</v>
      </c>
      <c r="BK95" s="263" t="str">
        <f t="shared" si="77"/>
        <v/>
      </c>
      <c r="BL95" s="263" t="str">
        <f t="shared" si="78"/>
        <v/>
      </c>
      <c r="BM95" s="263" t="str">
        <f t="shared" si="79"/>
        <v/>
      </c>
      <c r="BN95" s="263"/>
      <c r="BO95" s="263" t="str">
        <f t="shared" si="80"/>
        <v/>
      </c>
      <c r="BP95" s="263" t="str">
        <f t="shared" si="81"/>
        <v/>
      </c>
      <c r="BQ95" s="263" t="str">
        <f t="shared" si="82"/>
        <v/>
      </c>
      <c r="BR95" s="263" t="str">
        <f t="shared" si="83"/>
        <v/>
      </c>
      <c r="BS95" s="263" t="str">
        <f t="shared" si="84"/>
        <v/>
      </c>
      <c r="BT95" s="263" t="str">
        <f t="shared" si="85"/>
        <v/>
      </c>
      <c r="BU95" s="263" t="str">
        <f t="shared" si="86"/>
        <v/>
      </c>
      <c r="BV95" s="263"/>
      <c r="BW95" s="263" t="str">
        <f t="shared" si="87"/>
        <v/>
      </c>
      <c r="BX95" s="263"/>
      <c r="BY95" s="263" t="str">
        <f t="shared" si="88"/>
        <v/>
      </c>
      <c r="BZ95" s="263"/>
      <c r="CA95" s="263" t="str">
        <f t="shared" si="47"/>
        <v/>
      </c>
      <c r="CB95" s="263" t="str">
        <f t="shared" si="89"/>
        <v/>
      </c>
      <c r="CC95" s="263" t="str">
        <f t="shared" si="48"/>
        <v/>
      </c>
      <c r="CD95" s="263" t="str">
        <f t="shared" si="90"/>
        <v/>
      </c>
      <c r="CE95" s="263" t="str">
        <f t="shared" si="96"/>
        <v/>
      </c>
      <c r="CF95" s="263" t="str">
        <f t="shared" si="49"/>
        <v/>
      </c>
      <c r="CG95" s="263" t="str">
        <f t="shared" si="50"/>
        <v/>
      </c>
      <c r="CH95" s="263"/>
      <c r="CI95" s="263" t="str">
        <f t="shared" si="91"/>
        <v/>
      </c>
      <c r="CJ95" s="263"/>
      <c r="CK95" s="263" t="str">
        <f t="shared" si="92"/>
        <v/>
      </c>
      <c r="CL95" s="264">
        <f t="shared" si="98"/>
        <v>0</v>
      </c>
      <c r="CM95" s="264">
        <f t="shared" si="94"/>
        <v>0</v>
      </c>
      <c r="CO95" s="265">
        <v>0.1101</v>
      </c>
      <c r="CP95" s="265">
        <v>0.1124</v>
      </c>
      <c r="CQ95" s="265">
        <v>0.1128</v>
      </c>
      <c r="CS95" s="265">
        <v>0.11451</v>
      </c>
      <c r="CT95" s="265">
        <v>0.11611</v>
      </c>
      <c r="CU95" s="265">
        <v>0.1162</v>
      </c>
      <c r="CV95" s="265">
        <v>0.1188</v>
      </c>
      <c r="CW95" s="265">
        <v>0.11666</v>
      </c>
      <c r="CY95" s="265">
        <v>0.11800000000000001</v>
      </c>
      <c r="DA95" s="265">
        <v>0.1202</v>
      </c>
      <c r="DC95" s="265">
        <v>0.12</v>
      </c>
      <c r="DE95" s="265">
        <v>4.462E-2</v>
      </c>
      <c r="DF95" s="265">
        <v>4.7199999999999999E-2</v>
      </c>
      <c r="DH95" s="265">
        <v>4.9400000000000006E-2</v>
      </c>
      <c r="DI95" s="265">
        <v>5.0900000000000001E-2</v>
      </c>
      <c r="DJ95" s="265">
        <v>5.1380000000000002E-2</v>
      </c>
      <c r="DL95" s="265">
        <v>4.9299999999999997E-2</v>
      </c>
      <c r="DO95" s="267"/>
      <c r="DP95" s="267"/>
      <c r="DQ95" s="267"/>
      <c r="DR95" s="267"/>
      <c r="DS95" s="267"/>
      <c r="DT95" s="267"/>
      <c r="DU95" s="267"/>
      <c r="DV95" s="267"/>
      <c r="DW95" s="267"/>
      <c r="DX95" s="267"/>
      <c r="DY95" s="267"/>
      <c r="DZ95" s="205">
        <f t="shared" si="57"/>
        <v>4.3443913642627466E-2</v>
      </c>
      <c r="EA95" s="205" t="e">
        <f t="shared" si="95"/>
        <v>#DIV/0!</v>
      </c>
      <c r="EC95" s="195">
        <v>2025</v>
      </c>
      <c r="ED95" s="195" t="s">
        <v>450</v>
      </c>
      <c r="EE95" s="205"/>
    </row>
    <row r="96" spans="2:138">
      <c r="B96" s="272">
        <v>45019</v>
      </c>
      <c r="C96" s="271">
        <v>45019</v>
      </c>
      <c r="D96" s="263" t="e">
        <f>+SUMIFS(Tabla6[Nominal COP],Tabla6[Concepto],COSTO_OPORTUNIDAD!$B$18,Tabla6[Nemotécnico],COSTO_OPORTUNIDAD!D$16,Tabla6[Fecha Cumplimiento y/ liquidacion],COSTO_OPORTUNIDAD!$C96)/+SUMIFS(Tabla6[Nominal COP],Tabla6[Concepto],COSTO_OPORTUNIDAD!$B$18,Tabla6[Fecha Cumplimiento y/ liquidacion],COSTO_OPORTUNIDAD!$C96)</f>
        <v>#DIV/0!</v>
      </c>
      <c r="E96" s="263" t="e">
        <f>+SUMIFS(Tabla6[Nominal COP],Tabla6[Concepto],COSTO_OPORTUNIDAD!$B$18,Tabla6[Nemotécnico],COSTO_OPORTUNIDAD!E$16,Tabla6[Fecha Cumplimiento y/ liquidacion],COSTO_OPORTUNIDAD!$C96)/+SUMIFS(Tabla6[Nominal COP],Tabla6[Concepto],COSTO_OPORTUNIDAD!$B$18,Tabla6[Fecha Cumplimiento y/ liquidacion],COSTO_OPORTUNIDAD!$C96)</f>
        <v>#DIV/0!</v>
      </c>
      <c r="F96" s="263"/>
      <c r="G96" s="263"/>
      <c r="H96" s="263">
        <v>0.09</v>
      </c>
      <c r="I96" s="263"/>
      <c r="J96" s="263"/>
      <c r="K96" s="263"/>
      <c r="L96" s="263"/>
      <c r="M96" s="263">
        <v>0.82</v>
      </c>
      <c r="N96" s="263"/>
      <c r="O96" s="263"/>
      <c r="P96" s="263"/>
      <c r="Q96" s="263"/>
      <c r="R96" s="263">
        <v>0.09</v>
      </c>
      <c r="S96" s="263"/>
      <c r="T96" s="263"/>
      <c r="U96" s="263"/>
      <c r="AA96" s="263"/>
      <c r="AB96" s="262"/>
      <c r="AC96" s="262"/>
      <c r="AD96" s="262"/>
      <c r="AE96" s="262"/>
      <c r="AF96" s="262"/>
      <c r="AG96" s="262"/>
      <c r="AH96" s="274">
        <f t="shared" si="58"/>
        <v>1241</v>
      </c>
      <c r="AI96" s="274">
        <f t="shared" si="59"/>
        <v>1675</v>
      </c>
      <c r="AJ96" s="274">
        <f t="shared" si="60"/>
        <v>1852</v>
      </c>
      <c r="AK96" s="274">
        <f t="shared" si="54"/>
        <v>2333</v>
      </c>
      <c r="AL96" s="274">
        <f t="shared" si="61"/>
        <v>2725</v>
      </c>
      <c r="AM96" s="274">
        <f t="shared" si="62"/>
        <v>2914</v>
      </c>
      <c r="AN96" s="274">
        <f t="shared" si="63"/>
        <v>3376</v>
      </c>
      <c r="AO96" s="274">
        <f t="shared" si="97"/>
        <v>3600</v>
      </c>
      <c r="AP96" s="274">
        <f t="shared" si="64"/>
        <v>4216</v>
      </c>
      <c r="AQ96" s="274"/>
      <c r="AR96" s="274">
        <f t="shared" si="65"/>
        <v>4846</v>
      </c>
      <c r="AS96" s="274">
        <f t="shared" si="55"/>
        <v>6449</v>
      </c>
      <c r="AT96" s="274">
        <f t="shared" si="66"/>
        <v>6995</v>
      </c>
      <c r="AU96" s="274"/>
      <c r="AV96" s="274">
        <f t="shared" si="67"/>
        <v>10068</v>
      </c>
      <c r="AW96" s="274"/>
      <c r="AX96" s="274">
        <f t="shared" si="68"/>
        <v>765</v>
      </c>
      <c r="AY96" s="274">
        <f t="shared" si="69"/>
        <v>1444</v>
      </c>
      <c r="AZ96" s="274">
        <f t="shared" si="70"/>
        <v>2207</v>
      </c>
      <c r="BA96" s="274"/>
      <c r="BB96" s="274">
        <f t="shared" si="71"/>
        <v>3644</v>
      </c>
      <c r="BC96" s="274">
        <f t="shared" si="72"/>
        <v>4384</v>
      </c>
      <c r="BD96" s="274">
        <f t="shared" si="73"/>
        <v>5077</v>
      </c>
      <c r="BE96" s="274"/>
      <c r="BF96" s="274">
        <f t="shared" si="74"/>
        <v>9571</v>
      </c>
      <c r="BG96" s="274"/>
      <c r="BH96" s="274"/>
      <c r="BI96" s="266">
        <f t="shared" si="75"/>
        <v>0</v>
      </c>
      <c r="BJ96" s="266" t="e">
        <f t="shared" si="76"/>
        <v>#DIV/0!</v>
      </c>
      <c r="BK96" s="263" t="str">
        <f t="shared" si="77"/>
        <v/>
      </c>
      <c r="BL96" s="263" t="str">
        <f t="shared" si="78"/>
        <v/>
      </c>
      <c r="BM96" s="263" t="str">
        <f t="shared" si="79"/>
        <v/>
      </c>
      <c r="BN96" s="263"/>
      <c r="BO96" s="263" t="str">
        <f t="shared" si="80"/>
        <v/>
      </c>
      <c r="BP96" s="263" t="str">
        <f t="shared" si="81"/>
        <v/>
      </c>
      <c r="BQ96" s="263" t="str">
        <f t="shared" si="82"/>
        <v/>
      </c>
      <c r="BR96" s="263" t="str">
        <f t="shared" si="83"/>
        <v/>
      </c>
      <c r="BS96" s="263" t="str">
        <f t="shared" si="84"/>
        <v/>
      </c>
      <c r="BT96" s="263" t="str">
        <f t="shared" si="85"/>
        <v/>
      </c>
      <c r="BU96" s="263" t="str">
        <f t="shared" si="86"/>
        <v/>
      </c>
      <c r="BV96" s="263"/>
      <c r="BW96" s="263" t="str">
        <f t="shared" si="87"/>
        <v/>
      </c>
      <c r="BX96" s="263"/>
      <c r="BY96" s="263" t="str">
        <f t="shared" si="88"/>
        <v/>
      </c>
      <c r="BZ96" s="263"/>
      <c r="CA96" s="263" t="str">
        <f t="shared" si="47"/>
        <v/>
      </c>
      <c r="CB96" s="263" t="str">
        <f t="shared" si="89"/>
        <v/>
      </c>
      <c r="CC96" s="263" t="str">
        <f t="shared" si="48"/>
        <v/>
      </c>
      <c r="CD96" s="263" t="str">
        <f t="shared" si="90"/>
        <v/>
      </c>
      <c r="CE96" s="263" t="str">
        <f t="shared" si="96"/>
        <v/>
      </c>
      <c r="CF96" s="263" t="str">
        <f t="shared" si="49"/>
        <v/>
      </c>
      <c r="CG96" s="263" t="str">
        <f t="shared" si="50"/>
        <v/>
      </c>
      <c r="CH96" s="263"/>
      <c r="CI96" s="263" t="str">
        <f t="shared" si="91"/>
        <v/>
      </c>
      <c r="CJ96" s="263"/>
      <c r="CK96" s="263" t="str">
        <f t="shared" si="92"/>
        <v/>
      </c>
      <c r="CL96" s="264">
        <f t="shared" si="98"/>
        <v>0</v>
      </c>
      <c r="CM96" s="264">
        <f t="shared" si="94"/>
        <v>0</v>
      </c>
      <c r="CO96" s="265">
        <v>0.10890000000000001</v>
      </c>
      <c r="CP96" s="265">
        <v>0.11042</v>
      </c>
      <c r="CQ96" s="265">
        <v>0.11</v>
      </c>
      <c r="CS96" s="265">
        <v>0.113</v>
      </c>
      <c r="CT96" s="265">
        <v>0.11349999999999999</v>
      </c>
      <c r="CU96" s="265">
        <v>0.11509999999999999</v>
      </c>
      <c r="CV96" s="265">
        <v>0.11688999999999999</v>
      </c>
      <c r="CW96" s="265">
        <v>0.11599999999999999</v>
      </c>
      <c r="CY96" s="265">
        <v>0.11650000000000001</v>
      </c>
      <c r="DA96" s="265">
        <v>0.11800000000000001</v>
      </c>
      <c r="DC96" s="265">
        <v>0.11814</v>
      </c>
      <c r="DE96" s="265">
        <v>4.2320000000000003E-2</v>
      </c>
      <c r="DF96" s="265">
        <v>4.5999999999999999E-2</v>
      </c>
      <c r="DH96" s="265">
        <v>4.7240000000000004E-2</v>
      </c>
      <c r="DI96" s="265">
        <v>4.8920000000000005E-2</v>
      </c>
      <c r="DJ96" s="265">
        <v>4.9509999999999998E-2</v>
      </c>
      <c r="DL96" s="265">
        <v>4.7800000000000002E-2</v>
      </c>
      <c r="DO96" s="264" t="e">
        <f t="shared" ref="DO96:DO127" si="99">+INDEX(AH96:AV96,MATCH(CL96,AH96:AV96,1))</f>
        <v>#N/A</v>
      </c>
      <c r="DP96" s="264" t="e" cm="1">
        <f t="array" ref="DP96">+INDEX(AH96:AV96,MATCH(DO96,AH96:AV96,1)+1)</f>
        <v>#N/A</v>
      </c>
      <c r="DQ96" s="265" t="e">
        <f t="shared" ref="DQ96:DQ127" si="100">+INDEX(CO96:DC96,MATCH(DO96,AH96:AV96,1))</f>
        <v>#N/A</v>
      </c>
      <c r="DR96" s="267" t="e">
        <f t="shared" ref="DR96:DR127" si="101">+INDEX(CO96:DC96,MATCH(DP96,AH96:AV96,1))</f>
        <v>#N/A</v>
      </c>
      <c r="DS96" s="267" t="e">
        <f t="shared" ref="DS96:DS127" si="102">ROUND(DQ96+((CL96-DO96)/(DP96-DO96))*(DR96-DQ96),5)</f>
        <v>#N/A</v>
      </c>
      <c r="DT96" s="268" t="e">
        <f t="shared" ref="DT96:DT127" si="103">+INDEX(AX96:BF96,MATCH(CM96,AX96:BF96,1))</f>
        <v>#N/A</v>
      </c>
      <c r="DU96" s="268" t="e" cm="1">
        <f t="array" ref="DU96">+INDEX(AX96:BF96,MATCH(DT96,AX96:BF96,1)+1)</f>
        <v>#N/A</v>
      </c>
      <c r="DV96" s="267" t="e">
        <f t="shared" ref="DV96:DV159" si="104">+INDEX(DE96:DL96,MATCH(DT96,AX96:BF96,1))</f>
        <v>#N/A</v>
      </c>
      <c r="DW96" s="267" t="e">
        <f t="shared" ref="DW96:DW127" si="105">+INDEX(DE96:DL96,MATCH(DU96,AX96:BF96,1))</f>
        <v>#N/A</v>
      </c>
      <c r="DX96" s="267" t="e">
        <f t="shared" ref="DX96:DX127" si="106">ROUND(DV96+((CM96-DT96)/(DU96-DT96))*(DW96-DV96),5)</f>
        <v>#N/A</v>
      </c>
      <c r="DY96" s="267">
        <f t="shared" ref="DY96:DY104" si="107">+$EE$67</f>
        <v>0.13339999999999999</v>
      </c>
      <c r="DZ96" s="205">
        <f t="shared" si="57"/>
        <v>4.3039761139182356E-2</v>
      </c>
      <c r="EA96" s="205" t="e">
        <f t="shared" si="95"/>
        <v>#DIV/0!</v>
      </c>
      <c r="EC96" s="195">
        <v>2025</v>
      </c>
      <c r="ED96" s="195" t="s">
        <v>451</v>
      </c>
      <c r="EE96" s="205"/>
    </row>
    <row r="97" spans="2:135">
      <c r="B97" s="272">
        <v>45020</v>
      </c>
      <c r="C97" s="271">
        <v>45020</v>
      </c>
      <c r="D97" s="263" t="e">
        <f>+SUMIFS(Tabla6[Nominal COP],Tabla6[Concepto],COSTO_OPORTUNIDAD!$B$18,Tabla6[Nemotécnico],COSTO_OPORTUNIDAD!D$16,Tabla6[Fecha Cumplimiento y/ liquidacion],COSTO_OPORTUNIDAD!$C97)/+SUMIFS(Tabla6[Nominal COP],Tabla6[Concepto],COSTO_OPORTUNIDAD!$B$18,Tabla6[Fecha Cumplimiento y/ liquidacion],COSTO_OPORTUNIDAD!$C97)</f>
        <v>#DIV/0!</v>
      </c>
      <c r="E97" s="263" t="e">
        <f>+SUMIFS(Tabla6[Nominal COP],Tabla6[Concepto],COSTO_OPORTUNIDAD!$B$18,Tabla6[Nemotécnico],COSTO_OPORTUNIDAD!E$16,Tabla6[Fecha Cumplimiento y/ liquidacion],COSTO_OPORTUNIDAD!$C97)/+SUMIFS(Tabla6[Nominal COP],Tabla6[Concepto],COSTO_OPORTUNIDAD!$B$18,Tabla6[Fecha Cumplimiento y/ liquidacion],COSTO_OPORTUNIDAD!$C97)</f>
        <v>#DIV/0!</v>
      </c>
      <c r="F97" s="263"/>
      <c r="G97" s="263"/>
      <c r="H97" s="263">
        <v>0.09</v>
      </c>
      <c r="I97" s="263"/>
      <c r="J97" s="263"/>
      <c r="K97" s="263"/>
      <c r="L97" s="263"/>
      <c r="M97" s="263">
        <v>0.83</v>
      </c>
      <c r="N97" s="263"/>
      <c r="O97" s="263"/>
      <c r="P97" s="263"/>
      <c r="Q97" s="263"/>
      <c r="R97" s="263">
        <v>0.08</v>
      </c>
      <c r="S97" s="263"/>
      <c r="T97" s="263"/>
      <c r="U97" s="263"/>
      <c r="AA97" s="263"/>
      <c r="AB97" s="262"/>
      <c r="AC97" s="262"/>
      <c r="AD97" s="262"/>
      <c r="AE97" s="262"/>
      <c r="AF97" s="262"/>
      <c r="AG97" s="262"/>
      <c r="AH97" s="274">
        <f t="shared" si="58"/>
        <v>1240</v>
      </c>
      <c r="AI97" s="274">
        <f t="shared" si="59"/>
        <v>1674</v>
      </c>
      <c r="AJ97" s="274">
        <f t="shared" si="60"/>
        <v>1851</v>
      </c>
      <c r="AK97" s="274">
        <f t="shared" si="54"/>
        <v>2332</v>
      </c>
      <c r="AL97" s="274">
        <f t="shared" si="61"/>
        <v>2724</v>
      </c>
      <c r="AM97" s="274">
        <f t="shared" si="62"/>
        <v>2913</v>
      </c>
      <c r="AN97" s="274">
        <f t="shared" si="63"/>
        <v>3375</v>
      </c>
      <c r="AO97" s="274">
        <f t="shared" si="97"/>
        <v>3599</v>
      </c>
      <c r="AP97" s="274">
        <f t="shared" si="64"/>
        <v>4215</v>
      </c>
      <c r="AQ97" s="274"/>
      <c r="AR97" s="274">
        <f t="shared" si="65"/>
        <v>4845</v>
      </c>
      <c r="AS97" s="274">
        <f t="shared" si="55"/>
        <v>6448</v>
      </c>
      <c r="AT97" s="274">
        <f t="shared" si="66"/>
        <v>6994</v>
      </c>
      <c r="AU97" s="274"/>
      <c r="AV97" s="274">
        <f t="shared" si="67"/>
        <v>10067</v>
      </c>
      <c r="AW97" s="274"/>
      <c r="AX97" s="274">
        <f t="shared" si="68"/>
        <v>764</v>
      </c>
      <c r="AY97" s="274">
        <f t="shared" si="69"/>
        <v>1443</v>
      </c>
      <c r="AZ97" s="274">
        <f t="shared" si="70"/>
        <v>2206</v>
      </c>
      <c r="BA97" s="274"/>
      <c r="BB97" s="274">
        <f t="shared" si="71"/>
        <v>3643</v>
      </c>
      <c r="BC97" s="274">
        <f t="shared" si="72"/>
        <v>4383</v>
      </c>
      <c r="BD97" s="274">
        <f t="shared" si="73"/>
        <v>5076</v>
      </c>
      <c r="BE97" s="274"/>
      <c r="BF97" s="274">
        <f t="shared" si="74"/>
        <v>9570</v>
      </c>
      <c r="BG97" s="274"/>
      <c r="BH97" s="274"/>
      <c r="BI97" s="266">
        <f t="shared" si="75"/>
        <v>0</v>
      </c>
      <c r="BJ97" s="266" t="e">
        <f t="shared" si="76"/>
        <v>#DIV/0!</v>
      </c>
      <c r="BK97" s="263" t="str">
        <f t="shared" si="77"/>
        <v/>
      </c>
      <c r="BL97" s="263" t="str">
        <f t="shared" si="78"/>
        <v/>
      </c>
      <c r="BM97" s="263" t="str">
        <f t="shared" si="79"/>
        <v/>
      </c>
      <c r="BN97" s="263"/>
      <c r="BO97" s="263" t="str">
        <f t="shared" si="80"/>
        <v/>
      </c>
      <c r="BP97" s="263" t="str">
        <f t="shared" si="81"/>
        <v/>
      </c>
      <c r="BQ97" s="263" t="str">
        <f t="shared" si="82"/>
        <v/>
      </c>
      <c r="BR97" s="263" t="str">
        <f t="shared" si="83"/>
        <v/>
      </c>
      <c r="BS97" s="263" t="str">
        <f t="shared" si="84"/>
        <v/>
      </c>
      <c r="BT97" s="263" t="str">
        <f t="shared" si="85"/>
        <v/>
      </c>
      <c r="BU97" s="263" t="str">
        <f t="shared" si="86"/>
        <v/>
      </c>
      <c r="BV97" s="263"/>
      <c r="BW97" s="263" t="str">
        <f t="shared" si="87"/>
        <v/>
      </c>
      <c r="BX97" s="263"/>
      <c r="BY97" s="263" t="str">
        <f t="shared" si="88"/>
        <v/>
      </c>
      <c r="BZ97" s="263"/>
      <c r="CA97" s="263" t="str">
        <f t="shared" si="47"/>
        <v/>
      </c>
      <c r="CB97" s="263" t="str">
        <f t="shared" si="89"/>
        <v/>
      </c>
      <c r="CC97" s="263" t="str">
        <f t="shared" si="48"/>
        <v/>
      </c>
      <c r="CD97" s="263" t="str">
        <f t="shared" si="90"/>
        <v/>
      </c>
      <c r="CE97" s="263" t="str">
        <f t="shared" si="96"/>
        <v/>
      </c>
      <c r="CF97" s="263" t="str">
        <f t="shared" si="49"/>
        <v/>
      </c>
      <c r="CG97" s="263" t="str">
        <f t="shared" si="50"/>
        <v/>
      </c>
      <c r="CH97" s="263"/>
      <c r="CI97" s="263" t="str">
        <f t="shared" si="91"/>
        <v/>
      </c>
      <c r="CJ97" s="263"/>
      <c r="CK97" s="263" t="str">
        <f t="shared" si="92"/>
        <v/>
      </c>
      <c r="CL97" s="264">
        <f t="shared" si="98"/>
        <v>0</v>
      </c>
      <c r="CM97" s="264">
        <f t="shared" si="94"/>
        <v>0</v>
      </c>
      <c r="CO97" s="265">
        <v>0.10840999999999999</v>
      </c>
      <c r="CP97" s="265">
        <v>0.10920999999999999</v>
      </c>
      <c r="CQ97" s="265">
        <v>0.10942</v>
      </c>
      <c r="CS97" s="265">
        <v>0.11289999999999999</v>
      </c>
      <c r="CT97" s="265">
        <v>0.113</v>
      </c>
      <c r="CU97" s="265">
        <v>0.11501</v>
      </c>
      <c r="CV97" s="265">
        <v>0.11560000000000001</v>
      </c>
      <c r="CW97" s="265">
        <v>0.1152</v>
      </c>
      <c r="CY97" s="265">
        <v>0.11563000000000001</v>
      </c>
      <c r="DA97" s="265">
        <v>0.1166</v>
      </c>
      <c r="DC97" s="265">
        <v>0.11650000000000001</v>
      </c>
      <c r="DE97" s="265">
        <v>4.1050000000000003E-2</v>
      </c>
      <c r="DF97" s="265">
        <v>4.2630000000000001E-2</v>
      </c>
      <c r="DH97" s="265">
        <v>4.5499999999999999E-2</v>
      </c>
      <c r="DI97" s="265">
        <v>4.8000000000000001E-2</v>
      </c>
      <c r="DJ97" s="265">
        <v>4.8000000000000001E-2</v>
      </c>
      <c r="DL97" s="265">
        <v>4.5999999999999999E-2</v>
      </c>
      <c r="DO97" s="264" t="e">
        <f t="shared" si="99"/>
        <v>#N/A</v>
      </c>
      <c r="DP97" s="264" t="e" cm="1">
        <f t="array" ref="DP97">+INDEX(AH97:AV97,MATCH(DO97,AH97:AV97,1)+1)</f>
        <v>#N/A</v>
      </c>
      <c r="DQ97" s="265" t="e">
        <f t="shared" si="100"/>
        <v>#N/A</v>
      </c>
      <c r="DR97" s="267" t="e">
        <f t="shared" si="101"/>
        <v>#N/A</v>
      </c>
      <c r="DS97" s="267" t="e">
        <f t="shared" si="102"/>
        <v>#N/A</v>
      </c>
      <c r="DT97" s="268" t="e">
        <f t="shared" si="103"/>
        <v>#N/A</v>
      </c>
      <c r="DU97" s="268" t="e" cm="1">
        <f t="array" ref="DU97">+INDEX(AX97:BF97,MATCH(DT97,AX97:BF97,1)+1)</f>
        <v>#N/A</v>
      </c>
      <c r="DV97" s="267" t="e">
        <f t="shared" si="104"/>
        <v>#N/A</v>
      </c>
      <c r="DW97" s="267" t="e">
        <f t="shared" si="105"/>
        <v>#N/A</v>
      </c>
      <c r="DX97" s="267" t="e">
        <f t="shared" si="106"/>
        <v>#N/A</v>
      </c>
      <c r="DY97" s="267">
        <f t="shared" si="107"/>
        <v>0.13339999999999999</v>
      </c>
      <c r="DZ97" s="205">
        <f t="shared" si="57"/>
        <v>3.7188465778594401E-2</v>
      </c>
      <c r="EA97" s="205" t="e">
        <f t="shared" si="95"/>
        <v>#DIV/0!</v>
      </c>
      <c r="EC97" s="195">
        <v>2025</v>
      </c>
      <c r="ED97" s="195" t="s">
        <v>452</v>
      </c>
      <c r="EE97" s="205"/>
    </row>
    <row r="98" spans="2:135">
      <c r="B98" s="272">
        <v>45026</v>
      </c>
      <c r="C98" s="271">
        <v>45026</v>
      </c>
      <c r="D98" s="263" t="e">
        <f>+SUMIFS(Tabla6[Nominal COP],Tabla6[Concepto],COSTO_OPORTUNIDAD!$B$18,Tabla6[Nemotécnico],COSTO_OPORTUNIDAD!D$16,Tabla6[Fecha Cumplimiento y/ liquidacion],COSTO_OPORTUNIDAD!$C98)/+SUMIFS(Tabla6[Nominal COP],Tabla6[Concepto],COSTO_OPORTUNIDAD!$B$18,Tabla6[Fecha Cumplimiento y/ liquidacion],COSTO_OPORTUNIDAD!$C98)</f>
        <v>#DIV/0!</v>
      </c>
      <c r="E98" s="263" t="e">
        <f>+SUMIFS(Tabla6[Nominal COP],Tabla6[Concepto],COSTO_OPORTUNIDAD!$B$18,Tabla6[Nemotécnico],COSTO_OPORTUNIDAD!E$16,Tabla6[Fecha Cumplimiento y/ liquidacion],COSTO_OPORTUNIDAD!$C98)/+SUMIFS(Tabla6[Nominal COP],Tabla6[Concepto],COSTO_OPORTUNIDAD!$B$18,Tabla6[Fecha Cumplimiento y/ liquidacion],COSTO_OPORTUNIDAD!$C98)</f>
        <v>#DIV/0!</v>
      </c>
      <c r="F98" s="263"/>
      <c r="G98" s="263"/>
      <c r="H98" s="263">
        <v>0.1</v>
      </c>
      <c r="I98" s="263"/>
      <c r="J98" s="263"/>
      <c r="K98" s="263"/>
      <c r="L98" s="263"/>
      <c r="M98" s="263">
        <v>0.8</v>
      </c>
      <c r="N98" s="263"/>
      <c r="O98" s="263"/>
      <c r="P98" s="263"/>
      <c r="Q98" s="263"/>
      <c r="R98" s="263">
        <v>0.1</v>
      </c>
      <c r="S98" s="263"/>
      <c r="T98" s="263"/>
      <c r="U98" s="263"/>
      <c r="AA98" s="263"/>
      <c r="AB98" s="262"/>
      <c r="AC98" s="262"/>
      <c r="AD98" s="262"/>
      <c r="AE98" s="262"/>
      <c r="AF98" s="262"/>
      <c r="AG98" s="262"/>
      <c r="AH98" s="274">
        <f t="shared" si="58"/>
        <v>1234</v>
      </c>
      <c r="AI98" s="274">
        <f t="shared" si="59"/>
        <v>1668</v>
      </c>
      <c r="AJ98" s="274">
        <f t="shared" si="60"/>
        <v>1845</v>
      </c>
      <c r="AK98" s="274">
        <f t="shared" si="54"/>
        <v>2326</v>
      </c>
      <c r="AL98" s="274">
        <f t="shared" si="61"/>
        <v>2718</v>
      </c>
      <c r="AM98" s="274">
        <f t="shared" si="62"/>
        <v>2907</v>
      </c>
      <c r="AN98" s="274">
        <f t="shared" si="63"/>
        <v>3369</v>
      </c>
      <c r="AO98" s="274">
        <f t="shared" si="97"/>
        <v>3593</v>
      </c>
      <c r="AP98" s="274">
        <f t="shared" si="64"/>
        <v>4209</v>
      </c>
      <c r="AQ98" s="274"/>
      <c r="AR98" s="274">
        <f t="shared" si="65"/>
        <v>4839</v>
      </c>
      <c r="AS98" s="274">
        <f t="shared" si="55"/>
        <v>6442</v>
      </c>
      <c r="AT98" s="274">
        <f t="shared" si="66"/>
        <v>6988</v>
      </c>
      <c r="AU98" s="274"/>
      <c r="AV98" s="274">
        <f t="shared" si="67"/>
        <v>10061</v>
      </c>
      <c r="AW98" s="274"/>
      <c r="AX98" s="274">
        <f t="shared" si="68"/>
        <v>758</v>
      </c>
      <c r="AY98" s="274">
        <f t="shared" si="69"/>
        <v>1437</v>
      </c>
      <c r="AZ98" s="274">
        <f t="shared" si="70"/>
        <v>2200</v>
      </c>
      <c r="BA98" s="274"/>
      <c r="BB98" s="274">
        <f t="shared" si="71"/>
        <v>3637</v>
      </c>
      <c r="BC98" s="274">
        <f t="shared" si="72"/>
        <v>4377</v>
      </c>
      <c r="BD98" s="274">
        <f t="shared" si="73"/>
        <v>5070</v>
      </c>
      <c r="BE98" s="274"/>
      <c r="BF98" s="274">
        <f t="shared" si="74"/>
        <v>9564</v>
      </c>
      <c r="BG98" s="274"/>
      <c r="BH98" s="274"/>
      <c r="BI98" s="266">
        <f t="shared" si="75"/>
        <v>0</v>
      </c>
      <c r="BJ98" s="266" t="e">
        <f t="shared" si="76"/>
        <v>#DIV/0!</v>
      </c>
      <c r="BK98" s="263" t="str">
        <f t="shared" si="77"/>
        <v/>
      </c>
      <c r="BL98" s="263" t="str">
        <f t="shared" si="78"/>
        <v/>
      </c>
      <c r="BM98" s="263" t="str">
        <f t="shared" si="79"/>
        <v/>
      </c>
      <c r="BN98" s="263"/>
      <c r="BO98" s="263" t="str">
        <f t="shared" si="80"/>
        <v/>
      </c>
      <c r="BP98" s="263" t="str">
        <f t="shared" si="81"/>
        <v/>
      </c>
      <c r="BQ98" s="263" t="str">
        <f t="shared" si="82"/>
        <v/>
      </c>
      <c r="BR98" s="263" t="str">
        <f t="shared" si="83"/>
        <v/>
      </c>
      <c r="BS98" s="263" t="str">
        <f t="shared" si="84"/>
        <v/>
      </c>
      <c r="BT98" s="263" t="str">
        <f t="shared" si="85"/>
        <v/>
      </c>
      <c r="BU98" s="263" t="str">
        <f t="shared" si="86"/>
        <v/>
      </c>
      <c r="BV98" s="263"/>
      <c r="BW98" s="263" t="str">
        <f t="shared" si="87"/>
        <v/>
      </c>
      <c r="BX98" s="263"/>
      <c r="BY98" s="263" t="str">
        <f t="shared" si="88"/>
        <v/>
      </c>
      <c r="BZ98" s="263"/>
      <c r="CA98" s="263" t="str">
        <f t="shared" si="47"/>
        <v/>
      </c>
      <c r="CB98" s="263" t="str">
        <f t="shared" si="89"/>
        <v/>
      </c>
      <c r="CC98" s="263" t="str">
        <f t="shared" si="48"/>
        <v/>
      </c>
      <c r="CD98" s="263" t="str">
        <f t="shared" si="90"/>
        <v/>
      </c>
      <c r="CE98" s="263" t="str">
        <f t="shared" si="96"/>
        <v/>
      </c>
      <c r="CF98" s="263" t="str">
        <f t="shared" si="49"/>
        <v/>
      </c>
      <c r="CG98" s="263" t="str">
        <f t="shared" si="50"/>
        <v/>
      </c>
      <c r="CH98" s="263"/>
      <c r="CI98" s="263" t="str">
        <f t="shared" si="91"/>
        <v/>
      </c>
      <c r="CJ98" s="263"/>
      <c r="CK98" s="263" t="str">
        <f t="shared" si="92"/>
        <v/>
      </c>
      <c r="CL98" s="264">
        <f t="shared" si="98"/>
        <v>0</v>
      </c>
      <c r="CM98" s="264">
        <f t="shared" si="94"/>
        <v>0</v>
      </c>
      <c r="CO98" s="265">
        <v>0.11199999999999999</v>
      </c>
      <c r="CP98" s="265">
        <v>0.11312</v>
      </c>
      <c r="CQ98" s="265">
        <v>0.11305</v>
      </c>
      <c r="CS98" s="265">
        <v>0.11550000000000001</v>
      </c>
      <c r="CT98" s="265">
        <v>0.11553000000000001</v>
      </c>
      <c r="CU98" s="265">
        <v>0.11699999999999999</v>
      </c>
      <c r="CV98" s="265">
        <v>0.11889</v>
      </c>
      <c r="CW98" s="265">
        <v>0.11800000000000001</v>
      </c>
      <c r="CY98" s="265">
        <v>0.1186</v>
      </c>
      <c r="DA98" s="265">
        <v>0.12023</v>
      </c>
      <c r="DC98" s="265">
        <v>0.12052</v>
      </c>
      <c r="DE98" s="265">
        <v>3.8800000000000001E-2</v>
      </c>
      <c r="DF98" s="265">
        <v>4.2699999999999995E-2</v>
      </c>
      <c r="DH98" s="265">
        <v>4.5510000000000002E-2</v>
      </c>
      <c r="DI98" s="265">
        <v>4.7E-2</v>
      </c>
      <c r="DJ98" s="265">
        <v>4.8659999999999995E-2</v>
      </c>
      <c r="DL98" s="265">
        <v>4.5999999999999999E-2</v>
      </c>
      <c r="DO98" s="264" t="e">
        <f t="shared" si="99"/>
        <v>#N/A</v>
      </c>
      <c r="DP98" s="264" t="e" cm="1">
        <f t="array" ref="DP98">+INDEX(AH98:AV98,MATCH(DO98,AH98:AV98,1)+1)</f>
        <v>#N/A</v>
      </c>
      <c r="DQ98" s="265" t="e">
        <f t="shared" si="100"/>
        <v>#N/A</v>
      </c>
      <c r="DR98" s="267" t="e">
        <f t="shared" si="101"/>
        <v>#N/A</v>
      </c>
      <c r="DS98" s="267" t="e">
        <f t="shared" si="102"/>
        <v>#N/A</v>
      </c>
      <c r="DT98" s="268" t="e">
        <f t="shared" si="103"/>
        <v>#N/A</v>
      </c>
      <c r="DU98" s="268" t="e" cm="1">
        <f t="array" ref="DU98">+INDEX(AX98:BF98,MATCH(DT98,AX98:BF98,1)+1)</f>
        <v>#N/A</v>
      </c>
      <c r="DV98" s="267" t="e">
        <f t="shared" si="104"/>
        <v>#N/A</v>
      </c>
      <c r="DW98" s="267" t="e">
        <f t="shared" si="105"/>
        <v>#N/A</v>
      </c>
      <c r="DX98" s="267" t="e">
        <f t="shared" si="106"/>
        <v>#N/A</v>
      </c>
      <c r="DY98" s="267">
        <f t="shared" si="107"/>
        <v>0.13339999999999999</v>
      </c>
      <c r="DZ98" s="205">
        <f t="shared" si="57"/>
        <v>3.8354570509875965E-2</v>
      </c>
      <c r="EA98" s="205" t="e">
        <f t="shared" si="95"/>
        <v>#DIV/0!</v>
      </c>
      <c r="EC98" s="195">
        <v>2025</v>
      </c>
      <c r="ED98" s="195" t="s">
        <v>453</v>
      </c>
      <c r="EE98" s="205"/>
    </row>
    <row r="99" spans="2:135">
      <c r="B99" s="272">
        <v>45027</v>
      </c>
      <c r="C99" s="271">
        <v>45027</v>
      </c>
      <c r="D99" s="263" t="e">
        <f>+SUMIFS(Tabla6[Nominal COP],Tabla6[Concepto],COSTO_OPORTUNIDAD!$B$18,Tabla6[Nemotécnico],COSTO_OPORTUNIDAD!D$16,Tabla6[Fecha Cumplimiento y/ liquidacion],COSTO_OPORTUNIDAD!$C99)/+SUMIFS(Tabla6[Nominal COP],Tabla6[Concepto],COSTO_OPORTUNIDAD!$B$18,Tabla6[Fecha Cumplimiento y/ liquidacion],COSTO_OPORTUNIDAD!$C99)</f>
        <v>#DIV/0!</v>
      </c>
      <c r="E99" s="263" t="e">
        <f>+SUMIFS(Tabla6[Nominal COP],Tabla6[Concepto],COSTO_OPORTUNIDAD!$B$18,Tabla6[Nemotécnico],COSTO_OPORTUNIDAD!E$16,Tabla6[Fecha Cumplimiento y/ liquidacion],COSTO_OPORTUNIDAD!$C99)/+SUMIFS(Tabla6[Nominal COP],Tabla6[Concepto],COSTO_OPORTUNIDAD!$B$18,Tabla6[Fecha Cumplimiento y/ liquidacion],COSTO_OPORTUNIDAD!$C99)</f>
        <v>#DIV/0!</v>
      </c>
      <c r="F99" s="263"/>
      <c r="G99" s="263"/>
      <c r="H99" s="263">
        <v>0.12727272727272701</v>
      </c>
      <c r="I99" s="263"/>
      <c r="J99" s="263"/>
      <c r="K99" s="263"/>
      <c r="L99" s="263"/>
      <c r="M99" s="263">
        <v>0.74545454545454504</v>
      </c>
      <c r="N99" s="263"/>
      <c r="O99" s="263"/>
      <c r="P99" s="263"/>
      <c r="Q99" s="263"/>
      <c r="R99" s="263">
        <v>0.12727272727272701</v>
      </c>
      <c r="S99" s="263"/>
      <c r="T99" s="263"/>
      <c r="U99" s="263"/>
      <c r="AA99" s="263"/>
      <c r="AB99" s="262"/>
      <c r="AC99" s="262"/>
      <c r="AD99" s="262"/>
      <c r="AE99" s="262"/>
      <c r="AF99" s="262"/>
      <c r="AG99" s="262"/>
      <c r="AH99" s="274">
        <f t="shared" si="58"/>
        <v>1233</v>
      </c>
      <c r="AI99" s="274">
        <f t="shared" si="59"/>
        <v>1667</v>
      </c>
      <c r="AJ99" s="274">
        <f t="shared" si="60"/>
        <v>1844</v>
      </c>
      <c r="AK99" s="274">
        <f t="shared" si="54"/>
        <v>2325</v>
      </c>
      <c r="AL99" s="274">
        <f t="shared" si="61"/>
        <v>2717</v>
      </c>
      <c r="AM99" s="274">
        <f t="shared" si="62"/>
        <v>2906</v>
      </c>
      <c r="AN99" s="274">
        <f t="shared" si="63"/>
        <v>3368</v>
      </c>
      <c r="AO99" s="274">
        <f t="shared" si="97"/>
        <v>3592</v>
      </c>
      <c r="AP99" s="274">
        <f t="shared" si="64"/>
        <v>4208</v>
      </c>
      <c r="AQ99" s="274"/>
      <c r="AR99" s="274">
        <f t="shared" si="65"/>
        <v>4838</v>
      </c>
      <c r="AS99" s="274">
        <f t="shared" si="55"/>
        <v>6441</v>
      </c>
      <c r="AT99" s="274">
        <f t="shared" si="66"/>
        <v>6987</v>
      </c>
      <c r="AU99" s="274"/>
      <c r="AV99" s="274">
        <f t="shared" si="67"/>
        <v>10060</v>
      </c>
      <c r="AW99" s="274"/>
      <c r="AX99" s="274">
        <f t="shared" si="68"/>
        <v>757</v>
      </c>
      <c r="AY99" s="274">
        <f t="shared" si="69"/>
        <v>1436</v>
      </c>
      <c r="AZ99" s="274">
        <f t="shared" si="70"/>
        <v>2199</v>
      </c>
      <c r="BA99" s="274"/>
      <c r="BB99" s="274">
        <f t="shared" si="71"/>
        <v>3636</v>
      </c>
      <c r="BC99" s="274">
        <f t="shared" si="72"/>
        <v>4376</v>
      </c>
      <c r="BD99" s="274">
        <f t="shared" si="73"/>
        <v>5069</v>
      </c>
      <c r="BE99" s="274"/>
      <c r="BF99" s="274">
        <f t="shared" si="74"/>
        <v>9563</v>
      </c>
      <c r="BG99" s="274"/>
      <c r="BH99" s="274"/>
      <c r="BI99" s="266">
        <f t="shared" si="75"/>
        <v>0</v>
      </c>
      <c r="BJ99" s="266" t="e">
        <f t="shared" si="76"/>
        <v>#DIV/0!</v>
      </c>
      <c r="BK99" s="263" t="str">
        <f t="shared" si="77"/>
        <v/>
      </c>
      <c r="BL99" s="263" t="str">
        <f t="shared" si="78"/>
        <v/>
      </c>
      <c r="BM99" s="263" t="str">
        <f t="shared" si="79"/>
        <v/>
      </c>
      <c r="BN99" s="263"/>
      <c r="BO99" s="263" t="str">
        <f t="shared" si="80"/>
        <v/>
      </c>
      <c r="BP99" s="263" t="str">
        <f t="shared" si="81"/>
        <v/>
      </c>
      <c r="BQ99" s="263" t="str">
        <f t="shared" si="82"/>
        <v/>
      </c>
      <c r="BR99" s="263" t="str">
        <f t="shared" si="83"/>
        <v/>
      </c>
      <c r="BS99" s="263" t="str">
        <f t="shared" si="84"/>
        <v/>
      </c>
      <c r="BT99" s="263" t="str">
        <f t="shared" si="85"/>
        <v/>
      </c>
      <c r="BU99" s="263" t="str">
        <f t="shared" si="86"/>
        <v/>
      </c>
      <c r="BV99" s="263"/>
      <c r="BW99" s="263" t="str">
        <f t="shared" si="87"/>
        <v/>
      </c>
      <c r="BX99" s="263"/>
      <c r="BY99" s="263" t="str">
        <f t="shared" si="88"/>
        <v/>
      </c>
      <c r="BZ99" s="263"/>
      <c r="CA99" s="263" t="str">
        <f t="shared" si="47"/>
        <v/>
      </c>
      <c r="CB99" s="263" t="str">
        <f t="shared" si="89"/>
        <v/>
      </c>
      <c r="CC99" s="263" t="str">
        <f t="shared" si="48"/>
        <v/>
      </c>
      <c r="CD99" s="263" t="str">
        <f t="shared" si="90"/>
        <v/>
      </c>
      <c r="CE99" s="263" t="str">
        <f t="shared" si="96"/>
        <v/>
      </c>
      <c r="CF99" s="263" t="str">
        <f t="shared" si="49"/>
        <v/>
      </c>
      <c r="CG99" s="263" t="str">
        <f t="shared" si="50"/>
        <v/>
      </c>
      <c r="CH99" s="263"/>
      <c r="CI99" s="263" t="str">
        <f t="shared" si="91"/>
        <v/>
      </c>
      <c r="CJ99" s="263"/>
      <c r="CK99" s="263" t="str">
        <f t="shared" si="92"/>
        <v/>
      </c>
      <c r="CL99" s="264">
        <f t="shared" si="98"/>
        <v>0</v>
      </c>
      <c r="CM99" s="264">
        <f t="shared" si="94"/>
        <v>0</v>
      </c>
      <c r="CO99" s="265">
        <v>0.1115</v>
      </c>
      <c r="CP99" s="265">
        <v>0.1128</v>
      </c>
      <c r="CQ99" s="265">
        <v>0.11259999999999999</v>
      </c>
      <c r="CS99" s="265">
        <v>0.11537000000000001</v>
      </c>
      <c r="CT99" s="265">
        <v>0.11451</v>
      </c>
      <c r="CU99" s="265">
        <v>0.1166</v>
      </c>
      <c r="CV99" s="265">
        <v>0.11824</v>
      </c>
      <c r="CW99" s="265">
        <v>0.11749999999999999</v>
      </c>
      <c r="CY99" s="265">
        <v>0.11849999999999999</v>
      </c>
      <c r="DA99" s="265">
        <v>0.11959</v>
      </c>
      <c r="DC99" s="265">
        <v>0.11930999999999999</v>
      </c>
      <c r="DE99" s="265">
        <v>3.8490000000000003E-2</v>
      </c>
      <c r="DF99" s="265">
        <v>4.3499999999999997E-2</v>
      </c>
      <c r="DH99" s="265">
        <v>4.5510000000000002E-2</v>
      </c>
      <c r="DI99" s="265">
        <v>4.8019999999999993E-2</v>
      </c>
      <c r="DJ99" s="265">
        <v>4.8339999999999994E-2</v>
      </c>
      <c r="DL99" s="265">
        <v>4.641E-2</v>
      </c>
      <c r="DO99" s="264" t="e">
        <f t="shared" si="99"/>
        <v>#N/A</v>
      </c>
      <c r="DP99" s="264" t="e" cm="1">
        <f t="array" ref="DP99">+INDEX(AH99:AV99,MATCH(DO99,AH99:AV99,1)+1)</f>
        <v>#N/A</v>
      </c>
      <c r="DQ99" s="265" t="e">
        <f t="shared" si="100"/>
        <v>#N/A</v>
      </c>
      <c r="DR99" s="267" t="e">
        <f t="shared" si="101"/>
        <v>#N/A</v>
      </c>
      <c r="DS99" s="267" t="e">
        <f t="shared" si="102"/>
        <v>#N/A</v>
      </c>
      <c r="DT99" s="268" t="e">
        <f t="shared" si="103"/>
        <v>#N/A</v>
      </c>
      <c r="DU99" s="268" t="e" cm="1">
        <f t="array" ref="DU99">+INDEX(AX99:BF99,MATCH(DT99,AX99:BF99,1)+1)</f>
        <v>#N/A</v>
      </c>
      <c r="DV99" s="267" t="e">
        <f t="shared" si="104"/>
        <v>#N/A</v>
      </c>
      <c r="DW99" s="267" t="e">
        <f t="shared" si="105"/>
        <v>#N/A</v>
      </c>
      <c r="DX99" s="267" t="e">
        <f t="shared" si="106"/>
        <v>#N/A</v>
      </c>
      <c r="DY99" s="267">
        <f t="shared" si="107"/>
        <v>0.13339999999999999</v>
      </c>
      <c r="DZ99" s="205">
        <f t="shared" si="57"/>
        <v>3.8934322462103814E-2</v>
      </c>
      <c r="EA99" s="205" t="e">
        <f t="shared" si="95"/>
        <v>#DIV/0!</v>
      </c>
      <c r="EC99" s="195">
        <v>2025</v>
      </c>
      <c r="ED99" s="195" t="s">
        <v>454</v>
      </c>
      <c r="EE99" s="205"/>
    </row>
    <row r="100" spans="2:135">
      <c r="B100" s="272">
        <v>45028</v>
      </c>
      <c r="C100" s="271">
        <v>45028</v>
      </c>
      <c r="D100" s="263" t="e">
        <f>+SUMIFS(Tabla6[Nominal COP],Tabla6[Concepto],COSTO_OPORTUNIDAD!$B$18,Tabla6[Nemotécnico],COSTO_OPORTUNIDAD!D$16,Tabla6[Fecha Cumplimiento y/ liquidacion],COSTO_OPORTUNIDAD!$C100)/+SUMIFS(Tabla6[Nominal COP],Tabla6[Concepto],COSTO_OPORTUNIDAD!$B$18,Tabla6[Fecha Cumplimiento y/ liquidacion],COSTO_OPORTUNIDAD!$C100)</f>
        <v>#DIV/0!</v>
      </c>
      <c r="E100" s="263" t="e">
        <f>+SUMIFS(Tabla6[Nominal COP],Tabla6[Concepto],COSTO_OPORTUNIDAD!$B$18,Tabla6[Nemotécnico],COSTO_OPORTUNIDAD!E$16,Tabla6[Fecha Cumplimiento y/ liquidacion],COSTO_OPORTUNIDAD!$C100)/+SUMIFS(Tabla6[Nominal COP],Tabla6[Concepto],COSTO_OPORTUNIDAD!$B$18,Tabla6[Fecha Cumplimiento y/ liquidacion],COSTO_OPORTUNIDAD!$C100)</f>
        <v>#DIV/0!</v>
      </c>
      <c r="F100" s="263"/>
      <c r="G100" s="263"/>
      <c r="H100" s="263">
        <v>0.1</v>
      </c>
      <c r="I100" s="263"/>
      <c r="J100" s="263"/>
      <c r="K100" s="263"/>
      <c r="L100" s="263"/>
      <c r="M100" s="263">
        <v>0.8</v>
      </c>
      <c r="N100" s="263"/>
      <c r="O100" s="263"/>
      <c r="P100" s="263"/>
      <c r="Q100" s="263"/>
      <c r="R100" s="263">
        <v>0.1</v>
      </c>
      <c r="S100" s="263"/>
      <c r="T100" s="263"/>
      <c r="U100" s="263"/>
      <c r="AA100" s="263"/>
      <c r="AB100" s="262"/>
      <c r="AC100" s="262"/>
      <c r="AD100" s="262"/>
      <c r="AE100" s="262"/>
      <c r="AF100" s="262"/>
      <c r="AG100" s="262"/>
      <c r="AH100" s="274">
        <f t="shared" si="58"/>
        <v>1232</v>
      </c>
      <c r="AI100" s="274">
        <f t="shared" si="59"/>
        <v>1666</v>
      </c>
      <c r="AJ100" s="274">
        <f t="shared" si="60"/>
        <v>1843</v>
      </c>
      <c r="AK100" s="274">
        <f t="shared" si="54"/>
        <v>2324</v>
      </c>
      <c r="AL100" s="274">
        <f t="shared" si="61"/>
        <v>2716</v>
      </c>
      <c r="AM100" s="274">
        <f t="shared" si="62"/>
        <v>2905</v>
      </c>
      <c r="AN100" s="274">
        <f t="shared" si="63"/>
        <v>3367</v>
      </c>
      <c r="AO100" s="274">
        <f t="shared" si="97"/>
        <v>3591</v>
      </c>
      <c r="AP100" s="274">
        <f t="shared" si="64"/>
        <v>4207</v>
      </c>
      <c r="AQ100" s="274"/>
      <c r="AR100" s="274">
        <f t="shared" si="65"/>
        <v>4837</v>
      </c>
      <c r="AS100" s="274">
        <f t="shared" si="55"/>
        <v>6440</v>
      </c>
      <c r="AT100" s="274">
        <f t="shared" si="66"/>
        <v>6986</v>
      </c>
      <c r="AU100" s="274"/>
      <c r="AV100" s="274">
        <f t="shared" si="67"/>
        <v>10059</v>
      </c>
      <c r="AW100" s="274"/>
      <c r="AX100" s="274">
        <f t="shared" si="68"/>
        <v>756</v>
      </c>
      <c r="AY100" s="274">
        <f t="shared" si="69"/>
        <v>1435</v>
      </c>
      <c r="AZ100" s="274">
        <f t="shared" si="70"/>
        <v>2198</v>
      </c>
      <c r="BA100" s="274"/>
      <c r="BB100" s="274">
        <f t="shared" si="71"/>
        <v>3635</v>
      </c>
      <c r="BC100" s="274">
        <f t="shared" si="72"/>
        <v>4375</v>
      </c>
      <c r="BD100" s="274">
        <f t="shared" si="73"/>
        <v>5068</v>
      </c>
      <c r="BE100" s="274"/>
      <c r="BF100" s="274">
        <f t="shared" si="74"/>
        <v>9562</v>
      </c>
      <c r="BG100" s="274"/>
      <c r="BH100" s="274"/>
      <c r="BI100" s="266">
        <f t="shared" si="75"/>
        <v>0</v>
      </c>
      <c r="BJ100" s="266" t="e">
        <f t="shared" si="76"/>
        <v>#DIV/0!</v>
      </c>
      <c r="BK100" s="263" t="str">
        <f t="shared" si="77"/>
        <v/>
      </c>
      <c r="BL100" s="263" t="str">
        <f t="shared" si="78"/>
        <v/>
      </c>
      <c r="BM100" s="263" t="str">
        <f t="shared" si="79"/>
        <v/>
      </c>
      <c r="BN100" s="263"/>
      <c r="BO100" s="263" t="str">
        <f t="shared" si="80"/>
        <v/>
      </c>
      <c r="BP100" s="263" t="str">
        <f t="shared" si="81"/>
        <v/>
      </c>
      <c r="BQ100" s="263" t="str">
        <f t="shared" si="82"/>
        <v/>
      </c>
      <c r="BR100" s="263" t="str">
        <f t="shared" si="83"/>
        <v/>
      </c>
      <c r="BS100" s="263" t="str">
        <f t="shared" si="84"/>
        <v/>
      </c>
      <c r="BT100" s="263" t="str">
        <f t="shared" si="85"/>
        <v/>
      </c>
      <c r="BU100" s="263" t="str">
        <f t="shared" si="86"/>
        <v/>
      </c>
      <c r="BV100" s="263"/>
      <c r="BW100" s="263" t="str">
        <f t="shared" si="87"/>
        <v/>
      </c>
      <c r="BX100" s="263"/>
      <c r="BY100" s="263" t="str">
        <f t="shared" si="88"/>
        <v/>
      </c>
      <c r="BZ100" s="263"/>
      <c r="CA100" s="263" t="str">
        <f t="shared" si="47"/>
        <v/>
      </c>
      <c r="CB100" s="263" t="str">
        <f t="shared" si="89"/>
        <v/>
      </c>
      <c r="CC100" s="263" t="str">
        <f t="shared" si="48"/>
        <v/>
      </c>
      <c r="CD100" s="263" t="str">
        <f t="shared" si="90"/>
        <v/>
      </c>
      <c r="CE100" s="263" t="str">
        <f t="shared" si="96"/>
        <v/>
      </c>
      <c r="CF100" s="263" t="str">
        <f t="shared" si="49"/>
        <v/>
      </c>
      <c r="CG100" s="263" t="str">
        <f t="shared" si="50"/>
        <v/>
      </c>
      <c r="CH100" s="263"/>
      <c r="CI100" s="263" t="str">
        <f t="shared" si="91"/>
        <v/>
      </c>
      <c r="CJ100" s="263"/>
      <c r="CK100" s="263" t="str">
        <f t="shared" si="92"/>
        <v/>
      </c>
      <c r="CL100" s="264">
        <f t="shared" si="98"/>
        <v>0</v>
      </c>
      <c r="CM100" s="264">
        <f t="shared" si="94"/>
        <v>0</v>
      </c>
      <c r="CO100" s="265">
        <v>0.11</v>
      </c>
      <c r="CP100" s="265">
        <v>0.11098000000000001</v>
      </c>
      <c r="CQ100" s="265">
        <v>0.111</v>
      </c>
      <c r="CS100" s="265">
        <v>0.11499000000000001</v>
      </c>
      <c r="CT100" s="265">
        <v>0.11451</v>
      </c>
      <c r="CU100" s="265">
        <v>0.1149</v>
      </c>
      <c r="CV100" s="265">
        <v>0.11641</v>
      </c>
      <c r="CW100" s="265">
        <v>0.11695</v>
      </c>
      <c r="CY100" s="265">
        <v>0.11650000000000001</v>
      </c>
      <c r="DA100" s="265">
        <v>0.11789999999999999</v>
      </c>
      <c r="DC100" s="265">
        <v>0.11735</v>
      </c>
      <c r="DE100" s="265">
        <v>3.7819999999999999E-2</v>
      </c>
      <c r="DF100" s="265">
        <v>4.2750000000000003E-2</v>
      </c>
      <c r="DH100" s="265">
        <v>4.53E-2</v>
      </c>
      <c r="DI100" s="265">
        <v>4.6519999999999999E-2</v>
      </c>
      <c r="DJ100" s="265">
        <v>4.7640000000000002E-2</v>
      </c>
      <c r="DL100" s="265">
        <v>4.5240000000000002E-2</v>
      </c>
      <c r="DO100" s="264" t="e">
        <f t="shared" si="99"/>
        <v>#N/A</v>
      </c>
      <c r="DP100" s="264" t="e" cm="1">
        <f t="array" ref="DP100">+INDEX(AH100:AV100,MATCH(DO100,AH100:AV100,1)+1)</f>
        <v>#N/A</v>
      </c>
      <c r="DQ100" s="265" t="e">
        <f t="shared" si="100"/>
        <v>#N/A</v>
      </c>
      <c r="DR100" s="267" t="e">
        <f t="shared" si="101"/>
        <v>#N/A</v>
      </c>
      <c r="DS100" s="267" t="e">
        <f t="shared" si="102"/>
        <v>#N/A</v>
      </c>
      <c r="DT100" s="268" t="e">
        <f t="shared" si="103"/>
        <v>#N/A</v>
      </c>
      <c r="DU100" s="268" t="e" cm="1">
        <f t="array" ref="DU100">+INDEX(AX100:BF100,MATCH(DT100,AX100:BF100,1)+1)</f>
        <v>#N/A</v>
      </c>
      <c r="DV100" s="267" t="e">
        <f t="shared" si="104"/>
        <v>#N/A</v>
      </c>
      <c r="DW100" s="267" t="e">
        <f t="shared" si="105"/>
        <v>#N/A</v>
      </c>
      <c r="DX100" s="267" t="e">
        <f t="shared" si="106"/>
        <v>#N/A</v>
      </c>
      <c r="DY100" s="267">
        <f t="shared" si="107"/>
        <v>0.13339999999999999</v>
      </c>
      <c r="DZ100" s="205">
        <f t="shared" si="57"/>
        <v>3.8943633440514477E-2</v>
      </c>
      <c r="EA100" s="205" t="e">
        <f t="shared" si="95"/>
        <v>#DIV/0!</v>
      </c>
    </row>
    <row r="101" spans="2:135">
      <c r="B101" s="272">
        <v>45030</v>
      </c>
      <c r="C101" s="271">
        <v>45030</v>
      </c>
      <c r="D101" s="263" t="e">
        <f>+SUMIFS(Tabla6[Nominal COP],Tabla6[Concepto],COSTO_OPORTUNIDAD!$B$18,Tabla6[Nemotécnico],COSTO_OPORTUNIDAD!D$16,Tabla6[Fecha Cumplimiento y/ liquidacion],COSTO_OPORTUNIDAD!$C101)/+SUMIFS(Tabla6[Nominal COP],Tabla6[Concepto],COSTO_OPORTUNIDAD!$B$18,Tabla6[Fecha Cumplimiento y/ liquidacion],COSTO_OPORTUNIDAD!$C101)</f>
        <v>#DIV/0!</v>
      </c>
      <c r="E101" s="263" t="e">
        <f>+SUMIFS(Tabla6[Nominal COP],Tabla6[Concepto],COSTO_OPORTUNIDAD!$B$18,Tabla6[Nemotécnico],COSTO_OPORTUNIDAD!E$16,Tabla6[Fecha Cumplimiento y/ liquidacion],COSTO_OPORTUNIDAD!$C101)/+SUMIFS(Tabla6[Nominal COP],Tabla6[Concepto],COSTO_OPORTUNIDAD!$B$18,Tabla6[Fecha Cumplimiento y/ liquidacion],COSTO_OPORTUNIDAD!$C101)</f>
        <v>#DIV/0!</v>
      </c>
      <c r="F101" s="263"/>
      <c r="G101" s="263"/>
      <c r="H101" s="263">
        <v>0.20408163265306101</v>
      </c>
      <c r="I101" s="263"/>
      <c r="J101" s="263">
        <v>0.20408163265306101</v>
      </c>
      <c r="K101" s="263"/>
      <c r="L101" s="263"/>
      <c r="M101" s="263">
        <v>0.38775510204081598</v>
      </c>
      <c r="N101" s="263"/>
      <c r="O101" s="263"/>
      <c r="P101" s="263"/>
      <c r="Q101" s="263"/>
      <c r="R101" s="263">
        <v>0.20408163265306101</v>
      </c>
      <c r="S101" s="263"/>
      <c r="T101" s="263"/>
      <c r="U101" s="263"/>
      <c r="AA101" s="263"/>
      <c r="AB101" s="262"/>
      <c r="AC101" s="262"/>
      <c r="AD101" s="262"/>
      <c r="AE101" s="262"/>
      <c r="AF101" s="262"/>
      <c r="AG101" s="262"/>
      <c r="AH101" s="274">
        <f t="shared" si="58"/>
        <v>1230</v>
      </c>
      <c r="AI101" s="274">
        <f t="shared" si="59"/>
        <v>1664</v>
      </c>
      <c r="AJ101" s="274">
        <f t="shared" si="60"/>
        <v>1841</v>
      </c>
      <c r="AK101" s="274">
        <f t="shared" si="54"/>
        <v>2322</v>
      </c>
      <c r="AL101" s="274">
        <f t="shared" si="61"/>
        <v>2714</v>
      </c>
      <c r="AM101" s="274">
        <f t="shared" si="62"/>
        <v>2903</v>
      </c>
      <c r="AN101" s="274">
        <f t="shared" si="63"/>
        <v>3365</v>
      </c>
      <c r="AO101" s="274">
        <f t="shared" si="97"/>
        <v>3589</v>
      </c>
      <c r="AP101" s="274">
        <f t="shared" si="64"/>
        <v>4205</v>
      </c>
      <c r="AQ101" s="274"/>
      <c r="AR101" s="274">
        <f t="shared" si="65"/>
        <v>4835</v>
      </c>
      <c r="AS101" s="274">
        <f t="shared" si="55"/>
        <v>6438</v>
      </c>
      <c r="AT101" s="274">
        <f t="shared" si="66"/>
        <v>6984</v>
      </c>
      <c r="AU101" s="274"/>
      <c r="AV101" s="274">
        <f t="shared" si="67"/>
        <v>10057</v>
      </c>
      <c r="AW101" s="274"/>
      <c r="AX101" s="274">
        <f t="shared" si="68"/>
        <v>754</v>
      </c>
      <c r="AY101" s="274">
        <f t="shared" si="69"/>
        <v>1433</v>
      </c>
      <c r="AZ101" s="274">
        <f t="shared" si="70"/>
        <v>2196</v>
      </c>
      <c r="BA101" s="274"/>
      <c r="BB101" s="274">
        <f t="shared" si="71"/>
        <v>3633</v>
      </c>
      <c r="BC101" s="274">
        <f t="shared" si="72"/>
        <v>4373</v>
      </c>
      <c r="BD101" s="274">
        <f t="shared" si="73"/>
        <v>5066</v>
      </c>
      <c r="BE101" s="274"/>
      <c r="BF101" s="274">
        <f t="shared" si="74"/>
        <v>9560</v>
      </c>
      <c r="BG101" s="274"/>
      <c r="BH101" s="274"/>
      <c r="BI101" s="266">
        <f t="shared" si="75"/>
        <v>0</v>
      </c>
      <c r="BJ101" s="266" t="e">
        <f t="shared" si="76"/>
        <v>#DIV/0!</v>
      </c>
      <c r="BK101" s="263" t="str">
        <f t="shared" si="77"/>
        <v/>
      </c>
      <c r="BL101" s="263" t="str">
        <f t="shared" si="78"/>
        <v/>
      </c>
      <c r="BM101" s="263" t="str">
        <f t="shared" si="79"/>
        <v/>
      </c>
      <c r="BN101" s="263"/>
      <c r="BO101" s="263" t="str">
        <f t="shared" si="80"/>
        <v/>
      </c>
      <c r="BP101" s="263" t="str">
        <f t="shared" si="81"/>
        <v/>
      </c>
      <c r="BQ101" s="263" t="str">
        <f t="shared" si="82"/>
        <v/>
      </c>
      <c r="BR101" s="263" t="str">
        <f t="shared" si="83"/>
        <v/>
      </c>
      <c r="BS101" s="263" t="str">
        <f t="shared" si="84"/>
        <v/>
      </c>
      <c r="BT101" s="263" t="str">
        <f t="shared" si="85"/>
        <v/>
      </c>
      <c r="BU101" s="263" t="str">
        <f t="shared" si="86"/>
        <v/>
      </c>
      <c r="BV101" s="263"/>
      <c r="BW101" s="263" t="str">
        <f t="shared" si="87"/>
        <v/>
      </c>
      <c r="BX101" s="263"/>
      <c r="BY101" s="263" t="str">
        <f t="shared" si="88"/>
        <v/>
      </c>
      <c r="BZ101" s="263"/>
      <c r="CA101" s="263" t="str">
        <f t="shared" si="47"/>
        <v/>
      </c>
      <c r="CB101" s="263" t="str">
        <f t="shared" si="89"/>
        <v/>
      </c>
      <c r="CC101" s="263" t="str">
        <f t="shared" si="48"/>
        <v/>
      </c>
      <c r="CD101" s="263" t="str">
        <f t="shared" si="90"/>
        <v/>
      </c>
      <c r="CE101" s="263" t="str">
        <f t="shared" si="96"/>
        <v/>
      </c>
      <c r="CF101" s="263" t="str">
        <f t="shared" si="49"/>
        <v/>
      </c>
      <c r="CG101" s="263" t="str">
        <f t="shared" si="50"/>
        <v/>
      </c>
      <c r="CH101" s="263"/>
      <c r="CI101" s="263" t="str">
        <f t="shared" si="91"/>
        <v/>
      </c>
      <c r="CJ101" s="263"/>
      <c r="CK101" s="263" t="str">
        <f t="shared" si="92"/>
        <v/>
      </c>
      <c r="CL101" s="264">
        <f t="shared" si="98"/>
        <v>0</v>
      </c>
      <c r="CM101" s="264">
        <f t="shared" si="94"/>
        <v>0</v>
      </c>
      <c r="CO101" s="265">
        <v>0.1101</v>
      </c>
      <c r="CP101" s="265">
        <v>0.11</v>
      </c>
      <c r="CQ101" s="265">
        <v>0.11048999999999999</v>
      </c>
      <c r="CS101" s="265">
        <v>0.11244999999999999</v>
      </c>
      <c r="CT101" s="265">
        <v>0.11153</v>
      </c>
      <c r="CU101" s="265">
        <v>0.114</v>
      </c>
      <c r="CV101" s="265">
        <v>0.11571999999999999</v>
      </c>
      <c r="CW101" s="265">
        <v>0.11509999999999999</v>
      </c>
      <c r="CY101" s="265">
        <v>0.115</v>
      </c>
      <c r="DA101" s="265">
        <v>0.1164</v>
      </c>
      <c r="DC101" s="265">
        <v>0.11561</v>
      </c>
      <c r="DE101" s="265">
        <v>4.0500000000000001E-2</v>
      </c>
      <c r="DF101" s="265">
        <v>4.4999999999999998E-2</v>
      </c>
      <c r="DH101" s="265">
        <v>4.6300000000000001E-2</v>
      </c>
      <c r="DI101" s="265">
        <v>4.9180000000000001E-2</v>
      </c>
      <c r="DJ101" s="265">
        <v>4.9000000000000002E-2</v>
      </c>
      <c r="DL101" s="265">
        <v>4.7500000000000001E-2</v>
      </c>
      <c r="DO101" s="264" t="e">
        <f t="shared" si="99"/>
        <v>#N/A</v>
      </c>
      <c r="DP101" s="264" t="e" cm="1">
        <f t="array" ref="DP101">+INDEX(AH101:AV101,MATCH(DO101,AH101:AV101,1)+1)</f>
        <v>#N/A</v>
      </c>
      <c r="DQ101" s="265" t="e">
        <f t="shared" si="100"/>
        <v>#N/A</v>
      </c>
      <c r="DR101" s="267" t="e">
        <f t="shared" si="101"/>
        <v>#N/A</v>
      </c>
      <c r="DS101" s="267" t="e">
        <f t="shared" si="102"/>
        <v>#N/A</v>
      </c>
      <c r="DT101" s="268" t="e">
        <f t="shared" si="103"/>
        <v>#N/A</v>
      </c>
      <c r="DU101" s="268" t="e" cm="1">
        <f t="array" ref="DU101">+INDEX(AX101:BF101,MATCH(DT101,AX101:BF101,1)+1)</f>
        <v>#N/A</v>
      </c>
      <c r="DV101" s="267" t="e">
        <f t="shared" si="104"/>
        <v>#N/A</v>
      </c>
      <c r="DW101" s="267" t="e">
        <f t="shared" si="105"/>
        <v>#N/A</v>
      </c>
      <c r="DX101" s="267" t="e">
        <f t="shared" si="106"/>
        <v>#N/A</v>
      </c>
      <c r="DY101" s="267">
        <f t="shared" si="107"/>
        <v>0.13339999999999999</v>
      </c>
      <c r="DZ101" s="205">
        <f t="shared" si="57"/>
        <v>4.0783518603582911E-2</v>
      </c>
      <c r="EA101" s="205" t="e">
        <f t="shared" si="95"/>
        <v>#DIV/0!</v>
      </c>
    </row>
    <row r="102" spans="2:135">
      <c r="B102" s="272">
        <v>45035</v>
      </c>
      <c r="C102" s="271">
        <v>45035</v>
      </c>
      <c r="D102" s="263" t="e">
        <f>+SUMIFS(Tabla6[Nominal COP],Tabla6[Concepto],COSTO_OPORTUNIDAD!$B$18,Tabla6[Nemotécnico],COSTO_OPORTUNIDAD!D$16,Tabla6[Fecha Cumplimiento y/ liquidacion],COSTO_OPORTUNIDAD!$C102)/+SUMIFS(Tabla6[Nominal COP],Tabla6[Concepto],COSTO_OPORTUNIDAD!$B$18,Tabla6[Fecha Cumplimiento y/ liquidacion],COSTO_OPORTUNIDAD!$C102)</f>
        <v>#DIV/0!</v>
      </c>
      <c r="E102" s="263" t="e">
        <f>+SUMIFS(Tabla6[Nominal COP],Tabla6[Concepto],COSTO_OPORTUNIDAD!$B$18,Tabla6[Nemotécnico],COSTO_OPORTUNIDAD!E$16,Tabla6[Fecha Cumplimiento y/ liquidacion],COSTO_OPORTUNIDAD!$C102)/+SUMIFS(Tabla6[Nominal COP],Tabla6[Concepto],COSTO_OPORTUNIDAD!$B$18,Tabla6[Fecha Cumplimiento y/ liquidacion],COSTO_OPORTUNIDAD!$C102)</f>
        <v>#DIV/0!</v>
      </c>
      <c r="F102" s="263"/>
      <c r="G102" s="263"/>
      <c r="H102" s="263">
        <v>0.1</v>
      </c>
      <c r="I102" s="263"/>
      <c r="J102" s="263"/>
      <c r="K102" s="263"/>
      <c r="L102" s="263"/>
      <c r="M102" s="263">
        <v>0.77</v>
      </c>
      <c r="N102" s="263"/>
      <c r="O102" s="263"/>
      <c r="P102" s="263"/>
      <c r="Q102" s="263"/>
      <c r="R102" s="263">
        <v>0.13</v>
      </c>
      <c r="S102" s="263"/>
      <c r="T102" s="263"/>
      <c r="U102" s="263"/>
      <c r="AA102" s="263"/>
      <c r="AB102" s="262"/>
      <c r="AC102" s="262"/>
      <c r="AD102" s="262"/>
      <c r="AE102" s="262"/>
      <c r="AF102" s="262"/>
      <c r="AG102" s="262"/>
      <c r="AH102" s="274">
        <f t="shared" si="58"/>
        <v>1225</v>
      </c>
      <c r="AI102" s="274">
        <f t="shared" si="59"/>
        <v>1659</v>
      </c>
      <c r="AJ102" s="274">
        <f t="shared" si="60"/>
        <v>1836</v>
      </c>
      <c r="AK102" s="274">
        <f t="shared" si="54"/>
        <v>2317</v>
      </c>
      <c r="AL102" s="274">
        <f t="shared" si="61"/>
        <v>2709</v>
      </c>
      <c r="AM102" s="274">
        <f t="shared" si="62"/>
        <v>2898</v>
      </c>
      <c r="AN102" s="274">
        <f t="shared" si="63"/>
        <v>3360</v>
      </c>
      <c r="AO102" s="274">
        <f t="shared" si="97"/>
        <v>3584</v>
      </c>
      <c r="AP102" s="274">
        <f t="shared" si="64"/>
        <v>4200</v>
      </c>
      <c r="AQ102" s="274"/>
      <c r="AR102" s="274">
        <f t="shared" si="65"/>
        <v>4830</v>
      </c>
      <c r="AS102" s="274">
        <f t="shared" si="55"/>
        <v>6433</v>
      </c>
      <c r="AT102" s="274">
        <f t="shared" si="66"/>
        <v>6979</v>
      </c>
      <c r="AU102" s="274"/>
      <c r="AV102" s="274">
        <f t="shared" si="67"/>
        <v>10052</v>
      </c>
      <c r="AW102" s="274"/>
      <c r="AX102" s="274">
        <f t="shared" si="68"/>
        <v>749</v>
      </c>
      <c r="AY102" s="274">
        <f t="shared" si="69"/>
        <v>1428</v>
      </c>
      <c r="AZ102" s="274">
        <f t="shared" si="70"/>
        <v>2191</v>
      </c>
      <c r="BA102" s="274"/>
      <c r="BB102" s="274">
        <f t="shared" si="71"/>
        <v>3628</v>
      </c>
      <c r="BC102" s="274">
        <f t="shared" si="72"/>
        <v>4368</v>
      </c>
      <c r="BD102" s="274">
        <f t="shared" si="73"/>
        <v>5061</v>
      </c>
      <c r="BE102" s="274"/>
      <c r="BF102" s="274">
        <f t="shared" si="74"/>
        <v>9555</v>
      </c>
      <c r="BG102" s="274"/>
      <c r="BH102" s="274"/>
      <c r="BI102" s="266">
        <f t="shared" si="75"/>
        <v>0</v>
      </c>
      <c r="BJ102" s="266" t="e">
        <f t="shared" si="76"/>
        <v>#DIV/0!</v>
      </c>
      <c r="BK102" s="263" t="str">
        <f t="shared" si="77"/>
        <v/>
      </c>
      <c r="BL102" s="263" t="str">
        <f t="shared" si="78"/>
        <v/>
      </c>
      <c r="BM102" s="263" t="str">
        <f t="shared" si="79"/>
        <v/>
      </c>
      <c r="BN102" s="263"/>
      <c r="BO102" s="263" t="str">
        <f t="shared" si="80"/>
        <v/>
      </c>
      <c r="BP102" s="263" t="str">
        <f t="shared" si="81"/>
        <v/>
      </c>
      <c r="BQ102" s="263" t="str">
        <f t="shared" si="82"/>
        <v/>
      </c>
      <c r="BR102" s="263" t="str">
        <f t="shared" si="83"/>
        <v/>
      </c>
      <c r="BS102" s="263" t="str">
        <f t="shared" si="84"/>
        <v/>
      </c>
      <c r="BT102" s="263" t="str">
        <f t="shared" si="85"/>
        <v/>
      </c>
      <c r="BU102" s="263" t="str">
        <f t="shared" si="86"/>
        <v/>
      </c>
      <c r="BV102" s="263"/>
      <c r="BW102" s="263" t="str">
        <f t="shared" si="87"/>
        <v/>
      </c>
      <c r="BX102" s="263"/>
      <c r="BY102" s="263" t="str">
        <f t="shared" si="88"/>
        <v/>
      </c>
      <c r="BZ102" s="263"/>
      <c r="CA102" s="263" t="str">
        <f t="shared" si="47"/>
        <v/>
      </c>
      <c r="CB102" s="263" t="str">
        <f t="shared" si="89"/>
        <v/>
      </c>
      <c r="CC102" s="263" t="str">
        <f t="shared" si="48"/>
        <v/>
      </c>
      <c r="CD102" s="263" t="str">
        <f t="shared" si="90"/>
        <v/>
      </c>
      <c r="CE102" s="263" t="str">
        <f t="shared" si="96"/>
        <v/>
      </c>
      <c r="CF102" s="263" t="str">
        <f t="shared" si="49"/>
        <v/>
      </c>
      <c r="CG102" s="263" t="str">
        <f t="shared" si="50"/>
        <v/>
      </c>
      <c r="CH102" s="263"/>
      <c r="CI102" s="263" t="str">
        <f t="shared" si="91"/>
        <v/>
      </c>
      <c r="CJ102" s="263"/>
      <c r="CK102" s="263" t="str">
        <f t="shared" si="92"/>
        <v/>
      </c>
      <c r="CL102" s="264">
        <f t="shared" si="98"/>
        <v>0</v>
      </c>
      <c r="CM102" s="264">
        <f t="shared" si="94"/>
        <v>0</v>
      </c>
      <c r="CO102" s="265">
        <v>0.11023999999999999</v>
      </c>
      <c r="CP102" s="265">
        <v>0.11096</v>
      </c>
      <c r="CQ102" s="265">
        <v>0.11119999999999999</v>
      </c>
      <c r="CS102" s="265">
        <v>0.1134</v>
      </c>
      <c r="CT102" s="265">
        <v>0.11289999999999999</v>
      </c>
      <c r="CU102" s="265">
        <v>0.11515</v>
      </c>
      <c r="CV102" s="265">
        <v>0.11692999999999999</v>
      </c>
      <c r="CW102" s="265">
        <v>0.11608</v>
      </c>
      <c r="CY102" s="265">
        <v>0.1162</v>
      </c>
      <c r="DA102" s="265">
        <v>0.11755</v>
      </c>
      <c r="DC102" s="265">
        <v>0.11753</v>
      </c>
      <c r="DE102" s="265">
        <v>4.4400000000000002E-2</v>
      </c>
      <c r="DF102" s="265">
        <v>4.5899999999999996E-2</v>
      </c>
      <c r="DH102" s="265">
        <v>4.6550000000000001E-2</v>
      </c>
      <c r="DI102" s="265">
        <v>4.82E-2</v>
      </c>
      <c r="DJ102" s="265">
        <v>4.8399999999999999E-2</v>
      </c>
      <c r="DL102" s="265">
        <v>4.641E-2</v>
      </c>
      <c r="DO102" s="264" t="e">
        <f t="shared" si="99"/>
        <v>#N/A</v>
      </c>
      <c r="DP102" s="264" t="e" cm="1">
        <f t="array" ref="DP102">+INDEX(AH102:AV102,MATCH(DO102,AH102:AV102,1)+1)</f>
        <v>#N/A</v>
      </c>
      <c r="DQ102" s="265" t="e">
        <f t="shared" si="100"/>
        <v>#N/A</v>
      </c>
      <c r="DR102" s="267" t="e">
        <f t="shared" si="101"/>
        <v>#N/A</v>
      </c>
      <c r="DS102" s="267" t="e">
        <f t="shared" si="102"/>
        <v>#N/A</v>
      </c>
      <c r="DT102" s="268" t="e">
        <f t="shared" si="103"/>
        <v>#N/A</v>
      </c>
      <c r="DU102" s="268" t="e" cm="1">
        <f t="array" ref="DU102">+INDEX(AX102:BF102,MATCH(DT102,AX102:BF102,1)+1)</f>
        <v>#N/A</v>
      </c>
      <c r="DV102" s="267" t="e">
        <f t="shared" si="104"/>
        <v>#N/A</v>
      </c>
      <c r="DW102" s="267" t="e">
        <f t="shared" si="105"/>
        <v>#N/A</v>
      </c>
      <c r="DX102" s="267" t="e">
        <f t="shared" si="106"/>
        <v>#N/A</v>
      </c>
      <c r="DY102" s="267">
        <f t="shared" si="107"/>
        <v>0.13339999999999999</v>
      </c>
      <c r="DZ102" s="205">
        <f t="shared" si="57"/>
        <v>4.3585209003215428E-2</v>
      </c>
      <c r="EA102" s="205" t="e">
        <f t="shared" si="95"/>
        <v>#DIV/0!</v>
      </c>
    </row>
    <row r="103" spans="2:135">
      <c r="B103" s="272">
        <v>45036</v>
      </c>
      <c r="C103" s="271">
        <v>45036</v>
      </c>
      <c r="D103" s="263" t="e">
        <f>+SUMIFS(Tabla6[Nominal COP],Tabla6[Concepto],COSTO_OPORTUNIDAD!$B$18,Tabla6[Nemotécnico],COSTO_OPORTUNIDAD!D$16,Tabla6[Fecha Cumplimiento y/ liquidacion],COSTO_OPORTUNIDAD!$C103)/+SUMIFS(Tabla6[Nominal COP],Tabla6[Concepto],COSTO_OPORTUNIDAD!$B$18,Tabla6[Fecha Cumplimiento y/ liquidacion],COSTO_OPORTUNIDAD!$C103)</f>
        <v>#DIV/0!</v>
      </c>
      <c r="E103" s="263" t="e">
        <f>+SUMIFS(Tabla6[Nominal COP],Tabla6[Concepto],COSTO_OPORTUNIDAD!$B$18,Tabla6[Nemotécnico],COSTO_OPORTUNIDAD!E$16,Tabla6[Fecha Cumplimiento y/ liquidacion],COSTO_OPORTUNIDAD!$C103)/+SUMIFS(Tabla6[Nominal COP],Tabla6[Concepto],COSTO_OPORTUNIDAD!$B$18,Tabla6[Fecha Cumplimiento y/ liquidacion],COSTO_OPORTUNIDAD!$C103)</f>
        <v>#DIV/0!</v>
      </c>
      <c r="F103" s="263"/>
      <c r="G103" s="263"/>
      <c r="H103" s="263">
        <v>0.11</v>
      </c>
      <c r="I103" s="263"/>
      <c r="J103" s="263"/>
      <c r="K103" s="263"/>
      <c r="L103" s="263"/>
      <c r="M103" s="263">
        <v>0.79</v>
      </c>
      <c r="N103" s="263"/>
      <c r="O103" s="263"/>
      <c r="P103" s="263"/>
      <c r="Q103" s="263"/>
      <c r="R103" s="263">
        <v>0.1</v>
      </c>
      <c r="S103" s="263"/>
      <c r="T103" s="263"/>
      <c r="U103" s="263"/>
      <c r="AA103" s="263"/>
      <c r="AB103" s="262"/>
      <c r="AC103" s="262"/>
      <c r="AD103" s="262"/>
      <c r="AE103" s="262"/>
      <c r="AF103" s="262"/>
      <c r="AG103" s="262"/>
      <c r="AH103" s="274">
        <f t="shared" si="58"/>
        <v>1224</v>
      </c>
      <c r="AI103" s="274">
        <f t="shared" si="59"/>
        <v>1658</v>
      </c>
      <c r="AJ103" s="274">
        <f t="shared" si="60"/>
        <v>1835</v>
      </c>
      <c r="AK103" s="274">
        <f t="shared" si="54"/>
        <v>2316</v>
      </c>
      <c r="AL103" s="274">
        <f t="shared" si="61"/>
        <v>2708</v>
      </c>
      <c r="AM103" s="274">
        <f t="shared" si="62"/>
        <v>2897</v>
      </c>
      <c r="AN103" s="274">
        <f t="shared" si="63"/>
        <v>3359</v>
      </c>
      <c r="AO103" s="274">
        <f t="shared" si="97"/>
        <v>3583</v>
      </c>
      <c r="AP103" s="274">
        <f t="shared" si="64"/>
        <v>4199</v>
      </c>
      <c r="AQ103" s="274"/>
      <c r="AR103" s="274">
        <f t="shared" si="65"/>
        <v>4829</v>
      </c>
      <c r="AS103" s="274">
        <f t="shared" si="55"/>
        <v>6432</v>
      </c>
      <c r="AT103" s="274">
        <f t="shared" si="66"/>
        <v>6978</v>
      </c>
      <c r="AU103" s="274"/>
      <c r="AV103" s="274">
        <f t="shared" si="67"/>
        <v>10051</v>
      </c>
      <c r="AW103" s="274"/>
      <c r="AX103" s="274">
        <f t="shared" si="68"/>
        <v>748</v>
      </c>
      <c r="AY103" s="274">
        <f t="shared" si="69"/>
        <v>1427</v>
      </c>
      <c r="AZ103" s="274">
        <f t="shared" si="70"/>
        <v>2190</v>
      </c>
      <c r="BA103" s="274"/>
      <c r="BB103" s="274">
        <f t="shared" si="71"/>
        <v>3627</v>
      </c>
      <c r="BC103" s="274">
        <f t="shared" si="72"/>
        <v>4367</v>
      </c>
      <c r="BD103" s="274">
        <f t="shared" si="73"/>
        <v>5060</v>
      </c>
      <c r="BE103" s="274"/>
      <c r="BF103" s="274">
        <f t="shared" si="74"/>
        <v>9554</v>
      </c>
      <c r="BG103" s="274"/>
      <c r="BH103" s="274"/>
      <c r="BI103" s="266">
        <f t="shared" si="75"/>
        <v>0</v>
      </c>
      <c r="BJ103" s="266" t="e">
        <f t="shared" si="76"/>
        <v>#DIV/0!</v>
      </c>
      <c r="BK103" s="263" t="str">
        <f t="shared" si="77"/>
        <v/>
      </c>
      <c r="BL103" s="263" t="str">
        <f t="shared" si="78"/>
        <v/>
      </c>
      <c r="BM103" s="263" t="str">
        <f t="shared" si="79"/>
        <v/>
      </c>
      <c r="BN103" s="263"/>
      <c r="BO103" s="263" t="str">
        <f t="shared" si="80"/>
        <v/>
      </c>
      <c r="BP103" s="263" t="str">
        <f t="shared" si="81"/>
        <v/>
      </c>
      <c r="BQ103" s="263" t="str">
        <f t="shared" si="82"/>
        <v/>
      </c>
      <c r="BR103" s="263" t="str">
        <f t="shared" si="83"/>
        <v/>
      </c>
      <c r="BS103" s="263" t="str">
        <f t="shared" si="84"/>
        <v/>
      </c>
      <c r="BT103" s="263" t="str">
        <f t="shared" si="85"/>
        <v/>
      </c>
      <c r="BU103" s="263" t="str">
        <f t="shared" si="86"/>
        <v/>
      </c>
      <c r="BV103" s="263"/>
      <c r="BW103" s="263" t="str">
        <f t="shared" si="87"/>
        <v/>
      </c>
      <c r="BX103" s="263"/>
      <c r="BY103" s="263" t="str">
        <f t="shared" si="88"/>
        <v/>
      </c>
      <c r="BZ103" s="263"/>
      <c r="CA103" s="263" t="str">
        <f t="shared" si="47"/>
        <v/>
      </c>
      <c r="CB103" s="263" t="str">
        <f t="shared" si="89"/>
        <v/>
      </c>
      <c r="CC103" s="263" t="str">
        <f t="shared" si="48"/>
        <v/>
      </c>
      <c r="CD103" s="263" t="str">
        <f t="shared" si="90"/>
        <v/>
      </c>
      <c r="CE103" s="263" t="str">
        <f t="shared" si="96"/>
        <v/>
      </c>
      <c r="CF103" s="263" t="str">
        <f t="shared" si="49"/>
        <v/>
      </c>
      <c r="CG103" s="263" t="str">
        <f t="shared" si="50"/>
        <v/>
      </c>
      <c r="CH103" s="263"/>
      <c r="CI103" s="263" t="str">
        <f t="shared" si="91"/>
        <v/>
      </c>
      <c r="CJ103" s="263"/>
      <c r="CK103" s="263" t="str">
        <f t="shared" si="92"/>
        <v/>
      </c>
      <c r="CL103" s="264">
        <f t="shared" si="98"/>
        <v>0</v>
      </c>
      <c r="CM103" s="264">
        <f t="shared" si="94"/>
        <v>0</v>
      </c>
      <c r="CO103" s="265">
        <v>0.10920000000000001</v>
      </c>
      <c r="CP103" s="265">
        <v>0.10980000000000001</v>
      </c>
      <c r="CQ103" s="265">
        <v>0.111</v>
      </c>
      <c r="CS103" s="265">
        <v>0.11252000000000001</v>
      </c>
      <c r="CT103" s="265">
        <v>0.11320000000000001</v>
      </c>
      <c r="CU103" s="265">
        <v>0.11460000000000001</v>
      </c>
      <c r="CV103" s="265">
        <v>0.11609999999999999</v>
      </c>
      <c r="CW103" s="265">
        <v>0.115</v>
      </c>
      <c r="CY103" s="265">
        <v>0.11509999999999999</v>
      </c>
      <c r="DA103" s="265">
        <v>0.11743000000000001</v>
      </c>
      <c r="DC103" s="265">
        <v>0.11685000000000001</v>
      </c>
      <c r="DE103" s="265">
        <v>4.3049999999999998E-2</v>
      </c>
      <c r="DF103" s="265">
        <v>4.5650000000000003E-2</v>
      </c>
      <c r="DH103" s="265">
        <v>4.7300000000000002E-2</v>
      </c>
      <c r="DI103" s="265">
        <v>4.8150000000000005E-2</v>
      </c>
      <c r="DJ103" s="265">
        <v>4.8000000000000001E-2</v>
      </c>
      <c r="DL103" s="265">
        <v>4.6890000000000001E-2</v>
      </c>
      <c r="DO103" s="264" t="e">
        <f t="shared" si="99"/>
        <v>#N/A</v>
      </c>
      <c r="DP103" s="264" t="e" cm="1">
        <f t="array" ref="DP103">+INDEX(AH103:AV103,MATCH(DO103,AH103:AV103,1)+1)</f>
        <v>#N/A</v>
      </c>
      <c r="DQ103" s="265" t="e">
        <f t="shared" si="100"/>
        <v>#N/A</v>
      </c>
      <c r="DR103" s="267" t="e">
        <f t="shared" si="101"/>
        <v>#N/A</v>
      </c>
      <c r="DS103" s="267" t="e">
        <f t="shared" si="102"/>
        <v>#N/A</v>
      </c>
      <c r="DT103" s="268" t="e">
        <f t="shared" si="103"/>
        <v>#N/A</v>
      </c>
      <c r="DU103" s="268" t="e" cm="1">
        <f t="array" ref="DU103">+INDEX(AX103:BF103,MATCH(DT103,AX103:BF103,1)+1)</f>
        <v>#N/A</v>
      </c>
      <c r="DV103" s="267" t="e">
        <f t="shared" si="104"/>
        <v>#N/A</v>
      </c>
      <c r="DW103" s="267" t="e">
        <f t="shared" si="105"/>
        <v>#N/A</v>
      </c>
      <c r="DX103" s="267" t="e">
        <f t="shared" si="106"/>
        <v>#N/A</v>
      </c>
      <c r="DY103" s="267">
        <f t="shared" si="107"/>
        <v>0.13339999999999999</v>
      </c>
      <c r="DZ103" s="205">
        <f t="shared" si="57"/>
        <v>4.3135071198897569E-2</v>
      </c>
      <c r="EA103" s="205" t="e">
        <f t="shared" si="95"/>
        <v>#DIV/0!</v>
      </c>
    </row>
    <row r="104" spans="2:135">
      <c r="B104" s="272">
        <v>45037</v>
      </c>
      <c r="C104" s="271">
        <v>45037</v>
      </c>
      <c r="D104" s="263" t="e">
        <f>+SUMIFS(Tabla6[Nominal COP],Tabla6[Concepto],COSTO_OPORTUNIDAD!$B$18,Tabla6[Nemotécnico],COSTO_OPORTUNIDAD!D$16,Tabla6[Fecha Cumplimiento y/ liquidacion],COSTO_OPORTUNIDAD!$C104)/+SUMIFS(Tabla6[Nominal COP],Tabla6[Concepto],COSTO_OPORTUNIDAD!$B$18,Tabla6[Fecha Cumplimiento y/ liquidacion],COSTO_OPORTUNIDAD!$C104)</f>
        <v>#DIV/0!</v>
      </c>
      <c r="E104" s="263" t="e">
        <f>+SUMIFS(Tabla6[Nominal COP],Tabla6[Concepto],COSTO_OPORTUNIDAD!$B$18,Tabla6[Nemotécnico],COSTO_OPORTUNIDAD!E$16,Tabla6[Fecha Cumplimiento y/ liquidacion],COSTO_OPORTUNIDAD!$C104)/+SUMIFS(Tabla6[Nominal COP],Tabla6[Concepto],COSTO_OPORTUNIDAD!$B$18,Tabla6[Fecha Cumplimiento y/ liquidacion],COSTO_OPORTUNIDAD!$C104)</f>
        <v>#DIV/0!</v>
      </c>
      <c r="F104" s="263"/>
      <c r="G104" s="263"/>
      <c r="H104" s="263">
        <v>0.12380952380952381</v>
      </c>
      <c r="I104" s="263"/>
      <c r="J104" s="263">
        <v>0</v>
      </c>
      <c r="K104" s="263">
        <v>0</v>
      </c>
      <c r="L104" s="263"/>
      <c r="M104" s="263">
        <v>0.78095238095238095</v>
      </c>
      <c r="N104" s="263"/>
      <c r="O104" s="263"/>
      <c r="P104" s="263">
        <v>0</v>
      </c>
      <c r="Q104" s="263"/>
      <c r="R104" s="263">
        <v>9.5238095238095233E-2</v>
      </c>
      <c r="S104" s="263"/>
      <c r="T104" s="263">
        <v>0</v>
      </c>
      <c r="U104" s="263"/>
      <c r="V104" s="263">
        <v>0</v>
      </c>
      <c r="W104" s="263">
        <v>0</v>
      </c>
      <c r="X104" s="263">
        <v>0</v>
      </c>
      <c r="Y104" s="263"/>
      <c r="Z104" s="263">
        <v>0</v>
      </c>
      <c r="AA104" s="263">
        <v>0</v>
      </c>
      <c r="AB104" s="263">
        <v>0</v>
      </c>
      <c r="AC104" s="263"/>
      <c r="AD104" s="263">
        <v>0</v>
      </c>
      <c r="AE104" s="263"/>
      <c r="AF104" s="263"/>
      <c r="AG104" s="262"/>
      <c r="AH104" s="274">
        <f t="shared" si="58"/>
        <v>1223</v>
      </c>
      <c r="AI104" s="274">
        <f t="shared" si="59"/>
        <v>1657</v>
      </c>
      <c r="AJ104" s="274">
        <f t="shared" si="60"/>
        <v>1834</v>
      </c>
      <c r="AK104" s="274">
        <f t="shared" si="54"/>
        <v>2315</v>
      </c>
      <c r="AL104" s="274">
        <f t="shared" si="61"/>
        <v>2707</v>
      </c>
      <c r="AM104" s="274">
        <f t="shared" si="62"/>
        <v>2896</v>
      </c>
      <c r="AN104" s="274">
        <f t="shared" si="63"/>
        <v>3358</v>
      </c>
      <c r="AO104" s="274">
        <f t="shared" si="97"/>
        <v>3582</v>
      </c>
      <c r="AP104" s="274">
        <f t="shared" si="64"/>
        <v>4198</v>
      </c>
      <c r="AQ104" s="274"/>
      <c r="AR104" s="274">
        <f t="shared" si="65"/>
        <v>4828</v>
      </c>
      <c r="AS104" s="274">
        <f t="shared" si="55"/>
        <v>6431</v>
      </c>
      <c r="AT104" s="274">
        <f t="shared" si="66"/>
        <v>6977</v>
      </c>
      <c r="AU104" s="274"/>
      <c r="AV104" s="274">
        <f t="shared" si="67"/>
        <v>10050</v>
      </c>
      <c r="AW104" s="274"/>
      <c r="AX104" s="274">
        <f t="shared" si="68"/>
        <v>747</v>
      </c>
      <c r="AY104" s="274">
        <f t="shared" si="69"/>
        <v>1426</v>
      </c>
      <c r="AZ104" s="274">
        <f t="shared" si="70"/>
        <v>2189</v>
      </c>
      <c r="BA104" s="274"/>
      <c r="BB104" s="274">
        <f t="shared" si="71"/>
        <v>3626</v>
      </c>
      <c r="BC104" s="274">
        <f t="shared" si="72"/>
        <v>4366</v>
      </c>
      <c r="BD104" s="274">
        <f t="shared" si="73"/>
        <v>5059</v>
      </c>
      <c r="BE104" s="274"/>
      <c r="BF104" s="274">
        <f t="shared" si="74"/>
        <v>9553</v>
      </c>
      <c r="BG104" s="274"/>
      <c r="BH104" s="274"/>
      <c r="BI104" s="266">
        <f t="shared" si="75"/>
        <v>0</v>
      </c>
      <c r="BJ104" s="266" t="e">
        <f t="shared" si="76"/>
        <v>#DIV/0!</v>
      </c>
      <c r="BK104" s="263" t="str">
        <f t="shared" si="77"/>
        <v/>
      </c>
      <c r="BL104" s="263" t="str">
        <f t="shared" si="78"/>
        <v/>
      </c>
      <c r="BM104" s="263" t="str">
        <f t="shared" si="79"/>
        <v/>
      </c>
      <c r="BN104" s="263"/>
      <c r="BO104" s="263" t="str">
        <f t="shared" si="80"/>
        <v/>
      </c>
      <c r="BP104" s="263" t="str">
        <f t="shared" si="81"/>
        <v/>
      </c>
      <c r="BQ104" s="263" t="str">
        <f t="shared" si="82"/>
        <v/>
      </c>
      <c r="BR104" s="263" t="str">
        <f t="shared" si="83"/>
        <v/>
      </c>
      <c r="BS104" s="263" t="str">
        <f t="shared" si="84"/>
        <v/>
      </c>
      <c r="BT104" s="263" t="str">
        <f t="shared" si="85"/>
        <v/>
      </c>
      <c r="BU104" s="263" t="str">
        <f t="shared" si="86"/>
        <v/>
      </c>
      <c r="BV104" s="263"/>
      <c r="BW104" s="263" t="str">
        <f t="shared" si="87"/>
        <v/>
      </c>
      <c r="BX104" s="263"/>
      <c r="BY104" s="263" t="str">
        <f t="shared" si="88"/>
        <v/>
      </c>
      <c r="BZ104" s="263"/>
      <c r="CA104" s="263" t="str">
        <f t="shared" si="47"/>
        <v/>
      </c>
      <c r="CB104" s="263" t="str">
        <f t="shared" si="89"/>
        <v/>
      </c>
      <c r="CC104" s="263" t="str">
        <f t="shared" si="48"/>
        <v/>
      </c>
      <c r="CD104" s="263" t="str">
        <f t="shared" si="90"/>
        <v/>
      </c>
      <c r="CE104" s="263" t="str">
        <f t="shared" si="96"/>
        <v/>
      </c>
      <c r="CF104" s="263" t="str">
        <f t="shared" si="49"/>
        <v/>
      </c>
      <c r="CG104" s="263" t="str">
        <f t="shared" si="50"/>
        <v/>
      </c>
      <c r="CH104" s="263"/>
      <c r="CI104" s="263" t="str">
        <f t="shared" si="91"/>
        <v/>
      </c>
      <c r="CJ104" s="263"/>
      <c r="CK104" s="263" t="str">
        <f t="shared" si="92"/>
        <v/>
      </c>
      <c r="CL104" s="264">
        <f t="shared" si="98"/>
        <v>0</v>
      </c>
      <c r="CM104" s="264">
        <f t="shared" si="94"/>
        <v>0</v>
      </c>
      <c r="CO104" s="265">
        <v>0.10997999999999999</v>
      </c>
      <c r="CP104" s="265">
        <v>0.11021</v>
      </c>
      <c r="CQ104" s="265">
        <v>0.11062</v>
      </c>
      <c r="CS104" s="265">
        <v>0.11269999999999999</v>
      </c>
      <c r="CT104" s="265">
        <v>0.11349000000000001</v>
      </c>
      <c r="CU104" s="265">
        <v>0.11452</v>
      </c>
      <c r="CV104" s="265">
        <v>0.11667</v>
      </c>
      <c r="CW104" s="265">
        <v>0.11541999999999999</v>
      </c>
      <c r="CY104" s="265">
        <v>0.11555</v>
      </c>
      <c r="DA104" s="265">
        <v>0.11749999999999999</v>
      </c>
      <c r="DC104" s="265">
        <v>0.11718000000000001</v>
      </c>
      <c r="DE104" s="265">
        <v>4.3779999999999999E-2</v>
      </c>
      <c r="DF104" s="265">
        <v>4.548E-2</v>
      </c>
      <c r="DH104" s="265">
        <v>4.7300000000000002E-2</v>
      </c>
      <c r="DI104" s="265">
        <v>4.8090000000000001E-2</v>
      </c>
      <c r="DJ104" s="265">
        <v>4.8049999999999995E-2</v>
      </c>
      <c r="DL104" s="265">
        <v>4.6600000000000003E-2</v>
      </c>
      <c r="DO104" s="264" t="e">
        <f t="shared" si="99"/>
        <v>#N/A</v>
      </c>
      <c r="DP104" s="264" t="e" cm="1">
        <f t="array" ref="DP104">+INDEX(AH104:AV104,MATCH(DO104,AH104:AV104,1)+1)</f>
        <v>#N/A</v>
      </c>
      <c r="DQ104" s="265" t="e">
        <f t="shared" si="100"/>
        <v>#N/A</v>
      </c>
      <c r="DR104" s="267" t="e">
        <f t="shared" si="101"/>
        <v>#N/A</v>
      </c>
      <c r="DS104" s="267" t="e">
        <f t="shared" si="102"/>
        <v>#N/A</v>
      </c>
      <c r="DT104" s="268" t="e">
        <f t="shared" si="103"/>
        <v>#N/A</v>
      </c>
      <c r="DU104" s="268" t="e" cm="1">
        <f t="array" ref="DU104">+INDEX(AX104:BF104,MATCH(DT104,AX104:BF104,1)+1)</f>
        <v>#N/A</v>
      </c>
      <c r="DV104" s="267" t="e">
        <f t="shared" si="104"/>
        <v>#N/A</v>
      </c>
      <c r="DW104" s="267" t="e">
        <f t="shared" si="105"/>
        <v>#N/A</v>
      </c>
      <c r="DX104" s="267" t="e">
        <f t="shared" si="106"/>
        <v>#N/A</v>
      </c>
      <c r="DY104" s="267">
        <f t="shared" si="107"/>
        <v>0.13339999999999999</v>
      </c>
      <c r="DZ104" s="205" t="e">
        <f t="shared" ref="DZ104:DZ167" si="108">+(1+DX104)*(1+DY104)-1</f>
        <v>#N/A</v>
      </c>
      <c r="EA104" s="205">
        <f t="shared" ref="EA104:EA167" si="109">IFERROR(BJ104*DS104,0)+IFERROR(BI104*DZ104,0)</f>
        <v>0</v>
      </c>
    </row>
    <row r="105" spans="2:135">
      <c r="B105" s="272">
        <v>45049</v>
      </c>
      <c r="C105" s="271">
        <v>45049</v>
      </c>
      <c r="D105" s="263" t="e">
        <f>+SUMIFS(Tabla6[Nominal COP],Tabla6[Concepto],COSTO_OPORTUNIDAD!$B$18,Tabla6[Nemotécnico],COSTO_OPORTUNIDAD!D$16,Tabla6[Fecha Cumplimiento y/ liquidacion],COSTO_OPORTUNIDAD!$C105)/+SUMIFS(Tabla6[Nominal COP],Tabla6[Concepto],COSTO_OPORTUNIDAD!$B$18,Tabla6[Fecha Cumplimiento y/ liquidacion],COSTO_OPORTUNIDAD!$C105)</f>
        <v>#DIV/0!</v>
      </c>
      <c r="E105" s="263" t="e">
        <f>+SUMIFS(Tabla6[Nominal COP],Tabla6[Concepto],COSTO_OPORTUNIDAD!$B$18,Tabla6[Nemotécnico],COSTO_OPORTUNIDAD!E$16,Tabla6[Fecha Cumplimiento y/ liquidacion],COSTO_OPORTUNIDAD!$C105)/+SUMIFS(Tabla6[Nominal COP],Tabla6[Concepto],COSTO_OPORTUNIDAD!$B$18,Tabla6[Fecha Cumplimiento y/ liquidacion],COSTO_OPORTUNIDAD!$C105)</f>
        <v>#DIV/0!</v>
      </c>
      <c r="F105" s="263"/>
      <c r="G105" s="263"/>
      <c r="H105" s="263">
        <v>0.12135922330097088</v>
      </c>
      <c r="I105" s="263"/>
      <c r="J105" s="263">
        <v>0</v>
      </c>
      <c r="K105" s="263">
        <v>0</v>
      </c>
      <c r="L105" s="263"/>
      <c r="M105" s="263">
        <v>0.75242718446601942</v>
      </c>
      <c r="N105" s="263"/>
      <c r="O105" s="263"/>
      <c r="P105" s="263">
        <v>0</v>
      </c>
      <c r="Q105" s="263"/>
      <c r="R105" s="263">
        <v>0.12621359223300971</v>
      </c>
      <c r="S105" s="263"/>
      <c r="T105" s="263">
        <v>0</v>
      </c>
      <c r="U105" s="263"/>
      <c r="V105" s="263">
        <v>0</v>
      </c>
      <c r="W105" s="263">
        <v>0</v>
      </c>
      <c r="X105" s="263">
        <v>0</v>
      </c>
      <c r="Y105" s="263"/>
      <c r="Z105" s="263">
        <v>0</v>
      </c>
      <c r="AA105" s="263">
        <v>0</v>
      </c>
      <c r="AB105" s="263">
        <v>0</v>
      </c>
      <c r="AC105" s="263"/>
      <c r="AD105" s="263">
        <v>0</v>
      </c>
      <c r="AE105" s="263"/>
      <c r="AF105" s="263"/>
      <c r="AG105" s="262"/>
      <c r="AH105" s="274">
        <f t="shared" si="58"/>
        <v>1211</v>
      </c>
      <c r="AI105" s="274">
        <f t="shared" si="59"/>
        <v>1645</v>
      </c>
      <c r="AJ105" s="274">
        <f t="shared" si="60"/>
        <v>1822</v>
      </c>
      <c r="AK105" s="274">
        <f t="shared" si="54"/>
        <v>2303</v>
      </c>
      <c r="AL105" s="274">
        <f t="shared" si="61"/>
        <v>2695</v>
      </c>
      <c r="AM105" s="274">
        <f t="shared" si="62"/>
        <v>2884</v>
      </c>
      <c r="AN105" s="274">
        <f t="shared" si="63"/>
        <v>3346</v>
      </c>
      <c r="AO105" s="274">
        <f t="shared" si="97"/>
        <v>3570</v>
      </c>
      <c r="AP105" s="274">
        <f t="shared" si="64"/>
        <v>4186</v>
      </c>
      <c r="AQ105" s="274"/>
      <c r="AR105" s="274">
        <f t="shared" si="65"/>
        <v>4816</v>
      </c>
      <c r="AS105" s="274">
        <f t="shared" si="55"/>
        <v>6419</v>
      </c>
      <c r="AT105" s="274">
        <f t="shared" si="66"/>
        <v>6965</v>
      </c>
      <c r="AU105" s="274"/>
      <c r="AV105" s="274">
        <f t="shared" si="67"/>
        <v>10038</v>
      </c>
      <c r="AW105" s="274"/>
      <c r="AX105" s="274">
        <f t="shared" si="68"/>
        <v>735</v>
      </c>
      <c r="AY105" s="274">
        <f t="shared" si="69"/>
        <v>1414</v>
      </c>
      <c r="AZ105" s="274">
        <f t="shared" si="70"/>
        <v>2177</v>
      </c>
      <c r="BA105" s="274"/>
      <c r="BB105" s="274">
        <f t="shared" si="71"/>
        <v>3614</v>
      </c>
      <c r="BC105" s="274">
        <f t="shared" si="72"/>
        <v>4354</v>
      </c>
      <c r="BD105" s="274">
        <f t="shared" si="73"/>
        <v>5047</v>
      </c>
      <c r="BE105" s="274"/>
      <c r="BF105" s="274">
        <f t="shared" si="74"/>
        <v>9541</v>
      </c>
      <c r="BG105" s="274"/>
      <c r="BH105" s="274"/>
      <c r="BI105" s="266">
        <f t="shared" si="75"/>
        <v>0</v>
      </c>
      <c r="BJ105" s="266" t="e">
        <f t="shared" si="76"/>
        <v>#DIV/0!</v>
      </c>
      <c r="BK105" s="263" t="str">
        <f t="shared" si="77"/>
        <v/>
      </c>
      <c r="BL105" s="263" t="str">
        <f t="shared" si="78"/>
        <v/>
      </c>
      <c r="BM105" s="263" t="str">
        <f t="shared" si="79"/>
        <v/>
      </c>
      <c r="BN105" s="263"/>
      <c r="BO105" s="263" t="str">
        <f t="shared" si="80"/>
        <v/>
      </c>
      <c r="BP105" s="263" t="str">
        <f t="shared" si="81"/>
        <v/>
      </c>
      <c r="BQ105" s="263" t="str">
        <f t="shared" si="82"/>
        <v/>
      </c>
      <c r="BR105" s="263" t="str">
        <f t="shared" si="83"/>
        <v/>
      </c>
      <c r="BS105" s="263" t="str">
        <f t="shared" si="84"/>
        <v/>
      </c>
      <c r="BT105" s="263" t="str">
        <f t="shared" si="85"/>
        <v/>
      </c>
      <c r="BU105" s="263" t="str">
        <f t="shared" si="86"/>
        <v/>
      </c>
      <c r="BV105" s="263"/>
      <c r="BW105" s="263" t="str">
        <f t="shared" si="87"/>
        <v/>
      </c>
      <c r="BX105" s="263"/>
      <c r="BY105" s="263" t="str">
        <f t="shared" si="88"/>
        <v/>
      </c>
      <c r="BZ105" s="263"/>
      <c r="CA105" s="263" t="str">
        <f t="shared" si="47"/>
        <v/>
      </c>
      <c r="CB105" s="263" t="str">
        <f t="shared" si="89"/>
        <v/>
      </c>
      <c r="CC105" s="263" t="str">
        <f t="shared" si="48"/>
        <v/>
      </c>
      <c r="CD105" s="263" t="str">
        <f t="shared" si="90"/>
        <v/>
      </c>
      <c r="CE105" s="263" t="str">
        <f t="shared" si="96"/>
        <v/>
      </c>
      <c r="CF105" s="263" t="str">
        <f t="shared" si="49"/>
        <v/>
      </c>
      <c r="CG105" s="263" t="str">
        <f t="shared" si="50"/>
        <v/>
      </c>
      <c r="CH105" s="263"/>
      <c r="CI105" s="263" t="str">
        <f t="shared" si="91"/>
        <v/>
      </c>
      <c r="CJ105" s="263"/>
      <c r="CK105" s="263" t="str">
        <f t="shared" si="92"/>
        <v/>
      </c>
      <c r="CL105" s="264">
        <f t="shared" si="98"/>
        <v>0</v>
      </c>
      <c r="CM105" s="264">
        <f t="shared" si="94"/>
        <v>0</v>
      </c>
      <c r="CO105" s="265">
        <v>0.11199999999999999</v>
      </c>
      <c r="CP105" s="265">
        <v>0.11339</v>
      </c>
      <c r="CQ105" s="265">
        <v>0.11315</v>
      </c>
      <c r="CS105" s="265">
        <v>0.11599999999999999</v>
      </c>
      <c r="CT105" s="265">
        <v>0.11749999999999999</v>
      </c>
      <c r="CU105" s="265">
        <v>0.11737</v>
      </c>
      <c r="CV105" s="265">
        <v>0.1186</v>
      </c>
      <c r="CW105" s="265">
        <v>0.11750999999999999</v>
      </c>
      <c r="CY105" s="265">
        <v>0.11810000000000001</v>
      </c>
      <c r="DA105" s="265">
        <v>0.11960000000000001</v>
      </c>
      <c r="DC105" s="265">
        <v>0.11945</v>
      </c>
      <c r="DE105" s="265">
        <v>4.4500000000000005E-2</v>
      </c>
      <c r="DF105" s="265">
        <v>4.6900000000000004E-2</v>
      </c>
      <c r="DH105" s="265">
        <v>4.8049999999999995E-2</v>
      </c>
      <c r="DI105" s="265">
        <v>4.9000000000000002E-2</v>
      </c>
      <c r="DJ105" s="265">
        <v>4.9000000000000002E-2</v>
      </c>
      <c r="DL105" s="265">
        <v>4.7699999999999992E-2</v>
      </c>
      <c r="DO105" s="264" t="e">
        <f t="shared" si="99"/>
        <v>#N/A</v>
      </c>
      <c r="DP105" s="264" t="e" cm="1">
        <f t="array" ref="DP105">+INDEX(AH105:AV105,MATCH(DO105,AH105:AV105,1)+1)</f>
        <v>#N/A</v>
      </c>
      <c r="DQ105" s="265" t="e">
        <f t="shared" si="100"/>
        <v>#N/A</v>
      </c>
      <c r="DR105" s="267" t="e">
        <f t="shared" si="101"/>
        <v>#N/A</v>
      </c>
      <c r="DS105" s="267" t="e">
        <f t="shared" si="102"/>
        <v>#N/A</v>
      </c>
      <c r="DT105" s="268" t="e">
        <f t="shared" si="103"/>
        <v>#N/A</v>
      </c>
      <c r="DU105" s="268" t="e" cm="1">
        <f t="array" ref="DU105">+INDEX(AX105:BF105,MATCH(DT105,AX105:BF105,1)+1)</f>
        <v>#N/A</v>
      </c>
      <c r="DV105" s="267" t="e">
        <f t="shared" si="104"/>
        <v>#N/A</v>
      </c>
      <c r="DW105" s="267" t="e">
        <f t="shared" si="105"/>
        <v>#N/A</v>
      </c>
      <c r="DX105" s="267" t="e">
        <f t="shared" si="106"/>
        <v>#N/A</v>
      </c>
      <c r="DY105" s="267">
        <f>+$EE$67</f>
        <v>0.13339999999999999</v>
      </c>
      <c r="DZ105" s="205" t="e">
        <f t="shared" si="108"/>
        <v>#N/A</v>
      </c>
      <c r="EA105" s="205">
        <f t="shared" si="109"/>
        <v>0</v>
      </c>
    </row>
    <row r="106" spans="2:135">
      <c r="B106" s="272">
        <v>45056</v>
      </c>
      <c r="C106" s="271">
        <v>45056</v>
      </c>
      <c r="D106" s="263" t="e">
        <f>+SUMIFS(Tabla6[Nominal COP],Tabla6[Concepto],COSTO_OPORTUNIDAD!$B$18,Tabla6[Nemotécnico],COSTO_OPORTUNIDAD!D$16,Tabla6[Fecha Cumplimiento y/ liquidacion],COSTO_OPORTUNIDAD!$C106)/+SUMIFS(Tabla6[Nominal COP],Tabla6[Concepto],COSTO_OPORTUNIDAD!$B$18,Tabla6[Fecha Cumplimiento y/ liquidacion],COSTO_OPORTUNIDAD!$C106)</f>
        <v>#DIV/0!</v>
      </c>
      <c r="E106" s="263" t="e">
        <f>+SUMIFS(Tabla6[Nominal COP],Tabla6[Concepto],COSTO_OPORTUNIDAD!$B$18,Tabla6[Nemotécnico],COSTO_OPORTUNIDAD!E$16,Tabla6[Fecha Cumplimiento y/ liquidacion],COSTO_OPORTUNIDAD!$C106)/+SUMIFS(Tabla6[Nominal COP],Tabla6[Concepto],COSTO_OPORTUNIDAD!$B$18,Tabla6[Fecha Cumplimiento y/ liquidacion],COSTO_OPORTUNIDAD!$C106)</f>
        <v>#DIV/0!</v>
      </c>
      <c r="F106" s="263"/>
      <c r="G106" s="263"/>
      <c r="H106" s="263">
        <v>0.1</v>
      </c>
      <c r="I106" s="263"/>
      <c r="J106" s="263">
        <v>0</v>
      </c>
      <c r="K106" s="263">
        <v>0</v>
      </c>
      <c r="L106" s="263"/>
      <c r="M106" s="263">
        <v>0.8</v>
      </c>
      <c r="N106" s="263"/>
      <c r="O106" s="263"/>
      <c r="P106" s="263">
        <v>0</v>
      </c>
      <c r="Q106" s="263"/>
      <c r="R106" s="263">
        <v>0.1</v>
      </c>
      <c r="S106" s="263"/>
      <c r="T106" s="263">
        <v>0</v>
      </c>
      <c r="U106" s="263"/>
      <c r="V106" s="263">
        <v>0</v>
      </c>
      <c r="W106" s="263">
        <v>0</v>
      </c>
      <c r="X106" s="263">
        <v>0</v>
      </c>
      <c r="Y106" s="263"/>
      <c r="Z106" s="263">
        <v>0</v>
      </c>
      <c r="AA106" s="263">
        <v>0</v>
      </c>
      <c r="AB106" s="263">
        <v>0</v>
      </c>
      <c r="AC106" s="263"/>
      <c r="AD106" s="263">
        <v>0</v>
      </c>
      <c r="AE106" s="263"/>
      <c r="AF106" s="263"/>
      <c r="AG106" s="262"/>
      <c r="AH106" s="274">
        <f t="shared" si="58"/>
        <v>1204</v>
      </c>
      <c r="AI106" s="274">
        <f t="shared" si="59"/>
        <v>1638</v>
      </c>
      <c r="AJ106" s="274">
        <f t="shared" si="60"/>
        <v>1815</v>
      </c>
      <c r="AK106" s="274">
        <f t="shared" si="54"/>
        <v>2296</v>
      </c>
      <c r="AL106" s="274">
        <f t="shared" si="61"/>
        <v>2688</v>
      </c>
      <c r="AM106" s="274">
        <f t="shared" si="62"/>
        <v>2877</v>
      </c>
      <c r="AN106" s="274">
        <f t="shared" si="63"/>
        <v>3339</v>
      </c>
      <c r="AO106" s="274">
        <f t="shared" si="97"/>
        <v>3563</v>
      </c>
      <c r="AP106" s="274">
        <f t="shared" si="64"/>
        <v>4179</v>
      </c>
      <c r="AQ106" s="274"/>
      <c r="AR106" s="274">
        <f t="shared" si="65"/>
        <v>4809</v>
      </c>
      <c r="AS106" s="274">
        <f t="shared" si="55"/>
        <v>6412</v>
      </c>
      <c r="AT106" s="274">
        <f t="shared" si="66"/>
        <v>6958</v>
      </c>
      <c r="AU106" s="274"/>
      <c r="AV106" s="274">
        <f t="shared" si="67"/>
        <v>10031</v>
      </c>
      <c r="AW106" s="274"/>
      <c r="AX106" s="274">
        <f t="shared" si="68"/>
        <v>728</v>
      </c>
      <c r="AY106" s="274">
        <f t="shared" si="69"/>
        <v>1407</v>
      </c>
      <c r="AZ106" s="274">
        <f t="shared" si="70"/>
        <v>2170</v>
      </c>
      <c r="BA106" s="274"/>
      <c r="BB106" s="274">
        <f t="shared" si="71"/>
        <v>3607</v>
      </c>
      <c r="BC106" s="274">
        <f t="shared" si="72"/>
        <v>4347</v>
      </c>
      <c r="BD106" s="274">
        <f t="shared" si="73"/>
        <v>5040</v>
      </c>
      <c r="BE106" s="274"/>
      <c r="BF106" s="274">
        <f t="shared" si="74"/>
        <v>9534</v>
      </c>
      <c r="BG106" s="274"/>
      <c r="BH106" s="274"/>
      <c r="BI106" s="266">
        <f t="shared" si="75"/>
        <v>0</v>
      </c>
      <c r="BJ106" s="266" t="e">
        <f t="shared" si="76"/>
        <v>#DIV/0!</v>
      </c>
      <c r="BK106" s="263" t="str">
        <f t="shared" si="77"/>
        <v/>
      </c>
      <c r="BL106" s="263" t="str">
        <f t="shared" si="78"/>
        <v/>
      </c>
      <c r="BM106" s="263" t="str">
        <f t="shared" si="79"/>
        <v/>
      </c>
      <c r="BN106" s="263"/>
      <c r="BO106" s="263" t="str">
        <f t="shared" si="80"/>
        <v/>
      </c>
      <c r="BP106" s="263" t="str">
        <f t="shared" si="81"/>
        <v/>
      </c>
      <c r="BQ106" s="263" t="str">
        <f t="shared" si="82"/>
        <v/>
      </c>
      <c r="BR106" s="263" t="str">
        <f t="shared" si="83"/>
        <v/>
      </c>
      <c r="BS106" s="263" t="str">
        <f t="shared" si="84"/>
        <v/>
      </c>
      <c r="BT106" s="263" t="str">
        <f t="shared" si="85"/>
        <v/>
      </c>
      <c r="BU106" s="263" t="str">
        <f t="shared" si="86"/>
        <v/>
      </c>
      <c r="BV106" s="263"/>
      <c r="BW106" s="263" t="str">
        <f t="shared" si="87"/>
        <v/>
      </c>
      <c r="BX106" s="263"/>
      <c r="BY106" s="263" t="str">
        <f t="shared" si="88"/>
        <v/>
      </c>
      <c r="BZ106" s="263"/>
      <c r="CA106" s="263" t="str">
        <f t="shared" si="47"/>
        <v/>
      </c>
      <c r="CB106" s="263" t="str">
        <f t="shared" si="89"/>
        <v/>
      </c>
      <c r="CC106" s="263" t="str">
        <f t="shared" si="48"/>
        <v/>
      </c>
      <c r="CD106" s="263" t="str">
        <f t="shared" si="90"/>
        <v/>
      </c>
      <c r="CE106" s="263" t="str">
        <f t="shared" si="96"/>
        <v/>
      </c>
      <c r="CF106" s="263" t="str">
        <f t="shared" si="49"/>
        <v/>
      </c>
      <c r="CG106" s="263" t="str">
        <f t="shared" si="50"/>
        <v/>
      </c>
      <c r="CH106" s="263"/>
      <c r="CI106" s="263" t="str">
        <f t="shared" si="91"/>
        <v/>
      </c>
      <c r="CJ106" s="263"/>
      <c r="CK106" s="263" t="str">
        <f t="shared" si="92"/>
        <v/>
      </c>
      <c r="CL106" s="264">
        <f t="shared" si="98"/>
        <v>0</v>
      </c>
      <c r="CM106" s="264">
        <f t="shared" si="94"/>
        <v>0</v>
      </c>
      <c r="CO106" s="265">
        <v>0.109</v>
      </c>
      <c r="CP106" s="265">
        <v>0.10986000000000001</v>
      </c>
      <c r="CQ106" s="265">
        <v>0.11</v>
      </c>
      <c r="CS106" s="265">
        <v>0.11199999999999999</v>
      </c>
      <c r="CT106" s="265">
        <v>0.111</v>
      </c>
      <c r="CU106" s="265">
        <v>0.11396000000000001</v>
      </c>
      <c r="CV106" s="265">
        <v>0.11550000000000001</v>
      </c>
      <c r="CW106" s="265">
        <v>0.115</v>
      </c>
      <c r="CY106" s="265">
        <v>0.11449999999999999</v>
      </c>
      <c r="DA106" s="265">
        <v>0.11710000000000001</v>
      </c>
      <c r="DC106" s="265">
        <v>0.11692</v>
      </c>
      <c r="DE106" s="265">
        <v>4.3400000000000001E-2</v>
      </c>
      <c r="DF106" s="265">
        <v>4.5769999999999998E-2</v>
      </c>
      <c r="DH106" s="265">
        <v>4.7199999999999999E-2</v>
      </c>
      <c r="DI106" s="265">
        <v>4.8300000000000003E-2</v>
      </c>
      <c r="DJ106" s="265">
        <v>4.8000000000000001E-2</v>
      </c>
      <c r="DL106" s="265">
        <v>4.7E-2</v>
      </c>
      <c r="DO106" s="264" t="e">
        <f t="shared" si="99"/>
        <v>#N/A</v>
      </c>
      <c r="DP106" s="264" t="e" cm="1">
        <f t="array" ref="DP106">+INDEX(AH106:AV106,MATCH(DO106,AH106:AV106,1)+1)</f>
        <v>#N/A</v>
      </c>
      <c r="DQ106" s="265" t="e">
        <f t="shared" si="100"/>
        <v>#N/A</v>
      </c>
      <c r="DR106" s="267" t="e">
        <f t="shared" si="101"/>
        <v>#N/A</v>
      </c>
      <c r="DS106" s="267" t="e">
        <f t="shared" si="102"/>
        <v>#N/A</v>
      </c>
      <c r="DT106" s="268" t="e">
        <f t="shared" si="103"/>
        <v>#N/A</v>
      </c>
      <c r="DU106" s="268" t="e" cm="1">
        <f t="array" ref="DU106">+INDEX(AX106:BF106,MATCH(DT106,AX106:BF106,1)+1)</f>
        <v>#N/A</v>
      </c>
      <c r="DV106" s="267" t="e">
        <f t="shared" si="104"/>
        <v>#N/A</v>
      </c>
      <c r="DW106" s="267" t="e">
        <f t="shared" si="105"/>
        <v>#N/A</v>
      </c>
      <c r="DX106" s="267" t="e">
        <f t="shared" si="106"/>
        <v>#N/A</v>
      </c>
      <c r="DY106" s="267">
        <f t="shared" ref="DY106:DY107" si="110">+$EE$68</f>
        <v>0.12820000000000001</v>
      </c>
      <c r="DZ106" s="205" t="e">
        <f t="shared" si="108"/>
        <v>#N/A</v>
      </c>
      <c r="EA106" s="205">
        <f t="shared" si="109"/>
        <v>0</v>
      </c>
    </row>
    <row r="107" spans="2:135">
      <c r="B107" s="272">
        <v>45063</v>
      </c>
      <c r="C107" s="271">
        <v>45063</v>
      </c>
      <c r="D107" s="263" t="e">
        <f>+SUMIFS(Tabla6[Nominal COP],Tabla6[Concepto],COSTO_OPORTUNIDAD!$B$18,Tabla6[Nemotécnico],COSTO_OPORTUNIDAD!D$16,Tabla6[Fecha Cumplimiento y/ liquidacion],COSTO_OPORTUNIDAD!$C107)/+SUMIFS(Tabla6[Nominal COP],Tabla6[Concepto],COSTO_OPORTUNIDAD!$B$18,Tabla6[Fecha Cumplimiento y/ liquidacion],COSTO_OPORTUNIDAD!$C107)</f>
        <v>#DIV/0!</v>
      </c>
      <c r="E107" s="263" t="e">
        <f>+SUMIFS(Tabla6[Nominal COP],Tabla6[Concepto],COSTO_OPORTUNIDAD!$B$18,Tabla6[Nemotécnico],COSTO_OPORTUNIDAD!E$16,Tabla6[Fecha Cumplimiento y/ liquidacion],COSTO_OPORTUNIDAD!$C107)/+SUMIFS(Tabla6[Nominal COP],Tabla6[Concepto],COSTO_OPORTUNIDAD!$B$18,Tabla6[Fecha Cumplimiento y/ liquidacion],COSTO_OPORTUNIDAD!$C107)</f>
        <v>#DIV/0!</v>
      </c>
      <c r="F107" s="263"/>
      <c r="G107" s="263"/>
      <c r="H107" s="263">
        <v>0.16949152542372881</v>
      </c>
      <c r="I107" s="263"/>
      <c r="J107" s="263">
        <v>0</v>
      </c>
      <c r="K107" s="263">
        <v>0</v>
      </c>
      <c r="L107" s="263"/>
      <c r="M107" s="263">
        <v>0.70056497175141241</v>
      </c>
      <c r="N107" s="263"/>
      <c r="O107" s="263"/>
      <c r="P107" s="263">
        <v>0</v>
      </c>
      <c r="Q107" s="263"/>
      <c r="R107" s="263">
        <v>0.12994350282485875</v>
      </c>
      <c r="S107" s="263"/>
      <c r="T107" s="263">
        <v>0</v>
      </c>
      <c r="U107" s="263"/>
      <c r="V107" s="263">
        <v>0</v>
      </c>
      <c r="W107" s="263">
        <v>0</v>
      </c>
      <c r="X107" s="263">
        <v>0</v>
      </c>
      <c r="Y107" s="263"/>
      <c r="Z107" s="263">
        <v>0</v>
      </c>
      <c r="AA107" s="263">
        <v>0</v>
      </c>
      <c r="AB107" s="263">
        <v>0</v>
      </c>
      <c r="AC107" s="263"/>
      <c r="AD107" s="263">
        <v>0</v>
      </c>
      <c r="AE107" s="263"/>
      <c r="AF107" s="263"/>
      <c r="AG107" s="262"/>
      <c r="AH107" s="274">
        <f t="shared" si="58"/>
        <v>1197</v>
      </c>
      <c r="AI107" s="274">
        <f t="shared" si="59"/>
        <v>1631</v>
      </c>
      <c r="AJ107" s="274">
        <f t="shared" si="60"/>
        <v>1808</v>
      </c>
      <c r="AK107" s="274">
        <f t="shared" si="54"/>
        <v>2289</v>
      </c>
      <c r="AL107" s="274">
        <f t="shared" si="61"/>
        <v>2681</v>
      </c>
      <c r="AM107" s="274">
        <f t="shared" si="62"/>
        <v>2870</v>
      </c>
      <c r="AN107" s="274">
        <f t="shared" si="63"/>
        <v>3332</v>
      </c>
      <c r="AO107" s="274">
        <f t="shared" si="97"/>
        <v>3556</v>
      </c>
      <c r="AP107" s="274">
        <f t="shared" si="64"/>
        <v>4172</v>
      </c>
      <c r="AQ107" s="274"/>
      <c r="AR107" s="274">
        <f t="shared" si="65"/>
        <v>4802</v>
      </c>
      <c r="AS107" s="274">
        <f t="shared" si="55"/>
        <v>6405</v>
      </c>
      <c r="AT107" s="274">
        <f t="shared" si="66"/>
        <v>6951</v>
      </c>
      <c r="AU107" s="274"/>
      <c r="AV107" s="274">
        <f t="shared" si="67"/>
        <v>10024</v>
      </c>
      <c r="AW107" s="274"/>
      <c r="AX107" s="274">
        <f t="shared" si="68"/>
        <v>721</v>
      </c>
      <c r="AY107" s="274">
        <f t="shared" si="69"/>
        <v>1400</v>
      </c>
      <c r="AZ107" s="274">
        <f t="shared" si="70"/>
        <v>2163</v>
      </c>
      <c r="BA107" s="274"/>
      <c r="BB107" s="274">
        <f t="shared" si="71"/>
        <v>3600</v>
      </c>
      <c r="BC107" s="274">
        <f t="shared" si="72"/>
        <v>4340</v>
      </c>
      <c r="BD107" s="274">
        <f t="shared" si="73"/>
        <v>5033</v>
      </c>
      <c r="BE107" s="274"/>
      <c r="BF107" s="274">
        <f t="shared" si="74"/>
        <v>9527</v>
      </c>
      <c r="BG107" s="274"/>
      <c r="BH107" s="274"/>
      <c r="BI107" s="266">
        <f t="shared" si="75"/>
        <v>0</v>
      </c>
      <c r="BJ107" s="266" t="e">
        <f t="shared" si="76"/>
        <v>#DIV/0!</v>
      </c>
      <c r="BK107" s="263" t="str">
        <f t="shared" si="77"/>
        <v/>
      </c>
      <c r="BL107" s="263" t="str">
        <f t="shared" si="78"/>
        <v/>
      </c>
      <c r="BM107" s="263" t="str">
        <f t="shared" si="79"/>
        <v/>
      </c>
      <c r="BN107" s="263"/>
      <c r="BO107" s="263" t="str">
        <f t="shared" si="80"/>
        <v/>
      </c>
      <c r="BP107" s="263" t="str">
        <f t="shared" si="81"/>
        <v/>
      </c>
      <c r="BQ107" s="263" t="str">
        <f t="shared" si="82"/>
        <v/>
      </c>
      <c r="BR107" s="263" t="str">
        <f t="shared" si="83"/>
        <v/>
      </c>
      <c r="BS107" s="263" t="str">
        <f t="shared" si="84"/>
        <v/>
      </c>
      <c r="BT107" s="263" t="str">
        <f t="shared" si="85"/>
        <v/>
      </c>
      <c r="BU107" s="263" t="str">
        <f t="shared" si="86"/>
        <v/>
      </c>
      <c r="BV107" s="263"/>
      <c r="BW107" s="263" t="str">
        <f t="shared" si="87"/>
        <v/>
      </c>
      <c r="BX107" s="263"/>
      <c r="BY107" s="263" t="str">
        <f t="shared" si="88"/>
        <v/>
      </c>
      <c r="BZ107" s="263"/>
      <c r="CA107" s="263" t="str">
        <f t="shared" si="47"/>
        <v/>
      </c>
      <c r="CB107" s="263" t="str">
        <f t="shared" si="89"/>
        <v/>
      </c>
      <c r="CC107" s="263" t="str">
        <f t="shared" si="48"/>
        <v/>
      </c>
      <c r="CD107" s="263" t="str">
        <f t="shared" si="90"/>
        <v/>
      </c>
      <c r="CE107" s="263" t="str">
        <f t="shared" si="96"/>
        <v/>
      </c>
      <c r="CF107" s="263" t="str">
        <f t="shared" si="49"/>
        <v/>
      </c>
      <c r="CG107" s="263" t="str">
        <f t="shared" si="50"/>
        <v/>
      </c>
      <c r="CH107" s="263"/>
      <c r="CI107" s="263" t="str">
        <f t="shared" si="91"/>
        <v/>
      </c>
      <c r="CJ107" s="263"/>
      <c r="CK107" s="263" t="str">
        <f t="shared" si="92"/>
        <v/>
      </c>
      <c r="CL107" s="264">
        <f t="shared" si="98"/>
        <v>0</v>
      </c>
      <c r="CM107" s="264">
        <f t="shared" si="94"/>
        <v>0</v>
      </c>
      <c r="CO107" s="265">
        <v>0.10585000000000001</v>
      </c>
      <c r="CP107" s="265">
        <v>0.1069</v>
      </c>
      <c r="CQ107" s="265">
        <v>0.10692</v>
      </c>
      <c r="CS107" s="265">
        <v>0.1085</v>
      </c>
      <c r="CT107" s="265">
        <v>0.10796</v>
      </c>
      <c r="CU107" s="265">
        <v>0.10992</v>
      </c>
      <c r="CV107" s="265">
        <v>0.11172</v>
      </c>
      <c r="CW107" s="265">
        <v>0.1104</v>
      </c>
      <c r="CY107" s="265">
        <v>0.1104</v>
      </c>
      <c r="DA107" s="265">
        <v>0.11302</v>
      </c>
      <c r="DC107" s="265">
        <v>0.11395</v>
      </c>
      <c r="DE107" s="265">
        <v>4.2439999999999999E-2</v>
      </c>
      <c r="DF107" s="265">
        <v>4.4699999999999997E-2</v>
      </c>
      <c r="DH107" s="265">
        <v>4.7E-2</v>
      </c>
      <c r="DI107" s="265">
        <v>4.8029999999999996E-2</v>
      </c>
      <c r="DJ107" s="265">
        <v>4.7899999999999998E-2</v>
      </c>
      <c r="DL107" s="265">
        <v>4.7500000000000001E-2</v>
      </c>
      <c r="DO107" s="264" t="e">
        <f t="shared" si="99"/>
        <v>#N/A</v>
      </c>
      <c r="DP107" s="264" t="e" cm="1">
        <f t="array" ref="DP107">+INDEX(AH107:AV107,MATCH(DO107,AH107:AV107,1)+1)</f>
        <v>#N/A</v>
      </c>
      <c r="DQ107" s="265" t="e">
        <f t="shared" si="100"/>
        <v>#N/A</v>
      </c>
      <c r="DR107" s="267" t="e">
        <f t="shared" si="101"/>
        <v>#N/A</v>
      </c>
      <c r="DS107" s="267" t="e">
        <f t="shared" si="102"/>
        <v>#N/A</v>
      </c>
      <c r="DT107" s="268" t="e">
        <f t="shared" si="103"/>
        <v>#N/A</v>
      </c>
      <c r="DU107" s="268" t="e" cm="1">
        <f t="array" ref="DU107">+INDEX(AX107:BF107,MATCH(DT107,AX107:BF107,1)+1)</f>
        <v>#N/A</v>
      </c>
      <c r="DV107" s="267" t="e">
        <f t="shared" si="104"/>
        <v>#N/A</v>
      </c>
      <c r="DW107" s="267" t="e">
        <f t="shared" si="105"/>
        <v>#N/A</v>
      </c>
      <c r="DX107" s="267" t="e">
        <f t="shared" si="106"/>
        <v>#N/A</v>
      </c>
      <c r="DY107" s="267">
        <f t="shared" si="110"/>
        <v>0.12820000000000001</v>
      </c>
      <c r="DZ107" s="205" t="e">
        <f t="shared" si="108"/>
        <v>#N/A</v>
      </c>
      <c r="EA107" s="205">
        <f t="shared" si="109"/>
        <v>0</v>
      </c>
    </row>
    <row r="108" spans="2:135">
      <c r="B108" s="272">
        <v>45077</v>
      </c>
      <c r="C108" s="271">
        <v>45077</v>
      </c>
      <c r="D108" s="263" t="e">
        <f>+SUMIFS(Tabla6[Nominal COP],Tabla6[Concepto],COSTO_OPORTUNIDAD!$B$18,Tabla6[Nemotécnico],COSTO_OPORTUNIDAD!D$16,Tabla6[Fecha Cumplimiento y/ liquidacion],COSTO_OPORTUNIDAD!$C108)/+SUMIFS(Tabla6[Nominal COP],Tabla6[Concepto],COSTO_OPORTUNIDAD!$B$18,Tabla6[Fecha Cumplimiento y/ liquidacion],COSTO_OPORTUNIDAD!$C108)</f>
        <v>#DIV/0!</v>
      </c>
      <c r="E108" s="263" t="e">
        <f>+SUMIFS(Tabla6[Nominal COP],Tabla6[Concepto],COSTO_OPORTUNIDAD!$B$18,Tabla6[Nemotécnico],COSTO_OPORTUNIDAD!E$16,Tabla6[Fecha Cumplimiento y/ liquidacion],COSTO_OPORTUNIDAD!$C108)/+SUMIFS(Tabla6[Nominal COP],Tabla6[Concepto],COSTO_OPORTUNIDAD!$B$18,Tabla6[Fecha Cumplimiento y/ liquidacion],COSTO_OPORTUNIDAD!$C108)</f>
        <v>#DIV/0!</v>
      </c>
      <c r="F108" s="263"/>
      <c r="G108" s="263"/>
      <c r="H108" s="263">
        <v>0.20522388059701493</v>
      </c>
      <c r="I108" s="263"/>
      <c r="J108" s="263">
        <v>0</v>
      </c>
      <c r="K108" s="263">
        <v>0</v>
      </c>
      <c r="L108" s="263"/>
      <c r="M108" s="263">
        <v>0.70149253731343286</v>
      </c>
      <c r="N108" s="263"/>
      <c r="O108" s="263"/>
      <c r="P108" s="263">
        <v>0</v>
      </c>
      <c r="Q108" s="263"/>
      <c r="R108" s="263">
        <v>9.3283582089552244E-2</v>
      </c>
      <c r="S108" s="263"/>
      <c r="T108" s="263">
        <v>0</v>
      </c>
      <c r="U108" s="263"/>
      <c r="V108" s="263">
        <v>0</v>
      </c>
      <c r="W108" s="263">
        <v>0</v>
      </c>
      <c r="X108" s="263">
        <v>0</v>
      </c>
      <c r="Y108" s="263"/>
      <c r="Z108" s="263">
        <v>0</v>
      </c>
      <c r="AA108" s="263">
        <v>0</v>
      </c>
      <c r="AB108" s="263">
        <v>0</v>
      </c>
      <c r="AC108" s="263"/>
      <c r="AD108" s="263">
        <v>0</v>
      </c>
      <c r="AE108" s="263"/>
      <c r="AF108" s="263"/>
      <c r="AG108" s="262"/>
      <c r="AH108" s="274">
        <f t="shared" si="58"/>
        <v>1183</v>
      </c>
      <c r="AI108" s="274">
        <f t="shared" si="59"/>
        <v>1617</v>
      </c>
      <c r="AJ108" s="274">
        <f t="shared" si="60"/>
        <v>1794</v>
      </c>
      <c r="AK108" s="274">
        <f t="shared" si="54"/>
        <v>2275</v>
      </c>
      <c r="AL108" s="274">
        <f t="shared" si="61"/>
        <v>2667</v>
      </c>
      <c r="AM108" s="274">
        <f t="shared" si="62"/>
        <v>2856</v>
      </c>
      <c r="AN108" s="274">
        <f t="shared" si="63"/>
        <v>3318</v>
      </c>
      <c r="AO108" s="274">
        <f t="shared" si="97"/>
        <v>3542</v>
      </c>
      <c r="AP108" s="274">
        <f t="shared" si="64"/>
        <v>4158</v>
      </c>
      <c r="AQ108" s="274"/>
      <c r="AR108" s="274">
        <f t="shared" si="65"/>
        <v>4788</v>
      </c>
      <c r="AS108" s="274">
        <f t="shared" si="55"/>
        <v>6391</v>
      </c>
      <c r="AT108" s="274">
        <f t="shared" si="66"/>
        <v>6937</v>
      </c>
      <c r="AU108" s="274"/>
      <c r="AV108" s="274">
        <f t="shared" si="67"/>
        <v>10010</v>
      </c>
      <c r="AW108" s="274"/>
      <c r="AX108" s="274">
        <f t="shared" si="68"/>
        <v>707</v>
      </c>
      <c r="AY108" s="274">
        <f t="shared" si="69"/>
        <v>1386</v>
      </c>
      <c r="AZ108" s="274">
        <f t="shared" si="70"/>
        <v>2149</v>
      </c>
      <c r="BA108" s="274"/>
      <c r="BB108" s="274">
        <f t="shared" si="71"/>
        <v>3586</v>
      </c>
      <c r="BC108" s="274">
        <f t="shared" si="72"/>
        <v>4326</v>
      </c>
      <c r="BD108" s="274">
        <f t="shared" si="73"/>
        <v>5019</v>
      </c>
      <c r="BE108" s="274"/>
      <c r="BF108" s="274">
        <f t="shared" si="74"/>
        <v>9513</v>
      </c>
      <c r="BG108" s="274"/>
      <c r="BH108" s="274"/>
      <c r="BI108" s="266">
        <f t="shared" si="75"/>
        <v>0</v>
      </c>
      <c r="BJ108" s="266" t="e">
        <f t="shared" si="76"/>
        <v>#DIV/0!</v>
      </c>
      <c r="BK108" s="263" t="str">
        <f t="shared" si="77"/>
        <v/>
      </c>
      <c r="BL108" s="263" t="str">
        <f t="shared" si="78"/>
        <v/>
      </c>
      <c r="BM108" s="263" t="str">
        <f t="shared" si="79"/>
        <v/>
      </c>
      <c r="BN108" s="263"/>
      <c r="BO108" s="263" t="str">
        <f t="shared" si="80"/>
        <v/>
      </c>
      <c r="BP108" s="263" t="str">
        <f t="shared" si="81"/>
        <v/>
      </c>
      <c r="BQ108" s="263" t="str">
        <f t="shared" si="82"/>
        <v/>
      </c>
      <c r="BR108" s="263" t="str">
        <f t="shared" si="83"/>
        <v/>
      </c>
      <c r="BS108" s="263" t="str">
        <f t="shared" si="84"/>
        <v/>
      </c>
      <c r="BT108" s="263" t="str">
        <f t="shared" si="85"/>
        <v/>
      </c>
      <c r="BU108" s="263" t="str">
        <f t="shared" si="86"/>
        <v/>
      </c>
      <c r="BV108" s="263"/>
      <c r="BW108" s="263" t="str">
        <f t="shared" si="87"/>
        <v/>
      </c>
      <c r="BX108" s="263"/>
      <c r="BY108" s="263" t="str">
        <f t="shared" si="88"/>
        <v/>
      </c>
      <c r="BZ108" s="263"/>
      <c r="CA108" s="263" t="str">
        <f t="shared" si="47"/>
        <v/>
      </c>
      <c r="CB108" s="263" t="str">
        <f t="shared" si="89"/>
        <v/>
      </c>
      <c r="CC108" s="263" t="str">
        <f t="shared" si="48"/>
        <v/>
      </c>
      <c r="CD108" s="263" t="str">
        <f t="shared" si="90"/>
        <v/>
      </c>
      <c r="CE108" s="263" t="str">
        <f t="shared" si="96"/>
        <v/>
      </c>
      <c r="CF108" s="263" t="str">
        <f t="shared" si="49"/>
        <v/>
      </c>
      <c r="CG108" s="263" t="str">
        <f t="shared" si="50"/>
        <v/>
      </c>
      <c r="CH108" s="263"/>
      <c r="CI108" s="263" t="str">
        <f t="shared" si="91"/>
        <v/>
      </c>
      <c r="CJ108" s="263"/>
      <c r="CK108" s="263" t="str">
        <f t="shared" si="92"/>
        <v/>
      </c>
      <c r="CL108" s="264">
        <f t="shared" si="98"/>
        <v>0</v>
      </c>
      <c r="CM108" s="264">
        <f t="shared" si="94"/>
        <v>0</v>
      </c>
      <c r="CO108" s="265">
        <v>0.1069</v>
      </c>
      <c r="CP108" s="265">
        <v>0.1076</v>
      </c>
      <c r="CQ108" s="265">
        <v>0.10800000000000001</v>
      </c>
      <c r="CS108" s="265">
        <v>0.10890000000000001</v>
      </c>
      <c r="CT108" s="265">
        <v>0.10816000000000001</v>
      </c>
      <c r="CU108" s="265">
        <v>0.1109</v>
      </c>
      <c r="CV108" s="265">
        <v>0.11226000000000001</v>
      </c>
      <c r="CW108" s="265">
        <v>0.11195000000000001</v>
      </c>
      <c r="CY108" s="265">
        <v>0.11199999999999999</v>
      </c>
      <c r="DA108" s="265">
        <v>0.11339</v>
      </c>
      <c r="DC108" s="265">
        <v>0.11269999999999999</v>
      </c>
      <c r="DE108" s="265">
        <v>4.2140000000000004E-2</v>
      </c>
      <c r="DF108" s="265">
        <v>4.41E-2</v>
      </c>
      <c r="DH108" s="265">
        <v>4.5400000000000003E-2</v>
      </c>
      <c r="DI108" s="265">
        <v>4.6600000000000003E-2</v>
      </c>
      <c r="DJ108" s="265">
        <v>4.7380000000000005E-2</v>
      </c>
      <c r="DL108" s="265">
        <v>4.5999999999999999E-2</v>
      </c>
      <c r="DO108" s="264" t="e">
        <f t="shared" si="99"/>
        <v>#N/A</v>
      </c>
      <c r="DP108" s="264" t="e" cm="1">
        <f t="array" ref="DP108">+INDEX(AH108:AV108,MATCH(DO108,AH108:AV108,1)+1)</f>
        <v>#N/A</v>
      </c>
      <c r="DQ108" s="265" t="e">
        <f t="shared" si="100"/>
        <v>#N/A</v>
      </c>
      <c r="DR108" s="267" t="e">
        <f t="shared" si="101"/>
        <v>#N/A</v>
      </c>
      <c r="DS108" s="267" t="e">
        <f t="shared" si="102"/>
        <v>#N/A</v>
      </c>
      <c r="DT108" s="268" t="e">
        <f t="shared" si="103"/>
        <v>#N/A</v>
      </c>
      <c r="DU108" s="268" t="e" cm="1">
        <f t="array" ref="DU108">+INDEX(AX108:BF108,MATCH(DT108,AX108:BF108,1)+1)</f>
        <v>#N/A</v>
      </c>
      <c r="DV108" s="267" t="e">
        <f t="shared" si="104"/>
        <v>#N/A</v>
      </c>
      <c r="DW108" s="267" t="e">
        <f t="shared" si="105"/>
        <v>#N/A</v>
      </c>
      <c r="DX108" s="267" t="e">
        <f t="shared" si="106"/>
        <v>#N/A</v>
      </c>
      <c r="DY108" s="267">
        <f>+$EE$68</f>
        <v>0.12820000000000001</v>
      </c>
      <c r="DZ108" s="205" t="e">
        <f t="shared" si="108"/>
        <v>#N/A</v>
      </c>
      <c r="EA108" s="205">
        <f t="shared" si="109"/>
        <v>0</v>
      </c>
    </row>
    <row r="109" spans="2:135">
      <c r="B109" s="272">
        <v>45105</v>
      </c>
      <c r="C109" s="271">
        <v>45105</v>
      </c>
      <c r="D109" s="263" t="e">
        <f>+SUMIFS(Tabla6[Nominal COP],Tabla6[Concepto],COSTO_OPORTUNIDAD!$B$18,Tabla6[Nemotécnico],COSTO_OPORTUNIDAD!D$16,Tabla6[Fecha Cumplimiento y/ liquidacion],COSTO_OPORTUNIDAD!$C109)/+SUMIFS(Tabla6[Nominal COP],Tabla6[Concepto],COSTO_OPORTUNIDAD!$B$18,Tabla6[Fecha Cumplimiento y/ liquidacion],COSTO_OPORTUNIDAD!$C109)</f>
        <v>#DIV/0!</v>
      </c>
      <c r="E109" s="263" t="e">
        <f>+SUMIFS(Tabla6[Nominal COP],Tabla6[Concepto],COSTO_OPORTUNIDAD!$B$18,Tabla6[Nemotécnico],COSTO_OPORTUNIDAD!E$16,Tabla6[Fecha Cumplimiento y/ liquidacion],COSTO_OPORTUNIDAD!$C109)/+SUMIFS(Tabla6[Nominal COP],Tabla6[Concepto],COSTO_OPORTUNIDAD!$B$18,Tabla6[Fecha Cumplimiento y/ liquidacion],COSTO_OPORTUNIDAD!$C109)</f>
        <v>#DIV/0!</v>
      </c>
      <c r="F109" s="263"/>
      <c r="G109" s="263"/>
      <c r="H109" s="263">
        <v>0.19607843137254902</v>
      </c>
      <c r="I109" s="263"/>
      <c r="J109" s="263">
        <v>0</v>
      </c>
      <c r="K109" s="263">
        <v>0</v>
      </c>
      <c r="L109" s="263"/>
      <c r="M109" s="263">
        <v>0.60784313725490191</v>
      </c>
      <c r="N109" s="263"/>
      <c r="O109" s="263"/>
      <c r="P109" s="263">
        <v>0</v>
      </c>
      <c r="Q109" s="263"/>
      <c r="R109" s="263">
        <v>0.19607843137254902</v>
      </c>
      <c r="S109" s="263"/>
      <c r="T109" s="263">
        <v>0</v>
      </c>
      <c r="U109" s="263"/>
      <c r="V109" s="263">
        <v>0</v>
      </c>
      <c r="W109" s="263">
        <v>0</v>
      </c>
      <c r="X109" s="263">
        <v>0</v>
      </c>
      <c r="Y109" s="263"/>
      <c r="Z109" s="263">
        <v>0</v>
      </c>
      <c r="AA109" s="263">
        <v>0</v>
      </c>
      <c r="AB109" s="263">
        <v>0</v>
      </c>
      <c r="AC109" s="263"/>
      <c r="AD109" s="263">
        <v>0</v>
      </c>
      <c r="AE109" s="263"/>
      <c r="AF109" s="263"/>
      <c r="AG109" s="262"/>
      <c r="AH109" s="274">
        <f t="shared" si="58"/>
        <v>1155</v>
      </c>
      <c r="AI109" s="274">
        <f t="shared" si="59"/>
        <v>1589</v>
      </c>
      <c r="AJ109" s="274">
        <f t="shared" si="60"/>
        <v>1766</v>
      </c>
      <c r="AK109" s="274">
        <f t="shared" si="54"/>
        <v>2247</v>
      </c>
      <c r="AL109" s="274">
        <f t="shared" si="61"/>
        <v>2639</v>
      </c>
      <c r="AM109" s="274">
        <f t="shared" si="62"/>
        <v>2828</v>
      </c>
      <c r="AN109" s="274">
        <f t="shared" si="63"/>
        <v>3290</v>
      </c>
      <c r="AO109" s="274">
        <f t="shared" si="97"/>
        <v>3514</v>
      </c>
      <c r="AP109" s="274">
        <f t="shared" si="64"/>
        <v>4130</v>
      </c>
      <c r="AQ109" s="274"/>
      <c r="AR109" s="274">
        <f t="shared" si="65"/>
        <v>4760</v>
      </c>
      <c r="AS109" s="274">
        <f t="shared" si="55"/>
        <v>6363</v>
      </c>
      <c r="AT109" s="274">
        <f t="shared" si="66"/>
        <v>6909</v>
      </c>
      <c r="AU109" s="274"/>
      <c r="AV109" s="274">
        <f t="shared" si="67"/>
        <v>9982</v>
      </c>
      <c r="AW109" s="274"/>
      <c r="AX109" s="274">
        <f t="shared" si="68"/>
        <v>679</v>
      </c>
      <c r="AY109" s="274">
        <f t="shared" si="69"/>
        <v>1358</v>
      </c>
      <c r="AZ109" s="274">
        <f t="shared" si="70"/>
        <v>2121</v>
      </c>
      <c r="BA109" s="274"/>
      <c r="BB109" s="274">
        <f t="shared" si="71"/>
        <v>3558</v>
      </c>
      <c r="BC109" s="274">
        <f t="shared" si="72"/>
        <v>4298</v>
      </c>
      <c r="BD109" s="274">
        <f t="shared" si="73"/>
        <v>4991</v>
      </c>
      <c r="BE109" s="274"/>
      <c r="BF109" s="274">
        <f t="shared" si="74"/>
        <v>9485</v>
      </c>
      <c r="BG109" s="274"/>
      <c r="BH109" s="274"/>
      <c r="BI109" s="266">
        <f t="shared" si="75"/>
        <v>0</v>
      </c>
      <c r="BJ109" s="266" t="e">
        <f t="shared" si="76"/>
        <v>#DIV/0!</v>
      </c>
      <c r="BK109" s="263" t="str">
        <f t="shared" si="77"/>
        <v/>
      </c>
      <c r="BL109" s="263" t="str">
        <f t="shared" si="78"/>
        <v/>
      </c>
      <c r="BM109" s="263" t="str">
        <f t="shared" si="79"/>
        <v/>
      </c>
      <c r="BN109" s="263"/>
      <c r="BO109" s="263" t="str">
        <f t="shared" si="80"/>
        <v/>
      </c>
      <c r="BP109" s="263" t="str">
        <f t="shared" si="81"/>
        <v/>
      </c>
      <c r="BQ109" s="263" t="str">
        <f t="shared" si="82"/>
        <v/>
      </c>
      <c r="BR109" s="263" t="str">
        <f t="shared" si="83"/>
        <v/>
      </c>
      <c r="BS109" s="263" t="str">
        <f t="shared" si="84"/>
        <v/>
      </c>
      <c r="BT109" s="263" t="str">
        <f t="shared" si="85"/>
        <v/>
      </c>
      <c r="BU109" s="263" t="str">
        <f t="shared" si="86"/>
        <v/>
      </c>
      <c r="BV109" s="263"/>
      <c r="BW109" s="263" t="str">
        <f t="shared" si="87"/>
        <v/>
      </c>
      <c r="BX109" s="263"/>
      <c r="BY109" s="263" t="str">
        <f t="shared" si="88"/>
        <v/>
      </c>
      <c r="BZ109" s="263"/>
      <c r="CA109" s="263" t="str">
        <f t="shared" si="47"/>
        <v/>
      </c>
      <c r="CB109" s="263" t="str">
        <f t="shared" si="89"/>
        <v/>
      </c>
      <c r="CC109" s="263" t="str">
        <f t="shared" si="48"/>
        <v/>
      </c>
      <c r="CD109" s="263" t="str">
        <f t="shared" si="90"/>
        <v/>
      </c>
      <c r="CE109" s="263" t="str">
        <f t="shared" si="96"/>
        <v/>
      </c>
      <c r="CF109" s="263" t="str">
        <f t="shared" si="49"/>
        <v/>
      </c>
      <c r="CG109" s="263" t="str">
        <f t="shared" si="50"/>
        <v/>
      </c>
      <c r="CH109" s="263"/>
      <c r="CI109" s="263" t="str">
        <f t="shared" si="91"/>
        <v/>
      </c>
      <c r="CJ109" s="263"/>
      <c r="CK109" s="263" t="str">
        <f t="shared" si="92"/>
        <v/>
      </c>
      <c r="CL109" s="264">
        <f t="shared" si="98"/>
        <v>0</v>
      </c>
      <c r="CM109" s="264">
        <f t="shared" si="94"/>
        <v>0</v>
      </c>
      <c r="CO109" s="265">
        <v>9.8100000000000007E-2</v>
      </c>
      <c r="CP109" s="265">
        <v>9.8000000000000004E-2</v>
      </c>
      <c r="CQ109" s="265">
        <v>9.8019999999999996E-2</v>
      </c>
      <c r="CS109" s="265">
        <v>9.9589999999999998E-2</v>
      </c>
      <c r="CT109" s="265">
        <v>0.10074</v>
      </c>
      <c r="CU109" s="265">
        <v>0.10150000000000001</v>
      </c>
      <c r="CV109" s="265">
        <v>0.10236000000000001</v>
      </c>
      <c r="CW109" s="265">
        <v>0.10249999999999999</v>
      </c>
      <c r="CY109" s="265">
        <v>0.1024</v>
      </c>
      <c r="DA109" s="265">
        <v>0.10576000000000001</v>
      </c>
      <c r="DC109" s="265">
        <v>0.10485</v>
      </c>
      <c r="DE109" s="265">
        <v>4.0800000000000003E-2</v>
      </c>
      <c r="DF109" s="265">
        <v>4.0500000000000001E-2</v>
      </c>
      <c r="DH109" s="265">
        <v>4.2000000000000003E-2</v>
      </c>
      <c r="DI109" s="265">
        <v>4.3429999999999996E-2</v>
      </c>
      <c r="DJ109" s="265">
        <v>4.3499999999999997E-2</v>
      </c>
      <c r="DL109" s="265">
        <v>4.299E-2</v>
      </c>
      <c r="DO109" s="264" t="e">
        <f t="shared" si="99"/>
        <v>#N/A</v>
      </c>
      <c r="DP109" s="264" t="e" cm="1">
        <f t="array" ref="DP109">+INDEX(AH109:AV109,MATCH(DO109,AH109:AV109,1)+1)</f>
        <v>#N/A</v>
      </c>
      <c r="DQ109" s="265" t="e">
        <f t="shared" si="100"/>
        <v>#N/A</v>
      </c>
      <c r="DR109" s="267" t="e">
        <f t="shared" si="101"/>
        <v>#N/A</v>
      </c>
      <c r="DS109" s="267" t="e">
        <f t="shared" si="102"/>
        <v>#N/A</v>
      </c>
      <c r="DT109" s="268" t="e">
        <f t="shared" si="103"/>
        <v>#N/A</v>
      </c>
      <c r="DU109" s="268" t="e" cm="1">
        <f t="array" ref="DU109">+INDEX(AX109:BF109,MATCH(DT109,AX109:BF109,1)+1)</f>
        <v>#N/A</v>
      </c>
      <c r="DV109" s="267" t="e">
        <f t="shared" si="104"/>
        <v>#N/A</v>
      </c>
      <c r="DW109" s="267" t="e">
        <f t="shared" si="105"/>
        <v>#N/A</v>
      </c>
      <c r="DX109" s="267" t="e">
        <f t="shared" si="106"/>
        <v>#N/A</v>
      </c>
      <c r="DY109" s="267">
        <f>+$EE$69</f>
        <v>0.12359999999999999</v>
      </c>
      <c r="DZ109" s="205" t="e">
        <f t="shared" si="108"/>
        <v>#N/A</v>
      </c>
      <c r="EA109" s="205">
        <f t="shared" si="109"/>
        <v>0</v>
      </c>
    </row>
    <row r="110" spans="2:135">
      <c r="B110" s="272">
        <v>45107</v>
      </c>
      <c r="C110" s="271">
        <v>45107</v>
      </c>
      <c r="D110" s="263" t="e">
        <f>+SUMIFS(Tabla6[Nominal COP],Tabla6[Concepto],COSTO_OPORTUNIDAD!$B$18,Tabla6[Nemotécnico],COSTO_OPORTUNIDAD!D$16,Tabla6[Fecha Cumplimiento y/ liquidacion],COSTO_OPORTUNIDAD!$C110)/+SUMIFS(Tabla6[Nominal COP],Tabla6[Concepto],COSTO_OPORTUNIDAD!$B$18,Tabla6[Fecha Cumplimiento y/ liquidacion],COSTO_OPORTUNIDAD!$C110)</f>
        <v>#DIV/0!</v>
      </c>
      <c r="E110" s="263" t="e">
        <f>+SUMIFS(Tabla6[Nominal COP],Tabla6[Concepto],COSTO_OPORTUNIDAD!$B$18,Tabla6[Nemotécnico],COSTO_OPORTUNIDAD!E$16,Tabla6[Fecha Cumplimiento y/ liquidacion],COSTO_OPORTUNIDAD!$C110)/+SUMIFS(Tabla6[Nominal COP],Tabla6[Concepto],COSTO_OPORTUNIDAD!$B$18,Tabla6[Fecha Cumplimiento y/ liquidacion],COSTO_OPORTUNIDAD!$C110)</f>
        <v>#DIV/0!</v>
      </c>
      <c r="F110" s="263"/>
      <c r="G110" s="263"/>
      <c r="H110" s="263">
        <v>0.20754716981132076</v>
      </c>
      <c r="I110" s="263"/>
      <c r="J110" s="263">
        <v>0</v>
      </c>
      <c r="K110" s="263">
        <v>0</v>
      </c>
      <c r="L110" s="263"/>
      <c r="M110" s="263">
        <v>0.59748427672955973</v>
      </c>
      <c r="N110" s="263"/>
      <c r="O110" s="263"/>
      <c r="P110" s="263">
        <v>0</v>
      </c>
      <c r="Q110" s="263"/>
      <c r="R110" s="263">
        <v>0.19496855345911951</v>
      </c>
      <c r="S110" s="263"/>
      <c r="T110" s="263">
        <v>0</v>
      </c>
      <c r="U110" s="263"/>
      <c r="V110" s="263">
        <v>0</v>
      </c>
      <c r="W110" s="263">
        <v>0</v>
      </c>
      <c r="X110" s="263">
        <v>0</v>
      </c>
      <c r="Y110" s="263"/>
      <c r="Z110" s="263">
        <v>0</v>
      </c>
      <c r="AA110" s="263">
        <v>0</v>
      </c>
      <c r="AB110" s="263">
        <v>0</v>
      </c>
      <c r="AC110" s="263"/>
      <c r="AD110" s="263">
        <v>0</v>
      </c>
      <c r="AE110" s="263"/>
      <c r="AF110" s="263"/>
      <c r="AG110" s="262"/>
      <c r="AH110" s="274">
        <f t="shared" si="58"/>
        <v>1153</v>
      </c>
      <c r="AI110" s="274">
        <f t="shared" si="59"/>
        <v>1587</v>
      </c>
      <c r="AJ110" s="274">
        <f t="shared" si="60"/>
        <v>1764</v>
      </c>
      <c r="AK110" s="274">
        <f t="shared" si="54"/>
        <v>2245</v>
      </c>
      <c r="AL110" s="274">
        <f t="shared" si="61"/>
        <v>2637</v>
      </c>
      <c r="AM110" s="274">
        <f t="shared" si="62"/>
        <v>2826</v>
      </c>
      <c r="AN110" s="274">
        <f t="shared" si="63"/>
        <v>3288</v>
      </c>
      <c r="AO110" s="274">
        <f t="shared" si="97"/>
        <v>3512</v>
      </c>
      <c r="AP110" s="274">
        <f t="shared" si="64"/>
        <v>4128</v>
      </c>
      <c r="AQ110" s="274"/>
      <c r="AR110" s="274">
        <f t="shared" si="65"/>
        <v>4758</v>
      </c>
      <c r="AS110" s="274">
        <f t="shared" si="55"/>
        <v>6361</v>
      </c>
      <c r="AT110" s="274">
        <f t="shared" si="66"/>
        <v>6907</v>
      </c>
      <c r="AU110" s="274"/>
      <c r="AV110" s="274">
        <f t="shared" si="67"/>
        <v>9980</v>
      </c>
      <c r="AW110" s="274"/>
      <c r="AX110" s="274">
        <f t="shared" si="68"/>
        <v>677</v>
      </c>
      <c r="AY110" s="274">
        <f t="shared" si="69"/>
        <v>1356</v>
      </c>
      <c r="AZ110" s="274">
        <f t="shared" si="70"/>
        <v>2119</v>
      </c>
      <c r="BA110" s="274"/>
      <c r="BB110" s="274">
        <f t="shared" si="71"/>
        <v>3556</v>
      </c>
      <c r="BC110" s="274">
        <f t="shared" si="72"/>
        <v>4296</v>
      </c>
      <c r="BD110" s="274">
        <f t="shared" si="73"/>
        <v>4989</v>
      </c>
      <c r="BE110" s="274"/>
      <c r="BF110" s="274">
        <f t="shared" si="74"/>
        <v>9483</v>
      </c>
      <c r="BG110" s="274"/>
      <c r="BH110" s="274"/>
      <c r="BI110" s="266">
        <f t="shared" si="75"/>
        <v>0</v>
      </c>
      <c r="BJ110" s="266" t="e">
        <f t="shared" si="76"/>
        <v>#DIV/0!</v>
      </c>
      <c r="BK110" s="263" t="str">
        <f t="shared" si="77"/>
        <v/>
      </c>
      <c r="BL110" s="263" t="str">
        <f t="shared" si="78"/>
        <v/>
      </c>
      <c r="BM110" s="263" t="str">
        <f t="shared" si="79"/>
        <v/>
      </c>
      <c r="BN110" s="263"/>
      <c r="BO110" s="263" t="str">
        <f t="shared" si="80"/>
        <v/>
      </c>
      <c r="BP110" s="263" t="str">
        <f t="shared" si="81"/>
        <v/>
      </c>
      <c r="BQ110" s="263" t="str">
        <f t="shared" si="82"/>
        <v/>
      </c>
      <c r="BR110" s="263" t="str">
        <f t="shared" si="83"/>
        <v/>
      </c>
      <c r="BS110" s="263" t="str">
        <f t="shared" si="84"/>
        <v/>
      </c>
      <c r="BT110" s="263" t="str">
        <f t="shared" si="85"/>
        <v/>
      </c>
      <c r="BU110" s="263" t="str">
        <f t="shared" si="86"/>
        <v/>
      </c>
      <c r="BV110" s="263"/>
      <c r="BW110" s="263" t="str">
        <f t="shared" si="87"/>
        <v/>
      </c>
      <c r="BX110" s="263"/>
      <c r="BY110" s="263" t="str">
        <f t="shared" si="88"/>
        <v/>
      </c>
      <c r="BZ110" s="263"/>
      <c r="CA110" s="263" t="str">
        <f t="shared" si="47"/>
        <v/>
      </c>
      <c r="CB110" s="263" t="str">
        <f t="shared" si="89"/>
        <v/>
      </c>
      <c r="CC110" s="263" t="str">
        <f t="shared" si="48"/>
        <v/>
      </c>
      <c r="CD110" s="263" t="str">
        <f t="shared" si="90"/>
        <v/>
      </c>
      <c r="CE110" s="263" t="str">
        <f t="shared" si="96"/>
        <v/>
      </c>
      <c r="CF110" s="263" t="str">
        <f t="shared" si="49"/>
        <v/>
      </c>
      <c r="CG110" s="263" t="str">
        <f t="shared" si="50"/>
        <v/>
      </c>
      <c r="CH110" s="263"/>
      <c r="CI110" s="263" t="str">
        <f t="shared" si="91"/>
        <v/>
      </c>
      <c r="CJ110" s="263"/>
      <c r="CK110" s="263" t="str">
        <f t="shared" si="92"/>
        <v/>
      </c>
      <c r="CL110" s="264">
        <f t="shared" si="98"/>
        <v>0</v>
      </c>
      <c r="CM110" s="264">
        <f t="shared" si="94"/>
        <v>0</v>
      </c>
      <c r="CO110" s="265">
        <v>9.8019999999999996E-2</v>
      </c>
      <c r="CP110" s="265">
        <v>9.7530000000000006E-2</v>
      </c>
      <c r="CQ110" s="265">
        <v>9.8000000000000004E-2</v>
      </c>
      <c r="CS110" s="265">
        <v>9.8699999999999996E-2</v>
      </c>
      <c r="CT110" s="265">
        <v>9.9060000000000009E-2</v>
      </c>
      <c r="CU110" s="265">
        <v>0.10093000000000001</v>
      </c>
      <c r="CV110" s="265">
        <v>0.10196</v>
      </c>
      <c r="CW110" s="265">
        <v>0.10160999999999999</v>
      </c>
      <c r="CY110" s="265">
        <v>0.1007</v>
      </c>
      <c r="DA110" s="265">
        <v>0.105</v>
      </c>
      <c r="DC110" s="265">
        <v>0.10483000000000001</v>
      </c>
      <c r="DE110" s="265">
        <v>3.9399999999999998E-2</v>
      </c>
      <c r="DF110" s="265">
        <v>3.9399999999999998E-2</v>
      </c>
      <c r="DH110" s="265">
        <v>4.2000000000000003E-2</v>
      </c>
      <c r="DI110" s="265">
        <v>4.2560000000000001E-2</v>
      </c>
      <c r="DJ110" s="265">
        <v>4.3110000000000002E-2</v>
      </c>
      <c r="DL110" s="265">
        <v>4.1700000000000001E-2</v>
      </c>
      <c r="DO110" s="264" t="e">
        <f t="shared" si="99"/>
        <v>#N/A</v>
      </c>
      <c r="DP110" s="264" t="e" cm="1">
        <f t="array" ref="DP110">+INDEX(AH110:AV110,MATCH(DO110,AH110:AV110,1)+1)</f>
        <v>#N/A</v>
      </c>
      <c r="DQ110" s="265" t="e">
        <f t="shared" si="100"/>
        <v>#N/A</v>
      </c>
      <c r="DR110" s="267" t="e">
        <f t="shared" si="101"/>
        <v>#N/A</v>
      </c>
      <c r="DS110" s="267" t="e">
        <f t="shared" si="102"/>
        <v>#N/A</v>
      </c>
      <c r="DT110" s="268" t="e">
        <f t="shared" si="103"/>
        <v>#N/A</v>
      </c>
      <c r="DU110" s="268" t="e" cm="1">
        <f t="array" ref="DU110">+INDEX(AX110:BF110,MATCH(DT110,AX110:BF110,1)+1)</f>
        <v>#N/A</v>
      </c>
      <c r="DV110" s="267" t="e">
        <f t="shared" si="104"/>
        <v>#N/A</v>
      </c>
      <c r="DW110" s="267" t="e">
        <f t="shared" si="105"/>
        <v>#N/A</v>
      </c>
      <c r="DX110" s="267" t="e">
        <f t="shared" si="106"/>
        <v>#N/A</v>
      </c>
      <c r="DY110" s="267">
        <f>+$EE$69</f>
        <v>0.12359999999999999</v>
      </c>
      <c r="DZ110" s="205" t="e">
        <f t="shared" si="108"/>
        <v>#N/A</v>
      </c>
      <c r="EA110" s="205">
        <f t="shared" si="109"/>
        <v>0</v>
      </c>
    </row>
    <row r="111" spans="2:135">
      <c r="B111" s="272">
        <v>45131</v>
      </c>
      <c r="C111" s="271">
        <v>45131</v>
      </c>
      <c r="D111" s="263" t="e">
        <f>+SUMIFS(Tabla6[Nominal COP],Tabla6[Concepto],COSTO_OPORTUNIDAD!$B$18,Tabla6[Nemotécnico],COSTO_OPORTUNIDAD!D$16,Tabla6[Fecha Cumplimiento y/ liquidacion],COSTO_OPORTUNIDAD!$C111)/+SUMIFS(Tabla6[Nominal COP],Tabla6[Concepto],COSTO_OPORTUNIDAD!$B$18,Tabla6[Fecha Cumplimiento y/ liquidacion],COSTO_OPORTUNIDAD!$C111)</f>
        <v>#DIV/0!</v>
      </c>
      <c r="E111" s="263" t="e">
        <f>+SUMIFS(Tabla6[Nominal COP],Tabla6[Concepto],COSTO_OPORTUNIDAD!$B$18,Tabla6[Nemotécnico],COSTO_OPORTUNIDAD!E$16,Tabla6[Fecha Cumplimiento y/ liquidacion],COSTO_OPORTUNIDAD!$C111)/+SUMIFS(Tabla6[Nominal COP],Tabla6[Concepto],COSTO_OPORTUNIDAD!$B$18,Tabla6[Fecha Cumplimiento y/ liquidacion],COSTO_OPORTUNIDAD!$C111)</f>
        <v>#DIV/0!</v>
      </c>
      <c r="F111" s="263"/>
      <c r="G111" s="263"/>
      <c r="H111" s="263">
        <v>0.3235294117647059</v>
      </c>
      <c r="I111" s="263"/>
      <c r="J111" s="263">
        <v>0</v>
      </c>
      <c r="K111" s="263">
        <v>0</v>
      </c>
      <c r="L111" s="263"/>
      <c r="M111" s="263">
        <v>0.31764705882352939</v>
      </c>
      <c r="N111" s="263"/>
      <c r="O111" s="263"/>
      <c r="P111" s="263">
        <v>0</v>
      </c>
      <c r="Q111" s="263"/>
      <c r="R111" s="263">
        <v>0.35882352941176471</v>
      </c>
      <c r="S111" s="263"/>
      <c r="T111" s="263">
        <v>0</v>
      </c>
      <c r="U111" s="263"/>
      <c r="V111" s="263">
        <v>0</v>
      </c>
      <c r="W111" s="263">
        <v>0</v>
      </c>
      <c r="X111" s="263">
        <v>0</v>
      </c>
      <c r="Y111" s="263"/>
      <c r="Z111" s="263">
        <v>0</v>
      </c>
      <c r="AA111" s="263">
        <v>0</v>
      </c>
      <c r="AB111" s="263">
        <v>0</v>
      </c>
      <c r="AC111" s="263"/>
      <c r="AD111" s="263">
        <v>0</v>
      </c>
      <c r="AE111" s="263"/>
      <c r="AF111" s="263"/>
      <c r="AG111" s="262"/>
      <c r="AH111" s="274">
        <f t="shared" si="58"/>
        <v>1129</v>
      </c>
      <c r="AI111" s="274">
        <f t="shared" si="59"/>
        <v>1563</v>
      </c>
      <c r="AJ111" s="274">
        <f t="shared" si="60"/>
        <v>1740</v>
      </c>
      <c r="AK111" s="274">
        <f t="shared" si="54"/>
        <v>2221</v>
      </c>
      <c r="AL111" s="274">
        <f t="shared" si="61"/>
        <v>2613</v>
      </c>
      <c r="AM111" s="274">
        <f t="shared" si="62"/>
        <v>2802</v>
      </c>
      <c r="AN111" s="274">
        <f t="shared" si="63"/>
        <v>3264</v>
      </c>
      <c r="AO111" s="274">
        <f t="shared" si="97"/>
        <v>3488</v>
      </c>
      <c r="AP111" s="274">
        <f t="shared" si="64"/>
        <v>4104</v>
      </c>
      <c r="AQ111" s="274"/>
      <c r="AR111" s="274">
        <f t="shared" si="65"/>
        <v>4734</v>
      </c>
      <c r="AS111" s="274">
        <f t="shared" si="55"/>
        <v>6337</v>
      </c>
      <c r="AT111" s="274">
        <f t="shared" si="66"/>
        <v>6883</v>
      </c>
      <c r="AU111" s="274"/>
      <c r="AV111" s="274">
        <f t="shared" si="67"/>
        <v>9956</v>
      </c>
      <c r="AW111" s="274"/>
      <c r="AX111" s="274">
        <f t="shared" si="68"/>
        <v>653</v>
      </c>
      <c r="AY111" s="274">
        <f t="shared" si="69"/>
        <v>1332</v>
      </c>
      <c r="AZ111" s="274">
        <f t="shared" si="70"/>
        <v>2095</v>
      </c>
      <c r="BA111" s="274"/>
      <c r="BB111" s="274">
        <f t="shared" si="71"/>
        <v>3532</v>
      </c>
      <c r="BC111" s="274">
        <f t="shared" si="72"/>
        <v>4272</v>
      </c>
      <c r="BD111" s="274">
        <f t="shared" si="73"/>
        <v>4965</v>
      </c>
      <c r="BE111" s="274"/>
      <c r="BF111" s="274">
        <f t="shared" si="74"/>
        <v>9459</v>
      </c>
      <c r="BG111" s="274"/>
      <c r="BH111" s="274"/>
      <c r="BI111" s="266">
        <f t="shared" si="75"/>
        <v>0</v>
      </c>
      <c r="BJ111" s="266" t="e">
        <f t="shared" si="76"/>
        <v>#DIV/0!</v>
      </c>
      <c r="BK111" s="263" t="str">
        <f t="shared" si="77"/>
        <v/>
      </c>
      <c r="BL111" s="263" t="str">
        <f t="shared" si="78"/>
        <v/>
      </c>
      <c r="BM111" s="263" t="str">
        <f t="shared" si="79"/>
        <v/>
      </c>
      <c r="BN111" s="263"/>
      <c r="BO111" s="263" t="str">
        <f t="shared" si="80"/>
        <v/>
      </c>
      <c r="BP111" s="263" t="str">
        <f t="shared" si="81"/>
        <v/>
      </c>
      <c r="BQ111" s="263" t="str">
        <f t="shared" si="82"/>
        <v/>
      </c>
      <c r="BR111" s="263" t="str">
        <f t="shared" si="83"/>
        <v/>
      </c>
      <c r="BS111" s="263" t="str">
        <f t="shared" si="84"/>
        <v/>
      </c>
      <c r="BT111" s="263" t="str">
        <f t="shared" si="85"/>
        <v/>
      </c>
      <c r="BU111" s="263" t="str">
        <f t="shared" si="86"/>
        <v/>
      </c>
      <c r="BV111" s="263"/>
      <c r="BW111" s="263" t="str">
        <f t="shared" si="87"/>
        <v/>
      </c>
      <c r="BX111" s="263"/>
      <c r="BY111" s="263" t="str">
        <f t="shared" si="88"/>
        <v/>
      </c>
      <c r="BZ111" s="263"/>
      <c r="CA111" s="263" t="str">
        <f t="shared" si="47"/>
        <v/>
      </c>
      <c r="CB111" s="263" t="str">
        <f t="shared" si="89"/>
        <v/>
      </c>
      <c r="CC111" s="263" t="str">
        <f t="shared" si="48"/>
        <v/>
      </c>
      <c r="CD111" s="263" t="str">
        <f t="shared" si="90"/>
        <v/>
      </c>
      <c r="CE111" s="263" t="str">
        <f t="shared" si="96"/>
        <v/>
      </c>
      <c r="CF111" s="263" t="str">
        <f t="shared" si="49"/>
        <v/>
      </c>
      <c r="CG111" s="263" t="str">
        <f t="shared" si="50"/>
        <v/>
      </c>
      <c r="CH111" s="263"/>
      <c r="CI111" s="263" t="str">
        <f t="shared" si="91"/>
        <v/>
      </c>
      <c r="CJ111" s="263"/>
      <c r="CK111" s="263" t="str">
        <f t="shared" si="92"/>
        <v/>
      </c>
      <c r="CL111" s="264">
        <f t="shared" si="98"/>
        <v>0</v>
      </c>
      <c r="CM111" s="264">
        <f t="shared" si="94"/>
        <v>0</v>
      </c>
      <c r="CO111" s="265">
        <v>9.9499999999999991E-2</v>
      </c>
      <c r="CP111" s="265">
        <v>0.10079</v>
      </c>
      <c r="CQ111" s="265">
        <v>0.10149</v>
      </c>
      <c r="CS111" s="265">
        <v>0.10199999999999999</v>
      </c>
      <c r="CT111" s="265">
        <v>0.10099999999999999</v>
      </c>
      <c r="CU111" s="265">
        <v>0.10300000000000001</v>
      </c>
      <c r="CV111" s="265">
        <v>0.10377</v>
      </c>
      <c r="CW111" s="265">
        <v>0.10439999999999999</v>
      </c>
      <c r="CY111" s="265">
        <v>0.1042</v>
      </c>
      <c r="DA111" s="265">
        <v>0.10639</v>
      </c>
      <c r="DC111" s="265">
        <v>0.1066</v>
      </c>
      <c r="DE111" s="265">
        <v>4.2110000000000002E-2</v>
      </c>
      <c r="DF111" s="265">
        <v>4.2839999999999996E-2</v>
      </c>
      <c r="DH111" s="265">
        <v>4.2079999999999999E-2</v>
      </c>
      <c r="DI111" s="265">
        <v>4.3259999999999993E-2</v>
      </c>
      <c r="DJ111" s="265">
        <v>4.4450000000000003E-2</v>
      </c>
      <c r="DL111" s="265">
        <v>4.3259999999999993E-2</v>
      </c>
      <c r="DO111" s="264" t="e">
        <f t="shared" si="99"/>
        <v>#N/A</v>
      </c>
      <c r="DP111" s="264" t="e" cm="1">
        <f t="array" ref="DP111">+INDEX(AH111:AV111,MATCH(DO111,AH111:AV111,1)+1)</f>
        <v>#N/A</v>
      </c>
      <c r="DQ111" s="265" t="e">
        <f t="shared" si="100"/>
        <v>#N/A</v>
      </c>
      <c r="DR111" s="267" t="e">
        <f t="shared" si="101"/>
        <v>#N/A</v>
      </c>
      <c r="DS111" s="267" t="e">
        <f t="shared" si="102"/>
        <v>#N/A</v>
      </c>
      <c r="DT111" s="268" t="e">
        <f t="shared" si="103"/>
        <v>#N/A</v>
      </c>
      <c r="DU111" s="268" t="e" cm="1">
        <f t="array" ref="DU111">+INDEX(AX111:BF111,MATCH(DT111,AX111:BF111,1)+1)</f>
        <v>#N/A</v>
      </c>
      <c r="DV111" s="267" t="e">
        <f t="shared" si="104"/>
        <v>#N/A</v>
      </c>
      <c r="DW111" s="267" t="e">
        <f t="shared" si="105"/>
        <v>#N/A</v>
      </c>
      <c r="DX111" s="267" t="e">
        <f t="shared" si="106"/>
        <v>#N/A</v>
      </c>
      <c r="DY111" s="267">
        <f>+$EE$70</f>
        <v>0.12130000000000001</v>
      </c>
      <c r="DZ111" s="205" t="e">
        <f t="shared" si="108"/>
        <v>#N/A</v>
      </c>
      <c r="EA111" s="205">
        <f t="shared" si="109"/>
        <v>0</v>
      </c>
    </row>
    <row r="112" spans="2:135">
      <c r="B112" s="272">
        <v>45132</v>
      </c>
      <c r="C112" s="271">
        <v>45132</v>
      </c>
      <c r="D112" s="263" t="e">
        <f>+SUMIFS(Tabla6[Nominal COP],Tabla6[Concepto],COSTO_OPORTUNIDAD!$B$18,Tabla6[Nemotécnico],COSTO_OPORTUNIDAD!D$16,Tabla6[Fecha Cumplimiento y/ liquidacion],COSTO_OPORTUNIDAD!$C112)/+SUMIFS(Tabla6[Nominal COP],Tabla6[Concepto],COSTO_OPORTUNIDAD!$B$18,Tabla6[Fecha Cumplimiento y/ liquidacion],COSTO_OPORTUNIDAD!$C112)</f>
        <v>#DIV/0!</v>
      </c>
      <c r="E112" s="263" t="e">
        <f>+SUMIFS(Tabla6[Nominal COP],Tabla6[Concepto],COSTO_OPORTUNIDAD!$B$18,Tabla6[Nemotécnico],COSTO_OPORTUNIDAD!E$16,Tabla6[Fecha Cumplimiento y/ liquidacion],COSTO_OPORTUNIDAD!$C112)/+SUMIFS(Tabla6[Nominal COP],Tabla6[Concepto],COSTO_OPORTUNIDAD!$B$18,Tabla6[Fecha Cumplimiento y/ liquidacion],COSTO_OPORTUNIDAD!$C112)</f>
        <v>#DIV/0!</v>
      </c>
      <c r="F112" s="263"/>
      <c r="G112" s="263"/>
      <c r="H112" s="263">
        <v>0.34722222222222221</v>
      </c>
      <c r="I112" s="263"/>
      <c r="J112" s="263">
        <v>0</v>
      </c>
      <c r="K112" s="263">
        <v>0</v>
      </c>
      <c r="L112" s="263"/>
      <c r="M112" s="263">
        <v>0.375</v>
      </c>
      <c r="N112" s="263"/>
      <c r="O112" s="263"/>
      <c r="P112" s="263">
        <v>0</v>
      </c>
      <c r="Q112" s="263"/>
      <c r="R112" s="263">
        <v>0.27777777777777779</v>
      </c>
      <c r="S112" s="263"/>
      <c r="T112" s="263">
        <v>0</v>
      </c>
      <c r="U112" s="263"/>
      <c r="V112" s="263">
        <v>0</v>
      </c>
      <c r="W112" s="263">
        <v>0</v>
      </c>
      <c r="X112" s="263">
        <v>0</v>
      </c>
      <c r="Y112" s="263"/>
      <c r="Z112" s="263">
        <v>0</v>
      </c>
      <c r="AA112" s="263">
        <v>0</v>
      </c>
      <c r="AB112" s="263">
        <v>0</v>
      </c>
      <c r="AC112" s="263"/>
      <c r="AD112" s="263">
        <v>0</v>
      </c>
      <c r="AE112" s="263"/>
      <c r="AF112" s="263"/>
      <c r="AG112" s="262"/>
      <c r="AH112" s="274">
        <f t="shared" si="58"/>
        <v>1128</v>
      </c>
      <c r="AI112" s="274">
        <f t="shared" si="59"/>
        <v>1562</v>
      </c>
      <c r="AJ112" s="274">
        <f t="shared" si="60"/>
        <v>1739</v>
      </c>
      <c r="AK112" s="274">
        <f t="shared" si="54"/>
        <v>2220</v>
      </c>
      <c r="AL112" s="274">
        <f t="shared" si="61"/>
        <v>2612</v>
      </c>
      <c r="AM112" s="274">
        <f t="shared" si="62"/>
        <v>2801</v>
      </c>
      <c r="AN112" s="274">
        <f t="shared" si="63"/>
        <v>3263</v>
      </c>
      <c r="AO112" s="274">
        <f t="shared" si="97"/>
        <v>3487</v>
      </c>
      <c r="AP112" s="274">
        <f t="shared" si="64"/>
        <v>4103</v>
      </c>
      <c r="AQ112" s="274"/>
      <c r="AR112" s="274">
        <f t="shared" si="65"/>
        <v>4733</v>
      </c>
      <c r="AS112" s="274">
        <f t="shared" si="55"/>
        <v>6336</v>
      </c>
      <c r="AT112" s="274">
        <f t="shared" si="66"/>
        <v>6882</v>
      </c>
      <c r="AU112" s="274"/>
      <c r="AV112" s="274">
        <f t="shared" si="67"/>
        <v>9955</v>
      </c>
      <c r="AW112" s="274"/>
      <c r="AX112" s="274">
        <f t="shared" si="68"/>
        <v>652</v>
      </c>
      <c r="AY112" s="274">
        <f t="shared" si="69"/>
        <v>1331</v>
      </c>
      <c r="AZ112" s="274">
        <f t="shared" si="70"/>
        <v>2094</v>
      </c>
      <c r="BA112" s="274"/>
      <c r="BB112" s="274">
        <f t="shared" si="71"/>
        <v>3531</v>
      </c>
      <c r="BC112" s="274">
        <f t="shared" si="72"/>
        <v>4271</v>
      </c>
      <c r="BD112" s="274">
        <f t="shared" si="73"/>
        <v>4964</v>
      </c>
      <c r="BE112" s="274"/>
      <c r="BF112" s="274">
        <f t="shared" si="74"/>
        <v>9458</v>
      </c>
      <c r="BG112" s="274"/>
      <c r="BH112" s="274"/>
      <c r="BI112" s="266">
        <f t="shared" si="75"/>
        <v>0</v>
      </c>
      <c r="BJ112" s="266" t="e">
        <f t="shared" si="76"/>
        <v>#DIV/0!</v>
      </c>
      <c r="BK112" s="263" t="str">
        <f t="shared" si="77"/>
        <v/>
      </c>
      <c r="BL112" s="263" t="str">
        <f t="shared" si="78"/>
        <v/>
      </c>
      <c r="BM112" s="263" t="str">
        <f t="shared" si="79"/>
        <v/>
      </c>
      <c r="BN112" s="263"/>
      <c r="BO112" s="263" t="str">
        <f t="shared" si="80"/>
        <v/>
      </c>
      <c r="BP112" s="263" t="str">
        <f t="shared" si="81"/>
        <v/>
      </c>
      <c r="BQ112" s="263" t="str">
        <f t="shared" si="82"/>
        <v/>
      </c>
      <c r="BR112" s="263" t="str">
        <f t="shared" si="83"/>
        <v/>
      </c>
      <c r="BS112" s="263" t="str">
        <f t="shared" si="84"/>
        <v/>
      </c>
      <c r="BT112" s="263" t="str">
        <f t="shared" si="85"/>
        <v/>
      </c>
      <c r="BU112" s="263" t="str">
        <f t="shared" si="86"/>
        <v/>
      </c>
      <c r="BV112" s="263"/>
      <c r="BW112" s="263" t="str">
        <f t="shared" si="87"/>
        <v/>
      </c>
      <c r="BX112" s="263"/>
      <c r="BY112" s="263" t="str">
        <f t="shared" si="88"/>
        <v/>
      </c>
      <c r="BZ112" s="263"/>
      <c r="CA112" s="263" t="str">
        <f t="shared" si="47"/>
        <v/>
      </c>
      <c r="CB112" s="263" t="str">
        <f t="shared" si="89"/>
        <v/>
      </c>
      <c r="CC112" s="263" t="str">
        <f t="shared" si="48"/>
        <v/>
      </c>
      <c r="CD112" s="263" t="str">
        <f t="shared" si="90"/>
        <v/>
      </c>
      <c r="CE112" s="263" t="str">
        <f t="shared" si="96"/>
        <v/>
      </c>
      <c r="CF112" s="263" t="str">
        <f t="shared" si="49"/>
        <v/>
      </c>
      <c r="CG112" s="263" t="str">
        <f t="shared" si="50"/>
        <v/>
      </c>
      <c r="CH112" s="263"/>
      <c r="CI112" s="263" t="str">
        <f t="shared" si="91"/>
        <v/>
      </c>
      <c r="CJ112" s="263"/>
      <c r="CK112" s="263" t="str">
        <f t="shared" si="92"/>
        <v/>
      </c>
      <c r="CL112" s="264">
        <f t="shared" si="98"/>
        <v>0</v>
      </c>
      <c r="CM112" s="264">
        <f t="shared" si="94"/>
        <v>0</v>
      </c>
      <c r="CO112" s="265">
        <v>0.10039999999999999</v>
      </c>
      <c r="CP112" s="265">
        <v>0.1016</v>
      </c>
      <c r="CQ112" s="265">
        <v>0.10220000000000001</v>
      </c>
      <c r="CS112" s="265">
        <v>0.10275000000000001</v>
      </c>
      <c r="CT112" s="265">
        <v>0.10247999999999999</v>
      </c>
      <c r="CU112" s="265">
        <v>0.10321</v>
      </c>
      <c r="CV112" s="265">
        <v>0.10439999999999999</v>
      </c>
      <c r="CW112" s="265">
        <v>0.10401999999999999</v>
      </c>
      <c r="CY112" s="265">
        <v>0.10439999999999999</v>
      </c>
      <c r="DA112" s="265">
        <v>0.1072</v>
      </c>
      <c r="DC112" s="265">
        <v>0.1067</v>
      </c>
      <c r="DE112" s="265">
        <v>4.1700000000000001E-2</v>
      </c>
      <c r="DF112" s="265">
        <v>4.1759999999999999E-2</v>
      </c>
      <c r="DH112" s="265">
        <v>4.2999999999999997E-2</v>
      </c>
      <c r="DI112" s="265">
        <v>4.3099999999999999E-2</v>
      </c>
      <c r="DJ112" s="265">
        <v>4.4260000000000001E-2</v>
      </c>
      <c r="DL112" s="265">
        <v>4.3520000000000003E-2</v>
      </c>
      <c r="DO112" s="264" t="e">
        <f t="shared" si="99"/>
        <v>#N/A</v>
      </c>
      <c r="DP112" s="264" t="e" cm="1">
        <f t="array" ref="DP112">+INDEX(AH112:AV112,MATCH(DO112,AH112:AV112,1)+1)</f>
        <v>#N/A</v>
      </c>
      <c r="DQ112" s="265" t="e">
        <f t="shared" si="100"/>
        <v>#N/A</v>
      </c>
      <c r="DR112" s="267" t="e">
        <f t="shared" si="101"/>
        <v>#N/A</v>
      </c>
      <c r="DS112" s="267" t="e">
        <f t="shared" si="102"/>
        <v>#N/A</v>
      </c>
      <c r="DT112" s="268" t="e">
        <f t="shared" si="103"/>
        <v>#N/A</v>
      </c>
      <c r="DU112" s="268" t="e" cm="1">
        <f t="array" ref="DU112">+INDEX(AX112:BF112,MATCH(DT112,AX112:BF112,1)+1)</f>
        <v>#N/A</v>
      </c>
      <c r="DV112" s="267" t="e">
        <f t="shared" si="104"/>
        <v>#N/A</v>
      </c>
      <c r="DW112" s="267" t="e">
        <f t="shared" si="105"/>
        <v>#N/A</v>
      </c>
      <c r="DX112" s="267" t="e">
        <f t="shared" si="106"/>
        <v>#N/A</v>
      </c>
      <c r="DY112" s="267">
        <f t="shared" ref="DY112:DY113" si="111">+$EE$70</f>
        <v>0.12130000000000001</v>
      </c>
      <c r="DZ112" s="205" t="e">
        <f t="shared" si="108"/>
        <v>#N/A</v>
      </c>
      <c r="EA112" s="205">
        <f t="shared" si="109"/>
        <v>0</v>
      </c>
    </row>
    <row r="113" spans="2:131">
      <c r="B113" s="272">
        <v>45133</v>
      </c>
      <c r="C113" s="271">
        <v>45133</v>
      </c>
      <c r="D113" s="263" t="e">
        <f>+SUMIFS(Tabla6[Nominal COP],Tabla6[Concepto],COSTO_OPORTUNIDAD!$B$18,Tabla6[Nemotécnico],COSTO_OPORTUNIDAD!D$16,Tabla6[Fecha Cumplimiento y/ liquidacion],COSTO_OPORTUNIDAD!$C113)/+SUMIFS(Tabla6[Nominal COP],Tabla6[Concepto],COSTO_OPORTUNIDAD!$B$18,Tabla6[Fecha Cumplimiento y/ liquidacion],COSTO_OPORTUNIDAD!$C113)</f>
        <v>#DIV/0!</v>
      </c>
      <c r="E113" s="263" t="e">
        <f>+SUMIFS(Tabla6[Nominal COP],Tabla6[Concepto],COSTO_OPORTUNIDAD!$B$18,Tabla6[Nemotécnico],COSTO_OPORTUNIDAD!E$16,Tabla6[Fecha Cumplimiento y/ liquidacion],COSTO_OPORTUNIDAD!$C113)/+SUMIFS(Tabla6[Nominal COP],Tabla6[Concepto],COSTO_OPORTUNIDAD!$B$18,Tabla6[Fecha Cumplimiento y/ liquidacion],COSTO_OPORTUNIDAD!$C113)</f>
        <v>#DIV/0!</v>
      </c>
      <c r="F113" s="263"/>
      <c r="G113" s="263"/>
      <c r="H113" s="263">
        <v>0.26178010471204188</v>
      </c>
      <c r="I113" s="263"/>
      <c r="J113" s="263">
        <v>0</v>
      </c>
      <c r="K113" s="263">
        <v>0</v>
      </c>
      <c r="L113" s="263"/>
      <c r="M113" s="263">
        <v>0.35602094240837695</v>
      </c>
      <c r="N113" s="263"/>
      <c r="O113" s="263"/>
      <c r="P113" s="263">
        <v>0</v>
      </c>
      <c r="Q113" s="263"/>
      <c r="R113" s="263">
        <v>0.38219895287958117</v>
      </c>
      <c r="S113" s="263"/>
      <c r="T113" s="263">
        <v>0</v>
      </c>
      <c r="U113" s="263"/>
      <c r="V113" s="263">
        <v>0</v>
      </c>
      <c r="W113" s="263">
        <v>0</v>
      </c>
      <c r="X113" s="263">
        <v>0</v>
      </c>
      <c r="Y113" s="263"/>
      <c r="Z113" s="263">
        <v>0</v>
      </c>
      <c r="AA113" s="263">
        <v>0</v>
      </c>
      <c r="AB113" s="263">
        <v>0</v>
      </c>
      <c r="AC113" s="263"/>
      <c r="AD113" s="263">
        <v>0</v>
      </c>
      <c r="AE113" s="263"/>
      <c r="AF113" s="263"/>
      <c r="AG113" s="262"/>
      <c r="AH113" s="274">
        <f t="shared" si="58"/>
        <v>1127</v>
      </c>
      <c r="AI113" s="274">
        <f t="shared" si="59"/>
        <v>1561</v>
      </c>
      <c r="AJ113" s="274">
        <f t="shared" si="60"/>
        <v>1738</v>
      </c>
      <c r="AK113" s="274">
        <f t="shared" si="54"/>
        <v>2219</v>
      </c>
      <c r="AL113" s="274">
        <f t="shared" si="61"/>
        <v>2611</v>
      </c>
      <c r="AM113" s="274">
        <f t="shared" si="62"/>
        <v>2800</v>
      </c>
      <c r="AN113" s="274">
        <f t="shared" si="63"/>
        <v>3262</v>
      </c>
      <c r="AO113" s="274">
        <f t="shared" si="97"/>
        <v>3486</v>
      </c>
      <c r="AP113" s="274">
        <f t="shared" si="64"/>
        <v>4102</v>
      </c>
      <c r="AQ113" s="274"/>
      <c r="AR113" s="274">
        <f t="shared" si="65"/>
        <v>4732</v>
      </c>
      <c r="AS113" s="274">
        <f t="shared" si="55"/>
        <v>6335</v>
      </c>
      <c r="AT113" s="274">
        <f t="shared" si="66"/>
        <v>6881</v>
      </c>
      <c r="AU113" s="274"/>
      <c r="AV113" s="274">
        <f t="shared" si="67"/>
        <v>9954</v>
      </c>
      <c r="AW113" s="274"/>
      <c r="AX113" s="274">
        <f t="shared" si="68"/>
        <v>651</v>
      </c>
      <c r="AY113" s="274">
        <f t="shared" si="69"/>
        <v>1330</v>
      </c>
      <c r="AZ113" s="274">
        <f t="shared" si="70"/>
        <v>2093</v>
      </c>
      <c r="BA113" s="274"/>
      <c r="BB113" s="274">
        <f t="shared" si="71"/>
        <v>3530</v>
      </c>
      <c r="BC113" s="274">
        <f t="shared" si="72"/>
        <v>4270</v>
      </c>
      <c r="BD113" s="274">
        <f t="shared" si="73"/>
        <v>4963</v>
      </c>
      <c r="BE113" s="274"/>
      <c r="BF113" s="274">
        <f t="shared" si="74"/>
        <v>9457</v>
      </c>
      <c r="BG113" s="274"/>
      <c r="BH113" s="274"/>
      <c r="BI113" s="266">
        <f t="shared" si="75"/>
        <v>0</v>
      </c>
      <c r="BJ113" s="266" t="e">
        <f t="shared" si="76"/>
        <v>#DIV/0!</v>
      </c>
      <c r="BK113" s="263" t="str">
        <f t="shared" si="77"/>
        <v/>
      </c>
      <c r="BL113" s="263" t="str">
        <f t="shared" si="78"/>
        <v/>
      </c>
      <c r="BM113" s="263" t="str">
        <f t="shared" si="79"/>
        <v/>
      </c>
      <c r="BN113" s="263"/>
      <c r="BO113" s="263" t="str">
        <f t="shared" si="80"/>
        <v/>
      </c>
      <c r="BP113" s="263" t="str">
        <f t="shared" si="81"/>
        <v/>
      </c>
      <c r="BQ113" s="263" t="str">
        <f t="shared" si="82"/>
        <v/>
      </c>
      <c r="BR113" s="263" t="str">
        <f t="shared" si="83"/>
        <v/>
      </c>
      <c r="BS113" s="263" t="str">
        <f t="shared" si="84"/>
        <v/>
      </c>
      <c r="BT113" s="263" t="str">
        <f t="shared" si="85"/>
        <v/>
      </c>
      <c r="BU113" s="263" t="str">
        <f t="shared" si="86"/>
        <v/>
      </c>
      <c r="BV113" s="263"/>
      <c r="BW113" s="263" t="str">
        <f t="shared" si="87"/>
        <v/>
      </c>
      <c r="BX113" s="263"/>
      <c r="BY113" s="263" t="str">
        <f t="shared" si="88"/>
        <v/>
      </c>
      <c r="BZ113" s="263"/>
      <c r="CA113" s="263" t="str">
        <f t="shared" si="47"/>
        <v/>
      </c>
      <c r="CB113" s="263" t="str">
        <f t="shared" si="89"/>
        <v/>
      </c>
      <c r="CC113" s="263" t="str">
        <f t="shared" si="48"/>
        <v/>
      </c>
      <c r="CD113" s="263" t="str">
        <f t="shared" si="90"/>
        <v/>
      </c>
      <c r="CE113" s="263" t="str">
        <f t="shared" si="96"/>
        <v/>
      </c>
      <c r="CF113" s="263" t="str">
        <f t="shared" si="49"/>
        <v/>
      </c>
      <c r="CG113" s="263" t="str">
        <f t="shared" si="50"/>
        <v/>
      </c>
      <c r="CH113" s="263"/>
      <c r="CI113" s="263" t="str">
        <f t="shared" si="91"/>
        <v/>
      </c>
      <c r="CJ113" s="263"/>
      <c r="CK113" s="263" t="str">
        <f t="shared" si="92"/>
        <v/>
      </c>
      <c r="CL113" s="264">
        <f t="shared" si="98"/>
        <v>0</v>
      </c>
      <c r="CM113" s="264">
        <f t="shared" si="94"/>
        <v>0</v>
      </c>
      <c r="CO113" s="265">
        <v>0.10032000000000001</v>
      </c>
      <c r="CP113" s="265">
        <v>0.10099999999999999</v>
      </c>
      <c r="CQ113" s="265">
        <v>0.10138</v>
      </c>
      <c r="CS113" s="265">
        <v>0.1026</v>
      </c>
      <c r="CT113" s="265">
        <v>0.10247999999999999</v>
      </c>
      <c r="CU113" s="265">
        <v>0.10249999999999999</v>
      </c>
      <c r="CV113" s="265">
        <v>0.10403000000000001</v>
      </c>
      <c r="CW113" s="265">
        <v>0.10369999999999999</v>
      </c>
      <c r="CY113" s="265">
        <v>0.10364000000000001</v>
      </c>
      <c r="DA113" s="265">
        <v>0.10614000000000001</v>
      </c>
      <c r="DC113" s="265">
        <v>0.1061</v>
      </c>
      <c r="DE113" s="265">
        <v>4.199E-2</v>
      </c>
      <c r="DF113" s="265">
        <v>4.1959999999999997E-2</v>
      </c>
      <c r="DH113" s="265">
        <v>4.2880000000000001E-2</v>
      </c>
      <c r="DI113" s="265">
        <v>4.3400000000000001E-2</v>
      </c>
      <c r="DJ113" s="265">
        <v>4.4450000000000003E-2</v>
      </c>
      <c r="DL113" s="265">
        <v>4.3259999999999993E-2</v>
      </c>
      <c r="DO113" s="264" t="e">
        <f t="shared" si="99"/>
        <v>#N/A</v>
      </c>
      <c r="DP113" s="264" t="e" cm="1">
        <f t="array" ref="DP113">+INDEX(AH113:AV113,MATCH(DO113,AH113:AV113,1)+1)</f>
        <v>#N/A</v>
      </c>
      <c r="DQ113" s="265" t="e">
        <f t="shared" si="100"/>
        <v>#N/A</v>
      </c>
      <c r="DR113" s="267" t="e">
        <f t="shared" si="101"/>
        <v>#N/A</v>
      </c>
      <c r="DS113" s="267" t="e">
        <f t="shared" si="102"/>
        <v>#N/A</v>
      </c>
      <c r="DT113" s="268" t="e">
        <f t="shared" si="103"/>
        <v>#N/A</v>
      </c>
      <c r="DU113" s="268" t="e" cm="1">
        <f t="array" ref="DU113">+INDEX(AX113:BF113,MATCH(DT113,AX113:BF113,1)+1)</f>
        <v>#N/A</v>
      </c>
      <c r="DV113" s="267" t="e">
        <f t="shared" si="104"/>
        <v>#N/A</v>
      </c>
      <c r="DW113" s="267" t="e">
        <f t="shared" si="105"/>
        <v>#N/A</v>
      </c>
      <c r="DX113" s="267" t="e">
        <f t="shared" si="106"/>
        <v>#N/A</v>
      </c>
      <c r="DY113" s="267">
        <f t="shared" si="111"/>
        <v>0.12130000000000001</v>
      </c>
      <c r="DZ113" s="205" t="e">
        <f t="shared" si="108"/>
        <v>#N/A</v>
      </c>
      <c r="EA113" s="205">
        <f t="shared" si="109"/>
        <v>0</v>
      </c>
    </row>
    <row r="114" spans="2:131">
      <c r="B114" s="272">
        <v>45135</v>
      </c>
      <c r="C114" s="271">
        <v>45135</v>
      </c>
      <c r="D114" s="263" t="e">
        <f>+SUMIFS(Tabla6[Nominal COP],Tabla6[Concepto],COSTO_OPORTUNIDAD!$B$18,Tabla6[Nemotécnico],COSTO_OPORTUNIDAD!D$16,Tabla6[Fecha Cumplimiento y/ liquidacion],COSTO_OPORTUNIDAD!$C114)/+SUMIFS(Tabla6[Nominal COP],Tabla6[Concepto],COSTO_OPORTUNIDAD!$B$18,Tabla6[Fecha Cumplimiento y/ liquidacion],COSTO_OPORTUNIDAD!$C114)</f>
        <v>#DIV/0!</v>
      </c>
      <c r="E114" s="263" t="e">
        <f>+SUMIFS(Tabla6[Nominal COP],Tabla6[Concepto],COSTO_OPORTUNIDAD!$B$18,Tabla6[Nemotécnico],COSTO_OPORTUNIDAD!E$16,Tabla6[Fecha Cumplimiento y/ liquidacion],COSTO_OPORTUNIDAD!$C114)/+SUMIFS(Tabla6[Nominal COP],Tabla6[Concepto],COSTO_OPORTUNIDAD!$B$18,Tabla6[Fecha Cumplimiento y/ liquidacion],COSTO_OPORTUNIDAD!$C114)</f>
        <v>#DIV/0!</v>
      </c>
      <c r="F114" s="263"/>
      <c r="G114" s="263"/>
      <c r="H114" s="263">
        <v>0.30769230769230771</v>
      </c>
      <c r="I114" s="263"/>
      <c r="J114" s="263">
        <v>0</v>
      </c>
      <c r="K114" s="263">
        <v>0</v>
      </c>
      <c r="L114" s="263"/>
      <c r="M114" s="263">
        <v>0.35897435897435898</v>
      </c>
      <c r="N114" s="263"/>
      <c r="O114" s="263"/>
      <c r="P114" s="263">
        <v>0</v>
      </c>
      <c r="Q114" s="263"/>
      <c r="R114" s="263">
        <v>0.33333333333333331</v>
      </c>
      <c r="S114" s="263"/>
      <c r="T114" s="263">
        <v>0</v>
      </c>
      <c r="U114" s="263"/>
      <c r="V114" s="263">
        <v>0</v>
      </c>
      <c r="W114" s="263">
        <v>0</v>
      </c>
      <c r="X114" s="263">
        <v>0</v>
      </c>
      <c r="Y114" s="263"/>
      <c r="Z114" s="263">
        <v>0</v>
      </c>
      <c r="AA114" s="263">
        <v>0</v>
      </c>
      <c r="AB114" s="263">
        <v>0</v>
      </c>
      <c r="AC114" s="263"/>
      <c r="AD114" s="263">
        <v>0</v>
      </c>
      <c r="AE114" s="263"/>
      <c r="AF114" s="263"/>
      <c r="AG114" s="262"/>
      <c r="AH114" s="274">
        <f t="shared" si="58"/>
        <v>1125</v>
      </c>
      <c r="AI114" s="274">
        <f t="shared" si="59"/>
        <v>1559</v>
      </c>
      <c r="AJ114" s="274">
        <f t="shared" si="60"/>
        <v>1736</v>
      </c>
      <c r="AK114" s="274">
        <f t="shared" si="54"/>
        <v>2217</v>
      </c>
      <c r="AL114" s="274">
        <f t="shared" si="61"/>
        <v>2609</v>
      </c>
      <c r="AM114" s="274">
        <f t="shared" si="62"/>
        <v>2798</v>
      </c>
      <c r="AN114" s="274">
        <f t="shared" si="63"/>
        <v>3260</v>
      </c>
      <c r="AO114" s="274">
        <f t="shared" si="97"/>
        <v>3484</v>
      </c>
      <c r="AP114" s="274">
        <f t="shared" si="64"/>
        <v>4100</v>
      </c>
      <c r="AQ114" s="274"/>
      <c r="AR114" s="274">
        <f t="shared" si="65"/>
        <v>4730</v>
      </c>
      <c r="AS114" s="274">
        <f t="shared" si="55"/>
        <v>6333</v>
      </c>
      <c r="AT114" s="274">
        <f t="shared" si="66"/>
        <v>6879</v>
      </c>
      <c r="AU114" s="274"/>
      <c r="AV114" s="274">
        <f t="shared" si="67"/>
        <v>9952</v>
      </c>
      <c r="AW114" s="274"/>
      <c r="AX114" s="274">
        <f t="shared" si="68"/>
        <v>649</v>
      </c>
      <c r="AY114" s="274">
        <f t="shared" si="69"/>
        <v>1328</v>
      </c>
      <c r="AZ114" s="274">
        <f t="shared" si="70"/>
        <v>2091</v>
      </c>
      <c r="BA114" s="274"/>
      <c r="BB114" s="274">
        <f t="shared" si="71"/>
        <v>3528</v>
      </c>
      <c r="BC114" s="274">
        <f t="shared" si="72"/>
        <v>4268</v>
      </c>
      <c r="BD114" s="274">
        <f t="shared" si="73"/>
        <v>4961</v>
      </c>
      <c r="BE114" s="274"/>
      <c r="BF114" s="274">
        <f t="shared" si="74"/>
        <v>9455</v>
      </c>
      <c r="BG114" s="274"/>
      <c r="BH114" s="274"/>
      <c r="BI114" s="266">
        <f t="shared" si="75"/>
        <v>0</v>
      </c>
      <c r="BJ114" s="266" t="e">
        <f t="shared" si="76"/>
        <v>#DIV/0!</v>
      </c>
      <c r="BK114" s="263" t="str">
        <f t="shared" si="77"/>
        <v/>
      </c>
      <c r="BL114" s="263" t="str">
        <f t="shared" si="78"/>
        <v/>
      </c>
      <c r="BM114" s="263" t="str">
        <f t="shared" si="79"/>
        <v/>
      </c>
      <c r="BN114" s="263"/>
      <c r="BO114" s="263" t="str">
        <f t="shared" si="80"/>
        <v/>
      </c>
      <c r="BP114" s="263" t="str">
        <f t="shared" si="81"/>
        <v/>
      </c>
      <c r="BQ114" s="263" t="str">
        <f t="shared" si="82"/>
        <v/>
      </c>
      <c r="BR114" s="263" t="str">
        <f t="shared" si="83"/>
        <v/>
      </c>
      <c r="BS114" s="263" t="str">
        <f t="shared" si="84"/>
        <v/>
      </c>
      <c r="BT114" s="263" t="str">
        <f t="shared" si="85"/>
        <v/>
      </c>
      <c r="BU114" s="263" t="str">
        <f t="shared" si="86"/>
        <v/>
      </c>
      <c r="BV114" s="263"/>
      <c r="BW114" s="263" t="str">
        <f t="shared" si="87"/>
        <v/>
      </c>
      <c r="BX114" s="263"/>
      <c r="BY114" s="263" t="str">
        <f t="shared" si="88"/>
        <v/>
      </c>
      <c r="BZ114" s="263"/>
      <c r="CA114" s="263" t="str">
        <f t="shared" si="47"/>
        <v/>
      </c>
      <c r="CB114" s="263" t="str">
        <f t="shared" si="89"/>
        <v/>
      </c>
      <c r="CC114" s="263" t="str">
        <f t="shared" si="48"/>
        <v/>
      </c>
      <c r="CD114" s="263" t="str">
        <f t="shared" si="90"/>
        <v/>
      </c>
      <c r="CE114" s="263" t="str">
        <f t="shared" si="96"/>
        <v/>
      </c>
      <c r="CF114" s="263" t="str">
        <f t="shared" si="49"/>
        <v/>
      </c>
      <c r="CG114" s="263" t="str">
        <f t="shared" si="50"/>
        <v/>
      </c>
      <c r="CH114" s="263"/>
      <c r="CI114" s="263" t="str">
        <f t="shared" si="91"/>
        <v/>
      </c>
      <c r="CJ114" s="263"/>
      <c r="CK114" s="263" t="str">
        <f t="shared" si="92"/>
        <v/>
      </c>
      <c r="CL114" s="264">
        <f t="shared" si="98"/>
        <v>0</v>
      </c>
      <c r="CM114" s="264">
        <f t="shared" si="94"/>
        <v>0</v>
      </c>
      <c r="CO114" s="265">
        <v>0.1009</v>
      </c>
      <c r="CP114" s="265">
        <v>0.10070999999999999</v>
      </c>
      <c r="CQ114" s="265">
        <v>0.10135999999999999</v>
      </c>
      <c r="CS114" s="265">
        <v>0.10189999999999999</v>
      </c>
      <c r="CT114" s="265">
        <v>0.10150000000000001</v>
      </c>
      <c r="CU114" s="265">
        <v>0.10281999999999999</v>
      </c>
      <c r="CV114" s="265">
        <v>0.10400000000000001</v>
      </c>
      <c r="CW114" s="265">
        <v>0.10349999999999999</v>
      </c>
      <c r="CY114" s="265">
        <v>0.1036</v>
      </c>
      <c r="DA114" s="265">
        <v>0.1061</v>
      </c>
      <c r="DC114" s="265">
        <v>0.10577</v>
      </c>
      <c r="DE114" s="265">
        <v>4.3049999999999998E-2</v>
      </c>
      <c r="DF114" s="265">
        <v>4.3560000000000001E-2</v>
      </c>
      <c r="DH114" s="265">
        <v>4.4500000000000005E-2</v>
      </c>
      <c r="DI114" s="265">
        <v>4.53E-2</v>
      </c>
      <c r="DJ114" s="265">
        <v>4.5789999999999997E-2</v>
      </c>
      <c r="DL114" s="265">
        <v>4.4389999999999999E-2</v>
      </c>
      <c r="DO114" s="264" t="e">
        <f t="shared" si="99"/>
        <v>#N/A</v>
      </c>
      <c r="DP114" s="264" t="e" cm="1">
        <f t="array" ref="DP114">+INDEX(AH114:AV114,MATCH(DO114,AH114:AV114,1)+1)</f>
        <v>#N/A</v>
      </c>
      <c r="DQ114" s="265" t="e">
        <f t="shared" si="100"/>
        <v>#N/A</v>
      </c>
      <c r="DR114" s="267" t="e">
        <f t="shared" si="101"/>
        <v>#N/A</v>
      </c>
      <c r="DS114" s="267" t="e">
        <f t="shared" si="102"/>
        <v>#N/A</v>
      </c>
      <c r="DT114" s="268" t="e">
        <f t="shared" si="103"/>
        <v>#N/A</v>
      </c>
      <c r="DU114" s="268" t="e" cm="1">
        <f t="array" ref="DU114">+INDEX(AX114:BF114,MATCH(DT114,AX114:BF114,1)+1)</f>
        <v>#N/A</v>
      </c>
      <c r="DV114" s="267" t="e">
        <f t="shared" si="104"/>
        <v>#N/A</v>
      </c>
      <c r="DW114" s="267" t="e">
        <f t="shared" si="105"/>
        <v>#N/A</v>
      </c>
      <c r="DX114" s="267" t="e">
        <f t="shared" si="106"/>
        <v>#N/A</v>
      </c>
      <c r="DY114" s="267">
        <f>+$EE$70</f>
        <v>0.12130000000000001</v>
      </c>
      <c r="DZ114" s="205" t="e">
        <f t="shared" si="108"/>
        <v>#N/A</v>
      </c>
      <c r="EA114" s="205">
        <f t="shared" si="109"/>
        <v>0</v>
      </c>
    </row>
    <row r="115" spans="2:131">
      <c r="B115" s="272">
        <v>45153</v>
      </c>
      <c r="C115" s="271">
        <v>45153</v>
      </c>
      <c r="D115" s="263" t="e">
        <f>+SUMIFS(Tabla6[Nominal COP],Tabla6[Concepto],COSTO_OPORTUNIDAD!$B$18,Tabla6[Nemotécnico],COSTO_OPORTUNIDAD!D$16,Tabla6[Fecha Cumplimiento y/ liquidacion],COSTO_OPORTUNIDAD!$C115)/+SUMIFS(Tabla6[Nominal COP],Tabla6[Concepto],COSTO_OPORTUNIDAD!$B$18,Tabla6[Fecha Cumplimiento y/ liquidacion],COSTO_OPORTUNIDAD!$C115)</f>
        <v>#DIV/0!</v>
      </c>
      <c r="E115" s="263" t="e">
        <f>+SUMIFS(Tabla6[Nominal COP],Tabla6[Concepto],COSTO_OPORTUNIDAD!$B$18,Tabla6[Nemotécnico],COSTO_OPORTUNIDAD!E$16,Tabla6[Fecha Cumplimiento y/ liquidacion],COSTO_OPORTUNIDAD!$C115)/+SUMIFS(Tabla6[Nominal COP],Tabla6[Concepto],COSTO_OPORTUNIDAD!$B$18,Tabla6[Fecha Cumplimiento y/ liquidacion],COSTO_OPORTUNIDAD!$C115)</f>
        <v>#DIV/0!</v>
      </c>
      <c r="F115" s="263"/>
      <c r="G115" s="263"/>
      <c r="H115" s="263">
        <v>0.11594202898550725</v>
      </c>
      <c r="I115" s="263"/>
      <c r="J115" s="263">
        <v>0</v>
      </c>
      <c r="K115" s="263">
        <v>0</v>
      </c>
      <c r="L115" s="263"/>
      <c r="M115" s="263">
        <v>0.40096618357487923</v>
      </c>
      <c r="N115" s="263"/>
      <c r="O115" s="263"/>
      <c r="P115" s="263">
        <v>0</v>
      </c>
      <c r="Q115" s="263"/>
      <c r="R115" s="263">
        <v>0.48309178743961351</v>
      </c>
      <c r="S115" s="263"/>
      <c r="T115" s="263">
        <v>0</v>
      </c>
      <c r="U115" s="263"/>
      <c r="V115" s="263">
        <v>0</v>
      </c>
      <c r="W115" s="263">
        <v>0</v>
      </c>
      <c r="X115" s="263">
        <v>0</v>
      </c>
      <c r="Y115" s="263"/>
      <c r="Z115" s="263">
        <v>0</v>
      </c>
      <c r="AA115" s="263">
        <v>0</v>
      </c>
      <c r="AB115" s="263">
        <v>0</v>
      </c>
      <c r="AC115" s="263"/>
      <c r="AD115" s="263">
        <v>0</v>
      </c>
      <c r="AE115" s="263"/>
      <c r="AF115" s="263"/>
      <c r="AG115" s="262"/>
      <c r="AH115" s="274">
        <f t="shared" si="58"/>
        <v>1107</v>
      </c>
      <c r="AI115" s="274">
        <f t="shared" si="59"/>
        <v>1541</v>
      </c>
      <c r="AJ115" s="274">
        <f t="shared" si="60"/>
        <v>1718</v>
      </c>
      <c r="AK115" s="274">
        <f t="shared" si="54"/>
        <v>2199</v>
      </c>
      <c r="AL115" s="274">
        <f t="shared" si="61"/>
        <v>2591</v>
      </c>
      <c r="AM115" s="274">
        <f t="shared" si="62"/>
        <v>2780</v>
      </c>
      <c r="AN115" s="274">
        <f t="shared" si="63"/>
        <v>3242</v>
      </c>
      <c r="AO115" s="274">
        <f t="shared" si="97"/>
        <v>3466</v>
      </c>
      <c r="AP115" s="274">
        <f t="shared" si="64"/>
        <v>4082</v>
      </c>
      <c r="AQ115" s="274"/>
      <c r="AR115" s="274">
        <f t="shared" si="65"/>
        <v>4712</v>
      </c>
      <c r="AS115" s="274">
        <f t="shared" si="55"/>
        <v>6315</v>
      </c>
      <c r="AT115" s="274">
        <f t="shared" si="66"/>
        <v>6861</v>
      </c>
      <c r="AU115" s="274"/>
      <c r="AV115" s="274">
        <f t="shared" si="67"/>
        <v>9934</v>
      </c>
      <c r="AW115" s="274"/>
      <c r="AX115" s="274">
        <f t="shared" si="68"/>
        <v>631</v>
      </c>
      <c r="AY115" s="274">
        <f t="shared" si="69"/>
        <v>1310</v>
      </c>
      <c r="AZ115" s="274">
        <f t="shared" si="70"/>
        <v>2073</v>
      </c>
      <c r="BA115" s="274"/>
      <c r="BB115" s="274">
        <f t="shared" si="71"/>
        <v>3510</v>
      </c>
      <c r="BC115" s="274">
        <f t="shared" si="72"/>
        <v>4250</v>
      </c>
      <c r="BD115" s="274">
        <f t="shared" si="73"/>
        <v>4943</v>
      </c>
      <c r="BE115" s="274"/>
      <c r="BF115" s="274">
        <f t="shared" si="74"/>
        <v>9437</v>
      </c>
      <c r="BG115" s="274"/>
      <c r="BH115" s="274"/>
      <c r="BI115" s="266">
        <f t="shared" si="75"/>
        <v>0</v>
      </c>
      <c r="BJ115" s="266" t="e">
        <f t="shared" si="76"/>
        <v>#DIV/0!</v>
      </c>
      <c r="BK115" s="263" t="str">
        <f t="shared" si="77"/>
        <v/>
      </c>
      <c r="BL115" s="263" t="str">
        <f t="shared" si="78"/>
        <v/>
      </c>
      <c r="BM115" s="263" t="str">
        <f t="shared" si="79"/>
        <v/>
      </c>
      <c r="BN115" s="263"/>
      <c r="BO115" s="263" t="str">
        <f t="shared" si="80"/>
        <v/>
      </c>
      <c r="BP115" s="263" t="str">
        <f t="shared" si="81"/>
        <v/>
      </c>
      <c r="BQ115" s="263" t="str">
        <f t="shared" si="82"/>
        <v/>
      </c>
      <c r="BR115" s="263" t="str">
        <f t="shared" si="83"/>
        <v/>
      </c>
      <c r="BS115" s="263" t="str">
        <f t="shared" si="84"/>
        <v/>
      </c>
      <c r="BT115" s="263" t="str">
        <f t="shared" si="85"/>
        <v/>
      </c>
      <c r="BU115" s="263" t="str">
        <f t="shared" si="86"/>
        <v/>
      </c>
      <c r="BV115" s="263"/>
      <c r="BW115" s="263" t="str">
        <f t="shared" si="87"/>
        <v/>
      </c>
      <c r="BX115" s="263"/>
      <c r="BY115" s="263" t="str">
        <f t="shared" si="88"/>
        <v/>
      </c>
      <c r="BZ115" s="263"/>
      <c r="CA115" s="263" t="str">
        <f t="shared" ref="CA115:CA178" si="112">IFERROR(V115/$BI115,"")</f>
        <v/>
      </c>
      <c r="CB115" s="263" t="str">
        <f t="shared" si="89"/>
        <v/>
      </c>
      <c r="CC115" s="263" t="str">
        <f t="shared" ref="CC115:CC178" si="113">IFERROR(X115/$BI115,"")</f>
        <v/>
      </c>
      <c r="CD115" s="263" t="str">
        <f t="shared" si="90"/>
        <v/>
      </c>
      <c r="CE115" s="263" t="str">
        <f t="shared" si="96"/>
        <v/>
      </c>
      <c r="CF115" s="263" t="str">
        <f t="shared" ref="CF115:CF178" si="114">IFERROR(AA115/$BI115,"")</f>
        <v/>
      </c>
      <c r="CG115" s="263" t="str">
        <f t="shared" ref="CG115:CG178" si="115">IFERROR(AB115/$BI115,"")</f>
        <v/>
      </c>
      <c r="CH115" s="263"/>
      <c r="CI115" s="263" t="str">
        <f t="shared" si="91"/>
        <v/>
      </c>
      <c r="CJ115" s="263"/>
      <c r="CK115" s="263" t="str">
        <f t="shared" si="92"/>
        <v/>
      </c>
      <c r="CL115" s="264">
        <f t="shared" si="98"/>
        <v>0</v>
      </c>
      <c r="CM115" s="264">
        <f t="shared" si="94"/>
        <v>0</v>
      </c>
      <c r="CO115" s="265">
        <v>0.10099999999999999</v>
      </c>
      <c r="CP115" s="265">
        <v>0.10105</v>
      </c>
      <c r="CQ115" s="265">
        <v>0.10114000000000001</v>
      </c>
      <c r="CS115" s="265">
        <v>0.10199999999999999</v>
      </c>
      <c r="CT115" s="265">
        <v>0.1024</v>
      </c>
      <c r="CU115" s="265">
        <v>0.105</v>
      </c>
      <c r="CV115" s="265">
        <v>0.10569000000000001</v>
      </c>
      <c r="CW115" s="265">
        <v>0.10583000000000001</v>
      </c>
      <c r="CY115" s="265">
        <v>0.10688</v>
      </c>
      <c r="DA115" s="265">
        <v>0.10829000000000001</v>
      </c>
      <c r="DC115" s="265">
        <v>0.10792</v>
      </c>
      <c r="DE115" s="265">
        <v>4.4219999999999995E-2</v>
      </c>
      <c r="DF115" s="265">
        <v>4.4809999999999996E-2</v>
      </c>
      <c r="DH115" s="265">
        <v>4.4900000000000002E-2</v>
      </c>
      <c r="DI115" s="265">
        <v>4.7169999999999997E-2</v>
      </c>
      <c r="DJ115" s="265">
        <v>4.761E-2</v>
      </c>
      <c r="DL115" s="265">
        <v>4.6289999999999998E-2</v>
      </c>
      <c r="DO115" s="264" t="e">
        <f t="shared" si="99"/>
        <v>#N/A</v>
      </c>
      <c r="DP115" s="264" t="e" cm="1">
        <f t="array" ref="DP115">+INDEX(AH115:AV115,MATCH(DO115,AH115:AV115,1)+1)</f>
        <v>#N/A</v>
      </c>
      <c r="DQ115" s="265" t="e">
        <f t="shared" si="100"/>
        <v>#N/A</v>
      </c>
      <c r="DR115" s="267" t="e">
        <f t="shared" si="101"/>
        <v>#N/A</v>
      </c>
      <c r="DS115" s="267" t="e">
        <f t="shared" si="102"/>
        <v>#N/A</v>
      </c>
      <c r="DT115" s="268" t="e">
        <f t="shared" si="103"/>
        <v>#N/A</v>
      </c>
      <c r="DU115" s="268" t="e" cm="1">
        <f t="array" ref="DU115">+INDEX(AX115:BF115,MATCH(DT115,AX115:BF115,1)+1)</f>
        <v>#N/A</v>
      </c>
      <c r="DV115" s="267" t="e">
        <f t="shared" si="104"/>
        <v>#N/A</v>
      </c>
      <c r="DW115" s="267" t="e">
        <f t="shared" si="105"/>
        <v>#N/A</v>
      </c>
      <c r="DX115" s="267" t="e">
        <f t="shared" si="106"/>
        <v>#N/A</v>
      </c>
      <c r="DY115" s="267">
        <f t="shared" ref="DY115:DY124" si="116">+$EE$71</f>
        <v>0.11779999999999999</v>
      </c>
      <c r="DZ115" s="205" t="e">
        <f t="shared" si="108"/>
        <v>#N/A</v>
      </c>
      <c r="EA115" s="205">
        <f t="shared" si="109"/>
        <v>0</v>
      </c>
    </row>
    <row r="116" spans="2:131">
      <c r="B116" s="272">
        <v>45154</v>
      </c>
      <c r="C116" s="271">
        <v>45154</v>
      </c>
      <c r="D116" s="263" t="e">
        <f>+SUMIFS(Tabla6[Nominal COP],Tabla6[Concepto],COSTO_OPORTUNIDAD!$B$18,Tabla6[Nemotécnico],COSTO_OPORTUNIDAD!D$16,Tabla6[Fecha Cumplimiento y/ liquidacion],COSTO_OPORTUNIDAD!$C116)/+SUMIFS(Tabla6[Nominal COP],Tabla6[Concepto],COSTO_OPORTUNIDAD!$B$18,Tabla6[Fecha Cumplimiento y/ liquidacion],COSTO_OPORTUNIDAD!$C116)</f>
        <v>#DIV/0!</v>
      </c>
      <c r="E116" s="263" t="e">
        <f>+SUMIFS(Tabla6[Nominal COP],Tabla6[Concepto],COSTO_OPORTUNIDAD!$B$18,Tabla6[Nemotécnico],COSTO_OPORTUNIDAD!E$16,Tabla6[Fecha Cumplimiento y/ liquidacion],COSTO_OPORTUNIDAD!$C116)/+SUMIFS(Tabla6[Nominal COP],Tabla6[Concepto],COSTO_OPORTUNIDAD!$B$18,Tabla6[Fecha Cumplimiento y/ liquidacion],COSTO_OPORTUNIDAD!$C116)</f>
        <v>#DIV/0!</v>
      </c>
      <c r="F116" s="263"/>
      <c r="G116" s="263"/>
      <c r="H116" s="263">
        <v>0.10679611650485436</v>
      </c>
      <c r="I116" s="263"/>
      <c r="J116" s="263">
        <v>0</v>
      </c>
      <c r="K116" s="263">
        <v>0</v>
      </c>
      <c r="L116" s="263"/>
      <c r="M116" s="263">
        <v>0.43689320388349512</v>
      </c>
      <c r="N116" s="263"/>
      <c r="O116" s="263"/>
      <c r="P116" s="263">
        <v>0</v>
      </c>
      <c r="Q116" s="263"/>
      <c r="R116" s="263">
        <v>0.4563106796116505</v>
      </c>
      <c r="S116" s="263"/>
      <c r="T116" s="263">
        <v>0</v>
      </c>
      <c r="U116" s="263"/>
      <c r="V116" s="263">
        <v>0</v>
      </c>
      <c r="W116" s="263">
        <v>0</v>
      </c>
      <c r="X116" s="263">
        <v>0</v>
      </c>
      <c r="Y116" s="263"/>
      <c r="Z116" s="263">
        <v>0</v>
      </c>
      <c r="AA116" s="263">
        <v>0</v>
      </c>
      <c r="AB116" s="263">
        <v>0</v>
      </c>
      <c r="AC116" s="263"/>
      <c r="AD116" s="263">
        <v>0</v>
      </c>
      <c r="AE116" s="263"/>
      <c r="AF116" s="263"/>
      <c r="AG116" s="262"/>
      <c r="AH116" s="274">
        <f t="shared" si="58"/>
        <v>1106</v>
      </c>
      <c r="AI116" s="274">
        <f t="shared" si="59"/>
        <v>1540</v>
      </c>
      <c r="AJ116" s="274">
        <f t="shared" si="60"/>
        <v>1717</v>
      </c>
      <c r="AK116" s="274">
        <f t="shared" si="54"/>
        <v>2198</v>
      </c>
      <c r="AL116" s="274">
        <f t="shared" si="61"/>
        <v>2590</v>
      </c>
      <c r="AM116" s="274">
        <f t="shared" si="62"/>
        <v>2779</v>
      </c>
      <c r="AN116" s="274">
        <f t="shared" si="63"/>
        <v>3241</v>
      </c>
      <c r="AO116" s="274">
        <f t="shared" si="97"/>
        <v>3465</v>
      </c>
      <c r="AP116" s="274">
        <f t="shared" si="64"/>
        <v>4081</v>
      </c>
      <c r="AQ116" s="274"/>
      <c r="AR116" s="274">
        <f t="shared" si="65"/>
        <v>4711</v>
      </c>
      <c r="AS116" s="274">
        <f t="shared" si="55"/>
        <v>6314</v>
      </c>
      <c r="AT116" s="274">
        <f t="shared" si="66"/>
        <v>6860</v>
      </c>
      <c r="AU116" s="274"/>
      <c r="AV116" s="274">
        <f t="shared" si="67"/>
        <v>9933</v>
      </c>
      <c r="AW116" s="274"/>
      <c r="AX116" s="274">
        <f t="shared" si="68"/>
        <v>630</v>
      </c>
      <c r="AY116" s="274">
        <f t="shared" si="69"/>
        <v>1309</v>
      </c>
      <c r="AZ116" s="274">
        <f t="shared" si="70"/>
        <v>2072</v>
      </c>
      <c r="BA116" s="274"/>
      <c r="BB116" s="274">
        <f t="shared" si="71"/>
        <v>3509</v>
      </c>
      <c r="BC116" s="274">
        <f t="shared" si="72"/>
        <v>4249</v>
      </c>
      <c r="BD116" s="274">
        <f t="shared" si="73"/>
        <v>4942</v>
      </c>
      <c r="BE116" s="274"/>
      <c r="BF116" s="274">
        <f t="shared" si="74"/>
        <v>9436</v>
      </c>
      <c r="BG116" s="274"/>
      <c r="BH116" s="274"/>
      <c r="BI116" s="266">
        <f t="shared" si="75"/>
        <v>0</v>
      </c>
      <c r="BJ116" s="266" t="e">
        <f t="shared" si="76"/>
        <v>#DIV/0!</v>
      </c>
      <c r="BK116" s="263" t="str">
        <f t="shared" si="77"/>
        <v/>
      </c>
      <c r="BL116" s="263" t="str">
        <f t="shared" si="78"/>
        <v/>
      </c>
      <c r="BM116" s="263" t="str">
        <f t="shared" si="79"/>
        <v/>
      </c>
      <c r="BN116" s="263"/>
      <c r="BO116" s="263" t="str">
        <f t="shared" si="80"/>
        <v/>
      </c>
      <c r="BP116" s="263" t="str">
        <f t="shared" si="81"/>
        <v/>
      </c>
      <c r="BQ116" s="263" t="str">
        <f t="shared" si="82"/>
        <v/>
      </c>
      <c r="BR116" s="263" t="str">
        <f t="shared" si="83"/>
        <v/>
      </c>
      <c r="BS116" s="263" t="str">
        <f t="shared" si="84"/>
        <v/>
      </c>
      <c r="BT116" s="263" t="str">
        <f t="shared" si="85"/>
        <v/>
      </c>
      <c r="BU116" s="263" t="str">
        <f t="shared" si="86"/>
        <v/>
      </c>
      <c r="BV116" s="263"/>
      <c r="BW116" s="263" t="str">
        <f t="shared" si="87"/>
        <v/>
      </c>
      <c r="BX116" s="263"/>
      <c r="BY116" s="263" t="str">
        <f t="shared" si="88"/>
        <v/>
      </c>
      <c r="BZ116" s="263"/>
      <c r="CA116" s="263" t="str">
        <f t="shared" si="112"/>
        <v/>
      </c>
      <c r="CB116" s="263" t="str">
        <f t="shared" si="89"/>
        <v/>
      </c>
      <c r="CC116" s="263" t="str">
        <f t="shared" si="113"/>
        <v/>
      </c>
      <c r="CD116" s="263" t="str">
        <f t="shared" si="90"/>
        <v/>
      </c>
      <c r="CE116" s="263" t="str">
        <f t="shared" si="96"/>
        <v/>
      </c>
      <c r="CF116" s="263" t="str">
        <f t="shared" si="114"/>
        <v/>
      </c>
      <c r="CG116" s="263" t="str">
        <f t="shared" si="115"/>
        <v/>
      </c>
      <c r="CH116" s="263"/>
      <c r="CI116" s="263" t="str">
        <f t="shared" si="91"/>
        <v/>
      </c>
      <c r="CJ116" s="263"/>
      <c r="CK116" s="263" t="str">
        <f t="shared" si="92"/>
        <v/>
      </c>
      <c r="CL116" s="264">
        <f t="shared" si="98"/>
        <v>0</v>
      </c>
      <c r="CM116" s="264">
        <f t="shared" si="94"/>
        <v>0</v>
      </c>
      <c r="CO116" s="265">
        <v>0.1026</v>
      </c>
      <c r="CP116" s="265">
        <v>0.10265000000000001</v>
      </c>
      <c r="CQ116" s="265">
        <v>0.1027</v>
      </c>
      <c r="CS116" s="265">
        <v>0.10349999999999999</v>
      </c>
      <c r="CT116" s="265">
        <v>0.10446999999999999</v>
      </c>
      <c r="CU116" s="265">
        <v>0.1047</v>
      </c>
      <c r="CV116" s="265">
        <v>0.10800000000000001</v>
      </c>
      <c r="CW116" s="265">
        <v>0.10779</v>
      </c>
      <c r="CY116" s="265">
        <v>0.1085</v>
      </c>
      <c r="DA116" s="265">
        <v>0.1101</v>
      </c>
      <c r="DC116" s="265">
        <v>0.10949999999999999</v>
      </c>
      <c r="DE116" s="265">
        <v>4.4320000000000005E-2</v>
      </c>
      <c r="DF116" s="265">
        <v>4.5579999999999996E-2</v>
      </c>
      <c r="DH116" s="265">
        <v>4.4920000000000002E-2</v>
      </c>
      <c r="DI116" s="265">
        <v>4.7809999999999998E-2</v>
      </c>
      <c r="DJ116" s="265">
        <v>4.8680000000000001E-2</v>
      </c>
      <c r="DL116" s="265">
        <v>4.7100000000000003E-2</v>
      </c>
      <c r="DO116" s="264" t="e">
        <f t="shared" si="99"/>
        <v>#N/A</v>
      </c>
      <c r="DP116" s="264" t="e" cm="1">
        <f t="array" ref="DP116">+INDEX(AH116:AV116,MATCH(DO116,AH116:AV116,1)+1)</f>
        <v>#N/A</v>
      </c>
      <c r="DQ116" s="265" t="e">
        <f t="shared" si="100"/>
        <v>#N/A</v>
      </c>
      <c r="DR116" s="267" t="e">
        <f t="shared" si="101"/>
        <v>#N/A</v>
      </c>
      <c r="DS116" s="267" t="e">
        <f t="shared" si="102"/>
        <v>#N/A</v>
      </c>
      <c r="DT116" s="268" t="e">
        <f t="shared" si="103"/>
        <v>#N/A</v>
      </c>
      <c r="DU116" s="268" t="e" cm="1">
        <f t="array" ref="DU116">+INDEX(AX116:BF116,MATCH(DT116,AX116:BF116,1)+1)</f>
        <v>#N/A</v>
      </c>
      <c r="DV116" s="267" t="e">
        <f t="shared" si="104"/>
        <v>#N/A</v>
      </c>
      <c r="DW116" s="267" t="e">
        <f t="shared" si="105"/>
        <v>#N/A</v>
      </c>
      <c r="DX116" s="267" t="e">
        <f t="shared" si="106"/>
        <v>#N/A</v>
      </c>
      <c r="DY116" s="267">
        <f t="shared" si="116"/>
        <v>0.11779999999999999</v>
      </c>
      <c r="DZ116" s="205" t="e">
        <f t="shared" si="108"/>
        <v>#N/A</v>
      </c>
      <c r="EA116" s="205">
        <f t="shared" si="109"/>
        <v>0</v>
      </c>
    </row>
    <row r="117" spans="2:131">
      <c r="B117" s="272">
        <v>45155</v>
      </c>
      <c r="C117" s="271">
        <v>45155</v>
      </c>
      <c r="D117" s="263" t="e">
        <f>+SUMIFS(Tabla6[Nominal COP],Tabla6[Concepto],COSTO_OPORTUNIDAD!$B$18,Tabla6[Nemotécnico],COSTO_OPORTUNIDAD!D$16,Tabla6[Fecha Cumplimiento y/ liquidacion],COSTO_OPORTUNIDAD!$C117)/+SUMIFS(Tabla6[Nominal COP],Tabla6[Concepto],COSTO_OPORTUNIDAD!$B$18,Tabla6[Fecha Cumplimiento y/ liquidacion],COSTO_OPORTUNIDAD!$C117)</f>
        <v>#DIV/0!</v>
      </c>
      <c r="E117" s="263" t="e">
        <f>+SUMIFS(Tabla6[Nominal COP],Tabla6[Concepto],COSTO_OPORTUNIDAD!$B$18,Tabla6[Nemotécnico],COSTO_OPORTUNIDAD!E$16,Tabla6[Fecha Cumplimiento y/ liquidacion],COSTO_OPORTUNIDAD!$C117)/+SUMIFS(Tabla6[Nominal COP],Tabla6[Concepto],COSTO_OPORTUNIDAD!$B$18,Tabla6[Fecha Cumplimiento y/ liquidacion],COSTO_OPORTUNIDAD!$C117)</f>
        <v>#DIV/0!</v>
      </c>
      <c r="F117" s="263"/>
      <c r="G117" s="263"/>
      <c r="H117" s="263">
        <v>0.10377358490566038</v>
      </c>
      <c r="I117" s="263"/>
      <c r="J117" s="263">
        <v>0</v>
      </c>
      <c r="K117" s="263">
        <v>0</v>
      </c>
      <c r="L117" s="263"/>
      <c r="M117" s="263">
        <v>0.5</v>
      </c>
      <c r="N117" s="263"/>
      <c r="O117" s="263"/>
      <c r="P117" s="263">
        <v>0</v>
      </c>
      <c r="Q117" s="263"/>
      <c r="R117" s="263">
        <v>0.39622641509433965</v>
      </c>
      <c r="S117" s="263"/>
      <c r="T117" s="263">
        <v>0</v>
      </c>
      <c r="U117" s="263"/>
      <c r="V117" s="263">
        <v>0</v>
      </c>
      <c r="W117" s="263">
        <v>0</v>
      </c>
      <c r="X117" s="263">
        <v>0</v>
      </c>
      <c r="Y117" s="263"/>
      <c r="Z117" s="263">
        <v>0</v>
      </c>
      <c r="AA117" s="263">
        <v>0</v>
      </c>
      <c r="AB117" s="263">
        <v>0</v>
      </c>
      <c r="AC117" s="263"/>
      <c r="AD117" s="263">
        <v>0</v>
      </c>
      <c r="AE117" s="263"/>
      <c r="AF117" s="263"/>
      <c r="AG117" s="262"/>
      <c r="AH117" s="274">
        <f t="shared" si="58"/>
        <v>1105</v>
      </c>
      <c r="AI117" s="274">
        <f t="shared" si="59"/>
        <v>1539</v>
      </c>
      <c r="AJ117" s="274">
        <f t="shared" si="60"/>
        <v>1716</v>
      </c>
      <c r="AK117" s="274">
        <f t="shared" si="54"/>
        <v>2197</v>
      </c>
      <c r="AL117" s="274">
        <f t="shared" si="61"/>
        <v>2589</v>
      </c>
      <c r="AM117" s="274">
        <f t="shared" si="62"/>
        <v>2778</v>
      </c>
      <c r="AN117" s="274">
        <f t="shared" si="63"/>
        <v>3240</v>
      </c>
      <c r="AO117" s="274">
        <f t="shared" si="97"/>
        <v>3464</v>
      </c>
      <c r="AP117" s="274">
        <f t="shared" si="64"/>
        <v>4080</v>
      </c>
      <c r="AQ117" s="274"/>
      <c r="AR117" s="274">
        <f t="shared" si="65"/>
        <v>4710</v>
      </c>
      <c r="AS117" s="274">
        <f t="shared" si="55"/>
        <v>6313</v>
      </c>
      <c r="AT117" s="274">
        <f t="shared" si="66"/>
        <v>6859</v>
      </c>
      <c r="AU117" s="274"/>
      <c r="AV117" s="274">
        <f t="shared" si="67"/>
        <v>9932</v>
      </c>
      <c r="AW117" s="274"/>
      <c r="AX117" s="274">
        <f t="shared" si="68"/>
        <v>629</v>
      </c>
      <c r="AY117" s="274">
        <f t="shared" si="69"/>
        <v>1308</v>
      </c>
      <c r="AZ117" s="274">
        <f t="shared" si="70"/>
        <v>2071</v>
      </c>
      <c r="BA117" s="274"/>
      <c r="BB117" s="274">
        <f t="shared" si="71"/>
        <v>3508</v>
      </c>
      <c r="BC117" s="274">
        <f t="shared" si="72"/>
        <v>4248</v>
      </c>
      <c r="BD117" s="274">
        <f t="shared" si="73"/>
        <v>4941</v>
      </c>
      <c r="BE117" s="274"/>
      <c r="BF117" s="274">
        <f t="shared" si="74"/>
        <v>9435</v>
      </c>
      <c r="BG117" s="274"/>
      <c r="BH117" s="274"/>
      <c r="BI117" s="266">
        <f t="shared" si="75"/>
        <v>0</v>
      </c>
      <c r="BJ117" s="266" t="e">
        <f t="shared" si="76"/>
        <v>#DIV/0!</v>
      </c>
      <c r="BK117" s="263" t="str">
        <f t="shared" si="77"/>
        <v/>
      </c>
      <c r="BL117" s="263" t="str">
        <f t="shared" si="78"/>
        <v/>
      </c>
      <c r="BM117" s="263" t="str">
        <f t="shared" si="79"/>
        <v/>
      </c>
      <c r="BN117" s="263"/>
      <c r="BO117" s="263" t="str">
        <f t="shared" si="80"/>
        <v/>
      </c>
      <c r="BP117" s="263" t="str">
        <f t="shared" si="81"/>
        <v/>
      </c>
      <c r="BQ117" s="263" t="str">
        <f t="shared" si="82"/>
        <v/>
      </c>
      <c r="BR117" s="263" t="str">
        <f t="shared" si="83"/>
        <v/>
      </c>
      <c r="BS117" s="263" t="str">
        <f t="shared" si="84"/>
        <v/>
      </c>
      <c r="BT117" s="263" t="str">
        <f t="shared" si="85"/>
        <v/>
      </c>
      <c r="BU117" s="263" t="str">
        <f t="shared" si="86"/>
        <v/>
      </c>
      <c r="BV117" s="263"/>
      <c r="BW117" s="263" t="str">
        <f t="shared" si="87"/>
        <v/>
      </c>
      <c r="BX117" s="263"/>
      <c r="BY117" s="263" t="str">
        <f t="shared" si="88"/>
        <v/>
      </c>
      <c r="BZ117" s="263"/>
      <c r="CA117" s="263" t="str">
        <f t="shared" si="112"/>
        <v/>
      </c>
      <c r="CB117" s="263" t="str">
        <f t="shared" si="89"/>
        <v/>
      </c>
      <c r="CC117" s="263" t="str">
        <f t="shared" si="113"/>
        <v/>
      </c>
      <c r="CD117" s="263" t="str">
        <f t="shared" si="90"/>
        <v/>
      </c>
      <c r="CE117" s="263" t="str">
        <f t="shared" si="96"/>
        <v/>
      </c>
      <c r="CF117" s="263" t="str">
        <f t="shared" si="114"/>
        <v/>
      </c>
      <c r="CG117" s="263" t="str">
        <f t="shared" si="115"/>
        <v/>
      </c>
      <c r="CH117" s="263"/>
      <c r="CI117" s="263" t="str">
        <f t="shared" si="91"/>
        <v/>
      </c>
      <c r="CJ117" s="263"/>
      <c r="CK117" s="263" t="str">
        <f t="shared" si="92"/>
        <v/>
      </c>
      <c r="CL117" s="264">
        <f t="shared" si="98"/>
        <v>0</v>
      </c>
      <c r="CM117" s="264">
        <f t="shared" si="94"/>
        <v>0</v>
      </c>
      <c r="CO117" s="265">
        <v>0.1036</v>
      </c>
      <c r="CP117" s="265">
        <v>0.10476000000000001</v>
      </c>
      <c r="CQ117" s="265">
        <v>0.1042</v>
      </c>
      <c r="CS117" s="265">
        <v>0.10531</v>
      </c>
      <c r="CT117" s="265">
        <v>0.10567</v>
      </c>
      <c r="CU117" s="265">
        <v>0.1075</v>
      </c>
      <c r="CV117" s="265">
        <v>0.10970000000000001</v>
      </c>
      <c r="CW117" s="265">
        <v>0.1096</v>
      </c>
      <c r="CY117" s="265">
        <v>0.11</v>
      </c>
      <c r="DA117" s="265">
        <v>0.11285000000000001</v>
      </c>
      <c r="DC117" s="265">
        <v>0.1124</v>
      </c>
      <c r="DE117" s="265">
        <v>4.4600000000000001E-2</v>
      </c>
      <c r="DF117" s="265">
        <v>4.5100000000000001E-2</v>
      </c>
      <c r="DH117" s="265">
        <v>4.5499999999999999E-2</v>
      </c>
      <c r="DI117" s="265">
        <v>4.8000000000000001E-2</v>
      </c>
      <c r="DJ117" s="265">
        <v>4.8499999999999995E-2</v>
      </c>
      <c r="DL117" s="265">
        <v>4.6780000000000002E-2</v>
      </c>
      <c r="DO117" s="264" t="e">
        <f t="shared" si="99"/>
        <v>#N/A</v>
      </c>
      <c r="DP117" s="264" t="e" cm="1">
        <f t="array" ref="DP117">+INDEX(AH117:AV117,MATCH(DO117,AH117:AV117,1)+1)</f>
        <v>#N/A</v>
      </c>
      <c r="DQ117" s="265" t="e">
        <f t="shared" si="100"/>
        <v>#N/A</v>
      </c>
      <c r="DR117" s="267" t="e">
        <f t="shared" si="101"/>
        <v>#N/A</v>
      </c>
      <c r="DS117" s="267" t="e">
        <f t="shared" si="102"/>
        <v>#N/A</v>
      </c>
      <c r="DT117" s="268" t="e">
        <f t="shared" si="103"/>
        <v>#N/A</v>
      </c>
      <c r="DU117" s="268" t="e" cm="1">
        <f t="array" ref="DU117">+INDEX(AX117:BF117,MATCH(DT117,AX117:BF117,1)+1)</f>
        <v>#N/A</v>
      </c>
      <c r="DV117" s="267" t="e">
        <f t="shared" si="104"/>
        <v>#N/A</v>
      </c>
      <c r="DW117" s="267" t="e">
        <f t="shared" si="105"/>
        <v>#N/A</v>
      </c>
      <c r="DX117" s="267" t="e">
        <f t="shared" si="106"/>
        <v>#N/A</v>
      </c>
      <c r="DY117" s="267">
        <f t="shared" si="116"/>
        <v>0.11779999999999999</v>
      </c>
      <c r="DZ117" s="205" t="e">
        <f t="shared" si="108"/>
        <v>#N/A</v>
      </c>
      <c r="EA117" s="205">
        <f t="shared" si="109"/>
        <v>0</v>
      </c>
    </row>
    <row r="118" spans="2:131">
      <c r="B118" s="272">
        <v>45156</v>
      </c>
      <c r="C118" s="271">
        <v>45156</v>
      </c>
      <c r="D118" s="263" t="e">
        <f>+SUMIFS(Tabla6[Nominal COP],Tabla6[Concepto],COSTO_OPORTUNIDAD!$B$18,Tabla6[Nemotécnico],COSTO_OPORTUNIDAD!D$16,Tabla6[Fecha Cumplimiento y/ liquidacion],COSTO_OPORTUNIDAD!$C118)/+SUMIFS(Tabla6[Nominal COP],Tabla6[Concepto],COSTO_OPORTUNIDAD!$B$18,Tabla6[Fecha Cumplimiento y/ liquidacion],COSTO_OPORTUNIDAD!$C118)</f>
        <v>#DIV/0!</v>
      </c>
      <c r="E118" s="263" t="e">
        <f>+SUMIFS(Tabla6[Nominal COP],Tabla6[Concepto],COSTO_OPORTUNIDAD!$B$18,Tabla6[Nemotécnico],COSTO_OPORTUNIDAD!E$16,Tabla6[Fecha Cumplimiento y/ liquidacion],COSTO_OPORTUNIDAD!$C118)/+SUMIFS(Tabla6[Nominal COP],Tabla6[Concepto],COSTO_OPORTUNIDAD!$B$18,Tabla6[Fecha Cumplimiento y/ liquidacion],COSTO_OPORTUNIDAD!$C118)</f>
        <v>#DIV/0!</v>
      </c>
      <c r="F118" s="263"/>
      <c r="G118" s="263"/>
      <c r="H118" s="263">
        <v>0.10434782608695652</v>
      </c>
      <c r="I118" s="263"/>
      <c r="J118" s="263">
        <v>0</v>
      </c>
      <c r="K118" s="263">
        <v>0</v>
      </c>
      <c r="L118" s="263"/>
      <c r="M118" s="263">
        <v>0.47826086956521741</v>
      </c>
      <c r="N118" s="263"/>
      <c r="O118" s="263"/>
      <c r="P118" s="263">
        <v>0</v>
      </c>
      <c r="Q118" s="263"/>
      <c r="R118" s="263">
        <v>0.41739130434782606</v>
      </c>
      <c r="S118" s="263"/>
      <c r="T118" s="263">
        <v>0</v>
      </c>
      <c r="U118" s="263"/>
      <c r="V118" s="263">
        <v>0</v>
      </c>
      <c r="W118" s="263">
        <v>0</v>
      </c>
      <c r="X118" s="263">
        <v>0</v>
      </c>
      <c r="Y118" s="263"/>
      <c r="Z118" s="263">
        <v>0</v>
      </c>
      <c r="AA118" s="263">
        <v>0</v>
      </c>
      <c r="AB118" s="263">
        <v>0</v>
      </c>
      <c r="AC118" s="263"/>
      <c r="AD118" s="263">
        <v>0</v>
      </c>
      <c r="AE118" s="263"/>
      <c r="AF118" s="263"/>
      <c r="AG118" s="262"/>
      <c r="AH118" s="274">
        <f t="shared" si="58"/>
        <v>1104</v>
      </c>
      <c r="AI118" s="274">
        <f t="shared" si="59"/>
        <v>1538</v>
      </c>
      <c r="AJ118" s="274">
        <f t="shared" si="60"/>
        <v>1715</v>
      </c>
      <c r="AK118" s="274">
        <f t="shared" si="54"/>
        <v>2196</v>
      </c>
      <c r="AL118" s="274">
        <f t="shared" si="61"/>
        <v>2588</v>
      </c>
      <c r="AM118" s="274">
        <f t="shared" si="62"/>
        <v>2777</v>
      </c>
      <c r="AN118" s="274">
        <f t="shared" si="63"/>
        <v>3239</v>
      </c>
      <c r="AO118" s="274">
        <f t="shared" si="97"/>
        <v>3463</v>
      </c>
      <c r="AP118" s="274">
        <f t="shared" si="64"/>
        <v>4079</v>
      </c>
      <c r="AQ118" s="274"/>
      <c r="AR118" s="274">
        <f t="shared" si="65"/>
        <v>4709</v>
      </c>
      <c r="AS118" s="274">
        <f t="shared" si="55"/>
        <v>6312</v>
      </c>
      <c r="AT118" s="274">
        <f t="shared" si="66"/>
        <v>6858</v>
      </c>
      <c r="AU118" s="274"/>
      <c r="AV118" s="274">
        <f t="shared" si="67"/>
        <v>9931</v>
      </c>
      <c r="AW118" s="274"/>
      <c r="AX118" s="274">
        <f t="shared" si="68"/>
        <v>628</v>
      </c>
      <c r="AY118" s="274">
        <f t="shared" si="69"/>
        <v>1307</v>
      </c>
      <c r="AZ118" s="274">
        <f t="shared" si="70"/>
        <v>2070</v>
      </c>
      <c r="BA118" s="274"/>
      <c r="BB118" s="274">
        <f t="shared" si="71"/>
        <v>3507</v>
      </c>
      <c r="BC118" s="274">
        <f t="shared" si="72"/>
        <v>4247</v>
      </c>
      <c r="BD118" s="274">
        <f t="shared" si="73"/>
        <v>4940</v>
      </c>
      <c r="BE118" s="274"/>
      <c r="BF118" s="274">
        <f t="shared" si="74"/>
        <v>9434</v>
      </c>
      <c r="BG118" s="274"/>
      <c r="BH118" s="274"/>
      <c r="BI118" s="266">
        <f t="shared" si="75"/>
        <v>0</v>
      </c>
      <c r="BJ118" s="266" t="e">
        <f t="shared" si="76"/>
        <v>#DIV/0!</v>
      </c>
      <c r="BK118" s="263" t="str">
        <f t="shared" si="77"/>
        <v/>
      </c>
      <c r="BL118" s="263" t="str">
        <f t="shared" si="78"/>
        <v/>
      </c>
      <c r="BM118" s="263" t="str">
        <f t="shared" si="79"/>
        <v/>
      </c>
      <c r="BN118" s="263"/>
      <c r="BO118" s="263" t="str">
        <f t="shared" si="80"/>
        <v/>
      </c>
      <c r="BP118" s="263" t="str">
        <f t="shared" si="81"/>
        <v/>
      </c>
      <c r="BQ118" s="263" t="str">
        <f t="shared" si="82"/>
        <v/>
      </c>
      <c r="BR118" s="263" t="str">
        <f t="shared" si="83"/>
        <v/>
      </c>
      <c r="BS118" s="263" t="str">
        <f t="shared" si="84"/>
        <v/>
      </c>
      <c r="BT118" s="263" t="str">
        <f t="shared" si="85"/>
        <v/>
      </c>
      <c r="BU118" s="263" t="str">
        <f t="shared" si="86"/>
        <v/>
      </c>
      <c r="BV118" s="263"/>
      <c r="BW118" s="263" t="str">
        <f t="shared" si="87"/>
        <v/>
      </c>
      <c r="BX118" s="263"/>
      <c r="BY118" s="263" t="str">
        <f t="shared" si="88"/>
        <v/>
      </c>
      <c r="BZ118" s="263"/>
      <c r="CA118" s="263" t="str">
        <f t="shared" si="112"/>
        <v/>
      </c>
      <c r="CB118" s="263" t="str">
        <f t="shared" si="89"/>
        <v/>
      </c>
      <c r="CC118" s="263" t="str">
        <f t="shared" si="113"/>
        <v/>
      </c>
      <c r="CD118" s="263" t="str">
        <f t="shared" si="90"/>
        <v/>
      </c>
      <c r="CE118" s="263" t="str">
        <f t="shared" si="96"/>
        <v/>
      </c>
      <c r="CF118" s="263" t="str">
        <f t="shared" si="114"/>
        <v/>
      </c>
      <c r="CG118" s="263" t="str">
        <f t="shared" si="115"/>
        <v/>
      </c>
      <c r="CH118" s="263"/>
      <c r="CI118" s="263" t="str">
        <f t="shared" si="91"/>
        <v/>
      </c>
      <c r="CJ118" s="263"/>
      <c r="CK118" s="263" t="str">
        <f t="shared" si="92"/>
        <v/>
      </c>
      <c r="CL118" s="264">
        <f t="shared" si="98"/>
        <v>0</v>
      </c>
      <c r="CM118" s="264">
        <f t="shared" si="94"/>
        <v>0</v>
      </c>
      <c r="CO118" s="265">
        <v>0.10289999999999999</v>
      </c>
      <c r="CP118" s="265">
        <v>0.1036</v>
      </c>
      <c r="CQ118" s="265">
        <v>0.10339999999999999</v>
      </c>
      <c r="CS118" s="265">
        <v>0.10456</v>
      </c>
      <c r="CT118" s="265">
        <v>0.10571999999999999</v>
      </c>
      <c r="CU118" s="265">
        <v>0.10798000000000001</v>
      </c>
      <c r="CV118" s="265">
        <v>0.10880000000000001</v>
      </c>
      <c r="CW118" s="265">
        <v>0.10890000000000001</v>
      </c>
      <c r="CY118" s="265">
        <v>0.10911</v>
      </c>
      <c r="DA118" s="265">
        <v>0.11169999999999999</v>
      </c>
      <c r="DC118" s="265">
        <v>0.1106</v>
      </c>
      <c r="DE118" s="265">
        <v>4.4000000000000004E-2</v>
      </c>
      <c r="DF118" s="265">
        <v>4.4740000000000002E-2</v>
      </c>
      <c r="DH118" s="265">
        <v>4.5069999999999999E-2</v>
      </c>
      <c r="DI118" s="265">
        <v>4.7510000000000004E-2</v>
      </c>
      <c r="DJ118" s="265">
        <v>4.8339999999999994E-2</v>
      </c>
      <c r="DL118" s="265">
        <v>4.6780000000000002E-2</v>
      </c>
      <c r="DO118" s="264" t="e">
        <f t="shared" si="99"/>
        <v>#N/A</v>
      </c>
      <c r="DP118" s="264" t="e" cm="1">
        <f t="array" ref="DP118">+INDEX(AH118:AV118,MATCH(DO118,AH118:AV118,1)+1)</f>
        <v>#N/A</v>
      </c>
      <c r="DQ118" s="265" t="e">
        <f t="shared" si="100"/>
        <v>#N/A</v>
      </c>
      <c r="DR118" s="267" t="e">
        <f t="shared" si="101"/>
        <v>#N/A</v>
      </c>
      <c r="DS118" s="267" t="e">
        <f t="shared" si="102"/>
        <v>#N/A</v>
      </c>
      <c r="DT118" s="268" t="e">
        <f t="shared" si="103"/>
        <v>#N/A</v>
      </c>
      <c r="DU118" s="268" t="e" cm="1">
        <f t="array" ref="DU118">+INDEX(AX118:BF118,MATCH(DT118,AX118:BF118,1)+1)</f>
        <v>#N/A</v>
      </c>
      <c r="DV118" s="267" t="e">
        <f t="shared" si="104"/>
        <v>#N/A</v>
      </c>
      <c r="DW118" s="267" t="e">
        <f t="shared" si="105"/>
        <v>#N/A</v>
      </c>
      <c r="DX118" s="267" t="e">
        <f t="shared" si="106"/>
        <v>#N/A</v>
      </c>
      <c r="DY118" s="267">
        <f t="shared" si="116"/>
        <v>0.11779999999999999</v>
      </c>
      <c r="DZ118" s="205" t="e">
        <f t="shared" si="108"/>
        <v>#N/A</v>
      </c>
      <c r="EA118" s="205">
        <f t="shared" si="109"/>
        <v>0</v>
      </c>
    </row>
    <row r="119" spans="2:131">
      <c r="B119" s="272">
        <v>45160</v>
      </c>
      <c r="C119" s="271">
        <v>45160</v>
      </c>
      <c r="D119" s="263" t="e">
        <f>+SUMIFS(Tabla6[Nominal COP],Tabla6[Concepto],COSTO_OPORTUNIDAD!$B$18,Tabla6[Nemotécnico],COSTO_OPORTUNIDAD!D$16,Tabla6[Fecha Cumplimiento y/ liquidacion],COSTO_OPORTUNIDAD!$C119)/+SUMIFS(Tabla6[Nominal COP],Tabla6[Concepto],COSTO_OPORTUNIDAD!$B$18,Tabla6[Fecha Cumplimiento y/ liquidacion],COSTO_OPORTUNIDAD!$C119)</f>
        <v>#DIV/0!</v>
      </c>
      <c r="E119" s="263" t="e">
        <f>+SUMIFS(Tabla6[Nominal COP],Tabla6[Concepto],COSTO_OPORTUNIDAD!$B$18,Tabla6[Nemotécnico],COSTO_OPORTUNIDAD!E$16,Tabla6[Fecha Cumplimiento y/ liquidacion],COSTO_OPORTUNIDAD!$C119)/+SUMIFS(Tabla6[Nominal COP],Tabla6[Concepto],COSTO_OPORTUNIDAD!$B$18,Tabla6[Fecha Cumplimiento y/ liquidacion],COSTO_OPORTUNIDAD!$C119)</f>
        <v>#DIV/0!</v>
      </c>
      <c r="F119" s="263"/>
      <c r="G119" s="263"/>
      <c r="H119" s="263">
        <v>0.10067114093959731</v>
      </c>
      <c r="I119" s="263"/>
      <c r="J119" s="263">
        <v>0</v>
      </c>
      <c r="K119" s="263">
        <v>0</v>
      </c>
      <c r="L119" s="263"/>
      <c r="M119" s="263">
        <v>0.48993288590604028</v>
      </c>
      <c r="N119" s="263"/>
      <c r="O119" s="263"/>
      <c r="P119" s="263">
        <v>0</v>
      </c>
      <c r="Q119" s="263"/>
      <c r="R119" s="263">
        <v>0.40939597315436244</v>
      </c>
      <c r="S119" s="263"/>
      <c r="T119" s="263">
        <v>0</v>
      </c>
      <c r="U119" s="263"/>
      <c r="V119" s="263">
        <v>0</v>
      </c>
      <c r="W119" s="263">
        <v>0</v>
      </c>
      <c r="X119" s="263">
        <v>0</v>
      </c>
      <c r="Y119" s="263"/>
      <c r="Z119" s="263">
        <v>0</v>
      </c>
      <c r="AA119" s="263">
        <v>0</v>
      </c>
      <c r="AB119" s="263">
        <v>0</v>
      </c>
      <c r="AC119" s="263"/>
      <c r="AD119" s="263">
        <v>0</v>
      </c>
      <c r="AE119" s="263"/>
      <c r="AF119" s="263"/>
      <c r="AG119" s="262"/>
      <c r="AH119" s="274">
        <f t="shared" si="58"/>
        <v>1100</v>
      </c>
      <c r="AI119" s="274">
        <f t="shared" si="59"/>
        <v>1534</v>
      </c>
      <c r="AJ119" s="274">
        <f t="shared" si="60"/>
        <v>1711</v>
      </c>
      <c r="AK119" s="274">
        <f t="shared" si="54"/>
        <v>2192</v>
      </c>
      <c r="AL119" s="274">
        <f t="shared" si="61"/>
        <v>2584</v>
      </c>
      <c r="AM119" s="274">
        <f t="shared" si="62"/>
        <v>2773</v>
      </c>
      <c r="AN119" s="274">
        <f t="shared" si="63"/>
        <v>3235</v>
      </c>
      <c r="AO119" s="274">
        <f t="shared" si="97"/>
        <v>3459</v>
      </c>
      <c r="AP119" s="274">
        <f t="shared" si="64"/>
        <v>4075</v>
      </c>
      <c r="AQ119" s="274"/>
      <c r="AR119" s="274">
        <f t="shared" si="65"/>
        <v>4705</v>
      </c>
      <c r="AS119" s="274">
        <f t="shared" si="55"/>
        <v>6308</v>
      </c>
      <c r="AT119" s="274">
        <f t="shared" si="66"/>
        <v>6854</v>
      </c>
      <c r="AU119" s="274"/>
      <c r="AV119" s="274">
        <f t="shared" si="67"/>
        <v>9927</v>
      </c>
      <c r="AW119" s="274"/>
      <c r="AX119" s="274">
        <f t="shared" si="68"/>
        <v>624</v>
      </c>
      <c r="AY119" s="274">
        <f t="shared" si="69"/>
        <v>1303</v>
      </c>
      <c r="AZ119" s="274">
        <f t="shared" si="70"/>
        <v>2066</v>
      </c>
      <c r="BA119" s="274"/>
      <c r="BB119" s="274">
        <f t="shared" si="71"/>
        <v>3503</v>
      </c>
      <c r="BC119" s="274">
        <f t="shared" si="72"/>
        <v>4243</v>
      </c>
      <c r="BD119" s="274">
        <f t="shared" si="73"/>
        <v>4936</v>
      </c>
      <c r="BE119" s="274"/>
      <c r="BF119" s="274">
        <f t="shared" si="74"/>
        <v>9430</v>
      </c>
      <c r="BG119" s="274"/>
      <c r="BH119" s="274"/>
      <c r="BI119" s="266">
        <f t="shared" si="75"/>
        <v>0</v>
      </c>
      <c r="BJ119" s="266" t="e">
        <f t="shared" si="76"/>
        <v>#DIV/0!</v>
      </c>
      <c r="BK119" s="263" t="str">
        <f t="shared" si="77"/>
        <v/>
      </c>
      <c r="BL119" s="263" t="str">
        <f t="shared" si="78"/>
        <v/>
      </c>
      <c r="BM119" s="263" t="str">
        <f t="shared" si="79"/>
        <v/>
      </c>
      <c r="BN119" s="263"/>
      <c r="BO119" s="263" t="str">
        <f t="shared" si="80"/>
        <v/>
      </c>
      <c r="BP119" s="263" t="str">
        <f t="shared" si="81"/>
        <v/>
      </c>
      <c r="BQ119" s="263" t="str">
        <f t="shared" si="82"/>
        <v/>
      </c>
      <c r="BR119" s="263" t="str">
        <f t="shared" si="83"/>
        <v/>
      </c>
      <c r="BS119" s="263" t="str">
        <f t="shared" si="84"/>
        <v/>
      </c>
      <c r="BT119" s="263" t="str">
        <f t="shared" si="85"/>
        <v/>
      </c>
      <c r="BU119" s="263" t="str">
        <f t="shared" si="86"/>
        <v/>
      </c>
      <c r="BV119" s="263"/>
      <c r="BW119" s="263" t="str">
        <f t="shared" si="87"/>
        <v/>
      </c>
      <c r="BX119" s="263"/>
      <c r="BY119" s="263" t="str">
        <f t="shared" si="88"/>
        <v/>
      </c>
      <c r="BZ119" s="263"/>
      <c r="CA119" s="263" t="str">
        <f t="shared" si="112"/>
        <v/>
      </c>
      <c r="CB119" s="263" t="str">
        <f t="shared" si="89"/>
        <v/>
      </c>
      <c r="CC119" s="263" t="str">
        <f t="shared" si="113"/>
        <v/>
      </c>
      <c r="CD119" s="263" t="str">
        <f t="shared" si="90"/>
        <v/>
      </c>
      <c r="CE119" s="263" t="str">
        <f t="shared" si="96"/>
        <v/>
      </c>
      <c r="CF119" s="263" t="str">
        <f t="shared" si="114"/>
        <v/>
      </c>
      <c r="CG119" s="263" t="str">
        <f t="shared" si="115"/>
        <v/>
      </c>
      <c r="CH119" s="263"/>
      <c r="CI119" s="263" t="str">
        <f t="shared" si="91"/>
        <v/>
      </c>
      <c r="CJ119" s="263"/>
      <c r="CK119" s="263" t="str">
        <f t="shared" si="92"/>
        <v/>
      </c>
      <c r="CL119" s="264">
        <f t="shared" si="98"/>
        <v>0</v>
      </c>
      <c r="CM119" s="264">
        <f t="shared" si="94"/>
        <v>0</v>
      </c>
      <c r="CO119" s="265">
        <v>0.1033</v>
      </c>
      <c r="CP119" s="265">
        <v>0.10369999999999999</v>
      </c>
      <c r="CQ119" s="265">
        <v>0.10369999999999999</v>
      </c>
      <c r="CS119" s="265">
        <v>0.10580000000000001</v>
      </c>
      <c r="CT119" s="265">
        <v>0.10571999999999999</v>
      </c>
      <c r="CU119" s="265">
        <v>0.10816000000000001</v>
      </c>
      <c r="CV119" s="265">
        <v>0.11028</v>
      </c>
      <c r="CW119" s="265">
        <v>0.1103</v>
      </c>
      <c r="CY119" s="265">
        <v>0.11003</v>
      </c>
      <c r="DA119" s="265">
        <v>0.11259999999999999</v>
      </c>
      <c r="DC119" s="265">
        <v>0.11216</v>
      </c>
      <c r="DE119" s="265">
        <v>4.4490000000000002E-2</v>
      </c>
      <c r="DF119" s="265">
        <v>4.4880000000000003E-2</v>
      </c>
      <c r="DH119" s="265">
        <v>4.5199999999999997E-2</v>
      </c>
      <c r="DI119" s="265">
        <v>4.7899999999999998E-2</v>
      </c>
      <c r="DJ119" s="265">
        <v>4.8440000000000004E-2</v>
      </c>
      <c r="DL119" s="265">
        <v>4.6969999999999998E-2</v>
      </c>
      <c r="DO119" s="264" t="e">
        <f t="shared" si="99"/>
        <v>#N/A</v>
      </c>
      <c r="DP119" s="264" t="e" cm="1">
        <f t="array" ref="DP119">+INDEX(AH119:AV119,MATCH(DO119,AH119:AV119,1)+1)</f>
        <v>#N/A</v>
      </c>
      <c r="DQ119" s="265" t="e">
        <f t="shared" si="100"/>
        <v>#N/A</v>
      </c>
      <c r="DR119" s="267" t="e">
        <f t="shared" si="101"/>
        <v>#N/A</v>
      </c>
      <c r="DS119" s="267" t="e">
        <f t="shared" si="102"/>
        <v>#N/A</v>
      </c>
      <c r="DT119" s="268" t="e">
        <f t="shared" si="103"/>
        <v>#N/A</v>
      </c>
      <c r="DU119" s="268" t="e" cm="1">
        <f t="array" ref="DU119">+INDEX(AX119:BF119,MATCH(DT119,AX119:BF119,1)+1)</f>
        <v>#N/A</v>
      </c>
      <c r="DV119" s="267" t="e">
        <f t="shared" si="104"/>
        <v>#N/A</v>
      </c>
      <c r="DW119" s="267" t="e">
        <f t="shared" si="105"/>
        <v>#N/A</v>
      </c>
      <c r="DX119" s="267" t="e">
        <f t="shared" si="106"/>
        <v>#N/A</v>
      </c>
      <c r="DY119" s="267">
        <f t="shared" si="116"/>
        <v>0.11779999999999999</v>
      </c>
      <c r="DZ119" s="205" t="e">
        <f t="shared" si="108"/>
        <v>#N/A</v>
      </c>
      <c r="EA119" s="205">
        <f t="shared" si="109"/>
        <v>0</v>
      </c>
    </row>
    <row r="120" spans="2:131">
      <c r="B120" s="272">
        <v>45161</v>
      </c>
      <c r="C120" s="271">
        <v>45161</v>
      </c>
      <c r="D120" s="263" t="e">
        <f>+SUMIFS(Tabla6[Nominal COP],Tabla6[Concepto],COSTO_OPORTUNIDAD!$B$18,Tabla6[Nemotécnico],COSTO_OPORTUNIDAD!D$16,Tabla6[Fecha Cumplimiento y/ liquidacion],COSTO_OPORTUNIDAD!$C120)/+SUMIFS(Tabla6[Nominal COP],Tabla6[Concepto],COSTO_OPORTUNIDAD!$B$18,Tabla6[Fecha Cumplimiento y/ liquidacion],COSTO_OPORTUNIDAD!$C120)</f>
        <v>#DIV/0!</v>
      </c>
      <c r="E120" s="263" t="e">
        <f>+SUMIFS(Tabla6[Nominal COP],Tabla6[Concepto],COSTO_OPORTUNIDAD!$B$18,Tabla6[Nemotécnico],COSTO_OPORTUNIDAD!E$16,Tabla6[Fecha Cumplimiento y/ liquidacion],COSTO_OPORTUNIDAD!$C120)/+SUMIFS(Tabla6[Nominal COP],Tabla6[Concepto],COSTO_OPORTUNIDAD!$B$18,Tabla6[Fecha Cumplimiento y/ liquidacion],COSTO_OPORTUNIDAD!$C120)</f>
        <v>#DIV/0!</v>
      </c>
      <c r="F120" s="263"/>
      <c r="G120" s="263"/>
      <c r="H120" s="263">
        <v>0.05</v>
      </c>
      <c r="I120" s="263"/>
      <c r="J120" s="263">
        <v>0</v>
      </c>
      <c r="K120" s="263">
        <v>0</v>
      </c>
      <c r="L120" s="263"/>
      <c r="M120" s="263">
        <v>0.45937499999999998</v>
      </c>
      <c r="N120" s="263"/>
      <c r="O120" s="263"/>
      <c r="P120" s="263">
        <v>0</v>
      </c>
      <c r="Q120" s="263"/>
      <c r="R120" s="263">
        <v>0.49062499999999998</v>
      </c>
      <c r="S120" s="263"/>
      <c r="T120" s="263">
        <v>0</v>
      </c>
      <c r="U120" s="263"/>
      <c r="V120" s="263">
        <v>0</v>
      </c>
      <c r="W120" s="263">
        <v>0</v>
      </c>
      <c r="X120" s="263">
        <v>0</v>
      </c>
      <c r="Y120" s="263"/>
      <c r="Z120" s="263">
        <v>0</v>
      </c>
      <c r="AA120" s="263">
        <v>0</v>
      </c>
      <c r="AB120" s="263">
        <v>0</v>
      </c>
      <c r="AC120" s="263"/>
      <c r="AD120" s="263">
        <v>0</v>
      </c>
      <c r="AE120" s="263"/>
      <c r="AF120" s="263"/>
      <c r="AG120" s="262"/>
      <c r="AH120" s="274">
        <f t="shared" si="58"/>
        <v>1099</v>
      </c>
      <c r="AI120" s="274">
        <f t="shared" si="59"/>
        <v>1533</v>
      </c>
      <c r="AJ120" s="274">
        <f t="shared" si="60"/>
        <v>1710</v>
      </c>
      <c r="AK120" s="274">
        <f t="shared" si="54"/>
        <v>2191</v>
      </c>
      <c r="AL120" s="274">
        <f t="shared" si="61"/>
        <v>2583</v>
      </c>
      <c r="AM120" s="274">
        <f t="shared" si="62"/>
        <v>2772</v>
      </c>
      <c r="AN120" s="274">
        <f t="shared" si="63"/>
        <v>3234</v>
      </c>
      <c r="AO120" s="274">
        <f t="shared" si="97"/>
        <v>3458</v>
      </c>
      <c r="AP120" s="274">
        <f t="shared" si="64"/>
        <v>4074</v>
      </c>
      <c r="AQ120" s="274"/>
      <c r="AR120" s="274">
        <f t="shared" si="65"/>
        <v>4704</v>
      </c>
      <c r="AS120" s="274">
        <f t="shared" si="55"/>
        <v>6307</v>
      </c>
      <c r="AT120" s="274">
        <f t="shared" si="66"/>
        <v>6853</v>
      </c>
      <c r="AU120" s="274"/>
      <c r="AV120" s="274">
        <f t="shared" si="67"/>
        <v>9926</v>
      </c>
      <c r="AW120" s="274"/>
      <c r="AX120" s="274">
        <f t="shared" si="68"/>
        <v>623</v>
      </c>
      <c r="AY120" s="274">
        <f t="shared" si="69"/>
        <v>1302</v>
      </c>
      <c r="AZ120" s="274">
        <f t="shared" si="70"/>
        <v>2065</v>
      </c>
      <c r="BA120" s="274"/>
      <c r="BB120" s="274">
        <f t="shared" si="71"/>
        <v>3502</v>
      </c>
      <c r="BC120" s="274">
        <f t="shared" si="72"/>
        <v>4242</v>
      </c>
      <c r="BD120" s="274">
        <f t="shared" si="73"/>
        <v>4935</v>
      </c>
      <c r="BE120" s="274"/>
      <c r="BF120" s="274">
        <f t="shared" si="74"/>
        <v>9429</v>
      </c>
      <c r="BG120" s="274"/>
      <c r="BH120" s="274"/>
      <c r="BI120" s="266">
        <f t="shared" si="75"/>
        <v>0</v>
      </c>
      <c r="BJ120" s="266" t="e">
        <f t="shared" si="76"/>
        <v>#DIV/0!</v>
      </c>
      <c r="BK120" s="263" t="str">
        <f t="shared" si="77"/>
        <v/>
      </c>
      <c r="BL120" s="263" t="str">
        <f t="shared" si="78"/>
        <v/>
      </c>
      <c r="BM120" s="263" t="str">
        <f t="shared" si="79"/>
        <v/>
      </c>
      <c r="BN120" s="263"/>
      <c r="BO120" s="263" t="str">
        <f t="shared" si="80"/>
        <v/>
      </c>
      <c r="BP120" s="263" t="str">
        <f t="shared" si="81"/>
        <v/>
      </c>
      <c r="BQ120" s="263" t="str">
        <f t="shared" si="82"/>
        <v/>
      </c>
      <c r="BR120" s="263" t="str">
        <f t="shared" si="83"/>
        <v/>
      </c>
      <c r="BS120" s="263" t="str">
        <f t="shared" si="84"/>
        <v/>
      </c>
      <c r="BT120" s="263" t="str">
        <f t="shared" si="85"/>
        <v/>
      </c>
      <c r="BU120" s="263" t="str">
        <f t="shared" si="86"/>
        <v/>
      </c>
      <c r="BV120" s="263"/>
      <c r="BW120" s="263" t="str">
        <f t="shared" si="87"/>
        <v/>
      </c>
      <c r="BX120" s="263"/>
      <c r="BY120" s="263" t="str">
        <f t="shared" si="88"/>
        <v/>
      </c>
      <c r="BZ120" s="263"/>
      <c r="CA120" s="263" t="str">
        <f t="shared" si="112"/>
        <v/>
      </c>
      <c r="CB120" s="263" t="str">
        <f t="shared" si="89"/>
        <v/>
      </c>
      <c r="CC120" s="263" t="str">
        <f t="shared" si="113"/>
        <v/>
      </c>
      <c r="CD120" s="263" t="str">
        <f t="shared" si="90"/>
        <v/>
      </c>
      <c r="CE120" s="263" t="str">
        <f t="shared" si="96"/>
        <v/>
      </c>
      <c r="CF120" s="263" t="str">
        <f t="shared" si="114"/>
        <v/>
      </c>
      <c r="CG120" s="263" t="str">
        <f t="shared" si="115"/>
        <v/>
      </c>
      <c r="CH120" s="263"/>
      <c r="CI120" s="263" t="str">
        <f t="shared" si="91"/>
        <v/>
      </c>
      <c r="CJ120" s="263"/>
      <c r="CK120" s="263" t="str">
        <f t="shared" si="92"/>
        <v/>
      </c>
      <c r="CL120" s="264">
        <f t="shared" si="98"/>
        <v>0</v>
      </c>
      <c r="CM120" s="264">
        <f t="shared" si="94"/>
        <v>0</v>
      </c>
      <c r="CO120" s="265">
        <v>0.10189999999999999</v>
      </c>
      <c r="CP120" s="265">
        <v>0.10199999999999999</v>
      </c>
      <c r="CQ120" s="265">
        <v>0.10199999999999999</v>
      </c>
      <c r="CS120" s="265">
        <v>0.10349999999999999</v>
      </c>
      <c r="CT120" s="265">
        <v>0.10571999999999999</v>
      </c>
      <c r="CU120" s="265">
        <v>0.10644999999999999</v>
      </c>
      <c r="CV120" s="265">
        <v>0.10796</v>
      </c>
      <c r="CW120" s="265">
        <v>0.10779999999999999</v>
      </c>
      <c r="CY120" s="265">
        <v>0.1076</v>
      </c>
      <c r="DA120" s="265">
        <v>0.11073000000000001</v>
      </c>
      <c r="DC120" s="265">
        <v>0.11</v>
      </c>
      <c r="DE120" s="265">
        <v>4.2800000000000005E-2</v>
      </c>
      <c r="DF120" s="265">
        <v>4.3720000000000002E-2</v>
      </c>
      <c r="DH120" s="265">
        <v>4.4790000000000003E-2</v>
      </c>
      <c r="DI120" s="265">
        <v>4.6900000000000004E-2</v>
      </c>
      <c r="DJ120" s="265">
        <v>4.7599999999999996E-2</v>
      </c>
      <c r="DL120" s="265">
        <v>4.5909999999999999E-2</v>
      </c>
      <c r="DO120" s="264" t="e">
        <f t="shared" si="99"/>
        <v>#N/A</v>
      </c>
      <c r="DP120" s="264" t="e" cm="1">
        <f t="array" ref="DP120">+INDEX(AH120:AV120,MATCH(DO120,AH120:AV120,1)+1)</f>
        <v>#N/A</v>
      </c>
      <c r="DQ120" s="265" t="e">
        <f t="shared" si="100"/>
        <v>#N/A</v>
      </c>
      <c r="DR120" s="267" t="e">
        <f t="shared" si="101"/>
        <v>#N/A</v>
      </c>
      <c r="DS120" s="267" t="e">
        <f t="shared" si="102"/>
        <v>#N/A</v>
      </c>
      <c r="DT120" s="268" t="e">
        <f t="shared" si="103"/>
        <v>#N/A</v>
      </c>
      <c r="DU120" s="268" t="e" cm="1">
        <f t="array" ref="DU120">+INDEX(AX120:BF120,MATCH(DT120,AX120:BF120,1)+1)</f>
        <v>#N/A</v>
      </c>
      <c r="DV120" s="267" t="e">
        <f t="shared" si="104"/>
        <v>#N/A</v>
      </c>
      <c r="DW120" s="267" t="e">
        <f t="shared" si="105"/>
        <v>#N/A</v>
      </c>
      <c r="DX120" s="267" t="e">
        <f t="shared" si="106"/>
        <v>#N/A</v>
      </c>
      <c r="DY120" s="267">
        <f t="shared" si="116"/>
        <v>0.11779999999999999</v>
      </c>
      <c r="DZ120" s="205" t="e">
        <f t="shared" si="108"/>
        <v>#N/A</v>
      </c>
      <c r="EA120" s="205">
        <f t="shared" si="109"/>
        <v>0</v>
      </c>
    </row>
    <row r="121" spans="2:131">
      <c r="B121" s="272">
        <v>45162</v>
      </c>
      <c r="C121" s="271">
        <v>45162</v>
      </c>
      <c r="D121" s="263" t="e">
        <f>+SUMIFS(Tabla6[Nominal COP],Tabla6[Concepto],COSTO_OPORTUNIDAD!$B$18,Tabla6[Nemotécnico],COSTO_OPORTUNIDAD!D$16,Tabla6[Fecha Cumplimiento y/ liquidacion],COSTO_OPORTUNIDAD!$C121)/+SUMIFS(Tabla6[Nominal COP],Tabla6[Concepto],COSTO_OPORTUNIDAD!$B$18,Tabla6[Fecha Cumplimiento y/ liquidacion],COSTO_OPORTUNIDAD!$C121)</f>
        <v>#DIV/0!</v>
      </c>
      <c r="E121" s="263" t="e">
        <f>+SUMIFS(Tabla6[Nominal COP],Tabla6[Concepto],COSTO_OPORTUNIDAD!$B$18,Tabla6[Nemotécnico],COSTO_OPORTUNIDAD!E$16,Tabla6[Fecha Cumplimiento y/ liquidacion],COSTO_OPORTUNIDAD!$C121)/+SUMIFS(Tabla6[Nominal COP],Tabla6[Concepto],COSTO_OPORTUNIDAD!$B$18,Tabla6[Fecha Cumplimiento y/ liquidacion],COSTO_OPORTUNIDAD!$C121)</f>
        <v>#DIV/0!</v>
      </c>
      <c r="F121" s="263"/>
      <c r="G121" s="263"/>
      <c r="H121" s="263">
        <v>8.1803005008347252E-2</v>
      </c>
      <c r="I121" s="263"/>
      <c r="J121" s="263">
        <v>0</v>
      </c>
      <c r="K121" s="263">
        <v>0</v>
      </c>
      <c r="L121" s="263"/>
      <c r="M121" s="263">
        <v>0.45075125208681133</v>
      </c>
      <c r="N121" s="263"/>
      <c r="O121" s="263"/>
      <c r="P121" s="263">
        <v>0</v>
      </c>
      <c r="Q121" s="263"/>
      <c r="R121" s="263">
        <v>0.46744574290484142</v>
      </c>
      <c r="S121" s="263"/>
      <c r="T121" s="263">
        <v>0</v>
      </c>
      <c r="U121" s="263"/>
      <c r="V121" s="263">
        <v>0</v>
      </c>
      <c r="W121" s="263">
        <v>0</v>
      </c>
      <c r="X121" s="263">
        <v>0</v>
      </c>
      <c r="Y121" s="263"/>
      <c r="Z121" s="263">
        <v>0</v>
      </c>
      <c r="AA121" s="263">
        <v>0</v>
      </c>
      <c r="AB121" s="263">
        <v>0</v>
      </c>
      <c r="AC121" s="263"/>
      <c r="AD121" s="263">
        <v>0</v>
      </c>
      <c r="AE121" s="263"/>
      <c r="AF121" s="263"/>
      <c r="AG121" s="262"/>
      <c r="AH121" s="274">
        <f t="shared" si="58"/>
        <v>1098</v>
      </c>
      <c r="AI121" s="274">
        <f t="shared" si="59"/>
        <v>1532</v>
      </c>
      <c r="AJ121" s="274">
        <f t="shared" si="60"/>
        <v>1709</v>
      </c>
      <c r="AK121" s="274">
        <f t="shared" si="54"/>
        <v>2190</v>
      </c>
      <c r="AL121" s="274">
        <f t="shared" si="61"/>
        <v>2582</v>
      </c>
      <c r="AM121" s="274">
        <f t="shared" si="62"/>
        <v>2771</v>
      </c>
      <c r="AN121" s="274">
        <f t="shared" si="63"/>
        <v>3233</v>
      </c>
      <c r="AO121" s="274">
        <f t="shared" si="97"/>
        <v>3457</v>
      </c>
      <c r="AP121" s="274">
        <f t="shared" si="64"/>
        <v>4073</v>
      </c>
      <c r="AQ121" s="274"/>
      <c r="AR121" s="274">
        <f t="shared" si="65"/>
        <v>4703</v>
      </c>
      <c r="AS121" s="274">
        <f t="shared" si="55"/>
        <v>6306</v>
      </c>
      <c r="AT121" s="274">
        <f t="shared" si="66"/>
        <v>6852</v>
      </c>
      <c r="AU121" s="274"/>
      <c r="AV121" s="274">
        <f t="shared" si="67"/>
        <v>9925</v>
      </c>
      <c r="AW121" s="274"/>
      <c r="AX121" s="274">
        <f t="shared" si="68"/>
        <v>622</v>
      </c>
      <c r="AY121" s="274">
        <f t="shared" si="69"/>
        <v>1301</v>
      </c>
      <c r="AZ121" s="274">
        <f t="shared" si="70"/>
        <v>2064</v>
      </c>
      <c r="BA121" s="274"/>
      <c r="BB121" s="274">
        <f t="shared" si="71"/>
        <v>3501</v>
      </c>
      <c r="BC121" s="274">
        <f t="shared" si="72"/>
        <v>4241</v>
      </c>
      <c r="BD121" s="274">
        <f t="shared" si="73"/>
        <v>4934</v>
      </c>
      <c r="BE121" s="274"/>
      <c r="BF121" s="274">
        <f t="shared" si="74"/>
        <v>9428</v>
      </c>
      <c r="BG121" s="274"/>
      <c r="BH121" s="274"/>
      <c r="BI121" s="266">
        <f t="shared" si="75"/>
        <v>0</v>
      </c>
      <c r="BJ121" s="266" t="e">
        <f t="shared" si="76"/>
        <v>#DIV/0!</v>
      </c>
      <c r="BK121" s="263" t="str">
        <f t="shared" si="77"/>
        <v/>
      </c>
      <c r="BL121" s="263" t="str">
        <f t="shared" si="78"/>
        <v/>
      </c>
      <c r="BM121" s="263" t="str">
        <f t="shared" si="79"/>
        <v/>
      </c>
      <c r="BN121" s="263"/>
      <c r="BO121" s="263" t="str">
        <f t="shared" si="80"/>
        <v/>
      </c>
      <c r="BP121" s="263" t="str">
        <f t="shared" si="81"/>
        <v/>
      </c>
      <c r="BQ121" s="263" t="str">
        <f t="shared" si="82"/>
        <v/>
      </c>
      <c r="BR121" s="263" t="str">
        <f t="shared" si="83"/>
        <v/>
      </c>
      <c r="BS121" s="263" t="str">
        <f t="shared" si="84"/>
        <v/>
      </c>
      <c r="BT121" s="263" t="str">
        <f t="shared" si="85"/>
        <v/>
      </c>
      <c r="BU121" s="263" t="str">
        <f t="shared" si="86"/>
        <v/>
      </c>
      <c r="BV121" s="263"/>
      <c r="BW121" s="263" t="str">
        <f t="shared" si="87"/>
        <v/>
      </c>
      <c r="BX121" s="263"/>
      <c r="BY121" s="263" t="str">
        <f t="shared" si="88"/>
        <v/>
      </c>
      <c r="BZ121" s="263"/>
      <c r="CA121" s="263" t="str">
        <f t="shared" si="112"/>
        <v/>
      </c>
      <c r="CB121" s="263" t="str">
        <f t="shared" si="89"/>
        <v/>
      </c>
      <c r="CC121" s="263" t="str">
        <f t="shared" si="113"/>
        <v/>
      </c>
      <c r="CD121" s="263" t="str">
        <f t="shared" si="90"/>
        <v/>
      </c>
      <c r="CE121" s="263" t="str">
        <f t="shared" si="96"/>
        <v/>
      </c>
      <c r="CF121" s="263" t="str">
        <f t="shared" si="114"/>
        <v/>
      </c>
      <c r="CG121" s="263" t="str">
        <f t="shared" si="115"/>
        <v/>
      </c>
      <c r="CH121" s="263"/>
      <c r="CI121" s="263" t="str">
        <f t="shared" si="91"/>
        <v/>
      </c>
      <c r="CJ121" s="263"/>
      <c r="CK121" s="263" t="str">
        <f t="shared" si="92"/>
        <v/>
      </c>
      <c r="CL121" s="264">
        <f t="shared" si="98"/>
        <v>0</v>
      </c>
      <c r="CM121" s="264">
        <f t="shared" si="94"/>
        <v>0</v>
      </c>
      <c r="CO121" s="265">
        <v>0.1008</v>
      </c>
      <c r="CP121" s="265">
        <v>0.10117000000000001</v>
      </c>
      <c r="CQ121" s="265">
        <v>0.10116</v>
      </c>
      <c r="CS121" s="265">
        <v>0.10249999999999999</v>
      </c>
      <c r="CT121" s="265">
        <v>0.10404999999999999</v>
      </c>
      <c r="CU121" s="265">
        <v>0.1061</v>
      </c>
      <c r="CV121" s="265">
        <v>0.10710000000000001</v>
      </c>
      <c r="CW121" s="265">
        <v>0.10730000000000001</v>
      </c>
      <c r="CY121" s="265">
        <v>0.10715</v>
      </c>
      <c r="DA121" s="265">
        <v>0.1099</v>
      </c>
      <c r="DC121" s="265">
        <v>0.10969</v>
      </c>
      <c r="DE121" s="265">
        <v>4.2679999999999996E-2</v>
      </c>
      <c r="DF121" s="265">
        <v>4.3570000000000005E-2</v>
      </c>
      <c r="DH121" s="265">
        <v>4.4000000000000004E-2</v>
      </c>
      <c r="DI121" s="265">
        <v>4.6539999999999998E-2</v>
      </c>
      <c r="DJ121" s="265">
        <v>4.7500000000000001E-2</v>
      </c>
      <c r="DL121" s="265">
        <v>4.5769999999999998E-2</v>
      </c>
      <c r="DO121" s="264" t="e">
        <f t="shared" si="99"/>
        <v>#N/A</v>
      </c>
      <c r="DP121" s="264" t="e" cm="1">
        <f t="array" ref="DP121">+INDEX(AH121:AV121,MATCH(DO121,AH121:AV121,1)+1)</f>
        <v>#N/A</v>
      </c>
      <c r="DQ121" s="265" t="e">
        <f t="shared" si="100"/>
        <v>#N/A</v>
      </c>
      <c r="DR121" s="267" t="e">
        <f t="shared" si="101"/>
        <v>#N/A</v>
      </c>
      <c r="DS121" s="267" t="e">
        <f t="shared" si="102"/>
        <v>#N/A</v>
      </c>
      <c r="DT121" s="268" t="e">
        <f t="shared" si="103"/>
        <v>#N/A</v>
      </c>
      <c r="DU121" s="268" t="e" cm="1">
        <f t="array" ref="DU121">+INDEX(AX121:BF121,MATCH(DT121,AX121:BF121,1)+1)</f>
        <v>#N/A</v>
      </c>
      <c r="DV121" s="267" t="e">
        <f t="shared" si="104"/>
        <v>#N/A</v>
      </c>
      <c r="DW121" s="267" t="e">
        <f t="shared" si="105"/>
        <v>#N/A</v>
      </c>
      <c r="DX121" s="267" t="e">
        <f t="shared" si="106"/>
        <v>#N/A</v>
      </c>
      <c r="DY121" s="267">
        <f t="shared" si="116"/>
        <v>0.11779999999999999</v>
      </c>
      <c r="DZ121" s="205" t="e">
        <f t="shared" si="108"/>
        <v>#N/A</v>
      </c>
      <c r="EA121" s="205">
        <f t="shared" si="109"/>
        <v>0</v>
      </c>
    </row>
    <row r="122" spans="2:131">
      <c r="B122" s="272">
        <v>45166</v>
      </c>
      <c r="C122" s="271">
        <v>45166</v>
      </c>
      <c r="D122" s="263" t="e">
        <f>+SUMIFS(Tabla6[Nominal COP],Tabla6[Concepto],COSTO_OPORTUNIDAD!$B$18,Tabla6[Nemotécnico],COSTO_OPORTUNIDAD!D$16,Tabla6[Fecha Cumplimiento y/ liquidacion],COSTO_OPORTUNIDAD!$C122)/+SUMIFS(Tabla6[Nominal COP],Tabla6[Concepto],COSTO_OPORTUNIDAD!$B$18,Tabla6[Fecha Cumplimiento y/ liquidacion],COSTO_OPORTUNIDAD!$C122)</f>
        <v>#DIV/0!</v>
      </c>
      <c r="E122" s="263" t="e">
        <f>+SUMIFS(Tabla6[Nominal COP],Tabla6[Concepto],COSTO_OPORTUNIDAD!$B$18,Tabla6[Nemotécnico],COSTO_OPORTUNIDAD!E$16,Tabla6[Fecha Cumplimiento y/ liquidacion],COSTO_OPORTUNIDAD!$C122)/+SUMIFS(Tabla6[Nominal COP],Tabla6[Concepto],COSTO_OPORTUNIDAD!$B$18,Tabla6[Fecha Cumplimiento y/ liquidacion],COSTO_OPORTUNIDAD!$C122)</f>
        <v>#DIV/0!</v>
      </c>
      <c r="F122" s="263"/>
      <c r="G122" s="263"/>
      <c r="H122" s="263">
        <v>4.1597337770382693E-2</v>
      </c>
      <c r="I122" s="263"/>
      <c r="J122" s="263">
        <v>0</v>
      </c>
      <c r="K122" s="263">
        <v>0</v>
      </c>
      <c r="L122" s="263"/>
      <c r="M122" s="263">
        <v>0.44259567387687188</v>
      </c>
      <c r="N122" s="263"/>
      <c r="O122" s="263"/>
      <c r="P122" s="263">
        <v>0</v>
      </c>
      <c r="Q122" s="263"/>
      <c r="R122" s="263">
        <v>0.51580698835274541</v>
      </c>
      <c r="S122" s="263"/>
      <c r="T122" s="263">
        <v>0</v>
      </c>
      <c r="U122" s="263"/>
      <c r="V122" s="263">
        <v>0</v>
      </c>
      <c r="W122" s="263">
        <v>0</v>
      </c>
      <c r="X122" s="263">
        <v>0</v>
      </c>
      <c r="Y122" s="263"/>
      <c r="Z122" s="263">
        <v>0</v>
      </c>
      <c r="AA122" s="263">
        <v>0</v>
      </c>
      <c r="AB122" s="263">
        <v>0</v>
      </c>
      <c r="AC122" s="263"/>
      <c r="AD122" s="263">
        <v>0</v>
      </c>
      <c r="AE122" s="263"/>
      <c r="AF122" s="263"/>
      <c r="AG122" s="262"/>
      <c r="AH122" s="274">
        <f t="shared" si="58"/>
        <v>1094</v>
      </c>
      <c r="AI122" s="274">
        <f t="shared" si="59"/>
        <v>1528</v>
      </c>
      <c r="AJ122" s="274">
        <f t="shared" si="60"/>
        <v>1705</v>
      </c>
      <c r="AK122" s="274">
        <f t="shared" si="54"/>
        <v>2186</v>
      </c>
      <c r="AL122" s="274">
        <f t="shared" si="61"/>
        <v>2578</v>
      </c>
      <c r="AM122" s="274">
        <f t="shared" si="62"/>
        <v>2767</v>
      </c>
      <c r="AN122" s="274">
        <f t="shared" si="63"/>
        <v>3229</v>
      </c>
      <c r="AO122" s="274">
        <f t="shared" ref="AO122:AO153" si="117">(M$17-$B122)</f>
        <v>3453</v>
      </c>
      <c r="AP122" s="274">
        <f t="shared" si="64"/>
        <v>4069</v>
      </c>
      <c r="AQ122" s="274"/>
      <c r="AR122" s="274">
        <f t="shared" si="65"/>
        <v>4699</v>
      </c>
      <c r="AS122" s="274">
        <f t="shared" si="55"/>
        <v>6302</v>
      </c>
      <c r="AT122" s="274">
        <f t="shared" si="66"/>
        <v>6848</v>
      </c>
      <c r="AU122" s="274"/>
      <c r="AV122" s="274">
        <f t="shared" si="67"/>
        <v>9921</v>
      </c>
      <c r="AW122" s="274"/>
      <c r="AX122" s="274">
        <f t="shared" si="68"/>
        <v>618</v>
      </c>
      <c r="AY122" s="274">
        <f t="shared" si="69"/>
        <v>1297</v>
      </c>
      <c r="AZ122" s="274">
        <f t="shared" si="70"/>
        <v>2060</v>
      </c>
      <c r="BA122" s="274"/>
      <c r="BB122" s="274">
        <f t="shared" si="71"/>
        <v>3497</v>
      </c>
      <c r="BC122" s="274">
        <f t="shared" si="72"/>
        <v>4237</v>
      </c>
      <c r="BD122" s="274">
        <f t="shared" si="73"/>
        <v>4930</v>
      </c>
      <c r="BE122" s="274"/>
      <c r="BF122" s="274">
        <f t="shared" si="74"/>
        <v>9424</v>
      </c>
      <c r="BG122" s="274"/>
      <c r="BH122" s="274"/>
      <c r="BI122" s="266">
        <f t="shared" si="75"/>
        <v>0</v>
      </c>
      <c r="BJ122" s="266" t="e">
        <f t="shared" si="76"/>
        <v>#DIV/0!</v>
      </c>
      <c r="BK122" s="263" t="str">
        <f t="shared" si="77"/>
        <v/>
      </c>
      <c r="BL122" s="263" t="str">
        <f t="shared" si="78"/>
        <v/>
      </c>
      <c r="BM122" s="263" t="str">
        <f t="shared" si="79"/>
        <v/>
      </c>
      <c r="BN122" s="263"/>
      <c r="BO122" s="263" t="str">
        <f t="shared" si="80"/>
        <v/>
      </c>
      <c r="BP122" s="263" t="str">
        <f t="shared" si="81"/>
        <v/>
      </c>
      <c r="BQ122" s="263" t="str">
        <f t="shared" si="82"/>
        <v/>
      </c>
      <c r="BR122" s="263" t="str">
        <f t="shared" si="83"/>
        <v/>
      </c>
      <c r="BS122" s="263" t="str">
        <f t="shared" si="84"/>
        <v/>
      </c>
      <c r="BT122" s="263" t="str">
        <f t="shared" si="85"/>
        <v/>
      </c>
      <c r="BU122" s="263" t="str">
        <f t="shared" si="86"/>
        <v/>
      </c>
      <c r="BV122" s="263"/>
      <c r="BW122" s="263" t="str">
        <f t="shared" si="87"/>
        <v/>
      </c>
      <c r="BX122" s="263"/>
      <c r="BY122" s="263" t="str">
        <f t="shared" si="88"/>
        <v/>
      </c>
      <c r="BZ122" s="263"/>
      <c r="CA122" s="263" t="str">
        <f t="shared" si="112"/>
        <v/>
      </c>
      <c r="CB122" s="263" t="str">
        <f t="shared" si="89"/>
        <v/>
      </c>
      <c r="CC122" s="263" t="str">
        <f t="shared" si="113"/>
        <v/>
      </c>
      <c r="CD122" s="263" t="str">
        <f t="shared" si="90"/>
        <v/>
      </c>
      <c r="CE122" s="263" t="str">
        <f t="shared" si="96"/>
        <v/>
      </c>
      <c r="CF122" s="263" t="str">
        <f t="shared" si="114"/>
        <v/>
      </c>
      <c r="CG122" s="263" t="str">
        <f t="shared" si="115"/>
        <v/>
      </c>
      <c r="CH122" s="263"/>
      <c r="CI122" s="263" t="str">
        <f t="shared" si="91"/>
        <v/>
      </c>
      <c r="CJ122" s="263"/>
      <c r="CK122" s="263" t="str">
        <f t="shared" si="92"/>
        <v/>
      </c>
      <c r="CL122" s="264">
        <f t="shared" ref="CL122:CL153" si="118">ROUND(IFERROR((_xlfn.DAYS($F$17,B122)*BK122),0)+IFERROR((_xlfn.DAYS($G$17,B122)*BL122),0)+IFERROR((_xlfn.DAYS($H$17,B122)*BM122),0)+IFERROR((_xlfn.DAYS($J$17,B122)*BO122),0)+IFERROR((_xlfn.DAYS($K$17,B122)*BP122),0)+IFERROR((_xlfn.DAYS($L$17,B122)*BQ122),0)+IFERROR((_xlfn.DAYS($M$17,B122)*BR122),0)+IFERROR((_xlfn.DAYS($N$17,B122)*BS122),0)+IFERROR((_xlfn.DAYS($P$17,B122)*BU122),0)+IFERROR((_xlfn.DAYS($R$17,B122)*BW122),0)+IFERROR((_xlfn.DAYS($T$17,B122)*BY122),0),0)</f>
        <v>0</v>
      </c>
      <c r="CM122" s="264">
        <f t="shared" si="94"/>
        <v>0</v>
      </c>
      <c r="CO122" s="265">
        <v>9.9280000000000007E-2</v>
      </c>
      <c r="CP122" s="265">
        <v>9.98E-2</v>
      </c>
      <c r="CQ122" s="265">
        <v>9.98E-2</v>
      </c>
      <c r="CS122" s="265">
        <v>0.1014</v>
      </c>
      <c r="CT122" s="265">
        <v>0.10404999999999999</v>
      </c>
      <c r="CU122" s="265">
        <v>0.1048</v>
      </c>
      <c r="CV122" s="265">
        <v>0.10632999999999999</v>
      </c>
      <c r="CW122" s="265">
        <v>0.10619999999999999</v>
      </c>
      <c r="CY122" s="265">
        <v>0.10602</v>
      </c>
      <c r="DA122" s="265">
        <v>0.10945000000000001</v>
      </c>
      <c r="DC122" s="265">
        <v>0.10917</v>
      </c>
      <c r="DE122" s="265">
        <v>4.369E-2</v>
      </c>
      <c r="DF122" s="265">
        <v>4.3899999999999995E-2</v>
      </c>
      <c r="DH122" s="265">
        <v>4.4800000000000006E-2</v>
      </c>
      <c r="DI122" s="265">
        <v>4.7500000000000001E-2</v>
      </c>
      <c r="DJ122" s="265">
        <v>4.8010000000000004E-2</v>
      </c>
      <c r="DL122" s="265">
        <v>4.6280000000000002E-2</v>
      </c>
      <c r="DO122" s="264" t="e">
        <f t="shared" si="99"/>
        <v>#N/A</v>
      </c>
      <c r="DP122" s="264" t="e" cm="1">
        <f t="array" ref="DP122">+INDEX(AH122:AV122,MATCH(DO122,AH122:AV122,1)+1)</f>
        <v>#N/A</v>
      </c>
      <c r="DQ122" s="265" t="e">
        <f t="shared" si="100"/>
        <v>#N/A</v>
      </c>
      <c r="DR122" s="267" t="e">
        <f t="shared" si="101"/>
        <v>#N/A</v>
      </c>
      <c r="DS122" s="267" t="e">
        <f t="shared" si="102"/>
        <v>#N/A</v>
      </c>
      <c r="DT122" s="268" t="e">
        <f t="shared" si="103"/>
        <v>#N/A</v>
      </c>
      <c r="DU122" s="268" t="e" cm="1">
        <f t="array" ref="DU122">+INDEX(AX122:BF122,MATCH(DT122,AX122:BF122,1)+1)</f>
        <v>#N/A</v>
      </c>
      <c r="DV122" s="267" t="e">
        <f t="shared" si="104"/>
        <v>#N/A</v>
      </c>
      <c r="DW122" s="267" t="e">
        <f t="shared" si="105"/>
        <v>#N/A</v>
      </c>
      <c r="DX122" s="267" t="e">
        <f t="shared" si="106"/>
        <v>#N/A</v>
      </c>
      <c r="DY122" s="267">
        <f t="shared" si="116"/>
        <v>0.11779999999999999</v>
      </c>
      <c r="DZ122" s="205" t="e">
        <f t="shared" si="108"/>
        <v>#N/A</v>
      </c>
      <c r="EA122" s="205">
        <f t="shared" si="109"/>
        <v>0</v>
      </c>
    </row>
    <row r="123" spans="2:131">
      <c r="B123" s="272">
        <v>45167</v>
      </c>
      <c r="C123" s="271">
        <v>45167</v>
      </c>
      <c r="D123" s="263" t="e">
        <f>+SUMIFS(Tabla6[Nominal COP],Tabla6[Concepto],COSTO_OPORTUNIDAD!$B$18,Tabla6[Nemotécnico],COSTO_OPORTUNIDAD!D$16,Tabla6[Fecha Cumplimiento y/ liquidacion],COSTO_OPORTUNIDAD!$C123)/+SUMIFS(Tabla6[Nominal COP],Tabla6[Concepto],COSTO_OPORTUNIDAD!$B$18,Tabla6[Fecha Cumplimiento y/ liquidacion],COSTO_OPORTUNIDAD!$C123)</f>
        <v>#DIV/0!</v>
      </c>
      <c r="E123" s="263" t="e">
        <f>+SUMIFS(Tabla6[Nominal COP],Tabla6[Concepto],COSTO_OPORTUNIDAD!$B$18,Tabla6[Nemotécnico],COSTO_OPORTUNIDAD!E$16,Tabla6[Fecha Cumplimiento y/ liquidacion],COSTO_OPORTUNIDAD!$C123)/+SUMIFS(Tabla6[Nominal COP],Tabla6[Concepto],COSTO_OPORTUNIDAD!$B$18,Tabla6[Fecha Cumplimiento y/ liquidacion],COSTO_OPORTUNIDAD!$C123)</f>
        <v>#DIV/0!</v>
      </c>
      <c r="F123" s="263"/>
      <c r="G123" s="263"/>
      <c r="H123" s="263">
        <v>3.5135135135135137E-2</v>
      </c>
      <c r="I123" s="263"/>
      <c r="J123" s="263">
        <v>0</v>
      </c>
      <c r="K123" s="263">
        <v>0</v>
      </c>
      <c r="L123" s="263"/>
      <c r="M123" s="263">
        <v>0.42837837837837839</v>
      </c>
      <c r="N123" s="263"/>
      <c r="O123" s="263"/>
      <c r="P123" s="263">
        <v>0</v>
      </c>
      <c r="Q123" s="263"/>
      <c r="R123" s="263">
        <v>0.53648648648648645</v>
      </c>
      <c r="S123" s="263"/>
      <c r="T123" s="263">
        <v>0</v>
      </c>
      <c r="U123" s="263"/>
      <c r="V123" s="263">
        <v>0</v>
      </c>
      <c r="W123" s="263">
        <v>0</v>
      </c>
      <c r="X123" s="263">
        <v>0</v>
      </c>
      <c r="Y123" s="263"/>
      <c r="Z123" s="263">
        <v>0</v>
      </c>
      <c r="AA123" s="263">
        <v>0</v>
      </c>
      <c r="AB123" s="263">
        <v>0</v>
      </c>
      <c r="AC123" s="263"/>
      <c r="AD123" s="263">
        <v>0</v>
      </c>
      <c r="AE123" s="263"/>
      <c r="AF123" s="263"/>
      <c r="AG123" s="262"/>
      <c r="AH123" s="274">
        <f t="shared" si="58"/>
        <v>1093</v>
      </c>
      <c r="AI123" s="274">
        <f t="shared" si="59"/>
        <v>1527</v>
      </c>
      <c r="AJ123" s="274">
        <f t="shared" si="60"/>
        <v>1704</v>
      </c>
      <c r="AK123" s="274">
        <f t="shared" si="54"/>
        <v>2185</v>
      </c>
      <c r="AL123" s="274">
        <f t="shared" si="61"/>
        <v>2577</v>
      </c>
      <c r="AM123" s="274">
        <f t="shared" si="62"/>
        <v>2766</v>
      </c>
      <c r="AN123" s="274">
        <f t="shared" si="63"/>
        <v>3228</v>
      </c>
      <c r="AO123" s="274">
        <f t="shared" si="117"/>
        <v>3452</v>
      </c>
      <c r="AP123" s="274">
        <f t="shared" si="64"/>
        <v>4068</v>
      </c>
      <c r="AQ123" s="274"/>
      <c r="AR123" s="274">
        <f t="shared" si="65"/>
        <v>4698</v>
      </c>
      <c r="AS123" s="274">
        <f t="shared" si="55"/>
        <v>6301</v>
      </c>
      <c r="AT123" s="274">
        <f t="shared" si="66"/>
        <v>6847</v>
      </c>
      <c r="AU123" s="274"/>
      <c r="AV123" s="274">
        <f t="shared" si="67"/>
        <v>9920</v>
      </c>
      <c r="AW123" s="274"/>
      <c r="AX123" s="274">
        <f t="shared" si="68"/>
        <v>617</v>
      </c>
      <c r="AY123" s="274">
        <f t="shared" si="69"/>
        <v>1296</v>
      </c>
      <c r="AZ123" s="274">
        <f t="shared" si="70"/>
        <v>2059</v>
      </c>
      <c r="BA123" s="274"/>
      <c r="BB123" s="274">
        <f t="shared" si="71"/>
        <v>3496</v>
      </c>
      <c r="BC123" s="274">
        <f t="shared" si="72"/>
        <v>4236</v>
      </c>
      <c r="BD123" s="274">
        <f t="shared" si="73"/>
        <v>4929</v>
      </c>
      <c r="BE123" s="274"/>
      <c r="BF123" s="274">
        <f t="shared" si="74"/>
        <v>9423</v>
      </c>
      <c r="BG123" s="274"/>
      <c r="BH123" s="274"/>
      <c r="BI123" s="266">
        <f t="shared" si="75"/>
        <v>0</v>
      </c>
      <c r="BJ123" s="266" t="e">
        <f t="shared" si="76"/>
        <v>#DIV/0!</v>
      </c>
      <c r="BK123" s="263" t="str">
        <f t="shared" si="77"/>
        <v/>
      </c>
      <c r="BL123" s="263" t="str">
        <f t="shared" si="78"/>
        <v/>
      </c>
      <c r="BM123" s="263" t="str">
        <f t="shared" si="79"/>
        <v/>
      </c>
      <c r="BN123" s="263"/>
      <c r="BO123" s="263" t="str">
        <f t="shared" si="80"/>
        <v/>
      </c>
      <c r="BP123" s="263" t="str">
        <f t="shared" si="81"/>
        <v/>
      </c>
      <c r="BQ123" s="263" t="str">
        <f t="shared" si="82"/>
        <v/>
      </c>
      <c r="BR123" s="263" t="str">
        <f t="shared" si="83"/>
        <v/>
      </c>
      <c r="BS123" s="263" t="str">
        <f t="shared" si="84"/>
        <v/>
      </c>
      <c r="BT123" s="263" t="str">
        <f t="shared" si="85"/>
        <v/>
      </c>
      <c r="BU123" s="263" t="str">
        <f t="shared" si="86"/>
        <v/>
      </c>
      <c r="BV123" s="263"/>
      <c r="BW123" s="263" t="str">
        <f t="shared" si="87"/>
        <v/>
      </c>
      <c r="BX123" s="263"/>
      <c r="BY123" s="263" t="str">
        <f t="shared" si="88"/>
        <v/>
      </c>
      <c r="BZ123" s="263"/>
      <c r="CA123" s="263" t="str">
        <f t="shared" si="112"/>
        <v/>
      </c>
      <c r="CB123" s="263" t="str">
        <f t="shared" si="89"/>
        <v/>
      </c>
      <c r="CC123" s="263" t="str">
        <f t="shared" si="113"/>
        <v/>
      </c>
      <c r="CD123" s="263" t="str">
        <f t="shared" si="90"/>
        <v/>
      </c>
      <c r="CE123" s="263" t="str">
        <f t="shared" si="96"/>
        <v/>
      </c>
      <c r="CF123" s="263" t="str">
        <f t="shared" si="114"/>
        <v/>
      </c>
      <c r="CG123" s="263" t="str">
        <f t="shared" si="115"/>
        <v/>
      </c>
      <c r="CH123" s="263"/>
      <c r="CI123" s="263" t="str">
        <f t="shared" si="91"/>
        <v/>
      </c>
      <c r="CJ123" s="263"/>
      <c r="CK123" s="263" t="str">
        <f t="shared" si="92"/>
        <v/>
      </c>
      <c r="CL123" s="264">
        <f t="shared" si="118"/>
        <v>0</v>
      </c>
      <c r="CM123" s="264">
        <f t="shared" si="94"/>
        <v>0</v>
      </c>
      <c r="CO123" s="265">
        <v>9.8400000000000001E-2</v>
      </c>
      <c r="CP123" s="265">
        <v>9.9000000000000005E-2</v>
      </c>
      <c r="CQ123" s="265">
        <v>9.9199999999999997E-2</v>
      </c>
      <c r="CS123" s="265">
        <v>0.1003</v>
      </c>
      <c r="CT123" s="265">
        <v>0.1023</v>
      </c>
      <c r="CU123" s="265">
        <v>0.10445</v>
      </c>
      <c r="CV123" s="265">
        <v>0.10640000000000001</v>
      </c>
      <c r="CW123" s="265">
        <v>0.10617000000000001</v>
      </c>
      <c r="CY123" s="265">
        <v>0.10619999999999999</v>
      </c>
      <c r="DA123" s="265">
        <v>0.10918</v>
      </c>
      <c r="DC123" s="265">
        <v>0.10857</v>
      </c>
      <c r="DE123" s="265">
        <v>4.36E-2</v>
      </c>
      <c r="DF123" s="265">
        <v>4.3799999999999999E-2</v>
      </c>
      <c r="DH123" s="265">
        <v>4.4699999999999997E-2</v>
      </c>
      <c r="DI123" s="265">
        <v>4.7050000000000002E-2</v>
      </c>
      <c r="DJ123" s="265">
        <v>4.7489999999999997E-2</v>
      </c>
      <c r="DL123" s="265">
        <v>4.5899999999999996E-2</v>
      </c>
      <c r="DO123" s="264" t="e">
        <f t="shared" si="99"/>
        <v>#N/A</v>
      </c>
      <c r="DP123" s="264" t="e" cm="1">
        <f t="array" ref="DP123">+INDEX(AH123:AV123,MATCH(DO123,AH123:AV123,1)+1)</f>
        <v>#N/A</v>
      </c>
      <c r="DQ123" s="265" t="e">
        <f t="shared" si="100"/>
        <v>#N/A</v>
      </c>
      <c r="DR123" s="267" t="e">
        <f t="shared" si="101"/>
        <v>#N/A</v>
      </c>
      <c r="DS123" s="267" t="e">
        <f t="shared" si="102"/>
        <v>#N/A</v>
      </c>
      <c r="DT123" s="268" t="e">
        <f t="shared" si="103"/>
        <v>#N/A</v>
      </c>
      <c r="DU123" s="268" t="e" cm="1">
        <f t="array" ref="DU123">+INDEX(AX123:BF123,MATCH(DT123,AX123:BF123,1)+1)</f>
        <v>#N/A</v>
      </c>
      <c r="DV123" s="267" t="e">
        <f t="shared" si="104"/>
        <v>#N/A</v>
      </c>
      <c r="DW123" s="267" t="e">
        <f t="shared" si="105"/>
        <v>#N/A</v>
      </c>
      <c r="DX123" s="267" t="e">
        <f t="shared" si="106"/>
        <v>#N/A</v>
      </c>
      <c r="DY123" s="267">
        <f t="shared" si="116"/>
        <v>0.11779999999999999</v>
      </c>
      <c r="DZ123" s="205" t="e">
        <f t="shared" si="108"/>
        <v>#N/A</v>
      </c>
      <c r="EA123" s="205">
        <f t="shared" si="109"/>
        <v>0</v>
      </c>
    </row>
    <row r="124" spans="2:131">
      <c r="B124" s="272">
        <v>45168</v>
      </c>
      <c r="C124" s="271">
        <v>45168</v>
      </c>
      <c r="D124" s="263" t="e">
        <f>+SUMIFS(Tabla6[Nominal COP],Tabla6[Concepto],COSTO_OPORTUNIDAD!$B$18,Tabla6[Nemotécnico],COSTO_OPORTUNIDAD!D$16,Tabla6[Fecha Cumplimiento y/ liquidacion],COSTO_OPORTUNIDAD!$C124)/+SUMIFS(Tabla6[Nominal COP],Tabla6[Concepto],COSTO_OPORTUNIDAD!$B$18,Tabla6[Fecha Cumplimiento y/ liquidacion],COSTO_OPORTUNIDAD!$C124)</f>
        <v>#DIV/0!</v>
      </c>
      <c r="E124" s="263" t="e">
        <f>+SUMIFS(Tabla6[Nominal COP],Tabla6[Concepto],COSTO_OPORTUNIDAD!$B$18,Tabla6[Nemotécnico],COSTO_OPORTUNIDAD!E$16,Tabla6[Fecha Cumplimiento y/ liquidacion],COSTO_OPORTUNIDAD!$C124)/+SUMIFS(Tabla6[Nominal COP],Tabla6[Concepto],COSTO_OPORTUNIDAD!$B$18,Tabla6[Fecha Cumplimiento y/ liquidacion],COSTO_OPORTUNIDAD!$C124)</f>
        <v>#DIV/0!</v>
      </c>
      <c r="F124" s="263"/>
      <c r="G124" s="263"/>
      <c r="H124" s="263">
        <v>0.10232558139534884</v>
      </c>
      <c r="I124" s="263"/>
      <c r="J124" s="263">
        <v>0</v>
      </c>
      <c r="K124" s="263">
        <v>0</v>
      </c>
      <c r="L124" s="263"/>
      <c r="M124" s="263">
        <v>0.4325581395348837</v>
      </c>
      <c r="N124" s="263"/>
      <c r="O124" s="263"/>
      <c r="P124" s="263">
        <v>0</v>
      </c>
      <c r="Q124" s="263"/>
      <c r="R124" s="263">
        <v>0.46511627906976744</v>
      </c>
      <c r="S124" s="263"/>
      <c r="T124" s="263">
        <v>0</v>
      </c>
      <c r="U124" s="263"/>
      <c r="V124" s="263">
        <v>0</v>
      </c>
      <c r="W124" s="263">
        <v>0</v>
      </c>
      <c r="X124" s="263">
        <v>0</v>
      </c>
      <c r="Y124" s="263"/>
      <c r="Z124" s="263">
        <v>0</v>
      </c>
      <c r="AA124" s="263">
        <v>0</v>
      </c>
      <c r="AB124" s="263">
        <v>0</v>
      </c>
      <c r="AC124" s="263"/>
      <c r="AD124" s="263">
        <v>0</v>
      </c>
      <c r="AE124" s="263"/>
      <c r="AF124" s="263"/>
      <c r="AG124" s="262"/>
      <c r="AH124" s="274">
        <f t="shared" si="58"/>
        <v>1092</v>
      </c>
      <c r="AI124" s="274">
        <f t="shared" si="59"/>
        <v>1526</v>
      </c>
      <c r="AJ124" s="274">
        <f t="shared" si="60"/>
        <v>1703</v>
      </c>
      <c r="AK124" s="274">
        <f t="shared" si="54"/>
        <v>2184</v>
      </c>
      <c r="AL124" s="274">
        <f t="shared" si="61"/>
        <v>2576</v>
      </c>
      <c r="AM124" s="274">
        <f t="shared" si="62"/>
        <v>2765</v>
      </c>
      <c r="AN124" s="274">
        <f t="shared" si="63"/>
        <v>3227</v>
      </c>
      <c r="AO124" s="274">
        <f t="shared" si="117"/>
        <v>3451</v>
      </c>
      <c r="AP124" s="274">
        <f t="shared" si="64"/>
        <v>4067</v>
      </c>
      <c r="AQ124" s="274"/>
      <c r="AR124" s="274">
        <f t="shared" si="65"/>
        <v>4697</v>
      </c>
      <c r="AS124" s="274">
        <f t="shared" si="55"/>
        <v>6300</v>
      </c>
      <c r="AT124" s="274">
        <f t="shared" si="66"/>
        <v>6846</v>
      </c>
      <c r="AU124" s="274"/>
      <c r="AV124" s="274">
        <f t="shared" si="67"/>
        <v>9919</v>
      </c>
      <c r="AW124" s="274"/>
      <c r="AX124" s="274">
        <f t="shared" si="68"/>
        <v>616</v>
      </c>
      <c r="AY124" s="274">
        <f t="shared" si="69"/>
        <v>1295</v>
      </c>
      <c r="AZ124" s="274">
        <f t="shared" si="70"/>
        <v>2058</v>
      </c>
      <c r="BA124" s="274"/>
      <c r="BB124" s="274">
        <f t="shared" si="71"/>
        <v>3495</v>
      </c>
      <c r="BC124" s="274">
        <f t="shared" si="72"/>
        <v>4235</v>
      </c>
      <c r="BD124" s="274">
        <f t="shared" si="73"/>
        <v>4928</v>
      </c>
      <c r="BE124" s="274"/>
      <c r="BF124" s="274">
        <f t="shared" si="74"/>
        <v>9422</v>
      </c>
      <c r="BG124" s="274"/>
      <c r="BH124" s="274"/>
      <c r="BI124" s="266">
        <f t="shared" si="75"/>
        <v>0</v>
      </c>
      <c r="BJ124" s="266" t="e">
        <f t="shared" si="76"/>
        <v>#DIV/0!</v>
      </c>
      <c r="BK124" s="263" t="str">
        <f t="shared" si="77"/>
        <v/>
      </c>
      <c r="BL124" s="263" t="str">
        <f t="shared" si="78"/>
        <v/>
      </c>
      <c r="BM124" s="263" t="str">
        <f t="shared" si="79"/>
        <v/>
      </c>
      <c r="BN124" s="263"/>
      <c r="BO124" s="263" t="str">
        <f t="shared" si="80"/>
        <v/>
      </c>
      <c r="BP124" s="263" t="str">
        <f t="shared" si="81"/>
        <v/>
      </c>
      <c r="BQ124" s="263" t="str">
        <f t="shared" si="82"/>
        <v/>
      </c>
      <c r="BR124" s="263" t="str">
        <f t="shared" si="83"/>
        <v/>
      </c>
      <c r="BS124" s="263" t="str">
        <f t="shared" si="84"/>
        <v/>
      </c>
      <c r="BT124" s="263" t="str">
        <f t="shared" si="85"/>
        <v/>
      </c>
      <c r="BU124" s="263" t="str">
        <f t="shared" si="86"/>
        <v/>
      </c>
      <c r="BV124" s="263"/>
      <c r="BW124" s="263" t="str">
        <f t="shared" si="87"/>
        <v/>
      </c>
      <c r="BX124" s="263"/>
      <c r="BY124" s="263" t="str">
        <f t="shared" si="88"/>
        <v/>
      </c>
      <c r="BZ124" s="263"/>
      <c r="CA124" s="263" t="str">
        <f t="shared" si="112"/>
        <v/>
      </c>
      <c r="CB124" s="263" t="str">
        <f t="shared" si="89"/>
        <v/>
      </c>
      <c r="CC124" s="263" t="str">
        <f t="shared" si="113"/>
        <v/>
      </c>
      <c r="CD124" s="263" t="str">
        <f t="shared" si="90"/>
        <v/>
      </c>
      <c r="CE124" s="263" t="str">
        <f t="shared" si="96"/>
        <v/>
      </c>
      <c r="CF124" s="263" t="str">
        <f t="shared" si="114"/>
        <v/>
      </c>
      <c r="CG124" s="263" t="str">
        <f t="shared" si="115"/>
        <v/>
      </c>
      <c r="CH124" s="263"/>
      <c r="CI124" s="263" t="str">
        <f t="shared" si="91"/>
        <v/>
      </c>
      <c r="CJ124" s="263"/>
      <c r="CK124" s="263" t="str">
        <f t="shared" si="92"/>
        <v/>
      </c>
      <c r="CL124" s="264">
        <f t="shared" si="118"/>
        <v>0</v>
      </c>
      <c r="CM124" s="264">
        <f t="shared" si="94"/>
        <v>0</v>
      </c>
      <c r="CO124" s="265">
        <v>9.8400000000000001E-2</v>
      </c>
      <c r="CP124" s="265">
        <v>9.9399999999999988E-2</v>
      </c>
      <c r="CQ124" s="265">
        <v>9.9600000000000008E-2</v>
      </c>
      <c r="CS124" s="265">
        <v>0.10099999999999999</v>
      </c>
      <c r="CT124" s="265">
        <v>0.1023</v>
      </c>
      <c r="CU124" s="265">
        <v>0.10404999999999999</v>
      </c>
      <c r="CV124" s="265">
        <v>0.10630000000000001</v>
      </c>
      <c r="CW124" s="265">
        <v>0.10638</v>
      </c>
      <c r="CY124" s="265">
        <v>0.10659</v>
      </c>
      <c r="DA124" s="265">
        <v>0.10909000000000001</v>
      </c>
      <c r="DC124" s="265">
        <v>0.10843</v>
      </c>
      <c r="DE124" s="265">
        <v>4.3099999999999999E-2</v>
      </c>
      <c r="DF124" s="265">
        <v>4.2849999999999999E-2</v>
      </c>
      <c r="DH124" s="265">
        <v>4.3299999999999998E-2</v>
      </c>
      <c r="DI124" s="265">
        <v>4.6559999999999997E-2</v>
      </c>
      <c r="DJ124" s="265">
        <v>4.6500000000000007E-2</v>
      </c>
      <c r="DL124" s="265">
        <v>4.5429999999999998E-2</v>
      </c>
      <c r="DO124" s="264" t="e">
        <f t="shared" si="99"/>
        <v>#N/A</v>
      </c>
      <c r="DP124" s="264" t="e" cm="1">
        <f t="array" ref="DP124">+INDEX(AH124:AV124,MATCH(DO124,AH124:AV124,1)+1)</f>
        <v>#N/A</v>
      </c>
      <c r="DQ124" s="265" t="e">
        <f t="shared" si="100"/>
        <v>#N/A</v>
      </c>
      <c r="DR124" s="267" t="e">
        <f t="shared" si="101"/>
        <v>#N/A</v>
      </c>
      <c r="DS124" s="267" t="e">
        <f t="shared" si="102"/>
        <v>#N/A</v>
      </c>
      <c r="DT124" s="268" t="e">
        <f t="shared" si="103"/>
        <v>#N/A</v>
      </c>
      <c r="DU124" s="268" t="e" cm="1">
        <f t="array" ref="DU124">+INDEX(AX124:BF124,MATCH(DT124,AX124:BF124,1)+1)</f>
        <v>#N/A</v>
      </c>
      <c r="DV124" s="267" t="e">
        <f t="shared" si="104"/>
        <v>#N/A</v>
      </c>
      <c r="DW124" s="267" t="e">
        <f t="shared" si="105"/>
        <v>#N/A</v>
      </c>
      <c r="DX124" s="267" t="e">
        <f t="shared" si="106"/>
        <v>#N/A</v>
      </c>
      <c r="DY124" s="267">
        <f t="shared" si="116"/>
        <v>0.11779999999999999</v>
      </c>
      <c r="DZ124" s="205" t="e">
        <f t="shared" si="108"/>
        <v>#N/A</v>
      </c>
      <c r="EA124" s="205">
        <f t="shared" si="109"/>
        <v>0</v>
      </c>
    </row>
    <row r="125" spans="2:131">
      <c r="B125" s="272">
        <v>45169</v>
      </c>
      <c r="C125" s="271">
        <v>45169</v>
      </c>
      <c r="D125" s="263" t="e">
        <f>+SUMIFS(Tabla6[Nominal COP],Tabla6[Concepto],COSTO_OPORTUNIDAD!$B$18,Tabla6[Nemotécnico],COSTO_OPORTUNIDAD!D$16,Tabla6[Fecha Cumplimiento y/ liquidacion],COSTO_OPORTUNIDAD!$C125)/+SUMIFS(Tabla6[Nominal COP],Tabla6[Concepto],COSTO_OPORTUNIDAD!$B$18,Tabla6[Fecha Cumplimiento y/ liquidacion],COSTO_OPORTUNIDAD!$C125)</f>
        <v>#DIV/0!</v>
      </c>
      <c r="E125" s="263" t="e">
        <f>+SUMIFS(Tabla6[Nominal COP],Tabla6[Concepto],COSTO_OPORTUNIDAD!$B$18,Tabla6[Nemotécnico],COSTO_OPORTUNIDAD!E$16,Tabla6[Fecha Cumplimiento y/ liquidacion],COSTO_OPORTUNIDAD!$C125)/+SUMIFS(Tabla6[Nominal COP],Tabla6[Concepto],COSTO_OPORTUNIDAD!$B$18,Tabla6[Fecha Cumplimiento y/ liquidacion],COSTO_OPORTUNIDAD!$C125)</f>
        <v>#DIV/0!</v>
      </c>
      <c r="F125" s="263"/>
      <c r="G125" s="263"/>
      <c r="H125" s="263">
        <v>0.15166666666666667</v>
      </c>
      <c r="I125" s="263"/>
      <c r="J125" s="263">
        <v>0</v>
      </c>
      <c r="K125" s="263">
        <v>0</v>
      </c>
      <c r="L125" s="263"/>
      <c r="M125" s="263">
        <v>0.43666666666666665</v>
      </c>
      <c r="N125" s="263"/>
      <c r="O125" s="263"/>
      <c r="P125" s="263">
        <v>0</v>
      </c>
      <c r="Q125" s="263"/>
      <c r="R125" s="263">
        <v>0.41166666666666668</v>
      </c>
      <c r="S125" s="263"/>
      <c r="T125" s="263">
        <v>0</v>
      </c>
      <c r="U125" s="263"/>
      <c r="V125" s="263">
        <v>0</v>
      </c>
      <c r="W125" s="263">
        <v>0</v>
      </c>
      <c r="X125" s="263">
        <v>0</v>
      </c>
      <c r="Y125" s="263"/>
      <c r="Z125" s="263">
        <v>0</v>
      </c>
      <c r="AA125" s="263">
        <v>0</v>
      </c>
      <c r="AB125" s="263">
        <v>0</v>
      </c>
      <c r="AC125" s="263"/>
      <c r="AD125" s="263">
        <v>0</v>
      </c>
      <c r="AE125" s="263"/>
      <c r="AF125" s="263"/>
      <c r="AG125" s="262"/>
      <c r="AH125" s="274">
        <f t="shared" si="58"/>
        <v>1091</v>
      </c>
      <c r="AI125" s="274">
        <f t="shared" si="59"/>
        <v>1525</v>
      </c>
      <c r="AJ125" s="274">
        <f t="shared" si="60"/>
        <v>1702</v>
      </c>
      <c r="AK125" s="274">
        <f t="shared" si="54"/>
        <v>2183</v>
      </c>
      <c r="AL125" s="274">
        <f t="shared" si="61"/>
        <v>2575</v>
      </c>
      <c r="AM125" s="274">
        <f t="shared" si="62"/>
        <v>2764</v>
      </c>
      <c r="AN125" s="274">
        <f t="shared" si="63"/>
        <v>3226</v>
      </c>
      <c r="AO125" s="274">
        <f t="shared" si="117"/>
        <v>3450</v>
      </c>
      <c r="AP125" s="274">
        <f t="shared" si="64"/>
        <v>4066</v>
      </c>
      <c r="AQ125" s="274"/>
      <c r="AR125" s="274">
        <f t="shared" si="65"/>
        <v>4696</v>
      </c>
      <c r="AS125" s="274">
        <f t="shared" si="55"/>
        <v>6299</v>
      </c>
      <c r="AT125" s="274">
        <f t="shared" si="66"/>
        <v>6845</v>
      </c>
      <c r="AU125" s="274"/>
      <c r="AV125" s="274">
        <f t="shared" si="67"/>
        <v>9918</v>
      </c>
      <c r="AW125" s="274"/>
      <c r="AX125" s="274">
        <f t="shared" si="68"/>
        <v>615</v>
      </c>
      <c r="AY125" s="274">
        <f t="shared" si="69"/>
        <v>1294</v>
      </c>
      <c r="AZ125" s="274">
        <f t="shared" si="70"/>
        <v>2057</v>
      </c>
      <c r="BA125" s="274"/>
      <c r="BB125" s="274">
        <f t="shared" si="71"/>
        <v>3494</v>
      </c>
      <c r="BC125" s="274">
        <f t="shared" si="72"/>
        <v>4234</v>
      </c>
      <c r="BD125" s="274">
        <f t="shared" si="73"/>
        <v>4927</v>
      </c>
      <c r="BE125" s="274"/>
      <c r="BF125" s="274">
        <f t="shared" si="74"/>
        <v>9421</v>
      </c>
      <c r="BG125" s="274"/>
      <c r="BH125" s="274"/>
      <c r="BI125" s="266">
        <f t="shared" si="75"/>
        <v>0</v>
      </c>
      <c r="BJ125" s="266" t="e">
        <f t="shared" si="76"/>
        <v>#DIV/0!</v>
      </c>
      <c r="BK125" s="263" t="str">
        <f t="shared" si="77"/>
        <v/>
      </c>
      <c r="BL125" s="263" t="str">
        <f t="shared" si="78"/>
        <v/>
      </c>
      <c r="BM125" s="263" t="str">
        <f t="shared" si="79"/>
        <v/>
      </c>
      <c r="BN125" s="263"/>
      <c r="BO125" s="263" t="str">
        <f t="shared" si="80"/>
        <v/>
      </c>
      <c r="BP125" s="263" t="str">
        <f t="shared" si="81"/>
        <v/>
      </c>
      <c r="BQ125" s="263" t="str">
        <f t="shared" si="82"/>
        <v/>
      </c>
      <c r="BR125" s="263" t="str">
        <f t="shared" si="83"/>
        <v/>
      </c>
      <c r="BS125" s="263" t="str">
        <f t="shared" si="84"/>
        <v/>
      </c>
      <c r="BT125" s="263" t="str">
        <f t="shared" si="85"/>
        <v/>
      </c>
      <c r="BU125" s="263" t="str">
        <f t="shared" si="86"/>
        <v/>
      </c>
      <c r="BV125" s="263"/>
      <c r="BW125" s="263" t="str">
        <f t="shared" si="87"/>
        <v/>
      </c>
      <c r="BX125" s="263"/>
      <c r="BY125" s="263" t="str">
        <f t="shared" si="88"/>
        <v/>
      </c>
      <c r="BZ125" s="263"/>
      <c r="CA125" s="263" t="str">
        <f t="shared" si="112"/>
        <v/>
      </c>
      <c r="CB125" s="263" t="str">
        <f t="shared" si="89"/>
        <v/>
      </c>
      <c r="CC125" s="263" t="str">
        <f t="shared" si="113"/>
        <v/>
      </c>
      <c r="CD125" s="263" t="str">
        <f t="shared" si="90"/>
        <v/>
      </c>
      <c r="CE125" s="263" t="str">
        <f t="shared" si="96"/>
        <v/>
      </c>
      <c r="CF125" s="263" t="str">
        <f t="shared" si="114"/>
        <v/>
      </c>
      <c r="CG125" s="263" t="str">
        <f t="shared" si="115"/>
        <v/>
      </c>
      <c r="CH125" s="263"/>
      <c r="CI125" s="263" t="str">
        <f t="shared" si="91"/>
        <v/>
      </c>
      <c r="CJ125" s="263"/>
      <c r="CK125" s="263" t="str">
        <f t="shared" si="92"/>
        <v/>
      </c>
      <c r="CL125" s="264">
        <f t="shared" si="118"/>
        <v>0</v>
      </c>
      <c r="CM125" s="264">
        <f t="shared" si="94"/>
        <v>0</v>
      </c>
      <c r="CO125" s="265">
        <v>9.8400000000000001E-2</v>
      </c>
      <c r="CP125" s="265">
        <v>9.98E-2</v>
      </c>
      <c r="CQ125" s="265">
        <v>9.9979999999999999E-2</v>
      </c>
      <c r="CS125" s="265">
        <v>0.1014</v>
      </c>
      <c r="CT125" s="265">
        <v>0.1023</v>
      </c>
      <c r="CU125" s="265">
        <v>0.105</v>
      </c>
      <c r="CV125" s="265">
        <v>0.10641</v>
      </c>
      <c r="CW125" s="265">
        <v>0.10675000000000001</v>
      </c>
      <c r="CY125" s="265">
        <v>0.10630000000000001</v>
      </c>
      <c r="DA125" s="265">
        <v>0.10909000000000001</v>
      </c>
      <c r="DC125" s="265">
        <v>0.10865999999999999</v>
      </c>
      <c r="DE125" s="265">
        <v>4.3090000000000003E-2</v>
      </c>
      <c r="DF125" s="265">
        <v>4.3299999999999998E-2</v>
      </c>
      <c r="DH125" s="265">
        <v>4.3250000000000004E-2</v>
      </c>
      <c r="DI125" s="265">
        <v>4.6010000000000002E-2</v>
      </c>
      <c r="DJ125" s="265">
        <v>4.7E-2</v>
      </c>
      <c r="DL125" s="265">
        <v>4.5380000000000004E-2</v>
      </c>
      <c r="DO125" s="264" t="e">
        <f t="shared" si="99"/>
        <v>#N/A</v>
      </c>
      <c r="DP125" s="264" t="e" cm="1">
        <f t="array" ref="DP125">+INDEX(AH125:AV125,MATCH(DO125,AH125:AV125,1)+1)</f>
        <v>#N/A</v>
      </c>
      <c r="DQ125" s="265" t="e">
        <f t="shared" si="100"/>
        <v>#N/A</v>
      </c>
      <c r="DR125" s="267" t="e">
        <f t="shared" si="101"/>
        <v>#N/A</v>
      </c>
      <c r="DS125" s="267" t="e">
        <f t="shared" si="102"/>
        <v>#N/A</v>
      </c>
      <c r="DT125" s="268" t="e">
        <f t="shared" si="103"/>
        <v>#N/A</v>
      </c>
      <c r="DU125" s="268" t="e" cm="1">
        <f t="array" ref="DU125">+INDEX(AX125:BF125,MATCH(DT125,AX125:BF125,1)+1)</f>
        <v>#N/A</v>
      </c>
      <c r="DV125" s="267" t="e">
        <f t="shared" si="104"/>
        <v>#N/A</v>
      </c>
      <c r="DW125" s="267" t="e">
        <f t="shared" si="105"/>
        <v>#N/A</v>
      </c>
      <c r="DX125" s="267" t="e">
        <f t="shared" si="106"/>
        <v>#N/A</v>
      </c>
      <c r="DY125" s="267">
        <f>+$EE$71</f>
        <v>0.11779999999999999</v>
      </c>
      <c r="DZ125" s="205" t="e">
        <f t="shared" si="108"/>
        <v>#N/A</v>
      </c>
      <c r="EA125" s="205">
        <f t="shared" si="109"/>
        <v>0</v>
      </c>
    </row>
    <row r="126" spans="2:131">
      <c r="B126" s="272">
        <v>45173</v>
      </c>
      <c r="C126" s="271">
        <v>45173</v>
      </c>
      <c r="D126" s="263" t="e">
        <f>+SUMIFS(Tabla6[Nominal COP],Tabla6[Concepto],COSTO_OPORTUNIDAD!$B$18,Tabla6[Nemotécnico],COSTO_OPORTUNIDAD!D$16,Tabla6[Fecha Cumplimiento y/ liquidacion],COSTO_OPORTUNIDAD!$C126)/+SUMIFS(Tabla6[Nominal COP],Tabla6[Concepto],COSTO_OPORTUNIDAD!$B$18,Tabla6[Fecha Cumplimiento y/ liquidacion],COSTO_OPORTUNIDAD!$C126)</f>
        <v>#DIV/0!</v>
      </c>
      <c r="E126" s="263" t="e">
        <f>+SUMIFS(Tabla6[Nominal COP],Tabla6[Concepto],COSTO_OPORTUNIDAD!$B$18,Tabla6[Nemotécnico],COSTO_OPORTUNIDAD!E$16,Tabla6[Fecha Cumplimiento y/ liquidacion],COSTO_OPORTUNIDAD!$C126)/+SUMIFS(Tabla6[Nominal COP],Tabla6[Concepto],COSTO_OPORTUNIDAD!$B$18,Tabla6[Fecha Cumplimiento y/ liquidacion],COSTO_OPORTUNIDAD!$C126)</f>
        <v>#DIV/0!</v>
      </c>
      <c r="F126" s="263"/>
      <c r="G126" s="263"/>
      <c r="H126" s="263">
        <v>0.14728682170542637</v>
      </c>
      <c r="I126" s="263"/>
      <c r="J126" s="263">
        <v>0</v>
      </c>
      <c r="K126" s="263">
        <v>0</v>
      </c>
      <c r="L126" s="263"/>
      <c r="M126" s="263">
        <v>0.43798449612403101</v>
      </c>
      <c r="N126" s="263"/>
      <c r="O126" s="263"/>
      <c r="P126" s="263">
        <v>0</v>
      </c>
      <c r="Q126" s="263"/>
      <c r="R126" s="263">
        <v>0.41472868217054265</v>
      </c>
      <c r="S126" s="263"/>
      <c r="T126" s="263">
        <v>0</v>
      </c>
      <c r="U126" s="263"/>
      <c r="V126" s="263">
        <v>0</v>
      </c>
      <c r="W126" s="263">
        <v>0</v>
      </c>
      <c r="X126" s="263">
        <v>0</v>
      </c>
      <c r="Y126" s="263"/>
      <c r="Z126" s="263">
        <v>0</v>
      </c>
      <c r="AA126" s="263">
        <v>0</v>
      </c>
      <c r="AB126" s="263">
        <v>0</v>
      </c>
      <c r="AC126" s="263"/>
      <c r="AD126" s="263">
        <v>0</v>
      </c>
      <c r="AE126" s="263"/>
      <c r="AF126" s="263"/>
      <c r="AG126" s="262"/>
      <c r="AH126" s="274">
        <f t="shared" si="58"/>
        <v>1087</v>
      </c>
      <c r="AI126" s="274">
        <f t="shared" si="59"/>
        <v>1521</v>
      </c>
      <c r="AJ126" s="274">
        <f t="shared" si="60"/>
        <v>1698</v>
      </c>
      <c r="AK126" s="274">
        <f t="shared" si="54"/>
        <v>2179</v>
      </c>
      <c r="AL126" s="274">
        <f t="shared" si="61"/>
        <v>2571</v>
      </c>
      <c r="AM126" s="274">
        <f t="shared" si="62"/>
        <v>2760</v>
      </c>
      <c r="AN126" s="274">
        <f t="shared" si="63"/>
        <v>3222</v>
      </c>
      <c r="AO126" s="274">
        <f t="shared" si="117"/>
        <v>3446</v>
      </c>
      <c r="AP126" s="274">
        <f t="shared" si="64"/>
        <v>4062</v>
      </c>
      <c r="AQ126" s="274"/>
      <c r="AR126" s="274">
        <f t="shared" si="65"/>
        <v>4692</v>
      </c>
      <c r="AS126" s="274">
        <f t="shared" si="55"/>
        <v>6295</v>
      </c>
      <c r="AT126" s="274">
        <f t="shared" si="66"/>
        <v>6841</v>
      </c>
      <c r="AU126" s="274"/>
      <c r="AV126" s="274">
        <f t="shared" si="67"/>
        <v>9914</v>
      </c>
      <c r="AW126" s="274"/>
      <c r="AX126" s="274">
        <f t="shared" si="68"/>
        <v>611</v>
      </c>
      <c r="AY126" s="274">
        <f t="shared" si="69"/>
        <v>1290</v>
      </c>
      <c r="AZ126" s="274">
        <f t="shared" si="70"/>
        <v>2053</v>
      </c>
      <c r="BA126" s="274"/>
      <c r="BB126" s="274">
        <f t="shared" si="71"/>
        <v>3490</v>
      </c>
      <c r="BC126" s="274">
        <f t="shared" si="72"/>
        <v>4230</v>
      </c>
      <c r="BD126" s="274">
        <f t="shared" si="73"/>
        <v>4923</v>
      </c>
      <c r="BE126" s="274"/>
      <c r="BF126" s="274">
        <f t="shared" si="74"/>
        <v>9417</v>
      </c>
      <c r="BG126" s="274"/>
      <c r="BH126" s="274"/>
      <c r="BI126" s="266">
        <f t="shared" si="75"/>
        <v>0</v>
      </c>
      <c r="BJ126" s="266" t="e">
        <f t="shared" si="76"/>
        <v>#DIV/0!</v>
      </c>
      <c r="BK126" s="263" t="str">
        <f t="shared" si="77"/>
        <v/>
      </c>
      <c r="BL126" s="263" t="str">
        <f t="shared" si="78"/>
        <v/>
      </c>
      <c r="BM126" s="263" t="str">
        <f t="shared" si="79"/>
        <v/>
      </c>
      <c r="BN126" s="263"/>
      <c r="BO126" s="263" t="str">
        <f t="shared" si="80"/>
        <v/>
      </c>
      <c r="BP126" s="263" t="str">
        <f t="shared" si="81"/>
        <v/>
      </c>
      <c r="BQ126" s="263" t="str">
        <f t="shared" si="82"/>
        <v/>
      </c>
      <c r="BR126" s="263" t="str">
        <f t="shared" si="83"/>
        <v/>
      </c>
      <c r="BS126" s="263" t="str">
        <f t="shared" si="84"/>
        <v/>
      </c>
      <c r="BT126" s="263" t="str">
        <f t="shared" si="85"/>
        <v/>
      </c>
      <c r="BU126" s="263" t="str">
        <f t="shared" si="86"/>
        <v/>
      </c>
      <c r="BV126" s="263"/>
      <c r="BW126" s="263" t="str">
        <f t="shared" si="87"/>
        <v/>
      </c>
      <c r="BX126" s="263"/>
      <c r="BY126" s="263" t="str">
        <f t="shared" si="88"/>
        <v/>
      </c>
      <c r="BZ126" s="263"/>
      <c r="CA126" s="263" t="str">
        <f t="shared" si="112"/>
        <v/>
      </c>
      <c r="CB126" s="263" t="str">
        <f t="shared" si="89"/>
        <v/>
      </c>
      <c r="CC126" s="263" t="str">
        <f t="shared" si="113"/>
        <v/>
      </c>
      <c r="CD126" s="263" t="str">
        <f t="shared" si="90"/>
        <v/>
      </c>
      <c r="CE126" s="263" t="str">
        <f t="shared" si="96"/>
        <v/>
      </c>
      <c r="CF126" s="263" t="str">
        <f t="shared" si="114"/>
        <v/>
      </c>
      <c r="CG126" s="263" t="str">
        <f t="shared" si="115"/>
        <v/>
      </c>
      <c r="CH126" s="263"/>
      <c r="CI126" s="263" t="str">
        <f t="shared" si="91"/>
        <v/>
      </c>
      <c r="CJ126" s="263"/>
      <c r="CK126" s="263" t="str">
        <f t="shared" si="92"/>
        <v/>
      </c>
      <c r="CL126" s="264">
        <f t="shared" si="118"/>
        <v>0</v>
      </c>
      <c r="CM126" s="264">
        <f t="shared" si="94"/>
        <v>0</v>
      </c>
      <c r="CO126" s="265">
        <v>9.9589999999999998E-2</v>
      </c>
      <c r="CP126" s="265">
        <v>0.1008</v>
      </c>
      <c r="CQ126" s="265">
        <v>0.1009</v>
      </c>
      <c r="CS126" s="265">
        <v>0.10266</v>
      </c>
      <c r="CT126" s="265">
        <v>0.1033</v>
      </c>
      <c r="CU126" s="265">
        <v>0.10617000000000001</v>
      </c>
      <c r="CV126" s="265">
        <v>0.10768000000000001</v>
      </c>
      <c r="CW126" s="265">
        <v>0.10789</v>
      </c>
      <c r="CY126" s="265">
        <v>0.10846</v>
      </c>
      <c r="DA126" s="265">
        <v>0.11038000000000001</v>
      </c>
      <c r="DC126" s="265">
        <v>0.1104</v>
      </c>
      <c r="DE126" s="265">
        <v>4.3490000000000001E-2</v>
      </c>
      <c r="DF126" s="265">
        <v>4.4039999999999996E-2</v>
      </c>
      <c r="DH126" s="265">
        <v>4.4500000000000005E-2</v>
      </c>
      <c r="DI126" s="265">
        <v>4.7370000000000002E-2</v>
      </c>
      <c r="DJ126" s="265">
        <v>4.7350000000000003E-2</v>
      </c>
      <c r="DL126" s="265">
        <v>4.5909999999999999E-2</v>
      </c>
      <c r="DO126" s="264" t="e">
        <f t="shared" si="99"/>
        <v>#N/A</v>
      </c>
      <c r="DP126" s="264" t="e" cm="1">
        <f t="array" ref="DP126">+INDEX(AH126:AV126,MATCH(DO126,AH126:AV126,1)+1)</f>
        <v>#N/A</v>
      </c>
      <c r="DQ126" s="265" t="e">
        <f t="shared" si="100"/>
        <v>#N/A</v>
      </c>
      <c r="DR126" s="267" t="e">
        <f t="shared" si="101"/>
        <v>#N/A</v>
      </c>
      <c r="DS126" s="267" t="e">
        <f t="shared" si="102"/>
        <v>#N/A</v>
      </c>
      <c r="DT126" s="268" t="e">
        <f t="shared" si="103"/>
        <v>#N/A</v>
      </c>
      <c r="DU126" s="268" t="e" cm="1">
        <f t="array" ref="DU126">+INDEX(AX126:BF126,MATCH(DT126,AX126:BF126,1)+1)</f>
        <v>#N/A</v>
      </c>
      <c r="DV126" s="267" t="e">
        <f t="shared" si="104"/>
        <v>#N/A</v>
      </c>
      <c r="DW126" s="267" t="e">
        <f t="shared" si="105"/>
        <v>#N/A</v>
      </c>
      <c r="DX126" s="267" t="e">
        <f t="shared" si="106"/>
        <v>#N/A</v>
      </c>
      <c r="DY126" s="267">
        <f t="shared" ref="DY126:DY139" si="119">+$EE$72</f>
        <v>0.1143</v>
      </c>
      <c r="DZ126" s="205" t="e">
        <f t="shared" si="108"/>
        <v>#N/A</v>
      </c>
      <c r="EA126" s="205">
        <f t="shared" si="109"/>
        <v>0</v>
      </c>
    </row>
    <row r="127" spans="2:131">
      <c r="B127" s="272">
        <v>45174</v>
      </c>
      <c r="C127" s="271">
        <v>45174</v>
      </c>
      <c r="D127" s="263" t="e">
        <f>+SUMIFS(Tabla6[Nominal COP],Tabla6[Concepto],COSTO_OPORTUNIDAD!$B$18,Tabla6[Nemotécnico],COSTO_OPORTUNIDAD!D$16,Tabla6[Fecha Cumplimiento y/ liquidacion],COSTO_OPORTUNIDAD!$C127)/+SUMIFS(Tabla6[Nominal COP],Tabla6[Concepto],COSTO_OPORTUNIDAD!$B$18,Tabla6[Fecha Cumplimiento y/ liquidacion],COSTO_OPORTUNIDAD!$C127)</f>
        <v>#DIV/0!</v>
      </c>
      <c r="E127" s="263" t="e">
        <f>+SUMIFS(Tabla6[Nominal COP],Tabla6[Concepto],COSTO_OPORTUNIDAD!$B$18,Tabla6[Nemotécnico],COSTO_OPORTUNIDAD!E$16,Tabla6[Fecha Cumplimiento y/ liquidacion],COSTO_OPORTUNIDAD!$C127)/+SUMIFS(Tabla6[Nominal COP],Tabla6[Concepto],COSTO_OPORTUNIDAD!$B$18,Tabla6[Fecha Cumplimiento y/ liquidacion],COSTO_OPORTUNIDAD!$C127)</f>
        <v>#DIV/0!</v>
      </c>
      <c r="F127" s="263"/>
      <c r="G127" s="263"/>
      <c r="H127" s="263">
        <v>8.247422680412371E-2</v>
      </c>
      <c r="I127" s="263"/>
      <c r="J127" s="263">
        <v>0</v>
      </c>
      <c r="K127" s="263">
        <v>0</v>
      </c>
      <c r="L127" s="263"/>
      <c r="M127" s="263">
        <v>0.46907216494845361</v>
      </c>
      <c r="N127" s="263"/>
      <c r="O127" s="263"/>
      <c r="P127" s="263">
        <v>0</v>
      </c>
      <c r="Q127" s="263"/>
      <c r="R127" s="263">
        <v>0.4484536082474227</v>
      </c>
      <c r="S127" s="263"/>
      <c r="T127" s="263">
        <v>0</v>
      </c>
      <c r="U127" s="263"/>
      <c r="V127" s="263">
        <v>0</v>
      </c>
      <c r="W127" s="263">
        <v>0</v>
      </c>
      <c r="X127" s="263">
        <v>0</v>
      </c>
      <c r="Y127" s="263"/>
      <c r="Z127" s="263">
        <v>0</v>
      </c>
      <c r="AA127" s="263">
        <v>0</v>
      </c>
      <c r="AB127" s="263">
        <v>0</v>
      </c>
      <c r="AC127" s="263"/>
      <c r="AD127" s="263">
        <v>0</v>
      </c>
      <c r="AE127" s="263"/>
      <c r="AF127" s="263"/>
      <c r="AG127" s="262"/>
      <c r="AH127" s="274">
        <f t="shared" si="58"/>
        <v>1086</v>
      </c>
      <c r="AI127" s="274">
        <f t="shared" si="59"/>
        <v>1520</v>
      </c>
      <c r="AJ127" s="274">
        <f t="shared" si="60"/>
        <v>1697</v>
      </c>
      <c r="AK127" s="274">
        <f t="shared" si="54"/>
        <v>2178</v>
      </c>
      <c r="AL127" s="274">
        <f t="shared" si="61"/>
        <v>2570</v>
      </c>
      <c r="AM127" s="274">
        <f t="shared" si="62"/>
        <v>2759</v>
      </c>
      <c r="AN127" s="274">
        <f t="shared" si="63"/>
        <v>3221</v>
      </c>
      <c r="AO127" s="274">
        <f t="shared" si="117"/>
        <v>3445</v>
      </c>
      <c r="AP127" s="274">
        <f t="shared" si="64"/>
        <v>4061</v>
      </c>
      <c r="AQ127" s="274"/>
      <c r="AR127" s="274">
        <f t="shared" si="65"/>
        <v>4691</v>
      </c>
      <c r="AS127" s="274">
        <f t="shared" si="55"/>
        <v>6294</v>
      </c>
      <c r="AT127" s="274">
        <f t="shared" si="66"/>
        <v>6840</v>
      </c>
      <c r="AU127" s="274"/>
      <c r="AV127" s="274">
        <f t="shared" si="67"/>
        <v>9913</v>
      </c>
      <c r="AW127" s="274"/>
      <c r="AX127" s="274">
        <f t="shared" si="68"/>
        <v>610</v>
      </c>
      <c r="AY127" s="274">
        <f t="shared" si="69"/>
        <v>1289</v>
      </c>
      <c r="AZ127" s="274">
        <f t="shared" si="70"/>
        <v>2052</v>
      </c>
      <c r="BA127" s="274"/>
      <c r="BB127" s="274">
        <f t="shared" si="71"/>
        <v>3489</v>
      </c>
      <c r="BC127" s="274">
        <f t="shared" si="72"/>
        <v>4229</v>
      </c>
      <c r="BD127" s="274">
        <f t="shared" si="73"/>
        <v>4922</v>
      </c>
      <c r="BE127" s="274"/>
      <c r="BF127" s="274">
        <f t="shared" si="74"/>
        <v>9416</v>
      </c>
      <c r="BG127" s="274"/>
      <c r="BH127" s="274"/>
      <c r="BI127" s="266">
        <f t="shared" si="75"/>
        <v>0</v>
      </c>
      <c r="BJ127" s="266" t="e">
        <f t="shared" si="76"/>
        <v>#DIV/0!</v>
      </c>
      <c r="BK127" s="263" t="str">
        <f t="shared" si="77"/>
        <v/>
      </c>
      <c r="BL127" s="263" t="str">
        <f t="shared" si="78"/>
        <v/>
      </c>
      <c r="BM127" s="263" t="str">
        <f t="shared" si="79"/>
        <v/>
      </c>
      <c r="BN127" s="263"/>
      <c r="BO127" s="263" t="str">
        <f t="shared" si="80"/>
        <v/>
      </c>
      <c r="BP127" s="263" t="str">
        <f t="shared" si="81"/>
        <v/>
      </c>
      <c r="BQ127" s="263" t="str">
        <f t="shared" si="82"/>
        <v/>
      </c>
      <c r="BR127" s="263" t="str">
        <f t="shared" si="83"/>
        <v/>
      </c>
      <c r="BS127" s="263" t="str">
        <f t="shared" si="84"/>
        <v/>
      </c>
      <c r="BT127" s="263" t="str">
        <f t="shared" si="85"/>
        <v/>
      </c>
      <c r="BU127" s="263" t="str">
        <f t="shared" si="86"/>
        <v/>
      </c>
      <c r="BV127" s="263"/>
      <c r="BW127" s="263" t="str">
        <f t="shared" si="87"/>
        <v/>
      </c>
      <c r="BX127" s="263"/>
      <c r="BY127" s="263" t="str">
        <f t="shared" si="88"/>
        <v/>
      </c>
      <c r="BZ127" s="263"/>
      <c r="CA127" s="263" t="str">
        <f t="shared" si="112"/>
        <v/>
      </c>
      <c r="CB127" s="263" t="str">
        <f t="shared" si="89"/>
        <v/>
      </c>
      <c r="CC127" s="263" t="str">
        <f t="shared" si="113"/>
        <v/>
      </c>
      <c r="CD127" s="263" t="str">
        <f t="shared" si="90"/>
        <v/>
      </c>
      <c r="CE127" s="263" t="str">
        <f t="shared" si="96"/>
        <v/>
      </c>
      <c r="CF127" s="263" t="str">
        <f t="shared" si="114"/>
        <v/>
      </c>
      <c r="CG127" s="263" t="str">
        <f t="shared" si="115"/>
        <v/>
      </c>
      <c r="CH127" s="263"/>
      <c r="CI127" s="263" t="str">
        <f t="shared" si="91"/>
        <v/>
      </c>
      <c r="CJ127" s="263"/>
      <c r="CK127" s="263" t="str">
        <f t="shared" si="92"/>
        <v/>
      </c>
      <c r="CL127" s="264">
        <f t="shared" si="118"/>
        <v>0</v>
      </c>
      <c r="CM127" s="264">
        <f t="shared" si="94"/>
        <v>0</v>
      </c>
      <c r="CO127" s="265">
        <v>0.1008</v>
      </c>
      <c r="CP127" s="265">
        <v>0.10241</v>
      </c>
      <c r="CQ127" s="265">
        <v>0.1026</v>
      </c>
      <c r="CS127" s="265">
        <v>0.10417</v>
      </c>
      <c r="CT127" s="265">
        <v>0.1033</v>
      </c>
      <c r="CU127" s="265">
        <v>0.10617000000000001</v>
      </c>
      <c r="CV127" s="265">
        <v>0.1096</v>
      </c>
      <c r="CW127" s="265">
        <v>0.10958999999999999</v>
      </c>
      <c r="CY127" s="265">
        <v>0.10952999999999999</v>
      </c>
      <c r="DA127" s="265">
        <v>0.11211</v>
      </c>
      <c r="DC127" s="265">
        <v>0.11175</v>
      </c>
      <c r="DE127" s="265">
        <v>4.4000000000000004E-2</v>
      </c>
      <c r="DF127" s="265">
        <v>4.4900000000000002E-2</v>
      </c>
      <c r="DH127" s="265">
        <v>4.5199999999999997E-2</v>
      </c>
      <c r="DI127" s="265">
        <v>4.759E-2</v>
      </c>
      <c r="DJ127" s="265">
        <v>4.7960000000000003E-2</v>
      </c>
      <c r="DL127" s="265">
        <v>4.6449999999999998E-2</v>
      </c>
      <c r="DO127" s="264" t="e">
        <f t="shared" si="99"/>
        <v>#N/A</v>
      </c>
      <c r="DP127" s="264" t="e" cm="1">
        <f t="array" ref="DP127">+INDEX(AH127:AV127,MATCH(DO127,AH127:AV127,1)+1)</f>
        <v>#N/A</v>
      </c>
      <c r="DQ127" s="265" t="e">
        <f t="shared" si="100"/>
        <v>#N/A</v>
      </c>
      <c r="DR127" s="267" t="e">
        <f t="shared" si="101"/>
        <v>#N/A</v>
      </c>
      <c r="DS127" s="267" t="e">
        <f t="shared" si="102"/>
        <v>#N/A</v>
      </c>
      <c r="DT127" s="268" t="e">
        <f t="shared" si="103"/>
        <v>#N/A</v>
      </c>
      <c r="DU127" s="268" t="e" cm="1">
        <f t="array" ref="DU127">+INDEX(AX127:BF127,MATCH(DT127,AX127:BF127,1)+1)</f>
        <v>#N/A</v>
      </c>
      <c r="DV127" s="267" t="e">
        <f t="shared" si="104"/>
        <v>#N/A</v>
      </c>
      <c r="DW127" s="267" t="e">
        <f t="shared" si="105"/>
        <v>#N/A</v>
      </c>
      <c r="DX127" s="267" t="e">
        <f t="shared" si="106"/>
        <v>#N/A</v>
      </c>
      <c r="DY127" s="267">
        <f t="shared" si="119"/>
        <v>0.1143</v>
      </c>
      <c r="DZ127" s="205" t="e">
        <f t="shared" si="108"/>
        <v>#N/A</v>
      </c>
      <c r="EA127" s="205">
        <f t="shared" si="109"/>
        <v>0</v>
      </c>
    </row>
    <row r="128" spans="2:131">
      <c r="B128" s="272">
        <v>45176</v>
      </c>
      <c r="C128" s="271">
        <v>45176</v>
      </c>
      <c r="D128" s="263" t="e">
        <f>+SUMIFS(Tabla6[Nominal COP],Tabla6[Concepto],COSTO_OPORTUNIDAD!$B$18,Tabla6[Nemotécnico],COSTO_OPORTUNIDAD!D$16,Tabla6[Fecha Cumplimiento y/ liquidacion],COSTO_OPORTUNIDAD!$C128)/+SUMIFS(Tabla6[Nominal COP],Tabla6[Concepto],COSTO_OPORTUNIDAD!$B$18,Tabla6[Fecha Cumplimiento y/ liquidacion],COSTO_OPORTUNIDAD!$C128)</f>
        <v>#DIV/0!</v>
      </c>
      <c r="E128" s="263" t="e">
        <f>+SUMIFS(Tabla6[Nominal COP],Tabla6[Concepto],COSTO_OPORTUNIDAD!$B$18,Tabla6[Nemotécnico],COSTO_OPORTUNIDAD!E$16,Tabla6[Fecha Cumplimiento y/ liquidacion],COSTO_OPORTUNIDAD!$C128)/+SUMIFS(Tabla6[Nominal COP],Tabla6[Concepto],COSTO_OPORTUNIDAD!$B$18,Tabla6[Fecha Cumplimiento y/ liquidacion],COSTO_OPORTUNIDAD!$C128)</f>
        <v>#DIV/0!</v>
      </c>
      <c r="F128" s="263"/>
      <c r="G128" s="263"/>
      <c r="H128" s="263">
        <v>9.9667774086378738E-2</v>
      </c>
      <c r="I128" s="263"/>
      <c r="J128" s="263">
        <v>0</v>
      </c>
      <c r="K128" s="263">
        <v>0</v>
      </c>
      <c r="L128" s="263"/>
      <c r="M128" s="263">
        <v>0.46843853820598008</v>
      </c>
      <c r="N128" s="263"/>
      <c r="O128" s="263"/>
      <c r="P128" s="263">
        <v>0</v>
      </c>
      <c r="Q128" s="263"/>
      <c r="R128" s="263">
        <v>0.43189368770764119</v>
      </c>
      <c r="S128" s="263"/>
      <c r="T128" s="263">
        <v>0</v>
      </c>
      <c r="U128" s="263"/>
      <c r="V128" s="263">
        <v>0</v>
      </c>
      <c r="W128" s="263">
        <v>0</v>
      </c>
      <c r="X128" s="263">
        <v>0</v>
      </c>
      <c r="Y128" s="263"/>
      <c r="Z128" s="263">
        <v>0</v>
      </c>
      <c r="AA128" s="263">
        <v>0</v>
      </c>
      <c r="AB128" s="263">
        <v>0</v>
      </c>
      <c r="AC128" s="263"/>
      <c r="AD128" s="263">
        <v>0</v>
      </c>
      <c r="AE128" s="263"/>
      <c r="AF128" s="263"/>
      <c r="AG128" s="262"/>
      <c r="AH128" s="274">
        <f t="shared" si="58"/>
        <v>1084</v>
      </c>
      <c r="AI128" s="274">
        <f t="shared" si="59"/>
        <v>1518</v>
      </c>
      <c r="AJ128" s="274">
        <f t="shared" si="60"/>
        <v>1695</v>
      </c>
      <c r="AK128" s="274">
        <f t="shared" si="54"/>
        <v>2176</v>
      </c>
      <c r="AL128" s="274">
        <f t="shared" si="61"/>
        <v>2568</v>
      </c>
      <c r="AM128" s="274">
        <f t="shared" si="62"/>
        <v>2757</v>
      </c>
      <c r="AN128" s="274">
        <f t="shared" si="63"/>
        <v>3219</v>
      </c>
      <c r="AO128" s="274">
        <f t="shared" si="117"/>
        <v>3443</v>
      </c>
      <c r="AP128" s="274">
        <f t="shared" si="64"/>
        <v>4059</v>
      </c>
      <c r="AQ128" s="274"/>
      <c r="AR128" s="274">
        <f t="shared" si="65"/>
        <v>4689</v>
      </c>
      <c r="AS128" s="274">
        <f t="shared" si="55"/>
        <v>6292</v>
      </c>
      <c r="AT128" s="274">
        <f t="shared" si="66"/>
        <v>6838</v>
      </c>
      <c r="AU128" s="274"/>
      <c r="AV128" s="274">
        <f t="shared" si="67"/>
        <v>9911</v>
      </c>
      <c r="AW128" s="274"/>
      <c r="AX128" s="274">
        <f t="shared" si="68"/>
        <v>608</v>
      </c>
      <c r="AY128" s="274">
        <f t="shared" si="69"/>
        <v>1287</v>
      </c>
      <c r="AZ128" s="274">
        <f t="shared" si="70"/>
        <v>2050</v>
      </c>
      <c r="BA128" s="274"/>
      <c r="BB128" s="274">
        <f t="shared" si="71"/>
        <v>3487</v>
      </c>
      <c r="BC128" s="274">
        <f t="shared" si="72"/>
        <v>4227</v>
      </c>
      <c r="BD128" s="274">
        <f t="shared" si="73"/>
        <v>4920</v>
      </c>
      <c r="BE128" s="274"/>
      <c r="BF128" s="274">
        <f t="shared" si="74"/>
        <v>9414</v>
      </c>
      <c r="BG128" s="274"/>
      <c r="BH128" s="274"/>
      <c r="BI128" s="266">
        <f t="shared" si="75"/>
        <v>0</v>
      </c>
      <c r="BJ128" s="266" t="e">
        <f t="shared" si="76"/>
        <v>#DIV/0!</v>
      </c>
      <c r="BK128" s="263" t="str">
        <f t="shared" si="77"/>
        <v/>
      </c>
      <c r="BL128" s="263" t="str">
        <f t="shared" si="78"/>
        <v/>
      </c>
      <c r="BM128" s="263" t="str">
        <f t="shared" si="79"/>
        <v/>
      </c>
      <c r="BN128" s="263"/>
      <c r="BO128" s="263" t="str">
        <f t="shared" si="80"/>
        <v/>
      </c>
      <c r="BP128" s="263" t="str">
        <f t="shared" si="81"/>
        <v/>
      </c>
      <c r="BQ128" s="263" t="str">
        <f t="shared" si="82"/>
        <v/>
      </c>
      <c r="BR128" s="263" t="str">
        <f t="shared" si="83"/>
        <v/>
      </c>
      <c r="BS128" s="263" t="str">
        <f t="shared" si="84"/>
        <v/>
      </c>
      <c r="BT128" s="263" t="str">
        <f t="shared" si="85"/>
        <v/>
      </c>
      <c r="BU128" s="263" t="str">
        <f t="shared" si="86"/>
        <v/>
      </c>
      <c r="BV128" s="263"/>
      <c r="BW128" s="263" t="str">
        <f t="shared" si="87"/>
        <v/>
      </c>
      <c r="BX128" s="263"/>
      <c r="BY128" s="263" t="str">
        <f t="shared" si="88"/>
        <v/>
      </c>
      <c r="BZ128" s="263"/>
      <c r="CA128" s="263" t="str">
        <f t="shared" si="112"/>
        <v/>
      </c>
      <c r="CB128" s="263" t="str">
        <f t="shared" si="89"/>
        <v/>
      </c>
      <c r="CC128" s="263" t="str">
        <f t="shared" si="113"/>
        <v/>
      </c>
      <c r="CD128" s="263" t="str">
        <f t="shared" si="90"/>
        <v/>
      </c>
      <c r="CE128" s="263" t="str">
        <f t="shared" si="96"/>
        <v/>
      </c>
      <c r="CF128" s="263" t="str">
        <f t="shared" si="114"/>
        <v/>
      </c>
      <c r="CG128" s="263" t="str">
        <f t="shared" si="115"/>
        <v/>
      </c>
      <c r="CH128" s="263"/>
      <c r="CI128" s="263" t="str">
        <f t="shared" si="91"/>
        <v/>
      </c>
      <c r="CJ128" s="263"/>
      <c r="CK128" s="263" t="str">
        <f t="shared" si="92"/>
        <v/>
      </c>
      <c r="CL128" s="264">
        <f t="shared" si="118"/>
        <v>0</v>
      </c>
      <c r="CM128" s="264">
        <f t="shared" si="94"/>
        <v>0</v>
      </c>
      <c r="CO128" s="265">
        <v>0.1</v>
      </c>
      <c r="CP128" s="265">
        <v>0.10141</v>
      </c>
      <c r="CQ128" s="265">
        <v>0.10152</v>
      </c>
      <c r="CS128" s="265">
        <v>0.10369999999999999</v>
      </c>
      <c r="CT128" s="265">
        <v>0.1033</v>
      </c>
      <c r="CU128" s="265">
        <v>0.1066</v>
      </c>
      <c r="CV128" s="265">
        <v>0.10853</v>
      </c>
      <c r="CW128" s="265">
        <v>0.10881</v>
      </c>
      <c r="CY128" s="265">
        <v>0.10917</v>
      </c>
      <c r="DA128" s="265">
        <v>0.11156000000000001</v>
      </c>
      <c r="DC128" s="265">
        <v>0.11083999999999999</v>
      </c>
      <c r="DE128" s="265">
        <v>4.4749999999999998E-2</v>
      </c>
      <c r="DF128" s="265">
        <v>4.53E-2</v>
      </c>
      <c r="DH128" s="265">
        <v>4.6399999999999997E-2</v>
      </c>
      <c r="DI128" s="265">
        <v>4.8049999999999995E-2</v>
      </c>
      <c r="DJ128" s="265">
        <v>4.8280000000000003E-2</v>
      </c>
      <c r="DL128" s="265">
        <v>4.6950000000000006E-2</v>
      </c>
      <c r="DO128" s="264" t="e">
        <f t="shared" ref="DO128:DO159" si="120">+INDEX(AH128:AV128,MATCH(CL128,AH128:AV128,1))</f>
        <v>#N/A</v>
      </c>
      <c r="DP128" s="264" t="e" cm="1">
        <f t="array" ref="DP128">+INDEX(AH128:AV128,MATCH(DO128,AH128:AV128,1)+1)</f>
        <v>#N/A</v>
      </c>
      <c r="DQ128" s="265" t="e">
        <f t="shared" ref="DQ128:DQ159" si="121">+INDEX(CO128:DC128,MATCH(DO128,AH128:AV128,1))</f>
        <v>#N/A</v>
      </c>
      <c r="DR128" s="267" t="e">
        <f t="shared" ref="DR128:DR159" si="122">+INDEX(CO128:DC128,MATCH(DP128,AH128:AV128,1))</f>
        <v>#N/A</v>
      </c>
      <c r="DS128" s="267" t="e">
        <f t="shared" ref="DS128:DS159" si="123">ROUND(DQ128+((CL128-DO128)/(DP128-DO128))*(DR128-DQ128),5)</f>
        <v>#N/A</v>
      </c>
      <c r="DT128" s="268" t="e">
        <f t="shared" ref="DT128:DT159" si="124">+INDEX(AX128:BF128,MATCH(CM128,AX128:BF128,1))</f>
        <v>#N/A</v>
      </c>
      <c r="DU128" s="268" t="e" cm="1">
        <f t="array" ref="DU128">+INDEX(AX128:BF128,MATCH(DT128,AX128:BF128,1)+1)</f>
        <v>#N/A</v>
      </c>
      <c r="DV128" s="267" t="e">
        <f t="shared" si="104"/>
        <v>#N/A</v>
      </c>
      <c r="DW128" s="267" t="e">
        <f t="shared" ref="DW128:DW159" si="125">+INDEX(DE128:DL128,MATCH(DU128,AX128:BF128,1))</f>
        <v>#N/A</v>
      </c>
      <c r="DX128" s="267" t="e">
        <f t="shared" ref="DX128:DX159" si="126">ROUND(DV128+((CM128-DT128)/(DU128-DT128))*(DW128-DV128),5)</f>
        <v>#N/A</v>
      </c>
      <c r="DY128" s="267">
        <f t="shared" si="119"/>
        <v>0.1143</v>
      </c>
      <c r="DZ128" s="205" t="e">
        <f t="shared" si="108"/>
        <v>#N/A</v>
      </c>
      <c r="EA128" s="205">
        <f t="shared" si="109"/>
        <v>0</v>
      </c>
    </row>
    <row r="129" spans="2:131">
      <c r="B129" s="272">
        <v>45180</v>
      </c>
      <c r="C129" s="271">
        <v>45180</v>
      </c>
      <c r="D129" s="263" t="e">
        <f>+SUMIFS(Tabla6[Nominal COP],Tabla6[Concepto],COSTO_OPORTUNIDAD!$B$18,Tabla6[Nemotécnico],COSTO_OPORTUNIDAD!D$16,Tabla6[Fecha Cumplimiento y/ liquidacion],COSTO_OPORTUNIDAD!$C129)/+SUMIFS(Tabla6[Nominal COP],Tabla6[Concepto],COSTO_OPORTUNIDAD!$B$18,Tabla6[Fecha Cumplimiento y/ liquidacion],COSTO_OPORTUNIDAD!$C129)</f>
        <v>#DIV/0!</v>
      </c>
      <c r="E129" s="263" t="e">
        <f>+SUMIFS(Tabla6[Nominal COP],Tabla6[Concepto],COSTO_OPORTUNIDAD!$B$18,Tabla6[Nemotécnico],COSTO_OPORTUNIDAD!E$16,Tabla6[Fecha Cumplimiento y/ liquidacion],COSTO_OPORTUNIDAD!$C129)/+SUMIFS(Tabla6[Nominal COP],Tabla6[Concepto],COSTO_OPORTUNIDAD!$B$18,Tabla6[Fecha Cumplimiento y/ liquidacion],COSTO_OPORTUNIDAD!$C129)</f>
        <v>#DIV/0!</v>
      </c>
      <c r="F129" s="263"/>
      <c r="G129" s="263"/>
      <c r="H129" s="263">
        <v>6.8965517241379309E-2</v>
      </c>
      <c r="I129" s="263"/>
      <c r="J129" s="263">
        <v>0</v>
      </c>
      <c r="K129" s="263">
        <v>0</v>
      </c>
      <c r="L129" s="263"/>
      <c r="M129" s="263">
        <v>0.4689655172413793</v>
      </c>
      <c r="N129" s="263"/>
      <c r="O129" s="263"/>
      <c r="P129" s="263">
        <v>0</v>
      </c>
      <c r="Q129" s="263"/>
      <c r="R129" s="263">
        <v>0.46206896551724136</v>
      </c>
      <c r="S129" s="263"/>
      <c r="T129" s="263">
        <v>0</v>
      </c>
      <c r="U129" s="263"/>
      <c r="V129" s="263">
        <v>0</v>
      </c>
      <c r="W129" s="263">
        <v>0</v>
      </c>
      <c r="X129" s="263">
        <v>0</v>
      </c>
      <c r="Y129" s="263"/>
      <c r="Z129" s="263">
        <v>0</v>
      </c>
      <c r="AA129" s="263">
        <v>0</v>
      </c>
      <c r="AB129" s="263">
        <v>0</v>
      </c>
      <c r="AC129" s="263"/>
      <c r="AD129" s="263">
        <v>0</v>
      </c>
      <c r="AE129" s="263"/>
      <c r="AF129" s="263"/>
      <c r="AG129" s="262"/>
      <c r="AH129" s="274">
        <f t="shared" si="58"/>
        <v>1080</v>
      </c>
      <c r="AI129" s="274">
        <f t="shared" si="59"/>
        <v>1514</v>
      </c>
      <c r="AJ129" s="274">
        <f t="shared" si="60"/>
        <v>1691</v>
      </c>
      <c r="AK129" s="274">
        <f t="shared" si="54"/>
        <v>2172</v>
      </c>
      <c r="AL129" s="274">
        <f t="shared" si="61"/>
        <v>2564</v>
      </c>
      <c r="AM129" s="274">
        <f t="shared" si="62"/>
        <v>2753</v>
      </c>
      <c r="AN129" s="274">
        <f t="shared" si="63"/>
        <v>3215</v>
      </c>
      <c r="AO129" s="274">
        <f t="shared" si="117"/>
        <v>3439</v>
      </c>
      <c r="AP129" s="274">
        <f t="shared" si="64"/>
        <v>4055</v>
      </c>
      <c r="AQ129" s="274"/>
      <c r="AR129" s="274">
        <f t="shared" si="65"/>
        <v>4685</v>
      </c>
      <c r="AS129" s="274">
        <f t="shared" si="55"/>
        <v>6288</v>
      </c>
      <c r="AT129" s="274">
        <f t="shared" si="66"/>
        <v>6834</v>
      </c>
      <c r="AU129" s="274"/>
      <c r="AV129" s="274">
        <f t="shared" si="67"/>
        <v>9907</v>
      </c>
      <c r="AW129" s="274"/>
      <c r="AX129" s="274">
        <f t="shared" si="68"/>
        <v>604</v>
      </c>
      <c r="AY129" s="274">
        <f t="shared" si="69"/>
        <v>1283</v>
      </c>
      <c r="AZ129" s="274">
        <f t="shared" si="70"/>
        <v>2046</v>
      </c>
      <c r="BA129" s="274"/>
      <c r="BB129" s="274">
        <f t="shared" si="71"/>
        <v>3483</v>
      </c>
      <c r="BC129" s="274">
        <f t="shared" si="72"/>
        <v>4223</v>
      </c>
      <c r="BD129" s="274">
        <f t="shared" si="73"/>
        <v>4916</v>
      </c>
      <c r="BE129" s="274"/>
      <c r="BF129" s="274">
        <f t="shared" si="74"/>
        <v>9410</v>
      </c>
      <c r="BG129" s="274"/>
      <c r="BH129" s="274"/>
      <c r="BI129" s="266">
        <f t="shared" si="75"/>
        <v>0</v>
      </c>
      <c r="BJ129" s="266" t="e">
        <f t="shared" si="76"/>
        <v>#DIV/0!</v>
      </c>
      <c r="BK129" s="263" t="str">
        <f t="shared" si="77"/>
        <v/>
      </c>
      <c r="BL129" s="263" t="str">
        <f t="shared" si="78"/>
        <v/>
      </c>
      <c r="BM129" s="263" t="str">
        <f t="shared" si="79"/>
        <v/>
      </c>
      <c r="BN129" s="263"/>
      <c r="BO129" s="263" t="str">
        <f t="shared" si="80"/>
        <v/>
      </c>
      <c r="BP129" s="263" t="str">
        <f t="shared" si="81"/>
        <v/>
      </c>
      <c r="BQ129" s="263" t="str">
        <f t="shared" si="82"/>
        <v/>
      </c>
      <c r="BR129" s="263" t="str">
        <f t="shared" si="83"/>
        <v/>
      </c>
      <c r="BS129" s="263" t="str">
        <f t="shared" si="84"/>
        <v/>
      </c>
      <c r="BT129" s="263" t="str">
        <f t="shared" si="85"/>
        <v/>
      </c>
      <c r="BU129" s="263" t="str">
        <f t="shared" si="86"/>
        <v/>
      </c>
      <c r="BV129" s="263"/>
      <c r="BW129" s="263" t="str">
        <f t="shared" si="87"/>
        <v/>
      </c>
      <c r="BX129" s="263"/>
      <c r="BY129" s="263" t="str">
        <f t="shared" si="88"/>
        <v/>
      </c>
      <c r="BZ129" s="263"/>
      <c r="CA129" s="263" t="str">
        <f t="shared" si="112"/>
        <v/>
      </c>
      <c r="CB129" s="263" t="str">
        <f t="shared" si="89"/>
        <v/>
      </c>
      <c r="CC129" s="263" t="str">
        <f t="shared" si="113"/>
        <v/>
      </c>
      <c r="CD129" s="263" t="str">
        <f t="shared" si="90"/>
        <v/>
      </c>
      <c r="CE129" s="263" t="str">
        <f t="shared" si="96"/>
        <v/>
      </c>
      <c r="CF129" s="263" t="str">
        <f t="shared" si="114"/>
        <v/>
      </c>
      <c r="CG129" s="263" t="str">
        <f t="shared" si="115"/>
        <v/>
      </c>
      <c r="CH129" s="263"/>
      <c r="CI129" s="263" t="str">
        <f t="shared" si="91"/>
        <v/>
      </c>
      <c r="CJ129" s="263"/>
      <c r="CK129" s="263" t="str">
        <f t="shared" si="92"/>
        <v/>
      </c>
      <c r="CL129" s="264">
        <f t="shared" si="118"/>
        <v>0</v>
      </c>
      <c r="CM129" s="264">
        <f t="shared" si="94"/>
        <v>0</v>
      </c>
      <c r="CO129" s="265">
        <v>0.10390000000000001</v>
      </c>
      <c r="CP129" s="265">
        <v>0.10441</v>
      </c>
      <c r="CQ129" s="265">
        <v>0.1045</v>
      </c>
      <c r="CS129" s="265">
        <v>0.1056</v>
      </c>
      <c r="CT129" s="265">
        <v>0.10596999999999999</v>
      </c>
      <c r="CU129" s="265">
        <v>0.10839</v>
      </c>
      <c r="CV129" s="265">
        <v>0.10962</v>
      </c>
      <c r="CW129" s="265">
        <v>0.11</v>
      </c>
      <c r="CY129" s="265">
        <v>0.11019999999999999</v>
      </c>
      <c r="DA129" s="265">
        <v>0.11249000000000001</v>
      </c>
      <c r="DC129" s="265">
        <v>0.11158</v>
      </c>
      <c r="DE129" s="265">
        <v>4.2610000000000002E-2</v>
      </c>
      <c r="DF129" s="265">
        <v>4.5129999999999997E-2</v>
      </c>
      <c r="DH129" s="265">
        <v>4.6500000000000007E-2</v>
      </c>
      <c r="DI129" s="265">
        <v>4.8189999999999997E-2</v>
      </c>
      <c r="DJ129" s="265">
        <v>4.8789999999999993E-2</v>
      </c>
      <c r="DL129" s="265">
        <v>4.7249999999999993E-2</v>
      </c>
      <c r="DO129" s="264" t="e">
        <f t="shared" si="120"/>
        <v>#N/A</v>
      </c>
      <c r="DP129" s="264" t="e" cm="1">
        <f t="array" ref="DP129">+INDEX(AH129:AV129,MATCH(DO129,AH129:AV129,1)+1)</f>
        <v>#N/A</v>
      </c>
      <c r="DQ129" s="265" t="e">
        <f t="shared" si="121"/>
        <v>#N/A</v>
      </c>
      <c r="DR129" s="267" t="e">
        <f t="shared" si="122"/>
        <v>#N/A</v>
      </c>
      <c r="DS129" s="267" t="e">
        <f t="shared" si="123"/>
        <v>#N/A</v>
      </c>
      <c r="DT129" s="268" t="e">
        <f t="shared" si="124"/>
        <v>#N/A</v>
      </c>
      <c r="DU129" s="268" t="e" cm="1">
        <f t="array" ref="DU129">+INDEX(AX129:BF129,MATCH(DT129,AX129:BF129,1)+1)</f>
        <v>#N/A</v>
      </c>
      <c r="DV129" s="267" t="e">
        <f t="shared" si="104"/>
        <v>#N/A</v>
      </c>
      <c r="DW129" s="267" t="e">
        <f t="shared" si="125"/>
        <v>#N/A</v>
      </c>
      <c r="DX129" s="267" t="e">
        <f t="shared" si="126"/>
        <v>#N/A</v>
      </c>
      <c r="DY129" s="267">
        <f t="shared" si="119"/>
        <v>0.1143</v>
      </c>
      <c r="DZ129" s="205" t="e">
        <f t="shared" si="108"/>
        <v>#N/A</v>
      </c>
      <c r="EA129" s="205">
        <f t="shared" si="109"/>
        <v>0</v>
      </c>
    </row>
    <row r="130" spans="2:131">
      <c r="B130" s="272">
        <v>45181</v>
      </c>
      <c r="C130" s="271">
        <v>45181</v>
      </c>
      <c r="D130" s="263" t="e">
        <f>+SUMIFS(Tabla6[Nominal COP],Tabla6[Concepto],COSTO_OPORTUNIDAD!$B$18,Tabla6[Nemotécnico],COSTO_OPORTUNIDAD!D$16,Tabla6[Fecha Cumplimiento y/ liquidacion],COSTO_OPORTUNIDAD!$C130)/+SUMIFS(Tabla6[Nominal COP],Tabla6[Concepto],COSTO_OPORTUNIDAD!$B$18,Tabla6[Fecha Cumplimiento y/ liquidacion],COSTO_OPORTUNIDAD!$C130)</f>
        <v>#DIV/0!</v>
      </c>
      <c r="E130" s="263" t="e">
        <f>+SUMIFS(Tabla6[Nominal COP],Tabla6[Concepto],COSTO_OPORTUNIDAD!$B$18,Tabla6[Nemotécnico],COSTO_OPORTUNIDAD!E$16,Tabla6[Fecha Cumplimiento y/ liquidacion],COSTO_OPORTUNIDAD!$C130)/+SUMIFS(Tabla6[Nominal COP],Tabla6[Concepto],COSTO_OPORTUNIDAD!$B$18,Tabla6[Fecha Cumplimiento y/ liquidacion],COSTO_OPORTUNIDAD!$C130)</f>
        <v>#DIV/0!</v>
      </c>
      <c r="F130" s="263"/>
      <c r="G130" s="263"/>
      <c r="H130" s="263">
        <v>0.13500000000000001</v>
      </c>
      <c r="I130" s="263"/>
      <c r="J130" s="263">
        <v>0</v>
      </c>
      <c r="K130" s="263">
        <v>0</v>
      </c>
      <c r="L130" s="263"/>
      <c r="M130" s="263">
        <v>0.46500000000000002</v>
      </c>
      <c r="N130" s="263"/>
      <c r="O130" s="263"/>
      <c r="P130" s="263">
        <v>0</v>
      </c>
      <c r="Q130" s="263"/>
      <c r="R130" s="263">
        <v>0.4</v>
      </c>
      <c r="S130" s="263"/>
      <c r="T130" s="263">
        <v>0</v>
      </c>
      <c r="U130" s="263"/>
      <c r="V130" s="263">
        <v>0</v>
      </c>
      <c r="W130" s="263">
        <v>0</v>
      </c>
      <c r="X130" s="263">
        <v>0</v>
      </c>
      <c r="Y130" s="263"/>
      <c r="Z130" s="263">
        <v>0</v>
      </c>
      <c r="AA130" s="263">
        <v>0</v>
      </c>
      <c r="AB130" s="263">
        <v>0</v>
      </c>
      <c r="AC130" s="263"/>
      <c r="AD130" s="263">
        <v>0</v>
      </c>
      <c r="AE130" s="263"/>
      <c r="AF130" s="263"/>
      <c r="AG130" s="262"/>
      <c r="AH130" s="274">
        <f t="shared" si="58"/>
        <v>1079</v>
      </c>
      <c r="AI130" s="274">
        <f t="shared" si="59"/>
        <v>1513</v>
      </c>
      <c r="AJ130" s="274">
        <f t="shared" si="60"/>
        <v>1690</v>
      </c>
      <c r="AK130" s="274">
        <f t="shared" si="54"/>
        <v>2171</v>
      </c>
      <c r="AL130" s="274">
        <f t="shared" si="61"/>
        <v>2563</v>
      </c>
      <c r="AM130" s="274">
        <f t="shared" si="62"/>
        <v>2752</v>
      </c>
      <c r="AN130" s="274">
        <f t="shared" si="63"/>
        <v>3214</v>
      </c>
      <c r="AO130" s="274">
        <f t="shared" si="117"/>
        <v>3438</v>
      </c>
      <c r="AP130" s="274">
        <f t="shared" si="64"/>
        <v>4054</v>
      </c>
      <c r="AQ130" s="274"/>
      <c r="AR130" s="274">
        <f t="shared" si="65"/>
        <v>4684</v>
      </c>
      <c r="AS130" s="274">
        <f t="shared" si="55"/>
        <v>6287</v>
      </c>
      <c r="AT130" s="274">
        <f t="shared" si="66"/>
        <v>6833</v>
      </c>
      <c r="AU130" s="274"/>
      <c r="AV130" s="274">
        <f t="shared" si="67"/>
        <v>9906</v>
      </c>
      <c r="AW130" s="274"/>
      <c r="AX130" s="274">
        <f t="shared" si="68"/>
        <v>603</v>
      </c>
      <c r="AY130" s="274">
        <f t="shared" si="69"/>
        <v>1282</v>
      </c>
      <c r="AZ130" s="274">
        <f t="shared" si="70"/>
        <v>2045</v>
      </c>
      <c r="BA130" s="274"/>
      <c r="BB130" s="274">
        <f t="shared" si="71"/>
        <v>3482</v>
      </c>
      <c r="BC130" s="274">
        <f t="shared" si="72"/>
        <v>4222</v>
      </c>
      <c r="BD130" s="274">
        <f t="shared" si="73"/>
        <v>4915</v>
      </c>
      <c r="BE130" s="274"/>
      <c r="BF130" s="274">
        <f t="shared" si="74"/>
        <v>9409</v>
      </c>
      <c r="BG130" s="274"/>
      <c r="BH130" s="274"/>
      <c r="BI130" s="266">
        <f t="shared" si="75"/>
        <v>0</v>
      </c>
      <c r="BJ130" s="266" t="e">
        <f t="shared" si="76"/>
        <v>#DIV/0!</v>
      </c>
      <c r="BK130" s="263" t="str">
        <f t="shared" si="77"/>
        <v/>
      </c>
      <c r="BL130" s="263" t="str">
        <f t="shared" si="78"/>
        <v/>
      </c>
      <c r="BM130" s="263" t="str">
        <f t="shared" si="79"/>
        <v/>
      </c>
      <c r="BN130" s="263"/>
      <c r="BO130" s="263" t="str">
        <f t="shared" si="80"/>
        <v/>
      </c>
      <c r="BP130" s="263" t="str">
        <f t="shared" si="81"/>
        <v/>
      </c>
      <c r="BQ130" s="263" t="str">
        <f t="shared" si="82"/>
        <v/>
      </c>
      <c r="BR130" s="263" t="str">
        <f t="shared" si="83"/>
        <v/>
      </c>
      <c r="BS130" s="263" t="str">
        <f t="shared" si="84"/>
        <v/>
      </c>
      <c r="BT130" s="263" t="str">
        <f t="shared" si="85"/>
        <v/>
      </c>
      <c r="BU130" s="263" t="str">
        <f t="shared" si="86"/>
        <v/>
      </c>
      <c r="BV130" s="263"/>
      <c r="BW130" s="263" t="str">
        <f t="shared" si="87"/>
        <v/>
      </c>
      <c r="BX130" s="263"/>
      <c r="BY130" s="263" t="str">
        <f t="shared" si="88"/>
        <v/>
      </c>
      <c r="BZ130" s="263"/>
      <c r="CA130" s="263" t="str">
        <f t="shared" si="112"/>
        <v/>
      </c>
      <c r="CB130" s="263" t="str">
        <f t="shared" si="89"/>
        <v/>
      </c>
      <c r="CC130" s="263" t="str">
        <f t="shared" si="113"/>
        <v/>
      </c>
      <c r="CD130" s="263" t="str">
        <f t="shared" si="90"/>
        <v/>
      </c>
      <c r="CE130" s="263" t="str">
        <f t="shared" si="96"/>
        <v/>
      </c>
      <c r="CF130" s="263" t="str">
        <f t="shared" si="114"/>
        <v/>
      </c>
      <c r="CG130" s="263" t="str">
        <f t="shared" si="115"/>
        <v/>
      </c>
      <c r="CH130" s="263"/>
      <c r="CI130" s="263" t="str">
        <f t="shared" si="91"/>
        <v/>
      </c>
      <c r="CJ130" s="263"/>
      <c r="CK130" s="263" t="str">
        <f t="shared" si="92"/>
        <v/>
      </c>
      <c r="CL130" s="264">
        <f t="shared" si="118"/>
        <v>0</v>
      </c>
      <c r="CM130" s="264">
        <f t="shared" si="94"/>
        <v>0</v>
      </c>
      <c r="CO130" s="265">
        <v>0.10442</v>
      </c>
      <c r="CP130" s="265">
        <v>0.105</v>
      </c>
      <c r="CQ130" s="265">
        <v>0.105</v>
      </c>
      <c r="CS130" s="265">
        <v>0.1057</v>
      </c>
      <c r="CT130" s="265">
        <v>0.10589999999999999</v>
      </c>
      <c r="CU130" s="265">
        <v>0.10830999999999999</v>
      </c>
      <c r="CV130" s="265">
        <v>0.11022999999999999</v>
      </c>
      <c r="CW130" s="265">
        <v>0.11013999999999999</v>
      </c>
      <c r="CY130" s="265">
        <v>0.1104</v>
      </c>
      <c r="DA130" s="265">
        <v>0.11279</v>
      </c>
      <c r="DC130" s="265">
        <v>0.11210000000000001</v>
      </c>
      <c r="DE130" s="265">
        <v>4.3700000000000003E-2</v>
      </c>
      <c r="DF130" s="265">
        <v>4.4900000000000002E-2</v>
      </c>
      <c r="DH130" s="265">
        <v>4.6639999999999994E-2</v>
      </c>
      <c r="DI130" s="265">
        <v>4.8250000000000001E-2</v>
      </c>
      <c r="DJ130" s="265">
        <v>4.8869999999999997E-2</v>
      </c>
      <c r="DL130" s="265">
        <v>4.7530000000000003E-2</v>
      </c>
      <c r="DO130" s="264" t="e">
        <f t="shared" si="120"/>
        <v>#N/A</v>
      </c>
      <c r="DP130" s="264" t="e" cm="1">
        <f t="array" ref="DP130">+INDEX(AH130:AV130,MATCH(DO130,AH130:AV130,1)+1)</f>
        <v>#N/A</v>
      </c>
      <c r="DQ130" s="265" t="e">
        <f t="shared" si="121"/>
        <v>#N/A</v>
      </c>
      <c r="DR130" s="267" t="e">
        <f t="shared" si="122"/>
        <v>#N/A</v>
      </c>
      <c r="DS130" s="267" t="e">
        <f t="shared" si="123"/>
        <v>#N/A</v>
      </c>
      <c r="DT130" s="268" t="e">
        <f t="shared" si="124"/>
        <v>#N/A</v>
      </c>
      <c r="DU130" s="268" t="e" cm="1">
        <f t="array" ref="DU130">+INDEX(AX130:BF130,MATCH(DT130,AX130:BF130,1)+1)</f>
        <v>#N/A</v>
      </c>
      <c r="DV130" s="267" t="e">
        <f t="shared" si="104"/>
        <v>#N/A</v>
      </c>
      <c r="DW130" s="267" t="e">
        <f t="shared" si="125"/>
        <v>#N/A</v>
      </c>
      <c r="DX130" s="267" t="e">
        <f t="shared" si="126"/>
        <v>#N/A</v>
      </c>
      <c r="DY130" s="267">
        <f t="shared" si="119"/>
        <v>0.1143</v>
      </c>
      <c r="DZ130" s="205" t="e">
        <f t="shared" si="108"/>
        <v>#N/A</v>
      </c>
      <c r="EA130" s="205">
        <f t="shared" si="109"/>
        <v>0</v>
      </c>
    </row>
    <row r="131" spans="2:131">
      <c r="B131" s="272">
        <v>45182</v>
      </c>
      <c r="C131" s="271">
        <v>45182</v>
      </c>
      <c r="D131" s="263" t="e">
        <f>+SUMIFS(Tabla6[Nominal COP],Tabla6[Concepto],COSTO_OPORTUNIDAD!$B$18,Tabla6[Nemotécnico],COSTO_OPORTUNIDAD!D$16,Tabla6[Fecha Cumplimiento y/ liquidacion],COSTO_OPORTUNIDAD!$C131)/+SUMIFS(Tabla6[Nominal COP],Tabla6[Concepto],COSTO_OPORTUNIDAD!$B$18,Tabla6[Fecha Cumplimiento y/ liquidacion],COSTO_OPORTUNIDAD!$C131)</f>
        <v>#DIV/0!</v>
      </c>
      <c r="E131" s="263" t="e">
        <f>+SUMIFS(Tabla6[Nominal COP],Tabla6[Concepto],COSTO_OPORTUNIDAD!$B$18,Tabla6[Nemotécnico],COSTO_OPORTUNIDAD!E$16,Tabla6[Fecha Cumplimiento y/ liquidacion],COSTO_OPORTUNIDAD!$C131)/+SUMIFS(Tabla6[Nominal COP],Tabla6[Concepto],COSTO_OPORTUNIDAD!$B$18,Tabla6[Fecha Cumplimiento y/ liquidacion],COSTO_OPORTUNIDAD!$C131)</f>
        <v>#DIV/0!</v>
      </c>
      <c r="F131" s="263"/>
      <c r="G131" s="263"/>
      <c r="H131" s="263">
        <v>0.15632183908045977</v>
      </c>
      <c r="I131" s="263"/>
      <c r="J131" s="263">
        <v>0</v>
      </c>
      <c r="K131" s="263">
        <v>0</v>
      </c>
      <c r="L131" s="263"/>
      <c r="M131" s="263">
        <v>0.45287356321839078</v>
      </c>
      <c r="N131" s="263"/>
      <c r="O131" s="263"/>
      <c r="P131" s="263">
        <v>0</v>
      </c>
      <c r="Q131" s="263"/>
      <c r="R131" s="263">
        <v>0.39080459770114945</v>
      </c>
      <c r="S131" s="263"/>
      <c r="T131" s="263">
        <v>0</v>
      </c>
      <c r="U131" s="263"/>
      <c r="V131" s="263">
        <v>0</v>
      </c>
      <c r="W131" s="263">
        <v>0</v>
      </c>
      <c r="X131" s="263">
        <v>0</v>
      </c>
      <c r="Y131" s="263"/>
      <c r="Z131" s="263">
        <v>0</v>
      </c>
      <c r="AA131" s="263">
        <v>0</v>
      </c>
      <c r="AB131" s="263">
        <v>0</v>
      </c>
      <c r="AC131" s="263"/>
      <c r="AD131" s="263">
        <v>0</v>
      </c>
      <c r="AE131" s="263"/>
      <c r="AF131" s="263"/>
      <c r="AG131" s="262"/>
      <c r="AH131" s="274">
        <f t="shared" si="58"/>
        <v>1078</v>
      </c>
      <c r="AI131" s="274">
        <f t="shared" si="59"/>
        <v>1512</v>
      </c>
      <c r="AJ131" s="274">
        <f t="shared" si="60"/>
        <v>1689</v>
      </c>
      <c r="AK131" s="274">
        <f t="shared" si="54"/>
        <v>2170</v>
      </c>
      <c r="AL131" s="274">
        <f t="shared" si="61"/>
        <v>2562</v>
      </c>
      <c r="AM131" s="274">
        <f t="shared" si="62"/>
        <v>2751</v>
      </c>
      <c r="AN131" s="274">
        <f t="shared" si="63"/>
        <v>3213</v>
      </c>
      <c r="AO131" s="274">
        <f t="shared" si="117"/>
        <v>3437</v>
      </c>
      <c r="AP131" s="274">
        <f t="shared" si="64"/>
        <v>4053</v>
      </c>
      <c r="AQ131" s="274"/>
      <c r="AR131" s="274">
        <f t="shared" si="65"/>
        <v>4683</v>
      </c>
      <c r="AS131" s="274">
        <f t="shared" si="55"/>
        <v>6286</v>
      </c>
      <c r="AT131" s="274">
        <f t="shared" si="66"/>
        <v>6832</v>
      </c>
      <c r="AU131" s="274"/>
      <c r="AV131" s="274">
        <f t="shared" si="67"/>
        <v>9905</v>
      </c>
      <c r="AW131" s="274"/>
      <c r="AX131" s="274">
        <f t="shared" si="68"/>
        <v>602</v>
      </c>
      <c r="AY131" s="274">
        <f t="shared" si="69"/>
        <v>1281</v>
      </c>
      <c r="AZ131" s="274">
        <f t="shared" si="70"/>
        <v>2044</v>
      </c>
      <c r="BA131" s="274"/>
      <c r="BB131" s="274">
        <f t="shared" si="71"/>
        <v>3481</v>
      </c>
      <c r="BC131" s="274">
        <f t="shared" si="72"/>
        <v>4221</v>
      </c>
      <c r="BD131" s="274">
        <f t="shared" si="73"/>
        <v>4914</v>
      </c>
      <c r="BE131" s="274"/>
      <c r="BF131" s="274">
        <f t="shared" si="74"/>
        <v>9408</v>
      </c>
      <c r="BG131" s="274"/>
      <c r="BH131" s="274"/>
      <c r="BI131" s="266">
        <f t="shared" si="75"/>
        <v>0</v>
      </c>
      <c r="BJ131" s="266" t="e">
        <f t="shared" si="76"/>
        <v>#DIV/0!</v>
      </c>
      <c r="BK131" s="263" t="str">
        <f t="shared" si="77"/>
        <v/>
      </c>
      <c r="BL131" s="263" t="str">
        <f t="shared" si="78"/>
        <v/>
      </c>
      <c r="BM131" s="263" t="str">
        <f t="shared" si="79"/>
        <v/>
      </c>
      <c r="BN131" s="263"/>
      <c r="BO131" s="263" t="str">
        <f t="shared" si="80"/>
        <v/>
      </c>
      <c r="BP131" s="263" t="str">
        <f t="shared" si="81"/>
        <v/>
      </c>
      <c r="BQ131" s="263" t="str">
        <f t="shared" si="82"/>
        <v/>
      </c>
      <c r="BR131" s="263" t="str">
        <f t="shared" si="83"/>
        <v/>
      </c>
      <c r="BS131" s="263" t="str">
        <f t="shared" si="84"/>
        <v/>
      </c>
      <c r="BT131" s="263" t="str">
        <f t="shared" si="85"/>
        <v/>
      </c>
      <c r="BU131" s="263" t="str">
        <f t="shared" si="86"/>
        <v/>
      </c>
      <c r="BV131" s="263"/>
      <c r="BW131" s="263" t="str">
        <f t="shared" si="87"/>
        <v/>
      </c>
      <c r="BX131" s="263"/>
      <c r="BY131" s="263" t="str">
        <f t="shared" si="88"/>
        <v/>
      </c>
      <c r="BZ131" s="263"/>
      <c r="CA131" s="263" t="str">
        <f t="shared" si="112"/>
        <v/>
      </c>
      <c r="CB131" s="263" t="str">
        <f t="shared" si="89"/>
        <v/>
      </c>
      <c r="CC131" s="263" t="str">
        <f t="shared" si="113"/>
        <v/>
      </c>
      <c r="CD131" s="263" t="str">
        <f t="shared" si="90"/>
        <v/>
      </c>
      <c r="CE131" s="263" t="str">
        <f t="shared" si="96"/>
        <v/>
      </c>
      <c r="CF131" s="263" t="str">
        <f t="shared" si="114"/>
        <v/>
      </c>
      <c r="CG131" s="263" t="str">
        <f t="shared" si="115"/>
        <v/>
      </c>
      <c r="CH131" s="263"/>
      <c r="CI131" s="263" t="str">
        <f t="shared" si="91"/>
        <v/>
      </c>
      <c r="CJ131" s="263"/>
      <c r="CK131" s="263" t="str">
        <f t="shared" si="92"/>
        <v/>
      </c>
      <c r="CL131" s="264">
        <f t="shared" si="118"/>
        <v>0</v>
      </c>
      <c r="CM131" s="264">
        <f t="shared" si="94"/>
        <v>0</v>
      </c>
      <c r="CO131" s="265">
        <v>0.10339999999999999</v>
      </c>
      <c r="CP131" s="265">
        <v>0.10349999999999999</v>
      </c>
      <c r="CQ131" s="265">
        <v>0.10403999999999999</v>
      </c>
      <c r="CS131" s="265">
        <v>0.1045</v>
      </c>
      <c r="CT131" s="265">
        <v>0.10551000000000001</v>
      </c>
      <c r="CU131" s="265">
        <v>0.10666</v>
      </c>
      <c r="CV131" s="265">
        <v>0.10872999999999999</v>
      </c>
      <c r="CW131" s="265">
        <v>0.10894</v>
      </c>
      <c r="CY131" s="265">
        <v>0.10949</v>
      </c>
      <c r="DA131" s="265">
        <v>0.11118</v>
      </c>
      <c r="DC131" s="265">
        <v>0.1108</v>
      </c>
      <c r="DE131" s="265">
        <v>4.3499999999999997E-2</v>
      </c>
      <c r="DF131" s="265">
        <v>4.4299999999999999E-2</v>
      </c>
      <c r="DH131" s="265">
        <v>4.5620000000000001E-2</v>
      </c>
      <c r="DI131" s="265">
        <v>4.7500000000000001E-2</v>
      </c>
      <c r="DJ131" s="265">
        <v>4.795E-2</v>
      </c>
      <c r="DL131" s="265">
        <v>4.6189999999999995E-2</v>
      </c>
      <c r="DO131" s="264" t="e">
        <f t="shared" si="120"/>
        <v>#N/A</v>
      </c>
      <c r="DP131" s="264" t="e" cm="1">
        <f t="array" ref="DP131">+INDEX(AH131:AV131,MATCH(DO131,AH131:AV131,1)+1)</f>
        <v>#N/A</v>
      </c>
      <c r="DQ131" s="265" t="e">
        <f t="shared" si="121"/>
        <v>#N/A</v>
      </c>
      <c r="DR131" s="267" t="e">
        <f t="shared" si="122"/>
        <v>#N/A</v>
      </c>
      <c r="DS131" s="267" t="e">
        <f t="shared" si="123"/>
        <v>#N/A</v>
      </c>
      <c r="DT131" s="268" t="e">
        <f t="shared" si="124"/>
        <v>#N/A</v>
      </c>
      <c r="DU131" s="268" t="e" cm="1">
        <f t="array" ref="DU131">+INDEX(AX131:BF131,MATCH(DT131,AX131:BF131,1)+1)</f>
        <v>#N/A</v>
      </c>
      <c r="DV131" s="267" t="e">
        <f t="shared" si="104"/>
        <v>#N/A</v>
      </c>
      <c r="DW131" s="267" t="e">
        <f t="shared" si="125"/>
        <v>#N/A</v>
      </c>
      <c r="DX131" s="267" t="e">
        <f t="shared" si="126"/>
        <v>#N/A</v>
      </c>
      <c r="DY131" s="267">
        <f t="shared" si="119"/>
        <v>0.1143</v>
      </c>
      <c r="DZ131" s="205" t="e">
        <f t="shared" si="108"/>
        <v>#N/A</v>
      </c>
      <c r="EA131" s="205">
        <f t="shared" si="109"/>
        <v>0</v>
      </c>
    </row>
    <row r="132" spans="2:131">
      <c r="B132" s="272">
        <v>45184</v>
      </c>
      <c r="C132" s="271">
        <v>45184</v>
      </c>
      <c r="D132" s="263" t="e">
        <f>+SUMIFS(Tabla6[Nominal COP],Tabla6[Concepto],COSTO_OPORTUNIDAD!$B$18,Tabla6[Nemotécnico],COSTO_OPORTUNIDAD!D$16,Tabla6[Fecha Cumplimiento y/ liquidacion],COSTO_OPORTUNIDAD!$C132)/+SUMIFS(Tabla6[Nominal COP],Tabla6[Concepto],COSTO_OPORTUNIDAD!$B$18,Tabla6[Fecha Cumplimiento y/ liquidacion],COSTO_OPORTUNIDAD!$C132)</f>
        <v>#DIV/0!</v>
      </c>
      <c r="E132" s="263" t="e">
        <f>+SUMIFS(Tabla6[Nominal COP],Tabla6[Concepto],COSTO_OPORTUNIDAD!$B$18,Tabla6[Nemotécnico],COSTO_OPORTUNIDAD!E$16,Tabla6[Fecha Cumplimiento y/ liquidacion],COSTO_OPORTUNIDAD!$C132)/+SUMIFS(Tabla6[Nominal COP],Tabla6[Concepto],COSTO_OPORTUNIDAD!$B$18,Tabla6[Fecha Cumplimiento y/ liquidacion],COSTO_OPORTUNIDAD!$C132)</f>
        <v>#DIV/0!</v>
      </c>
      <c r="F132" s="263"/>
      <c r="G132" s="263"/>
      <c r="H132" s="263">
        <v>0.16030534351145037</v>
      </c>
      <c r="I132" s="263"/>
      <c r="J132" s="263">
        <v>0</v>
      </c>
      <c r="K132" s="263">
        <v>0</v>
      </c>
      <c r="L132" s="263"/>
      <c r="M132" s="263">
        <v>0.4580152671755725</v>
      </c>
      <c r="N132" s="263"/>
      <c r="O132" s="263"/>
      <c r="P132" s="263">
        <v>0</v>
      </c>
      <c r="Q132" s="263"/>
      <c r="R132" s="263">
        <v>0.38167938931297712</v>
      </c>
      <c r="S132" s="263"/>
      <c r="T132" s="263">
        <v>0</v>
      </c>
      <c r="U132" s="263"/>
      <c r="V132" s="263">
        <v>0</v>
      </c>
      <c r="W132" s="263">
        <v>0</v>
      </c>
      <c r="X132" s="263">
        <v>0</v>
      </c>
      <c r="Y132" s="263"/>
      <c r="Z132" s="263">
        <v>0</v>
      </c>
      <c r="AA132" s="263">
        <v>0</v>
      </c>
      <c r="AB132" s="263">
        <v>0</v>
      </c>
      <c r="AC132" s="263"/>
      <c r="AD132" s="263">
        <v>0</v>
      </c>
      <c r="AE132" s="263"/>
      <c r="AF132" s="263"/>
      <c r="AG132" s="262"/>
      <c r="AH132" s="274">
        <f t="shared" si="58"/>
        <v>1076</v>
      </c>
      <c r="AI132" s="274">
        <f t="shared" si="59"/>
        <v>1510</v>
      </c>
      <c r="AJ132" s="274">
        <f t="shared" si="60"/>
        <v>1687</v>
      </c>
      <c r="AK132" s="274">
        <f t="shared" si="54"/>
        <v>2168</v>
      </c>
      <c r="AL132" s="274">
        <f t="shared" si="61"/>
        <v>2560</v>
      </c>
      <c r="AM132" s="274">
        <f t="shared" si="62"/>
        <v>2749</v>
      </c>
      <c r="AN132" s="274">
        <f t="shared" si="63"/>
        <v>3211</v>
      </c>
      <c r="AO132" s="274">
        <f t="shared" si="117"/>
        <v>3435</v>
      </c>
      <c r="AP132" s="274">
        <f t="shared" si="64"/>
        <v>4051</v>
      </c>
      <c r="AQ132" s="274"/>
      <c r="AR132" s="274">
        <f t="shared" si="65"/>
        <v>4681</v>
      </c>
      <c r="AS132" s="274">
        <f t="shared" si="55"/>
        <v>6284</v>
      </c>
      <c r="AT132" s="274">
        <f t="shared" si="66"/>
        <v>6830</v>
      </c>
      <c r="AU132" s="274"/>
      <c r="AV132" s="274">
        <f t="shared" si="67"/>
        <v>9903</v>
      </c>
      <c r="AW132" s="274"/>
      <c r="AX132" s="274">
        <f t="shared" si="68"/>
        <v>600</v>
      </c>
      <c r="AY132" s="274">
        <f t="shared" si="69"/>
        <v>1279</v>
      </c>
      <c r="AZ132" s="274">
        <f t="shared" si="70"/>
        <v>2042</v>
      </c>
      <c r="BA132" s="274"/>
      <c r="BB132" s="274">
        <f t="shared" si="71"/>
        <v>3479</v>
      </c>
      <c r="BC132" s="274">
        <f t="shared" si="72"/>
        <v>4219</v>
      </c>
      <c r="BD132" s="274">
        <f t="shared" si="73"/>
        <v>4912</v>
      </c>
      <c r="BE132" s="274"/>
      <c r="BF132" s="274">
        <f t="shared" si="74"/>
        <v>9406</v>
      </c>
      <c r="BG132" s="274"/>
      <c r="BH132" s="274"/>
      <c r="BI132" s="266">
        <f t="shared" si="75"/>
        <v>0</v>
      </c>
      <c r="BJ132" s="266" t="e">
        <f t="shared" si="76"/>
        <v>#DIV/0!</v>
      </c>
      <c r="BK132" s="263" t="str">
        <f t="shared" si="77"/>
        <v/>
      </c>
      <c r="BL132" s="263" t="str">
        <f t="shared" si="78"/>
        <v/>
      </c>
      <c r="BM132" s="263" t="str">
        <f t="shared" si="79"/>
        <v/>
      </c>
      <c r="BN132" s="263"/>
      <c r="BO132" s="263" t="str">
        <f t="shared" si="80"/>
        <v/>
      </c>
      <c r="BP132" s="263" t="str">
        <f t="shared" si="81"/>
        <v/>
      </c>
      <c r="BQ132" s="263" t="str">
        <f t="shared" si="82"/>
        <v/>
      </c>
      <c r="BR132" s="263" t="str">
        <f t="shared" si="83"/>
        <v/>
      </c>
      <c r="BS132" s="263" t="str">
        <f t="shared" si="84"/>
        <v/>
      </c>
      <c r="BT132" s="263" t="str">
        <f t="shared" si="85"/>
        <v/>
      </c>
      <c r="BU132" s="263" t="str">
        <f t="shared" si="86"/>
        <v/>
      </c>
      <c r="BV132" s="263"/>
      <c r="BW132" s="263" t="str">
        <f t="shared" si="87"/>
        <v/>
      </c>
      <c r="BX132" s="263"/>
      <c r="BY132" s="263" t="str">
        <f t="shared" si="88"/>
        <v/>
      </c>
      <c r="BZ132" s="263"/>
      <c r="CA132" s="263" t="str">
        <f t="shared" si="112"/>
        <v/>
      </c>
      <c r="CB132" s="263" t="str">
        <f t="shared" si="89"/>
        <v/>
      </c>
      <c r="CC132" s="263" t="str">
        <f t="shared" si="113"/>
        <v/>
      </c>
      <c r="CD132" s="263" t="str">
        <f t="shared" si="90"/>
        <v/>
      </c>
      <c r="CE132" s="263" t="str">
        <f t="shared" si="96"/>
        <v/>
      </c>
      <c r="CF132" s="263" t="str">
        <f t="shared" si="114"/>
        <v/>
      </c>
      <c r="CG132" s="263" t="str">
        <f t="shared" si="115"/>
        <v/>
      </c>
      <c r="CH132" s="263"/>
      <c r="CI132" s="263" t="str">
        <f t="shared" si="91"/>
        <v/>
      </c>
      <c r="CJ132" s="263"/>
      <c r="CK132" s="263" t="str">
        <f t="shared" si="92"/>
        <v/>
      </c>
      <c r="CL132" s="264">
        <f t="shared" si="118"/>
        <v>0</v>
      </c>
      <c r="CM132" s="264">
        <f t="shared" si="94"/>
        <v>0</v>
      </c>
      <c r="CO132" s="265">
        <v>0.10263</v>
      </c>
      <c r="CP132" s="265">
        <v>0.10300000000000001</v>
      </c>
      <c r="CQ132" s="265">
        <v>0.10279999999999999</v>
      </c>
      <c r="CS132" s="265">
        <v>0.10366</v>
      </c>
      <c r="CT132" s="265">
        <v>0.10551000000000001</v>
      </c>
      <c r="CU132" s="265">
        <v>0.10722</v>
      </c>
      <c r="CV132" s="265">
        <v>0.10877000000000001</v>
      </c>
      <c r="CW132" s="265">
        <v>0.11</v>
      </c>
      <c r="CY132" s="265">
        <v>0.1099</v>
      </c>
      <c r="DA132" s="265">
        <v>0.11143</v>
      </c>
      <c r="DC132" s="265">
        <v>0.11026999999999999</v>
      </c>
      <c r="DE132" s="265">
        <v>4.36E-2</v>
      </c>
      <c r="DF132" s="265">
        <v>4.4409999999999998E-2</v>
      </c>
      <c r="DH132" s="265">
        <v>4.5499999999999999E-2</v>
      </c>
      <c r="DI132" s="265">
        <v>4.8090000000000001E-2</v>
      </c>
      <c r="DJ132" s="265">
        <v>4.8750000000000002E-2</v>
      </c>
      <c r="DL132" s="265">
        <v>4.7300000000000002E-2</v>
      </c>
      <c r="DO132" s="264" t="e">
        <f t="shared" si="120"/>
        <v>#N/A</v>
      </c>
      <c r="DP132" s="264" t="e" cm="1">
        <f t="array" ref="DP132">+INDEX(AH132:AV132,MATCH(DO132,AH132:AV132,1)+1)</f>
        <v>#N/A</v>
      </c>
      <c r="DQ132" s="265" t="e">
        <f t="shared" si="121"/>
        <v>#N/A</v>
      </c>
      <c r="DR132" s="267" t="e">
        <f t="shared" si="122"/>
        <v>#N/A</v>
      </c>
      <c r="DS132" s="267" t="e">
        <f t="shared" si="123"/>
        <v>#N/A</v>
      </c>
      <c r="DT132" s="268" t="e">
        <f t="shared" si="124"/>
        <v>#N/A</v>
      </c>
      <c r="DU132" s="268" t="e" cm="1">
        <f t="array" ref="DU132">+INDEX(AX132:BF132,MATCH(DT132,AX132:BF132,1)+1)</f>
        <v>#N/A</v>
      </c>
      <c r="DV132" s="267" t="e">
        <f t="shared" si="104"/>
        <v>#N/A</v>
      </c>
      <c r="DW132" s="267" t="e">
        <f t="shared" si="125"/>
        <v>#N/A</v>
      </c>
      <c r="DX132" s="267" t="e">
        <f t="shared" si="126"/>
        <v>#N/A</v>
      </c>
      <c r="DY132" s="267">
        <f t="shared" si="119"/>
        <v>0.1143</v>
      </c>
      <c r="DZ132" s="205" t="e">
        <f t="shared" si="108"/>
        <v>#N/A</v>
      </c>
      <c r="EA132" s="205">
        <f t="shared" si="109"/>
        <v>0</v>
      </c>
    </row>
    <row r="133" spans="2:131">
      <c r="B133" s="272">
        <v>45188</v>
      </c>
      <c r="C133" s="271">
        <v>45188</v>
      </c>
      <c r="D133" s="263" t="e">
        <f>+SUMIFS(Tabla6[Nominal COP],Tabla6[Concepto],COSTO_OPORTUNIDAD!$B$18,Tabla6[Nemotécnico],COSTO_OPORTUNIDAD!D$16,Tabla6[Fecha Cumplimiento y/ liquidacion],COSTO_OPORTUNIDAD!$C133)/+SUMIFS(Tabla6[Nominal COP],Tabla6[Concepto],COSTO_OPORTUNIDAD!$B$18,Tabla6[Fecha Cumplimiento y/ liquidacion],COSTO_OPORTUNIDAD!$C133)</f>
        <v>#DIV/0!</v>
      </c>
      <c r="E133" s="263" t="e">
        <f>+SUMIFS(Tabla6[Nominal COP],Tabla6[Concepto],COSTO_OPORTUNIDAD!$B$18,Tabla6[Nemotécnico],COSTO_OPORTUNIDAD!E$16,Tabla6[Fecha Cumplimiento y/ liquidacion],COSTO_OPORTUNIDAD!$C133)/+SUMIFS(Tabla6[Nominal COP],Tabla6[Concepto],COSTO_OPORTUNIDAD!$B$18,Tabla6[Fecha Cumplimiento y/ liquidacion],COSTO_OPORTUNIDAD!$C133)</f>
        <v>#DIV/0!</v>
      </c>
      <c r="F133" s="263"/>
      <c r="G133" s="263"/>
      <c r="H133" s="263">
        <v>9.2936802973977689E-2</v>
      </c>
      <c r="I133" s="263"/>
      <c r="J133" s="263">
        <v>0</v>
      </c>
      <c r="K133" s="263">
        <v>0</v>
      </c>
      <c r="L133" s="263"/>
      <c r="M133" s="263">
        <v>0.47583643122676578</v>
      </c>
      <c r="N133" s="263"/>
      <c r="O133" s="263"/>
      <c r="P133" s="263">
        <v>0</v>
      </c>
      <c r="Q133" s="263"/>
      <c r="R133" s="263">
        <v>0.43122676579925651</v>
      </c>
      <c r="S133" s="263"/>
      <c r="T133" s="263">
        <v>0</v>
      </c>
      <c r="U133" s="263"/>
      <c r="V133" s="263">
        <v>0</v>
      </c>
      <c r="W133" s="263">
        <v>0</v>
      </c>
      <c r="X133" s="263">
        <v>0</v>
      </c>
      <c r="Y133" s="263"/>
      <c r="Z133" s="263">
        <v>0</v>
      </c>
      <c r="AA133" s="263">
        <v>0</v>
      </c>
      <c r="AB133" s="263">
        <v>0</v>
      </c>
      <c r="AC133" s="263"/>
      <c r="AD133" s="263">
        <v>0</v>
      </c>
      <c r="AE133" s="263"/>
      <c r="AF133" s="263"/>
      <c r="AG133" s="262"/>
      <c r="AH133" s="274">
        <f t="shared" si="58"/>
        <v>1072</v>
      </c>
      <c r="AI133" s="274">
        <f t="shared" si="59"/>
        <v>1506</v>
      </c>
      <c r="AJ133" s="274">
        <f t="shared" si="60"/>
        <v>1683</v>
      </c>
      <c r="AK133" s="274">
        <f t="shared" si="54"/>
        <v>2164</v>
      </c>
      <c r="AL133" s="274">
        <f t="shared" si="61"/>
        <v>2556</v>
      </c>
      <c r="AM133" s="274">
        <f t="shared" si="62"/>
        <v>2745</v>
      </c>
      <c r="AN133" s="274">
        <f t="shared" si="63"/>
        <v>3207</v>
      </c>
      <c r="AO133" s="274">
        <f t="shared" si="117"/>
        <v>3431</v>
      </c>
      <c r="AP133" s="274">
        <f t="shared" si="64"/>
        <v>4047</v>
      </c>
      <c r="AQ133" s="274"/>
      <c r="AR133" s="274">
        <f t="shared" si="65"/>
        <v>4677</v>
      </c>
      <c r="AS133" s="274">
        <f t="shared" si="55"/>
        <v>6280</v>
      </c>
      <c r="AT133" s="274">
        <f t="shared" si="66"/>
        <v>6826</v>
      </c>
      <c r="AU133" s="274"/>
      <c r="AV133" s="274">
        <f t="shared" si="67"/>
        <v>9899</v>
      </c>
      <c r="AW133" s="274"/>
      <c r="AX133" s="274">
        <f t="shared" si="68"/>
        <v>596</v>
      </c>
      <c r="AY133" s="274">
        <f t="shared" si="69"/>
        <v>1275</v>
      </c>
      <c r="AZ133" s="274">
        <f t="shared" si="70"/>
        <v>2038</v>
      </c>
      <c r="BA133" s="274"/>
      <c r="BB133" s="274">
        <f t="shared" si="71"/>
        <v>3475</v>
      </c>
      <c r="BC133" s="274">
        <f t="shared" si="72"/>
        <v>4215</v>
      </c>
      <c r="BD133" s="274">
        <f t="shared" si="73"/>
        <v>4908</v>
      </c>
      <c r="BE133" s="274"/>
      <c r="BF133" s="274">
        <f t="shared" si="74"/>
        <v>9402</v>
      </c>
      <c r="BG133" s="274"/>
      <c r="BH133" s="274"/>
      <c r="BI133" s="266">
        <f t="shared" si="75"/>
        <v>0</v>
      </c>
      <c r="BJ133" s="266" t="e">
        <f t="shared" si="76"/>
        <v>#DIV/0!</v>
      </c>
      <c r="BK133" s="263" t="str">
        <f t="shared" si="77"/>
        <v/>
      </c>
      <c r="BL133" s="263" t="str">
        <f t="shared" si="78"/>
        <v/>
      </c>
      <c r="BM133" s="263" t="str">
        <f t="shared" si="79"/>
        <v/>
      </c>
      <c r="BN133" s="263"/>
      <c r="BO133" s="263" t="str">
        <f t="shared" si="80"/>
        <v/>
      </c>
      <c r="BP133" s="263" t="str">
        <f t="shared" si="81"/>
        <v/>
      </c>
      <c r="BQ133" s="263" t="str">
        <f t="shared" si="82"/>
        <v/>
      </c>
      <c r="BR133" s="263" t="str">
        <f t="shared" si="83"/>
        <v/>
      </c>
      <c r="BS133" s="263" t="str">
        <f t="shared" si="84"/>
        <v/>
      </c>
      <c r="BT133" s="263" t="str">
        <f t="shared" si="85"/>
        <v/>
      </c>
      <c r="BU133" s="263" t="str">
        <f t="shared" si="86"/>
        <v/>
      </c>
      <c r="BV133" s="263"/>
      <c r="BW133" s="263" t="str">
        <f t="shared" si="87"/>
        <v/>
      </c>
      <c r="BX133" s="263"/>
      <c r="BY133" s="263" t="str">
        <f t="shared" si="88"/>
        <v/>
      </c>
      <c r="BZ133" s="263"/>
      <c r="CA133" s="263" t="str">
        <f t="shared" si="112"/>
        <v/>
      </c>
      <c r="CB133" s="263" t="str">
        <f t="shared" si="89"/>
        <v/>
      </c>
      <c r="CC133" s="263" t="str">
        <f t="shared" si="113"/>
        <v/>
      </c>
      <c r="CD133" s="263" t="str">
        <f t="shared" si="90"/>
        <v/>
      </c>
      <c r="CE133" s="263" t="str">
        <f t="shared" si="96"/>
        <v/>
      </c>
      <c r="CF133" s="263" t="str">
        <f t="shared" si="114"/>
        <v/>
      </c>
      <c r="CG133" s="263" t="str">
        <f t="shared" si="115"/>
        <v/>
      </c>
      <c r="CH133" s="263"/>
      <c r="CI133" s="263" t="str">
        <f t="shared" si="91"/>
        <v/>
      </c>
      <c r="CJ133" s="263"/>
      <c r="CK133" s="263" t="str">
        <f t="shared" si="92"/>
        <v/>
      </c>
      <c r="CL133" s="264">
        <f t="shared" si="118"/>
        <v>0</v>
      </c>
      <c r="CM133" s="264">
        <f t="shared" si="94"/>
        <v>0</v>
      </c>
      <c r="CO133" s="265">
        <v>0.10300000000000001</v>
      </c>
      <c r="CP133" s="265">
        <v>0.1038</v>
      </c>
      <c r="CQ133" s="265">
        <v>0.10400000000000001</v>
      </c>
      <c r="CS133" s="265">
        <v>0.10497999999999999</v>
      </c>
      <c r="CT133" s="265">
        <v>0.106</v>
      </c>
      <c r="CU133" s="265">
        <v>0.10909000000000001</v>
      </c>
      <c r="CV133" s="265">
        <v>0.111</v>
      </c>
      <c r="CW133" s="265">
        <v>0.11051</v>
      </c>
      <c r="CY133" s="265">
        <v>0.11130000000000001</v>
      </c>
      <c r="DA133" s="265">
        <v>0.11365</v>
      </c>
      <c r="DC133" s="265">
        <v>0.11175</v>
      </c>
      <c r="DE133" s="265">
        <v>4.4089999999999997E-2</v>
      </c>
      <c r="DF133" s="265">
        <v>4.6399999999999997E-2</v>
      </c>
      <c r="DH133" s="265">
        <v>4.7500000000000001E-2</v>
      </c>
      <c r="DI133" s="265">
        <v>5.0499999999999996E-2</v>
      </c>
      <c r="DJ133" s="265">
        <v>5.0900000000000001E-2</v>
      </c>
      <c r="DL133" s="265">
        <v>4.9429999999999995E-2</v>
      </c>
      <c r="DO133" s="264" t="e">
        <f t="shared" si="120"/>
        <v>#N/A</v>
      </c>
      <c r="DP133" s="264" t="e" cm="1">
        <f t="array" ref="DP133">+INDEX(AH133:AV133,MATCH(DO133,AH133:AV133,1)+1)</f>
        <v>#N/A</v>
      </c>
      <c r="DQ133" s="265" t="e">
        <f t="shared" si="121"/>
        <v>#N/A</v>
      </c>
      <c r="DR133" s="267" t="e">
        <f t="shared" si="122"/>
        <v>#N/A</v>
      </c>
      <c r="DS133" s="267" t="e">
        <f t="shared" si="123"/>
        <v>#N/A</v>
      </c>
      <c r="DT133" s="268" t="e">
        <f t="shared" si="124"/>
        <v>#N/A</v>
      </c>
      <c r="DU133" s="268" t="e" cm="1">
        <f t="array" ref="DU133">+INDEX(AX133:BF133,MATCH(DT133,AX133:BF133,1)+1)</f>
        <v>#N/A</v>
      </c>
      <c r="DV133" s="267" t="e">
        <f t="shared" si="104"/>
        <v>#N/A</v>
      </c>
      <c r="DW133" s="267" t="e">
        <f t="shared" si="125"/>
        <v>#N/A</v>
      </c>
      <c r="DX133" s="267" t="e">
        <f t="shared" si="126"/>
        <v>#N/A</v>
      </c>
      <c r="DY133" s="267">
        <f t="shared" si="119"/>
        <v>0.1143</v>
      </c>
      <c r="DZ133" s="205" t="e">
        <f t="shared" si="108"/>
        <v>#N/A</v>
      </c>
      <c r="EA133" s="205">
        <f t="shared" si="109"/>
        <v>0</v>
      </c>
    </row>
    <row r="134" spans="2:131">
      <c r="B134" s="272">
        <v>45189</v>
      </c>
      <c r="C134" s="271">
        <v>45189</v>
      </c>
      <c r="D134" s="263" t="e">
        <f>+SUMIFS(Tabla6[Nominal COP],Tabla6[Concepto],COSTO_OPORTUNIDAD!$B$18,Tabla6[Nemotécnico],COSTO_OPORTUNIDAD!D$16,Tabla6[Fecha Cumplimiento y/ liquidacion],COSTO_OPORTUNIDAD!$C134)/+SUMIFS(Tabla6[Nominal COP],Tabla6[Concepto],COSTO_OPORTUNIDAD!$B$18,Tabla6[Fecha Cumplimiento y/ liquidacion],COSTO_OPORTUNIDAD!$C134)</f>
        <v>#DIV/0!</v>
      </c>
      <c r="E134" s="263" t="e">
        <f>+SUMIFS(Tabla6[Nominal COP],Tabla6[Concepto],COSTO_OPORTUNIDAD!$B$18,Tabla6[Nemotécnico],COSTO_OPORTUNIDAD!E$16,Tabla6[Fecha Cumplimiento y/ liquidacion],COSTO_OPORTUNIDAD!$C134)/+SUMIFS(Tabla6[Nominal COP],Tabla6[Concepto],COSTO_OPORTUNIDAD!$B$18,Tabla6[Fecha Cumplimiento y/ liquidacion],COSTO_OPORTUNIDAD!$C134)</f>
        <v>#DIV/0!</v>
      </c>
      <c r="F134" s="263"/>
      <c r="G134" s="263"/>
      <c r="H134" s="263">
        <v>0.17793594306049823</v>
      </c>
      <c r="I134" s="263"/>
      <c r="J134" s="263">
        <v>0</v>
      </c>
      <c r="K134" s="263">
        <v>0</v>
      </c>
      <c r="L134" s="263"/>
      <c r="M134" s="263">
        <v>0.46619217081850534</v>
      </c>
      <c r="N134" s="263"/>
      <c r="O134" s="263"/>
      <c r="P134" s="263">
        <v>0</v>
      </c>
      <c r="Q134" s="263"/>
      <c r="R134" s="263">
        <v>0.35587188612099646</v>
      </c>
      <c r="S134" s="263"/>
      <c r="T134" s="263">
        <v>0</v>
      </c>
      <c r="U134" s="263"/>
      <c r="V134" s="263">
        <v>0</v>
      </c>
      <c r="W134" s="263">
        <v>0</v>
      </c>
      <c r="X134" s="263">
        <v>0</v>
      </c>
      <c r="Y134" s="263"/>
      <c r="Z134" s="263">
        <v>0</v>
      </c>
      <c r="AA134" s="263">
        <v>0</v>
      </c>
      <c r="AB134" s="263">
        <v>0</v>
      </c>
      <c r="AC134" s="263"/>
      <c r="AD134" s="263">
        <v>0</v>
      </c>
      <c r="AE134" s="263"/>
      <c r="AF134" s="263"/>
      <c r="AG134" s="262"/>
      <c r="AH134" s="274">
        <f t="shared" si="58"/>
        <v>1071</v>
      </c>
      <c r="AI134" s="274">
        <f t="shared" si="59"/>
        <v>1505</v>
      </c>
      <c r="AJ134" s="274">
        <f t="shared" si="60"/>
        <v>1682</v>
      </c>
      <c r="AK134" s="274">
        <f t="shared" si="54"/>
        <v>2163</v>
      </c>
      <c r="AL134" s="274">
        <f t="shared" si="61"/>
        <v>2555</v>
      </c>
      <c r="AM134" s="274">
        <f t="shared" si="62"/>
        <v>2744</v>
      </c>
      <c r="AN134" s="274">
        <f t="shared" si="63"/>
        <v>3206</v>
      </c>
      <c r="AO134" s="274">
        <f t="shared" si="117"/>
        <v>3430</v>
      </c>
      <c r="AP134" s="274">
        <f t="shared" si="64"/>
        <v>4046</v>
      </c>
      <c r="AQ134" s="274"/>
      <c r="AR134" s="274">
        <f t="shared" si="65"/>
        <v>4676</v>
      </c>
      <c r="AS134" s="274">
        <f t="shared" si="55"/>
        <v>6279</v>
      </c>
      <c r="AT134" s="274">
        <f t="shared" si="66"/>
        <v>6825</v>
      </c>
      <c r="AU134" s="274"/>
      <c r="AV134" s="274">
        <f t="shared" si="67"/>
        <v>9898</v>
      </c>
      <c r="AW134" s="274"/>
      <c r="AX134" s="274">
        <f t="shared" si="68"/>
        <v>595</v>
      </c>
      <c r="AY134" s="274">
        <f t="shared" si="69"/>
        <v>1274</v>
      </c>
      <c r="AZ134" s="274">
        <f t="shared" si="70"/>
        <v>2037</v>
      </c>
      <c r="BA134" s="274"/>
      <c r="BB134" s="274">
        <f t="shared" si="71"/>
        <v>3474</v>
      </c>
      <c r="BC134" s="274">
        <f t="shared" si="72"/>
        <v>4214</v>
      </c>
      <c r="BD134" s="274">
        <f t="shared" si="73"/>
        <v>4907</v>
      </c>
      <c r="BE134" s="274"/>
      <c r="BF134" s="274">
        <f t="shared" si="74"/>
        <v>9401</v>
      </c>
      <c r="BG134" s="274"/>
      <c r="BH134" s="274"/>
      <c r="BI134" s="266">
        <f t="shared" si="75"/>
        <v>0</v>
      </c>
      <c r="BJ134" s="266" t="e">
        <f t="shared" si="76"/>
        <v>#DIV/0!</v>
      </c>
      <c r="BK134" s="263" t="str">
        <f t="shared" si="77"/>
        <v/>
      </c>
      <c r="BL134" s="263" t="str">
        <f t="shared" si="78"/>
        <v/>
      </c>
      <c r="BM134" s="263" t="str">
        <f t="shared" si="79"/>
        <v/>
      </c>
      <c r="BN134" s="263"/>
      <c r="BO134" s="263" t="str">
        <f t="shared" si="80"/>
        <v/>
      </c>
      <c r="BP134" s="263" t="str">
        <f t="shared" si="81"/>
        <v/>
      </c>
      <c r="BQ134" s="263" t="str">
        <f t="shared" si="82"/>
        <v/>
      </c>
      <c r="BR134" s="263" t="str">
        <f t="shared" si="83"/>
        <v/>
      </c>
      <c r="BS134" s="263" t="str">
        <f t="shared" si="84"/>
        <v/>
      </c>
      <c r="BT134" s="263" t="str">
        <f t="shared" si="85"/>
        <v/>
      </c>
      <c r="BU134" s="263" t="str">
        <f t="shared" si="86"/>
        <v/>
      </c>
      <c r="BV134" s="263"/>
      <c r="BW134" s="263" t="str">
        <f t="shared" si="87"/>
        <v/>
      </c>
      <c r="BX134" s="263"/>
      <c r="BY134" s="263" t="str">
        <f t="shared" si="88"/>
        <v/>
      </c>
      <c r="BZ134" s="263"/>
      <c r="CA134" s="263" t="str">
        <f t="shared" si="112"/>
        <v/>
      </c>
      <c r="CB134" s="263" t="str">
        <f t="shared" si="89"/>
        <v/>
      </c>
      <c r="CC134" s="263" t="str">
        <f t="shared" si="113"/>
        <v/>
      </c>
      <c r="CD134" s="263" t="str">
        <f t="shared" si="90"/>
        <v/>
      </c>
      <c r="CE134" s="263" t="str">
        <f t="shared" si="96"/>
        <v/>
      </c>
      <c r="CF134" s="263" t="str">
        <f t="shared" si="114"/>
        <v/>
      </c>
      <c r="CG134" s="263" t="str">
        <f t="shared" si="115"/>
        <v/>
      </c>
      <c r="CH134" s="263"/>
      <c r="CI134" s="263" t="str">
        <f t="shared" si="91"/>
        <v/>
      </c>
      <c r="CJ134" s="263"/>
      <c r="CK134" s="263" t="str">
        <f t="shared" si="92"/>
        <v/>
      </c>
      <c r="CL134" s="264">
        <f t="shared" si="118"/>
        <v>0</v>
      </c>
      <c r="CM134" s="264">
        <f t="shared" si="94"/>
        <v>0</v>
      </c>
      <c r="CO134" s="265">
        <v>0.10339999999999999</v>
      </c>
      <c r="CP134" s="265">
        <v>0.1042</v>
      </c>
      <c r="CQ134" s="265">
        <v>0.10439</v>
      </c>
      <c r="CS134" s="265">
        <v>0.10609</v>
      </c>
      <c r="CT134" s="265">
        <v>0.10715</v>
      </c>
      <c r="CU134" s="265">
        <v>0.10954000000000001</v>
      </c>
      <c r="CV134" s="265">
        <v>0.11134000000000001</v>
      </c>
      <c r="CW134" s="265">
        <v>0.11105000000000001</v>
      </c>
      <c r="CY134" s="265">
        <v>0.11148</v>
      </c>
      <c r="DA134" s="265">
        <v>0.11380000000000001</v>
      </c>
      <c r="DC134" s="265">
        <v>0.11286</v>
      </c>
      <c r="DE134" s="265">
        <v>4.5060000000000003E-2</v>
      </c>
      <c r="DF134" s="265">
        <v>4.641E-2</v>
      </c>
      <c r="DH134" s="265">
        <v>4.7500000000000001E-2</v>
      </c>
      <c r="DI134" s="265">
        <v>0.05</v>
      </c>
      <c r="DJ134" s="265">
        <v>5.0799999999999998E-2</v>
      </c>
      <c r="DL134" s="265">
        <v>4.9699999999999994E-2</v>
      </c>
      <c r="DO134" s="264" t="e">
        <f t="shared" si="120"/>
        <v>#N/A</v>
      </c>
      <c r="DP134" s="264" t="e" cm="1">
        <f t="array" ref="DP134">+INDEX(AH134:AV134,MATCH(DO134,AH134:AV134,1)+1)</f>
        <v>#N/A</v>
      </c>
      <c r="DQ134" s="265" t="e">
        <f t="shared" si="121"/>
        <v>#N/A</v>
      </c>
      <c r="DR134" s="267" t="e">
        <f t="shared" si="122"/>
        <v>#N/A</v>
      </c>
      <c r="DS134" s="267" t="e">
        <f t="shared" si="123"/>
        <v>#N/A</v>
      </c>
      <c r="DT134" s="268" t="e">
        <f t="shared" si="124"/>
        <v>#N/A</v>
      </c>
      <c r="DU134" s="268" t="e" cm="1">
        <f t="array" ref="DU134">+INDEX(AX134:BF134,MATCH(DT134,AX134:BF134,1)+1)</f>
        <v>#N/A</v>
      </c>
      <c r="DV134" s="267" t="e">
        <f t="shared" si="104"/>
        <v>#N/A</v>
      </c>
      <c r="DW134" s="267" t="e">
        <f t="shared" si="125"/>
        <v>#N/A</v>
      </c>
      <c r="DX134" s="267" t="e">
        <f t="shared" si="126"/>
        <v>#N/A</v>
      </c>
      <c r="DY134" s="267">
        <f t="shared" si="119"/>
        <v>0.1143</v>
      </c>
      <c r="DZ134" s="205" t="e">
        <f t="shared" si="108"/>
        <v>#N/A</v>
      </c>
      <c r="EA134" s="205">
        <f t="shared" si="109"/>
        <v>0</v>
      </c>
    </row>
    <row r="135" spans="2:131">
      <c r="B135" s="272">
        <v>45190</v>
      </c>
      <c r="C135" s="271">
        <v>45190</v>
      </c>
      <c r="D135" s="263" t="e">
        <f>+SUMIFS(Tabla6[Nominal COP],Tabla6[Concepto],COSTO_OPORTUNIDAD!$B$18,Tabla6[Nemotécnico],COSTO_OPORTUNIDAD!D$16,Tabla6[Fecha Cumplimiento y/ liquidacion],COSTO_OPORTUNIDAD!$C135)/+SUMIFS(Tabla6[Nominal COP],Tabla6[Concepto],COSTO_OPORTUNIDAD!$B$18,Tabla6[Fecha Cumplimiento y/ liquidacion],COSTO_OPORTUNIDAD!$C135)</f>
        <v>#DIV/0!</v>
      </c>
      <c r="E135" s="263" t="e">
        <f>+SUMIFS(Tabla6[Nominal COP],Tabla6[Concepto],COSTO_OPORTUNIDAD!$B$18,Tabla6[Nemotécnico],COSTO_OPORTUNIDAD!E$16,Tabla6[Fecha Cumplimiento y/ liquidacion],COSTO_OPORTUNIDAD!$C135)/+SUMIFS(Tabla6[Nominal COP],Tabla6[Concepto],COSTO_OPORTUNIDAD!$B$18,Tabla6[Fecha Cumplimiento y/ liquidacion],COSTO_OPORTUNIDAD!$C135)</f>
        <v>#DIV/0!</v>
      </c>
      <c r="F135" s="263"/>
      <c r="G135" s="263"/>
      <c r="H135" s="263">
        <v>0.18699186991869918</v>
      </c>
      <c r="I135" s="263"/>
      <c r="J135" s="263">
        <v>0</v>
      </c>
      <c r="K135" s="263">
        <v>0</v>
      </c>
      <c r="L135" s="263"/>
      <c r="M135" s="263">
        <v>0.51626016260162599</v>
      </c>
      <c r="N135" s="263"/>
      <c r="O135" s="263"/>
      <c r="P135" s="263">
        <v>0</v>
      </c>
      <c r="Q135" s="263"/>
      <c r="R135" s="263">
        <v>0.2967479674796748</v>
      </c>
      <c r="S135" s="263"/>
      <c r="T135" s="263">
        <v>0</v>
      </c>
      <c r="U135" s="263"/>
      <c r="V135" s="263">
        <v>0</v>
      </c>
      <c r="W135" s="263">
        <v>0</v>
      </c>
      <c r="X135" s="263">
        <v>0</v>
      </c>
      <c r="Y135" s="263"/>
      <c r="Z135" s="263">
        <v>0</v>
      </c>
      <c r="AA135" s="263">
        <v>0</v>
      </c>
      <c r="AB135" s="263">
        <v>0</v>
      </c>
      <c r="AC135" s="263"/>
      <c r="AD135" s="263">
        <v>0</v>
      </c>
      <c r="AE135" s="263"/>
      <c r="AF135" s="263"/>
      <c r="AG135" s="262"/>
      <c r="AH135" s="274">
        <f t="shared" si="58"/>
        <v>1070</v>
      </c>
      <c r="AI135" s="274">
        <f t="shared" si="59"/>
        <v>1504</v>
      </c>
      <c r="AJ135" s="274">
        <f t="shared" si="60"/>
        <v>1681</v>
      </c>
      <c r="AK135" s="274">
        <f t="shared" si="54"/>
        <v>2162</v>
      </c>
      <c r="AL135" s="274">
        <f t="shared" si="61"/>
        <v>2554</v>
      </c>
      <c r="AM135" s="274">
        <f t="shared" si="62"/>
        <v>2743</v>
      </c>
      <c r="AN135" s="274">
        <f t="shared" si="63"/>
        <v>3205</v>
      </c>
      <c r="AO135" s="274">
        <f t="shared" si="117"/>
        <v>3429</v>
      </c>
      <c r="AP135" s="274">
        <f t="shared" si="64"/>
        <v>4045</v>
      </c>
      <c r="AQ135" s="274"/>
      <c r="AR135" s="274">
        <f t="shared" si="65"/>
        <v>4675</v>
      </c>
      <c r="AS135" s="274">
        <f t="shared" si="55"/>
        <v>6278</v>
      </c>
      <c r="AT135" s="274">
        <f t="shared" si="66"/>
        <v>6824</v>
      </c>
      <c r="AU135" s="274"/>
      <c r="AV135" s="274">
        <f t="shared" si="67"/>
        <v>9897</v>
      </c>
      <c r="AW135" s="274"/>
      <c r="AX135" s="274">
        <f t="shared" si="68"/>
        <v>594</v>
      </c>
      <c r="AY135" s="274">
        <f t="shared" si="69"/>
        <v>1273</v>
      </c>
      <c r="AZ135" s="274">
        <f t="shared" si="70"/>
        <v>2036</v>
      </c>
      <c r="BA135" s="274"/>
      <c r="BB135" s="274">
        <f t="shared" si="71"/>
        <v>3473</v>
      </c>
      <c r="BC135" s="274">
        <f t="shared" si="72"/>
        <v>4213</v>
      </c>
      <c r="BD135" s="274">
        <f t="shared" si="73"/>
        <v>4906</v>
      </c>
      <c r="BE135" s="274"/>
      <c r="BF135" s="274">
        <f t="shared" si="74"/>
        <v>9400</v>
      </c>
      <c r="BG135" s="274"/>
      <c r="BH135" s="274"/>
      <c r="BI135" s="266">
        <f t="shared" si="75"/>
        <v>0</v>
      </c>
      <c r="BJ135" s="266" t="e">
        <f t="shared" si="76"/>
        <v>#DIV/0!</v>
      </c>
      <c r="BK135" s="263" t="str">
        <f t="shared" si="77"/>
        <v/>
      </c>
      <c r="BL135" s="263" t="str">
        <f t="shared" si="78"/>
        <v/>
      </c>
      <c r="BM135" s="263" t="str">
        <f t="shared" si="79"/>
        <v/>
      </c>
      <c r="BN135" s="263"/>
      <c r="BO135" s="263" t="str">
        <f t="shared" si="80"/>
        <v/>
      </c>
      <c r="BP135" s="263" t="str">
        <f t="shared" si="81"/>
        <v/>
      </c>
      <c r="BQ135" s="263" t="str">
        <f t="shared" si="82"/>
        <v/>
      </c>
      <c r="BR135" s="263" t="str">
        <f t="shared" si="83"/>
        <v/>
      </c>
      <c r="BS135" s="263" t="str">
        <f t="shared" si="84"/>
        <v/>
      </c>
      <c r="BT135" s="263" t="str">
        <f t="shared" si="85"/>
        <v/>
      </c>
      <c r="BU135" s="263" t="str">
        <f t="shared" si="86"/>
        <v/>
      </c>
      <c r="BV135" s="263"/>
      <c r="BW135" s="263" t="str">
        <f t="shared" si="87"/>
        <v/>
      </c>
      <c r="BX135" s="263"/>
      <c r="BY135" s="263" t="str">
        <f t="shared" si="88"/>
        <v/>
      </c>
      <c r="BZ135" s="263"/>
      <c r="CA135" s="263" t="str">
        <f t="shared" si="112"/>
        <v/>
      </c>
      <c r="CB135" s="263" t="str">
        <f t="shared" si="89"/>
        <v/>
      </c>
      <c r="CC135" s="263" t="str">
        <f t="shared" si="113"/>
        <v/>
      </c>
      <c r="CD135" s="263" t="str">
        <f t="shared" si="90"/>
        <v/>
      </c>
      <c r="CE135" s="263" t="str">
        <f t="shared" si="96"/>
        <v/>
      </c>
      <c r="CF135" s="263" t="str">
        <f t="shared" si="114"/>
        <v/>
      </c>
      <c r="CG135" s="263" t="str">
        <f t="shared" si="115"/>
        <v/>
      </c>
      <c r="CH135" s="263"/>
      <c r="CI135" s="263" t="str">
        <f t="shared" si="91"/>
        <v/>
      </c>
      <c r="CJ135" s="263"/>
      <c r="CK135" s="263" t="str">
        <f t="shared" si="92"/>
        <v/>
      </c>
      <c r="CL135" s="264">
        <f t="shared" si="118"/>
        <v>0</v>
      </c>
      <c r="CM135" s="264">
        <f t="shared" si="94"/>
        <v>0</v>
      </c>
      <c r="CO135" s="265">
        <v>0.10428000000000001</v>
      </c>
      <c r="CP135" s="265">
        <v>0.10529999999999999</v>
      </c>
      <c r="CQ135" s="265">
        <v>0.10564</v>
      </c>
      <c r="CS135" s="265">
        <v>0.107</v>
      </c>
      <c r="CT135" s="265">
        <v>0.10800000000000001</v>
      </c>
      <c r="CU135" s="265">
        <v>0.1115</v>
      </c>
      <c r="CV135" s="265">
        <v>0.11315</v>
      </c>
      <c r="CW135" s="265">
        <v>0.11315</v>
      </c>
      <c r="CY135" s="265">
        <v>0.11335000000000001</v>
      </c>
      <c r="DA135" s="265">
        <v>0.1153</v>
      </c>
      <c r="DC135" s="265">
        <v>0.115</v>
      </c>
      <c r="DE135" s="265">
        <v>4.4349999999999994E-2</v>
      </c>
      <c r="DF135" s="265">
        <v>4.6980000000000001E-2</v>
      </c>
      <c r="DH135" s="265">
        <v>4.8000000000000001E-2</v>
      </c>
      <c r="DI135" s="265">
        <v>4.99E-2</v>
      </c>
      <c r="DJ135" s="265">
        <v>5.0599999999999999E-2</v>
      </c>
      <c r="DL135" s="265">
        <v>4.9299999999999997E-2</v>
      </c>
      <c r="DO135" s="264" t="e">
        <f t="shared" si="120"/>
        <v>#N/A</v>
      </c>
      <c r="DP135" s="264" t="e" cm="1">
        <f t="array" ref="DP135">+INDEX(AH135:AV135,MATCH(DO135,AH135:AV135,1)+1)</f>
        <v>#N/A</v>
      </c>
      <c r="DQ135" s="265" t="e">
        <f t="shared" si="121"/>
        <v>#N/A</v>
      </c>
      <c r="DR135" s="267" t="e">
        <f t="shared" si="122"/>
        <v>#N/A</v>
      </c>
      <c r="DS135" s="267" t="e">
        <f t="shared" si="123"/>
        <v>#N/A</v>
      </c>
      <c r="DT135" s="268" t="e">
        <f t="shared" si="124"/>
        <v>#N/A</v>
      </c>
      <c r="DU135" s="268" t="e" cm="1">
        <f t="array" ref="DU135">+INDEX(AX135:BF135,MATCH(DT135,AX135:BF135,1)+1)</f>
        <v>#N/A</v>
      </c>
      <c r="DV135" s="267" t="e">
        <f t="shared" si="104"/>
        <v>#N/A</v>
      </c>
      <c r="DW135" s="267" t="e">
        <f t="shared" si="125"/>
        <v>#N/A</v>
      </c>
      <c r="DX135" s="267" t="e">
        <f t="shared" si="126"/>
        <v>#N/A</v>
      </c>
      <c r="DY135" s="267">
        <f t="shared" si="119"/>
        <v>0.1143</v>
      </c>
      <c r="DZ135" s="205" t="e">
        <f t="shared" si="108"/>
        <v>#N/A</v>
      </c>
      <c r="EA135" s="205">
        <f t="shared" si="109"/>
        <v>0</v>
      </c>
    </row>
    <row r="136" spans="2:131">
      <c r="B136" s="272">
        <v>45194</v>
      </c>
      <c r="C136" s="271">
        <v>45194</v>
      </c>
      <c r="D136" s="263" t="e">
        <f>+SUMIFS(Tabla6[Nominal COP],Tabla6[Concepto],COSTO_OPORTUNIDAD!$B$18,Tabla6[Nemotécnico],COSTO_OPORTUNIDAD!D$16,Tabla6[Fecha Cumplimiento y/ liquidacion],COSTO_OPORTUNIDAD!$C136)/+SUMIFS(Tabla6[Nominal COP],Tabla6[Concepto],COSTO_OPORTUNIDAD!$B$18,Tabla6[Fecha Cumplimiento y/ liquidacion],COSTO_OPORTUNIDAD!$C136)</f>
        <v>#DIV/0!</v>
      </c>
      <c r="E136" s="263" t="e">
        <f>+SUMIFS(Tabla6[Nominal COP],Tabla6[Concepto],COSTO_OPORTUNIDAD!$B$18,Tabla6[Nemotécnico],COSTO_OPORTUNIDAD!E$16,Tabla6[Fecha Cumplimiento y/ liquidacion],COSTO_OPORTUNIDAD!$C136)/+SUMIFS(Tabla6[Nominal COP],Tabla6[Concepto],COSTO_OPORTUNIDAD!$B$18,Tabla6[Fecha Cumplimiento y/ liquidacion],COSTO_OPORTUNIDAD!$C136)</f>
        <v>#DIV/0!</v>
      </c>
      <c r="F136" s="263"/>
      <c r="G136" s="263"/>
      <c r="H136" s="263">
        <v>0.16199376947040497</v>
      </c>
      <c r="I136" s="263"/>
      <c r="J136" s="263">
        <v>0</v>
      </c>
      <c r="K136" s="263">
        <v>0</v>
      </c>
      <c r="L136" s="263"/>
      <c r="M136" s="263">
        <v>0.57943925233644855</v>
      </c>
      <c r="N136" s="263"/>
      <c r="O136" s="263"/>
      <c r="P136" s="263">
        <v>0</v>
      </c>
      <c r="Q136" s="263"/>
      <c r="R136" s="263">
        <v>0.25856697819314639</v>
      </c>
      <c r="S136" s="263"/>
      <c r="T136" s="263">
        <v>0</v>
      </c>
      <c r="U136" s="263"/>
      <c r="V136" s="263">
        <v>0</v>
      </c>
      <c r="W136" s="263">
        <v>0</v>
      </c>
      <c r="X136" s="263">
        <v>0</v>
      </c>
      <c r="Y136" s="263"/>
      <c r="Z136" s="263">
        <v>0</v>
      </c>
      <c r="AA136" s="263">
        <v>0</v>
      </c>
      <c r="AB136" s="263">
        <v>0</v>
      </c>
      <c r="AC136" s="263"/>
      <c r="AD136" s="263">
        <v>0</v>
      </c>
      <c r="AE136" s="263"/>
      <c r="AF136" s="263"/>
      <c r="AG136" s="262"/>
      <c r="AH136" s="274">
        <f t="shared" si="58"/>
        <v>1066</v>
      </c>
      <c r="AI136" s="274">
        <f t="shared" si="59"/>
        <v>1500</v>
      </c>
      <c r="AJ136" s="274">
        <f t="shared" si="60"/>
        <v>1677</v>
      </c>
      <c r="AK136" s="274">
        <f t="shared" si="54"/>
        <v>2158</v>
      </c>
      <c r="AL136" s="274">
        <f t="shared" si="61"/>
        <v>2550</v>
      </c>
      <c r="AM136" s="274">
        <f t="shared" si="62"/>
        <v>2739</v>
      </c>
      <c r="AN136" s="274">
        <f t="shared" si="63"/>
        <v>3201</v>
      </c>
      <c r="AO136" s="274">
        <f t="shared" si="117"/>
        <v>3425</v>
      </c>
      <c r="AP136" s="274">
        <f t="shared" si="64"/>
        <v>4041</v>
      </c>
      <c r="AQ136" s="274"/>
      <c r="AR136" s="274">
        <f t="shared" si="65"/>
        <v>4671</v>
      </c>
      <c r="AS136" s="274">
        <f t="shared" si="55"/>
        <v>6274</v>
      </c>
      <c r="AT136" s="274">
        <f t="shared" si="66"/>
        <v>6820</v>
      </c>
      <c r="AU136" s="274"/>
      <c r="AV136" s="274">
        <f t="shared" si="67"/>
        <v>9893</v>
      </c>
      <c r="AW136" s="274"/>
      <c r="AX136" s="274">
        <f t="shared" si="68"/>
        <v>590</v>
      </c>
      <c r="AY136" s="274">
        <f t="shared" si="69"/>
        <v>1269</v>
      </c>
      <c r="AZ136" s="274">
        <f t="shared" si="70"/>
        <v>2032</v>
      </c>
      <c r="BA136" s="274"/>
      <c r="BB136" s="274">
        <f t="shared" si="71"/>
        <v>3469</v>
      </c>
      <c r="BC136" s="274">
        <f t="shared" si="72"/>
        <v>4209</v>
      </c>
      <c r="BD136" s="274">
        <f t="shared" si="73"/>
        <v>4902</v>
      </c>
      <c r="BE136" s="274"/>
      <c r="BF136" s="274">
        <f t="shared" si="74"/>
        <v>9396</v>
      </c>
      <c r="BG136" s="274"/>
      <c r="BH136" s="274"/>
      <c r="BI136" s="266">
        <f t="shared" si="75"/>
        <v>0</v>
      </c>
      <c r="BJ136" s="266" t="e">
        <f t="shared" si="76"/>
        <v>#DIV/0!</v>
      </c>
      <c r="BK136" s="263" t="str">
        <f t="shared" si="77"/>
        <v/>
      </c>
      <c r="BL136" s="263" t="str">
        <f t="shared" si="78"/>
        <v/>
      </c>
      <c r="BM136" s="263" t="str">
        <f t="shared" si="79"/>
        <v/>
      </c>
      <c r="BN136" s="263"/>
      <c r="BO136" s="263" t="str">
        <f t="shared" si="80"/>
        <v/>
      </c>
      <c r="BP136" s="263" t="str">
        <f t="shared" si="81"/>
        <v/>
      </c>
      <c r="BQ136" s="263" t="str">
        <f t="shared" si="82"/>
        <v/>
      </c>
      <c r="BR136" s="263" t="str">
        <f t="shared" si="83"/>
        <v/>
      </c>
      <c r="BS136" s="263" t="str">
        <f t="shared" si="84"/>
        <v/>
      </c>
      <c r="BT136" s="263" t="str">
        <f t="shared" si="85"/>
        <v/>
      </c>
      <c r="BU136" s="263" t="str">
        <f t="shared" si="86"/>
        <v/>
      </c>
      <c r="BV136" s="263"/>
      <c r="BW136" s="263" t="str">
        <f t="shared" si="87"/>
        <v/>
      </c>
      <c r="BX136" s="263"/>
      <c r="BY136" s="263" t="str">
        <f t="shared" si="88"/>
        <v/>
      </c>
      <c r="BZ136" s="263"/>
      <c r="CA136" s="263" t="str">
        <f t="shared" si="112"/>
        <v/>
      </c>
      <c r="CB136" s="263" t="str">
        <f t="shared" si="89"/>
        <v/>
      </c>
      <c r="CC136" s="263" t="str">
        <f t="shared" si="113"/>
        <v/>
      </c>
      <c r="CD136" s="263" t="str">
        <f t="shared" si="90"/>
        <v/>
      </c>
      <c r="CE136" s="263" t="str">
        <f t="shared" si="96"/>
        <v/>
      </c>
      <c r="CF136" s="263" t="str">
        <f t="shared" si="114"/>
        <v/>
      </c>
      <c r="CG136" s="263" t="str">
        <f t="shared" si="115"/>
        <v/>
      </c>
      <c r="CH136" s="263"/>
      <c r="CI136" s="263" t="str">
        <f t="shared" si="91"/>
        <v/>
      </c>
      <c r="CJ136" s="263"/>
      <c r="CK136" s="263" t="str">
        <f t="shared" si="92"/>
        <v/>
      </c>
      <c r="CL136" s="264">
        <f t="shared" si="118"/>
        <v>0</v>
      </c>
      <c r="CM136" s="264">
        <f t="shared" si="94"/>
        <v>0</v>
      </c>
      <c r="CO136" s="265">
        <v>0.10761</v>
      </c>
      <c r="CP136" s="265">
        <v>0.10915</v>
      </c>
      <c r="CQ136" s="265">
        <v>0.109</v>
      </c>
      <c r="CS136" s="265">
        <v>0.11151</v>
      </c>
      <c r="CT136" s="265">
        <v>0.11159000000000001</v>
      </c>
      <c r="CU136" s="265">
        <v>0.115</v>
      </c>
      <c r="CV136" s="265">
        <v>0.11720000000000001</v>
      </c>
      <c r="CW136" s="265">
        <v>0.11699999999999999</v>
      </c>
      <c r="CY136" s="265">
        <v>0.11699999999999999</v>
      </c>
      <c r="DA136" s="265">
        <v>0.11916</v>
      </c>
      <c r="DC136" s="265">
        <v>0.11900000000000001</v>
      </c>
      <c r="DE136" s="265">
        <v>4.4059999999999995E-2</v>
      </c>
      <c r="DF136" s="265">
        <v>4.7279999999999996E-2</v>
      </c>
      <c r="DH136" s="265">
        <v>4.8440000000000004E-2</v>
      </c>
      <c r="DI136" s="265">
        <v>5.0010000000000006E-2</v>
      </c>
      <c r="DJ136" s="265">
        <v>5.1150000000000001E-2</v>
      </c>
      <c r="DL136" s="265">
        <v>4.9000000000000002E-2</v>
      </c>
      <c r="DO136" s="264" t="e">
        <f t="shared" si="120"/>
        <v>#N/A</v>
      </c>
      <c r="DP136" s="264" t="e" cm="1">
        <f t="array" ref="DP136">+INDEX(AH136:AV136,MATCH(DO136,AH136:AV136,1)+1)</f>
        <v>#N/A</v>
      </c>
      <c r="DQ136" s="265" t="e">
        <f t="shared" si="121"/>
        <v>#N/A</v>
      </c>
      <c r="DR136" s="267" t="e">
        <f t="shared" si="122"/>
        <v>#N/A</v>
      </c>
      <c r="DS136" s="267" t="e">
        <f t="shared" si="123"/>
        <v>#N/A</v>
      </c>
      <c r="DT136" s="268" t="e">
        <f t="shared" si="124"/>
        <v>#N/A</v>
      </c>
      <c r="DU136" s="268" t="e" cm="1">
        <f t="array" ref="DU136">+INDEX(AX136:BF136,MATCH(DT136,AX136:BF136,1)+1)</f>
        <v>#N/A</v>
      </c>
      <c r="DV136" s="267" t="e">
        <f t="shared" si="104"/>
        <v>#N/A</v>
      </c>
      <c r="DW136" s="267" t="e">
        <f t="shared" si="125"/>
        <v>#N/A</v>
      </c>
      <c r="DX136" s="267" t="e">
        <f t="shared" si="126"/>
        <v>#N/A</v>
      </c>
      <c r="DY136" s="267">
        <f t="shared" si="119"/>
        <v>0.1143</v>
      </c>
      <c r="DZ136" s="205" t="e">
        <f t="shared" si="108"/>
        <v>#N/A</v>
      </c>
      <c r="EA136" s="205">
        <f t="shared" si="109"/>
        <v>0</v>
      </c>
    </row>
    <row r="137" spans="2:131">
      <c r="B137" s="272">
        <v>45195</v>
      </c>
      <c r="C137" s="271">
        <v>45195</v>
      </c>
      <c r="D137" s="263" t="e">
        <f>+SUMIFS(Tabla6[Nominal COP],Tabla6[Concepto],COSTO_OPORTUNIDAD!$B$18,Tabla6[Nemotécnico],COSTO_OPORTUNIDAD!D$16,Tabla6[Fecha Cumplimiento y/ liquidacion],COSTO_OPORTUNIDAD!$C137)/+SUMIFS(Tabla6[Nominal COP],Tabla6[Concepto],COSTO_OPORTUNIDAD!$B$18,Tabla6[Fecha Cumplimiento y/ liquidacion],COSTO_OPORTUNIDAD!$C137)</f>
        <v>#DIV/0!</v>
      </c>
      <c r="E137" s="263" t="e">
        <f>+SUMIFS(Tabla6[Nominal COP],Tabla6[Concepto],COSTO_OPORTUNIDAD!$B$18,Tabla6[Nemotécnico],COSTO_OPORTUNIDAD!E$16,Tabla6[Fecha Cumplimiento y/ liquidacion],COSTO_OPORTUNIDAD!$C137)/+SUMIFS(Tabla6[Nominal COP],Tabla6[Concepto],COSTO_OPORTUNIDAD!$B$18,Tabla6[Fecha Cumplimiento y/ liquidacion],COSTO_OPORTUNIDAD!$C137)</f>
        <v>#DIV/0!</v>
      </c>
      <c r="F137" s="263"/>
      <c r="G137" s="263"/>
      <c r="H137" s="263">
        <v>0.12931034482758622</v>
      </c>
      <c r="I137" s="263"/>
      <c r="J137" s="263">
        <v>0</v>
      </c>
      <c r="K137" s="263">
        <v>0</v>
      </c>
      <c r="L137" s="263"/>
      <c r="M137" s="263">
        <v>0.61206896551724133</v>
      </c>
      <c r="N137" s="263"/>
      <c r="O137" s="263"/>
      <c r="P137" s="263">
        <v>0</v>
      </c>
      <c r="Q137" s="263"/>
      <c r="R137" s="263">
        <v>0.25862068965517243</v>
      </c>
      <c r="S137" s="263"/>
      <c r="T137" s="263">
        <v>0</v>
      </c>
      <c r="U137" s="263"/>
      <c r="V137" s="263">
        <v>0</v>
      </c>
      <c r="W137" s="263">
        <v>0</v>
      </c>
      <c r="X137" s="263">
        <v>0</v>
      </c>
      <c r="Y137" s="263"/>
      <c r="Z137" s="263">
        <v>0</v>
      </c>
      <c r="AA137" s="263">
        <v>0</v>
      </c>
      <c r="AB137" s="263">
        <v>0</v>
      </c>
      <c r="AC137" s="263"/>
      <c r="AD137" s="263">
        <v>0</v>
      </c>
      <c r="AE137" s="263"/>
      <c r="AF137" s="263"/>
      <c r="AG137" s="262"/>
      <c r="AH137" s="274">
        <f t="shared" si="58"/>
        <v>1065</v>
      </c>
      <c r="AI137" s="274">
        <f t="shared" si="59"/>
        <v>1499</v>
      </c>
      <c r="AJ137" s="274">
        <f t="shared" si="60"/>
        <v>1676</v>
      </c>
      <c r="AK137" s="274">
        <f t="shared" ref="AK137:AK200" si="127">(I$17-$B137)</f>
        <v>2157</v>
      </c>
      <c r="AL137" s="274">
        <f t="shared" si="61"/>
        <v>2549</v>
      </c>
      <c r="AM137" s="274">
        <f t="shared" si="62"/>
        <v>2738</v>
      </c>
      <c r="AN137" s="274">
        <f t="shared" si="63"/>
        <v>3200</v>
      </c>
      <c r="AO137" s="274">
        <f t="shared" si="117"/>
        <v>3424</v>
      </c>
      <c r="AP137" s="274">
        <f t="shared" si="64"/>
        <v>4040</v>
      </c>
      <c r="AQ137" s="274"/>
      <c r="AR137" s="274">
        <f t="shared" si="65"/>
        <v>4670</v>
      </c>
      <c r="AS137" s="274">
        <f t="shared" ref="AS137:AS200" si="128">(Q$17-$B137)</f>
        <v>6273</v>
      </c>
      <c r="AT137" s="274">
        <f t="shared" si="66"/>
        <v>6819</v>
      </c>
      <c r="AU137" s="274"/>
      <c r="AV137" s="274">
        <f t="shared" si="67"/>
        <v>9892</v>
      </c>
      <c r="AW137" s="274"/>
      <c r="AX137" s="274">
        <f t="shared" si="68"/>
        <v>589</v>
      </c>
      <c r="AY137" s="274">
        <f t="shared" si="69"/>
        <v>1268</v>
      </c>
      <c r="AZ137" s="274">
        <f t="shared" si="70"/>
        <v>2031</v>
      </c>
      <c r="BA137" s="274"/>
      <c r="BB137" s="274">
        <f t="shared" si="71"/>
        <v>3468</v>
      </c>
      <c r="BC137" s="274">
        <f t="shared" si="72"/>
        <v>4208</v>
      </c>
      <c r="BD137" s="274">
        <f t="shared" si="73"/>
        <v>4901</v>
      </c>
      <c r="BE137" s="274"/>
      <c r="BF137" s="274">
        <f t="shared" si="74"/>
        <v>9395</v>
      </c>
      <c r="BG137" s="274"/>
      <c r="BH137" s="274"/>
      <c r="BI137" s="266">
        <f t="shared" si="75"/>
        <v>0</v>
      </c>
      <c r="BJ137" s="266" t="e">
        <f t="shared" si="76"/>
        <v>#DIV/0!</v>
      </c>
      <c r="BK137" s="263" t="str">
        <f t="shared" si="77"/>
        <v/>
      </c>
      <c r="BL137" s="263" t="str">
        <f t="shared" si="78"/>
        <v/>
      </c>
      <c r="BM137" s="263" t="str">
        <f t="shared" si="79"/>
        <v/>
      </c>
      <c r="BN137" s="263"/>
      <c r="BO137" s="263" t="str">
        <f t="shared" si="80"/>
        <v/>
      </c>
      <c r="BP137" s="263" t="str">
        <f t="shared" si="81"/>
        <v/>
      </c>
      <c r="BQ137" s="263" t="str">
        <f t="shared" si="82"/>
        <v/>
      </c>
      <c r="BR137" s="263" t="str">
        <f t="shared" si="83"/>
        <v/>
      </c>
      <c r="BS137" s="263" t="str">
        <f t="shared" si="84"/>
        <v/>
      </c>
      <c r="BT137" s="263" t="str">
        <f t="shared" si="85"/>
        <v/>
      </c>
      <c r="BU137" s="263" t="str">
        <f t="shared" si="86"/>
        <v/>
      </c>
      <c r="BV137" s="263"/>
      <c r="BW137" s="263" t="str">
        <f t="shared" si="87"/>
        <v/>
      </c>
      <c r="BX137" s="263"/>
      <c r="BY137" s="263" t="str">
        <f t="shared" si="88"/>
        <v/>
      </c>
      <c r="BZ137" s="263"/>
      <c r="CA137" s="263" t="str">
        <f t="shared" si="112"/>
        <v/>
      </c>
      <c r="CB137" s="263" t="str">
        <f t="shared" si="89"/>
        <v/>
      </c>
      <c r="CC137" s="263" t="str">
        <f t="shared" si="113"/>
        <v/>
      </c>
      <c r="CD137" s="263" t="str">
        <f t="shared" si="90"/>
        <v/>
      </c>
      <c r="CE137" s="263" t="str">
        <f t="shared" si="96"/>
        <v/>
      </c>
      <c r="CF137" s="263" t="str">
        <f t="shared" si="114"/>
        <v/>
      </c>
      <c r="CG137" s="263" t="str">
        <f t="shared" si="115"/>
        <v/>
      </c>
      <c r="CH137" s="263"/>
      <c r="CI137" s="263" t="str">
        <f t="shared" si="91"/>
        <v/>
      </c>
      <c r="CJ137" s="263"/>
      <c r="CK137" s="263" t="str">
        <f t="shared" si="92"/>
        <v/>
      </c>
      <c r="CL137" s="264">
        <f t="shared" si="118"/>
        <v>0</v>
      </c>
      <c r="CM137" s="264">
        <f t="shared" si="94"/>
        <v>0</v>
      </c>
      <c r="CO137" s="265">
        <v>0.10915</v>
      </c>
      <c r="CP137" s="265">
        <v>0.11135</v>
      </c>
      <c r="CQ137" s="265">
        <v>0.1114</v>
      </c>
      <c r="CS137" s="265">
        <v>0.11353999999999999</v>
      </c>
      <c r="CT137" s="265">
        <v>0.115</v>
      </c>
      <c r="CU137" s="265">
        <v>0.1168</v>
      </c>
      <c r="CV137" s="265">
        <v>0.11990000000000001</v>
      </c>
      <c r="CW137" s="265">
        <v>0.12018000000000001</v>
      </c>
      <c r="CY137" s="265">
        <v>0.11941</v>
      </c>
      <c r="DA137" s="265">
        <v>0.1217</v>
      </c>
      <c r="DC137" s="265">
        <v>0.12154</v>
      </c>
      <c r="DE137" s="265">
        <v>4.6679999999999999E-2</v>
      </c>
      <c r="DF137" s="265">
        <v>4.8310000000000006E-2</v>
      </c>
      <c r="DH137" s="265">
        <v>0.05</v>
      </c>
      <c r="DI137" s="265">
        <v>5.1500000000000004E-2</v>
      </c>
      <c r="DJ137" s="265">
        <v>5.2199999999999996E-2</v>
      </c>
      <c r="DL137" s="265">
        <v>5.0049999999999997E-2</v>
      </c>
      <c r="DO137" s="264" t="e">
        <f t="shared" si="120"/>
        <v>#N/A</v>
      </c>
      <c r="DP137" s="264" t="e" cm="1">
        <f t="array" ref="DP137">+INDEX(AH137:AV137,MATCH(DO137,AH137:AV137,1)+1)</f>
        <v>#N/A</v>
      </c>
      <c r="DQ137" s="265" t="e">
        <f t="shared" si="121"/>
        <v>#N/A</v>
      </c>
      <c r="DR137" s="267" t="e">
        <f t="shared" si="122"/>
        <v>#N/A</v>
      </c>
      <c r="DS137" s="267" t="e">
        <f t="shared" si="123"/>
        <v>#N/A</v>
      </c>
      <c r="DT137" s="268" t="e">
        <f t="shared" si="124"/>
        <v>#N/A</v>
      </c>
      <c r="DU137" s="268" t="e" cm="1">
        <f t="array" ref="DU137">+INDEX(AX137:BF137,MATCH(DT137,AX137:BF137,1)+1)</f>
        <v>#N/A</v>
      </c>
      <c r="DV137" s="267" t="e">
        <f t="shared" si="104"/>
        <v>#N/A</v>
      </c>
      <c r="DW137" s="267" t="e">
        <f t="shared" si="125"/>
        <v>#N/A</v>
      </c>
      <c r="DX137" s="267" t="e">
        <f t="shared" si="126"/>
        <v>#N/A</v>
      </c>
      <c r="DY137" s="267">
        <f t="shared" si="119"/>
        <v>0.1143</v>
      </c>
      <c r="DZ137" s="205" t="e">
        <f t="shared" si="108"/>
        <v>#N/A</v>
      </c>
      <c r="EA137" s="205">
        <f t="shared" si="109"/>
        <v>0</v>
      </c>
    </row>
    <row r="138" spans="2:131">
      <c r="B138" s="272">
        <v>45197</v>
      </c>
      <c r="C138" s="271">
        <v>45197</v>
      </c>
      <c r="D138" s="263" t="e">
        <f>+SUMIFS(Tabla6[Nominal COP],Tabla6[Concepto],COSTO_OPORTUNIDAD!$B$18,Tabla6[Nemotécnico],COSTO_OPORTUNIDAD!D$16,Tabla6[Fecha Cumplimiento y/ liquidacion],COSTO_OPORTUNIDAD!$C138)/+SUMIFS(Tabla6[Nominal COP],Tabla6[Concepto],COSTO_OPORTUNIDAD!$B$18,Tabla6[Fecha Cumplimiento y/ liquidacion],COSTO_OPORTUNIDAD!$C138)</f>
        <v>#DIV/0!</v>
      </c>
      <c r="E138" s="263" t="e">
        <f>+SUMIFS(Tabla6[Nominal COP],Tabla6[Concepto],COSTO_OPORTUNIDAD!$B$18,Tabla6[Nemotécnico],COSTO_OPORTUNIDAD!E$16,Tabla6[Fecha Cumplimiento y/ liquidacion],COSTO_OPORTUNIDAD!$C138)/+SUMIFS(Tabla6[Nominal COP],Tabla6[Concepto],COSTO_OPORTUNIDAD!$B$18,Tabla6[Fecha Cumplimiento y/ liquidacion],COSTO_OPORTUNIDAD!$C138)</f>
        <v>#DIV/0!</v>
      </c>
      <c r="F138" s="263"/>
      <c r="G138" s="263"/>
      <c r="H138" s="263">
        <v>9.2682926829268292E-2</v>
      </c>
      <c r="I138" s="263"/>
      <c r="J138" s="263">
        <v>0</v>
      </c>
      <c r="K138" s="263">
        <v>0</v>
      </c>
      <c r="L138" s="263"/>
      <c r="M138" s="263">
        <v>0.67073170731707321</v>
      </c>
      <c r="N138" s="263"/>
      <c r="O138" s="263"/>
      <c r="P138" s="263">
        <v>0</v>
      </c>
      <c r="Q138" s="263"/>
      <c r="R138" s="263">
        <v>0.23658536585365852</v>
      </c>
      <c r="S138" s="263"/>
      <c r="T138" s="263">
        <v>0</v>
      </c>
      <c r="U138" s="263"/>
      <c r="V138" s="263">
        <v>0</v>
      </c>
      <c r="W138" s="263">
        <v>0</v>
      </c>
      <c r="X138" s="263">
        <v>0</v>
      </c>
      <c r="Y138" s="263"/>
      <c r="Z138" s="263">
        <v>0</v>
      </c>
      <c r="AA138" s="263">
        <v>0</v>
      </c>
      <c r="AB138" s="263">
        <v>0</v>
      </c>
      <c r="AC138" s="263"/>
      <c r="AD138" s="263">
        <v>0</v>
      </c>
      <c r="AE138" s="263"/>
      <c r="AF138" s="263"/>
      <c r="AG138" s="262"/>
      <c r="AH138" s="274">
        <f t="shared" si="58"/>
        <v>1063</v>
      </c>
      <c r="AI138" s="274">
        <f t="shared" si="59"/>
        <v>1497</v>
      </c>
      <c r="AJ138" s="274">
        <f t="shared" si="60"/>
        <v>1674</v>
      </c>
      <c r="AK138" s="274">
        <f t="shared" si="127"/>
        <v>2155</v>
      </c>
      <c r="AL138" s="274">
        <f t="shared" si="61"/>
        <v>2547</v>
      </c>
      <c r="AM138" s="274">
        <f t="shared" si="62"/>
        <v>2736</v>
      </c>
      <c r="AN138" s="274">
        <f t="shared" si="63"/>
        <v>3198</v>
      </c>
      <c r="AO138" s="274">
        <f t="shared" si="117"/>
        <v>3422</v>
      </c>
      <c r="AP138" s="274">
        <f t="shared" si="64"/>
        <v>4038</v>
      </c>
      <c r="AQ138" s="274"/>
      <c r="AR138" s="274">
        <f t="shared" si="65"/>
        <v>4668</v>
      </c>
      <c r="AS138" s="274">
        <f t="shared" si="128"/>
        <v>6271</v>
      </c>
      <c r="AT138" s="274">
        <f t="shared" si="66"/>
        <v>6817</v>
      </c>
      <c r="AU138" s="274"/>
      <c r="AV138" s="274">
        <f t="shared" si="67"/>
        <v>9890</v>
      </c>
      <c r="AW138" s="274"/>
      <c r="AX138" s="274">
        <f t="shared" si="68"/>
        <v>587</v>
      </c>
      <c r="AY138" s="274">
        <f t="shared" si="69"/>
        <v>1266</v>
      </c>
      <c r="AZ138" s="274">
        <f t="shared" si="70"/>
        <v>2029</v>
      </c>
      <c r="BA138" s="274"/>
      <c r="BB138" s="274">
        <f t="shared" si="71"/>
        <v>3466</v>
      </c>
      <c r="BC138" s="274">
        <f t="shared" si="72"/>
        <v>4206</v>
      </c>
      <c r="BD138" s="274">
        <f t="shared" si="73"/>
        <v>4899</v>
      </c>
      <c r="BE138" s="274"/>
      <c r="BF138" s="274">
        <f t="shared" si="74"/>
        <v>9393</v>
      </c>
      <c r="BG138" s="274"/>
      <c r="BH138" s="274"/>
      <c r="BI138" s="266">
        <f t="shared" si="75"/>
        <v>0</v>
      </c>
      <c r="BJ138" s="266" t="e">
        <f t="shared" si="76"/>
        <v>#DIV/0!</v>
      </c>
      <c r="BK138" s="263" t="str">
        <f t="shared" si="77"/>
        <v/>
      </c>
      <c r="BL138" s="263" t="str">
        <f t="shared" si="78"/>
        <v/>
      </c>
      <c r="BM138" s="263" t="str">
        <f t="shared" si="79"/>
        <v/>
      </c>
      <c r="BN138" s="263"/>
      <c r="BO138" s="263" t="str">
        <f t="shared" si="80"/>
        <v/>
      </c>
      <c r="BP138" s="263" t="str">
        <f t="shared" si="81"/>
        <v/>
      </c>
      <c r="BQ138" s="263" t="str">
        <f t="shared" si="82"/>
        <v/>
      </c>
      <c r="BR138" s="263" t="str">
        <f t="shared" si="83"/>
        <v/>
      </c>
      <c r="BS138" s="263" t="str">
        <f t="shared" si="84"/>
        <v/>
      </c>
      <c r="BT138" s="263" t="str">
        <f t="shared" si="85"/>
        <v/>
      </c>
      <c r="BU138" s="263" t="str">
        <f t="shared" si="86"/>
        <v/>
      </c>
      <c r="BV138" s="263"/>
      <c r="BW138" s="263" t="str">
        <f t="shared" si="87"/>
        <v/>
      </c>
      <c r="BX138" s="263"/>
      <c r="BY138" s="263" t="str">
        <f t="shared" si="88"/>
        <v/>
      </c>
      <c r="BZ138" s="263"/>
      <c r="CA138" s="263" t="str">
        <f t="shared" si="112"/>
        <v/>
      </c>
      <c r="CB138" s="263" t="str">
        <f t="shared" si="89"/>
        <v/>
      </c>
      <c r="CC138" s="263" t="str">
        <f t="shared" si="113"/>
        <v/>
      </c>
      <c r="CD138" s="263" t="str">
        <f t="shared" si="90"/>
        <v/>
      </c>
      <c r="CE138" s="263" t="str">
        <f t="shared" si="96"/>
        <v/>
      </c>
      <c r="CF138" s="263" t="str">
        <f t="shared" si="114"/>
        <v/>
      </c>
      <c r="CG138" s="263" t="str">
        <f t="shared" si="115"/>
        <v/>
      </c>
      <c r="CH138" s="263"/>
      <c r="CI138" s="263" t="str">
        <f t="shared" si="91"/>
        <v/>
      </c>
      <c r="CJ138" s="263"/>
      <c r="CK138" s="263" t="str">
        <f t="shared" si="92"/>
        <v/>
      </c>
      <c r="CL138" s="264">
        <f t="shared" si="118"/>
        <v>0</v>
      </c>
      <c r="CM138" s="264">
        <f t="shared" si="94"/>
        <v>0</v>
      </c>
      <c r="CO138" s="265">
        <v>0.11</v>
      </c>
      <c r="CP138" s="265">
        <v>0.11215</v>
      </c>
      <c r="CQ138" s="265">
        <v>0.1125</v>
      </c>
      <c r="CS138" s="265">
        <v>0.11460000000000001</v>
      </c>
      <c r="CT138" s="265">
        <v>0.11666</v>
      </c>
      <c r="CU138" s="265">
        <v>0.1182</v>
      </c>
      <c r="CV138" s="265">
        <v>0.12089</v>
      </c>
      <c r="CW138" s="265">
        <v>0.12189999999999999</v>
      </c>
      <c r="CY138" s="265">
        <v>0.1222</v>
      </c>
      <c r="DA138" s="265">
        <v>0.12349</v>
      </c>
      <c r="DC138" s="265">
        <v>0.12284</v>
      </c>
      <c r="DE138" s="265">
        <v>4.9699999999999994E-2</v>
      </c>
      <c r="DF138" s="265">
        <v>5.1100000000000007E-2</v>
      </c>
      <c r="DH138" s="265">
        <v>5.1109999999999996E-2</v>
      </c>
      <c r="DI138" s="265">
        <v>5.2309999999999995E-2</v>
      </c>
      <c r="DJ138" s="265">
        <v>5.382E-2</v>
      </c>
      <c r="DL138" s="265">
        <v>5.2000000000000005E-2</v>
      </c>
      <c r="DO138" s="264" t="e">
        <f t="shared" si="120"/>
        <v>#N/A</v>
      </c>
      <c r="DP138" s="264" t="e" cm="1">
        <f t="array" ref="DP138">+INDEX(AH138:AV138,MATCH(DO138,AH138:AV138,1)+1)</f>
        <v>#N/A</v>
      </c>
      <c r="DQ138" s="265" t="e">
        <f t="shared" si="121"/>
        <v>#N/A</v>
      </c>
      <c r="DR138" s="267" t="e">
        <f t="shared" si="122"/>
        <v>#N/A</v>
      </c>
      <c r="DS138" s="267" t="e">
        <f t="shared" si="123"/>
        <v>#N/A</v>
      </c>
      <c r="DT138" s="268" t="e">
        <f t="shared" si="124"/>
        <v>#N/A</v>
      </c>
      <c r="DU138" s="268" t="e" cm="1">
        <f t="array" ref="DU138">+INDEX(AX138:BF138,MATCH(DT138,AX138:BF138,1)+1)</f>
        <v>#N/A</v>
      </c>
      <c r="DV138" s="267" t="e">
        <f t="shared" si="104"/>
        <v>#N/A</v>
      </c>
      <c r="DW138" s="267" t="e">
        <f t="shared" si="125"/>
        <v>#N/A</v>
      </c>
      <c r="DX138" s="267" t="e">
        <f t="shared" si="126"/>
        <v>#N/A</v>
      </c>
      <c r="DY138" s="267">
        <f t="shared" si="119"/>
        <v>0.1143</v>
      </c>
      <c r="DZ138" s="205" t="e">
        <f t="shared" si="108"/>
        <v>#N/A</v>
      </c>
      <c r="EA138" s="205">
        <f t="shared" si="109"/>
        <v>0</v>
      </c>
    </row>
    <row r="139" spans="2:131">
      <c r="B139" s="272">
        <v>45201</v>
      </c>
      <c r="C139" s="271">
        <v>45201</v>
      </c>
      <c r="D139" s="263" t="e">
        <f>+SUMIFS(Tabla6[Nominal COP],Tabla6[Concepto],COSTO_OPORTUNIDAD!$B$18,Tabla6[Nemotécnico],COSTO_OPORTUNIDAD!D$16,Tabla6[Fecha Cumplimiento y/ liquidacion],COSTO_OPORTUNIDAD!$C139)/+SUMIFS(Tabla6[Nominal COP],Tabla6[Concepto],COSTO_OPORTUNIDAD!$B$18,Tabla6[Fecha Cumplimiento y/ liquidacion],COSTO_OPORTUNIDAD!$C139)</f>
        <v>#DIV/0!</v>
      </c>
      <c r="E139" s="263" t="e">
        <f>+SUMIFS(Tabla6[Nominal COP],Tabla6[Concepto],COSTO_OPORTUNIDAD!$B$18,Tabla6[Nemotécnico],COSTO_OPORTUNIDAD!E$16,Tabla6[Fecha Cumplimiento y/ liquidacion],COSTO_OPORTUNIDAD!$C139)/+SUMIFS(Tabla6[Nominal COP],Tabla6[Concepto],COSTO_OPORTUNIDAD!$B$18,Tabla6[Fecha Cumplimiento y/ liquidacion],COSTO_OPORTUNIDAD!$C139)</f>
        <v>#DIV/0!</v>
      </c>
      <c r="F139" s="263"/>
      <c r="G139" s="263"/>
      <c r="H139" s="263">
        <v>6.2893081761006289E-2</v>
      </c>
      <c r="I139" s="263"/>
      <c r="J139" s="263">
        <v>0</v>
      </c>
      <c r="K139" s="263">
        <v>0</v>
      </c>
      <c r="L139" s="263"/>
      <c r="M139" s="263">
        <v>0.62264150943396224</v>
      </c>
      <c r="N139" s="263"/>
      <c r="O139" s="263"/>
      <c r="P139" s="263">
        <v>0</v>
      </c>
      <c r="Q139" s="263"/>
      <c r="R139" s="263">
        <v>0.31446540880503143</v>
      </c>
      <c r="S139" s="263"/>
      <c r="T139" s="263">
        <v>0</v>
      </c>
      <c r="U139" s="263"/>
      <c r="V139" s="263">
        <v>0</v>
      </c>
      <c r="W139" s="263">
        <v>0</v>
      </c>
      <c r="X139" s="263">
        <v>0</v>
      </c>
      <c r="Y139" s="263"/>
      <c r="Z139" s="263">
        <v>0</v>
      </c>
      <c r="AA139" s="263">
        <v>0</v>
      </c>
      <c r="AB139" s="263">
        <v>0</v>
      </c>
      <c r="AC139" s="263"/>
      <c r="AD139" s="263">
        <v>0</v>
      </c>
      <c r="AE139" s="263"/>
      <c r="AF139" s="263"/>
      <c r="AG139" s="262"/>
      <c r="AH139" s="274">
        <f t="shared" si="58"/>
        <v>1059</v>
      </c>
      <c r="AI139" s="274">
        <f t="shared" si="59"/>
        <v>1493</v>
      </c>
      <c r="AJ139" s="274">
        <f t="shared" si="60"/>
        <v>1670</v>
      </c>
      <c r="AK139" s="274">
        <f t="shared" si="127"/>
        <v>2151</v>
      </c>
      <c r="AL139" s="274">
        <f t="shared" si="61"/>
        <v>2543</v>
      </c>
      <c r="AM139" s="274">
        <f t="shared" si="62"/>
        <v>2732</v>
      </c>
      <c r="AN139" s="274">
        <f t="shared" si="63"/>
        <v>3194</v>
      </c>
      <c r="AO139" s="274">
        <f t="shared" si="117"/>
        <v>3418</v>
      </c>
      <c r="AP139" s="274">
        <f t="shared" si="64"/>
        <v>4034</v>
      </c>
      <c r="AQ139" s="274"/>
      <c r="AR139" s="274">
        <f t="shared" si="65"/>
        <v>4664</v>
      </c>
      <c r="AS139" s="274">
        <f t="shared" si="128"/>
        <v>6267</v>
      </c>
      <c r="AT139" s="274">
        <f t="shared" si="66"/>
        <v>6813</v>
      </c>
      <c r="AU139" s="274"/>
      <c r="AV139" s="274">
        <f t="shared" si="67"/>
        <v>9886</v>
      </c>
      <c r="AW139" s="274"/>
      <c r="AX139" s="274">
        <f t="shared" si="68"/>
        <v>583</v>
      </c>
      <c r="AY139" s="274">
        <f t="shared" si="69"/>
        <v>1262</v>
      </c>
      <c r="AZ139" s="274">
        <f t="shared" si="70"/>
        <v>2025</v>
      </c>
      <c r="BA139" s="274"/>
      <c r="BB139" s="274">
        <f t="shared" si="71"/>
        <v>3462</v>
      </c>
      <c r="BC139" s="274">
        <f t="shared" si="72"/>
        <v>4202</v>
      </c>
      <c r="BD139" s="274">
        <f t="shared" si="73"/>
        <v>4895</v>
      </c>
      <c r="BE139" s="274"/>
      <c r="BF139" s="274">
        <f t="shared" si="74"/>
        <v>9389</v>
      </c>
      <c r="BG139" s="274"/>
      <c r="BH139" s="274"/>
      <c r="BI139" s="266">
        <f t="shared" si="75"/>
        <v>0</v>
      </c>
      <c r="BJ139" s="266" t="e">
        <f t="shared" si="76"/>
        <v>#DIV/0!</v>
      </c>
      <c r="BK139" s="263" t="str">
        <f t="shared" si="77"/>
        <v/>
      </c>
      <c r="BL139" s="263" t="str">
        <f t="shared" si="78"/>
        <v/>
      </c>
      <c r="BM139" s="263" t="str">
        <f t="shared" si="79"/>
        <v/>
      </c>
      <c r="BN139" s="263"/>
      <c r="BO139" s="263" t="str">
        <f t="shared" si="80"/>
        <v/>
      </c>
      <c r="BP139" s="263" t="str">
        <f t="shared" si="81"/>
        <v/>
      </c>
      <c r="BQ139" s="263" t="str">
        <f t="shared" si="82"/>
        <v/>
      </c>
      <c r="BR139" s="263" t="str">
        <f t="shared" si="83"/>
        <v/>
      </c>
      <c r="BS139" s="263" t="str">
        <f t="shared" si="84"/>
        <v/>
      </c>
      <c r="BT139" s="263" t="str">
        <f t="shared" si="85"/>
        <v/>
      </c>
      <c r="BU139" s="263" t="str">
        <f t="shared" si="86"/>
        <v/>
      </c>
      <c r="BV139" s="263"/>
      <c r="BW139" s="263" t="str">
        <f t="shared" si="87"/>
        <v/>
      </c>
      <c r="BX139" s="263"/>
      <c r="BY139" s="263" t="str">
        <f t="shared" si="88"/>
        <v/>
      </c>
      <c r="BZ139" s="263"/>
      <c r="CA139" s="263" t="str">
        <f t="shared" si="112"/>
        <v/>
      </c>
      <c r="CB139" s="263" t="str">
        <f t="shared" si="89"/>
        <v/>
      </c>
      <c r="CC139" s="263" t="str">
        <f t="shared" si="113"/>
        <v/>
      </c>
      <c r="CD139" s="263" t="str">
        <f t="shared" si="90"/>
        <v/>
      </c>
      <c r="CE139" s="263" t="str">
        <f t="shared" si="96"/>
        <v/>
      </c>
      <c r="CF139" s="263" t="str">
        <f t="shared" si="114"/>
        <v/>
      </c>
      <c r="CG139" s="263" t="str">
        <f t="shared" si="115"/>
        <v/>
      </c>
      <c r="CH139" s="263"/>
      <c r="CI139" s="263" t="str">
        <f t="shared" si="91"/>
        <v/>
      </c>
      <c r="CJ139" s="263"/>
      <c r="CK139" s="263" t="str">
        <f t="shared" si="92"/>
        <v/>
      </c>
      <c r="CL139" s="264">
        <f t="shared" si="118"/>
        <v>0</v>
      </c>
      <c r="CM139" s="264">
        <f t="shared" si="94"/>
        <v>0</v>
      </c>
      <c r="CO139" s="265">
        <v>0.10981</v>
      </c>
      <c r="CP139" s="265">
        <v>0.1116</v>
      </c>
      <c r="CQ139" s="265">
        <v>0.1115</v>
      </c>
      <c r="CS139" s="265">
        <v>0.11289999999999999</v>
      </c>
      <c r="CT139" s="265">
        <v>0.11371000000000001</v>
      </c>
      <c r="CU139" s="265">
        <v>0.11699</v>
      </c>
      <c r="CV139" s="265">
        <v>0.11889</v>
      </c>
      <c r="CW139" s="265">
        <v>0.11913</v>
      </c>
      <c r="CY139" s="265">
        <v>0.1195</v>
      </c>
      <c r="DA139" s="265">
        <v>0.12154</v>
      </c>
      <c r="DC139" s="265">
        <v>0.12038</v>
      </c>
      <c r="DE139" s="265">
        <v>4.7939999999999997E-2</v>
      </c>
      <c r="DF139" s="265">
        <v>4.999E-2</v>
      </c>
      <c r="DH139" s="265">
        <v>5.0869999999999999E-2</v>
      </c>
      <c r="DI139" s="265">
        <v>5.1150000000000001E-2</v>
      </c>
      <c r="DJ139" s="265">
        <v>5.2450000000000004E-2</v>
      </c>
      <c r="DL139" s="265">
        <v>5.0650000000000001E-2</v>
      </c>
      <c r="DO139" s="264" t="e">
        <f t="shared" si="120"/>
        <v>#N/A</v>
      </c>
      <c r="DP139" s="264" t="e" cm="1">
        <f t="array" ref="DP139">+INDEX(AH139:AV139,MATCH(DO139,AH139:AV139,1)+1)</f>
        <v>#N/A</v>
      </c>
      <c r="DQ139" s="265" t="e">
        <f t="shared" si="121"/>
        <v>#N/A</v>
      </c>
      <c r="DR139" s="267" t="e">
        <f t="shared" si="122"/>
        <v>#N/A</v>
      </c>
      <c r="DS139" s="267" t="e">
        <f t="shared" si="123"/>
        <v>#N/A</v>
      </c>
      <c r="DT139" s="268" t="e">
        <f t="shared" si="124"/>
        <v>#N/A</v>
      </c>
      <c r="DU139" s="268" t="e" cm="1">
        <f t="array" ref="DU139">+INDEX(AX139:BF139,MATCH(DT139,AX139:BF139,1)+1)</f>
        <v>#N/A</v>
      </c>
      <c r="DV139" s="267" t="e">
        <f t="shared" si="104"/>
        <v>#N/A</v>
      </c>
      <c r="DW139" s="267" t="e">
        <f t="shared" si="125"/>
        <v>#N/A</v>
      </c>
      <c r="DX139" s="267" t="e">
        <f t="shared" si="126"/>
        <v>#N/A</v>
      </c>
      <c r="DY139" s="267">
        <f t="shared" si="119"/>
        <v>0.1143</v>
      </c>
      <c r="DZ139" s="205" t="e">
        <f t="shared" si="108"/>
        <v>#N/A</v>
      </c>
      <c r="EA139" s="205">
        <f t="shared" si="109"/>
        <v>0</v>
      </c>
    </row>
    <row r="140" spans="2:131">
      <c r="B140" s="272">
        <v>45203</v>
      </c>
      <c r="C140" s="271">
        <v>45203</v>
      </c>
      <c r="D140" s="263" t="e">
        <f>+SUMIFS(Tabla6[Nominal COP],Tabla6[Concepto],COSTO_OPORTUNIDAD!$B$18,Tabla6[Nemotécnico],COSTO_OPORTUNIDAD!D$16,Tabla6[Fecha Cumplimiento y/ liquidacion],COSTO_OPORTUNIDAD!$C140)/+SUMIFS(Tabla6[Nominal COP],Tabla6[Concepto],COSTO_OPORTUNIDAD!$B$18,Tabla6[Fecha Cumplimiento y/ liquidacion],COSTO_OPORTUNIDAD!$C140)</f>
        <v>#DIV/0!</v>
      </c>
      <c r="E140" s="263" t="e">
        <f>+SUMIFS(Tabla6[Nominal COP],Tabla6[Concepto],COSTO_OPORTUNIDAD!$B$18,Tabla6[Nemotécnico],COSTO_OPORTUNIDAD!E$16,Tabla6[Fecha Cumplimiento y/ liquidacion],COSTO_OPORTUNIDAD!$C140)/+SUMIFS(Tabla6[Nominal COP],Tabla6[Concepto],COSTO_OPORTUNIDAD!$B$18,Tabla6[Fecha Cumplimiento y/ liquidacion],COSTO_OPORTUNIDAD!$C140)</f>
        <v>#DIV/0!</v>
      </c>
      <c r="F140" s="263"/>
      <c r="G140" s="263"/>
      <c r="H140" s="263">
        <v>3.3112582781456956E-2</v>
      </c>
      <c r="I140" s="263"/>
      <c r="J140" s="263">
        <v>0</v>
      </c>
      <c r="K140" s="263">
        <v>0</v>
      </c>
      <c r="L140" s="263"/>
      <c r="M140" s="263">
        <v>0.62251655629139069</v>
      </c>
      <c r="N140" s="263"/>
      <c r="O140" s="263"/>
      <c r="P140" s="263">
        <v>0</v>
      </c>
      <c r="Q140" s="263"/>
      <c r="R140" s="263">
        <v>0.3443708609271523</v>
      </c>
      <c r="S140" s="263"/>
      <c r="T140" s="263">
        <v>0</v>
      </c>
      <c r="U140" s="263"/>
      <c r="V140" s="263">
        <v>0</v>
      </c>
      <c r="W140" s="263">
        <v>0</v>
      </c>
      <c r="X140" s="263">
        <v>0</v>
      </c>
      <c r="Y140" s="263"/>
      <c r="Z140" s="263">
        <v>0</v>
      </c>
      <c r="AA140" s="263">
        <v>0</v>
      </c>
      <c r="AB140" s="263">
        <v>0</v>
      </c>
      <c r="AC140" s="263"/>
      <c r="AD140" s="263">
        <v>0</v>
      </c>
      <c r="AE140" s="263"/>
      <c r="AF140" s="263"/>
      <c r="AG140" s="262"/>
      <c r="AH140" s="274">
        <f t="shared" si="58"/>
        <v>1057</v>
      </c>
      <c r="AI140" s="274">
        <f t="shared" si="59"/>
        <v>1491</v>
      </c>
      <c r="AJ140" s="274">
        <f t="shared" si="60"/>
        <v>1668</v>
      </c>
      <c r="AK140" s="274">
        <f t="shared" si="127"/>
        <v>2149</v>
      </c>
      <c r="AL140" s="274">
        <f t="shared" si="61"/>
        <v>2541</v>
      </c>
      <c r="AM140" s="274">
        <f t="shared" si="62"/>
        <v>2730</v>
      </c>
      <c r="AN140" s="274">
        <f t="shared" si="63"/>
        <v>3192</v>
      </c>
      <c r="AO140" s="274">
        <f t="shared" si="117"/>
        <v>3416</v>
      </c>
      <c r="AP140" s="274">
        <f t="shared" si="64"/>
        <v>4032</v>
      </c>
      <c r="AQ140" s="274"/>
      <c r="AR140" s="274">
        <f t="shared" si="65"/>
        <v>4662</v>
      </c>
      <c r="AS140" s="274">
        <f t="shared" si="128"/>
        <v>6265</v>
      </c>
      <c r="AT140" s="274">
        <f t="shared" si="66"/>
        <v>6811</v>
      </c>
      <c r="AU140" s="274"/>
      <c r="AV140" s="274">
        <f t="shared" si="67"/>
        <v>9884</v>
      </c>
      <c r="AW140" s="274"/>
      <c r="AX140" s="274">
        <f t="shared" si="68"/>
        <v>581</v>
      </c>
      <c r="AY140" s="274">
        <f t="shared" si="69"/>
        <v>1260</v>
      </c>
      <c r="AZ140" s="274">
        <f t="shared" si="70"/>
        <v>2023</v>
      </c>
      <c r="BA140" s="274"/>
      <c r="BB140" s="274">
        <f t="shared" si="71"/>
        <v>3460</v>
      </c>
      <c r="BC140" s="274">
        <f t="shared" si="72"/>
        <v>4200</v>
      </c>
      <c r="BD140" s="274">
        <f t="shared" si="73"/>
        <v>4893</v>
      </c>
      <c r="BE140" s="274"/>
      <c r="BF140" s="274">
        <f t="shared" si="74"/>
        <v>9387</v>
      </c>
      <c r="BG140" s="274"/>
      <c r="BH140" s="274"/>
      <c r="BI140" s="266">
        <f t="shared" si="75"/>
        <v>0</v>
      </c>
      <c r="BJ140" s="266" t="e">
        <f t="shared" si="76"/>
        <v>#DIV/0!</v>
      </c>
      <c r="BK140" s="263" t="str">
        <f t="shared" si="77"/>
        <v/>
      </c>
      <c r="BL140" s="263" t="str">
        <f t="shared" si="78"/>
        <v/>
      </c>
      <c r="BM140" s="263" t="str">
        <f t="shared" si="79"/>
        <v/>
      </c>
      <c r="BN140" s="263"/>
      <c r="BO140" s="263" t="str">
        <f t="shared" si="80"/>
        <v/>
      </c>
      <c r="BP140" s="263" t="str">
        <f t="shared" si="81"/>
        <v/>
      </c>
      <c r="BQ140" s="263" t="str">
        <f t="shared" si="82"/>
        <v/>
      </c>
      <c r="BR140" s="263" t="str">
        <f t="shared" si="83"/>
        <v/>
      </c>
      <c r="BS140" s="263" t="str">
        <f t="shared" si="84"/>
        <v/>
      </c>
      <c r="BT140" s="263" t="str">
        <f t="shared" si="85"/>
        <v/>
      </c>
      <c r="BU140" s="263" t="str">
        <f t="shared" si="86"/>
        <v/>
      </c>
      <c r="BV140" s="263"/>
      <c r="BW140" s="263" t="str">
        <f t="shared" si="87"/>
        <v/>
      </c>
      <c r="BX140" s="263"/>
      <c r="BY140" s="263" t="str">
        <f t="shared" si="88"/>
        <v/>
      </c>
      <c r="BZ140" s="263"/>
      <c r="CA140" s="263" t="str">
        <f t="shared" si="112"/>
        <v/>
      </c>
      <c r="CB140" s="263" t="str">
        <f t="shared" si="89"/>
        <v/>
      </c>
      <c r="CC140" s="263" t="str">
        <f t="shared" si="113"/>
        <v/>
      </c>
      <c r="CD140" s="263" t="str">
        <f t="shared" si="90"/>
        <v/>
      </c>
      <c r="CE140" s="263" t="str">
        <f t="shared" si="96"/>
        <v/>
      </c>
      <c r="CF140" s="263" t="str">
        <f t="shared" si="114"/>
        <v/>
      </c>
      <c r="CG140" s="263" t="str">
        <f t="shared" si="115"/>
        <v/>
      </c>
      <c r="CH140" s="263"/>
      <c r="CI140" s="263" t="str">
        <f t="shared" si="91"/>
        <v/>
      </c>
      <c r="CJ140" s="263"/>
      <c r="CK140" s="263" t="str">
        <f t="shared" si="92"/>
        <v/>
      </c>
      <c r="CL140" s="264">
        <f t="shared" si="118"/>
        <v>0</v>
      </c>
      <c r="CM140" s="264">
        <f t="shared" si="94"/>
        <v>0</v>
      </c>
      <c r="CO140" s="265">
        <v>0.1108</v>
      </c>
      <c r="CP140" s="265">
        <v>0.11220000000000001</v>
      </c>
      <c r="CQ140" s="265">
        <v>0.11241</v>
      </c>
      <c r="CS140" s="265">
        <v>0.1137</v>
      </c>
      <c r="CT140" s="265">
        <v>0.11481</v>
      </c>
      <c r="CU140" s="265">
        <v>0.1176</v>
      </c>
      <c r="CV140" s="265">
        <v>0.1195</v>
      </c>
      <c r="CW140" s="265">
        <v>0.1197</v>
      </c>
      <c r="CY140" s="265">
        <v>0.11994999999999999</v>
      </c>
      <c r="DA140" s="265">
        <v>0.12176999999999999</v>
      </c>
      <c r="DC140" s="265">
        <v>0.12031</v>
      </c>
      <c r="DE140" s="265">
        <v>4.8799999999999996E-2</v>
      </c>
      <c r="DF140" s="265">
        <v>5.015E-2</v>
      </c>
      <c r="DH140" s="265">
        <v>5.0999999999999997E-2</v>
      </c>
      <c r="DI140" s="265">
        <v>5.1799999999999999E-2</v>
      </c>
      <c r="DJ140" s="265">
        <v>5.2080000000000001E-2</v>
      </c>
      <c r="DL140" s="265">
        <v>5.058E-2</v>
      </c>
      <c r="DO140" s="264" t="e">
        <f t="shared" si="120"/>
        <v>#N/A</v>
      </c>
      <c r="DP140" s="264" t="e" cm="1">
        <f t="array" ref="DP140">+INDEX(AH140:AV140,MATCH(DO140,AH140:AV140,1)+1)</f>
        <v>#N/A</v>
      </c>
      <c r="DQ140" s="265" t="e">
        <f t="shared" si="121"/>
        <v>#N/A</v>
      </c>
      <c r="DR140" s="267" t="e">
        <f t="shared" si="122"/>
        <v>#N/A</v>
      </c>
      <c r="DS140" s="267" t="e">
        <f t="shared" si="123"/>
        <v>#N/A</v>
      </c>
      <c r="DT140" s="268" t="e">
        <f t="shared" si="124"/>
        <v>#N/A</v>
      </c>
      <c r="DU140" s="268" t="e" cm="1">
        <f t="array" ref="DU140">+INDEX(AX140:BF140,MATCH(DT140,AX140:BF140,1)+1)</f>
        <v>#N/A</v>
      </c>
      <c r="DV140" s="267" t="e">
        <f t="shared" si="104"/>
        <v>#N/A</v>
      </c>
      <c r="DW140" s="267" t="e">
        <f t="shared" si="125"/>
        <v>#N/A</v>
      </c>
      <c r="DX140" s="267" t="e">
        <f t="shared" si="126"/>
        <v>#N/A</v>
      </c>
      <c r="DY140" s="267">
        <f>+$EE$72</f>
        <v>0.1143</v>
      </c>
      <c r="DZ140" s="205" t="e">
        <f t="shared" si="108"/>
        <v>#N/A</v>
      </c>
      <c r="EA140" s="205">
        <f t="shared" si="109"/>
        <v>0</v>
      </c>
    </row>
    <row r="141" spans="2:131">
      <c r="B141" s="272">
        <v>45217</v>
      </c>
      <c r="C141" s="271">
        <v>45217</v>
      </c>
      <c r="D141" s="263" t="e">
        <f>+SUMIFS(Tabla6[Nominal COP],Tabla6[Concepto],COSTO_OPORTUNIDAD!$B$18,Tabla6[Nemotécnico],COSTO_OPORTUNIDAD!D$16,Tabla6[Fecha Cumplimiento y/ liquidacion],COSTO_OPORTUNIDAD!$C141)/+SUMIFS(Tabla6[Nominal COP],Tabla6[Concepto],COSTO_OPORTUNIDAD!$B$18,Tabla6[Fecha Cumplimiento y/ liquidacion],COSTO_OPORTUNIDAD!$C141)</f>
        <v>#DIV/0!</v>
      </c>
      <c r="E141" s="263" t="e">
        <f>+SUMIFS(Tabla6[Nominal COP],Tabla6[Concepto],COSTO_OPORTUNIDAD!$B$18,Tabla6[Nemotécnico],COSTO_OPORTUNIDAD!E$16,Tabla6[Fecha Cumplimiento y/ liquidacion],COSTO_OPORTUNIDAD!$C141)/+SUMIFS(Tabla6[Nominal COP],Tabla6[Concepto],COSTO_OPORTUNIDAD!$B$18,Tabla6[Fecha Cumplimiento y/ liquidacion],COSTO_OPORTUNIDAD!$C141)</f>
        <v>#DIV/0!</v>
      </c>
      <c r="F141" s="263"/>
      <c r="G141" s="263"/>
      <c r="H141" s="263">
        <v>0.08</v>
      </c>
      <c r="I141" s="263"/>
      <c r="J141" s="263">
        <v>0</v>
      </c>
      <c r="K141" s="263">
        <v>0</v>
      </c>
      <c r="L141" s="263"/>
      <c r="M141" s="263">
        <v>0.59</v>
      </c>
      <c r="N141" s="263"/>
      <c r="O141" s="263"/>
      <c r="P141" s="263">
        <v>0</v>
      </c>
      <c r="Q141" s="263"/>
      <c r="R141" s="263">
        <v>0.33</v>
      </c>
      <c r="S141" s="263"/>
      <c r="T141" s="263">
        <v>0</v>
      </c>
      <c r="U141" s="263"/>
      <c r="V141" s="263">
        <v>0</v>
      </c>
      <c r="W141" s="263">
        <v>0</v>
      </c>
      <c r="X141" s="263">
        <v>0</v>
      </c>
      <c r="Y141" s="263"/>
      <c r="Z141" s="263">
        <v>0</v>
      </c>
      <c r="AA141" s="263">
        <v>0</v>
      </c>
      <c r="AB141" s="263">
        <v>0</v>
      </c>
      <c r="AC141" s="263"/>
      <c r="AD141" s="263">
        <v>0</v>
      </c>
      <c r="AE141" s="263"/>
      <c r="AF141" s="263"/>
      <c r="AG141" s="262"/>
      <c r="AH141" s="274">
        <f t="shared" si="58"/>
        <v>1043</v>
      </c>
      <c r="AI141" s="274">
        <f t="shared" si="59"/>
        <v>1477</v>
      </c>
      <c r="AJ141" s="274">
        <f t="shared" si="60"/>
        <v>1654</v>
      </c>
      <c r="AK141" s="274">
        <f t="shared" si="127"/>
        <v>2135</v>
      </c>
      <c r="AL141" s="274">
        <f t="shared" si="61"/>
        <v>2527</v>
      </c>
      <c r="AM141" s="274">
        <f t="shared" si="62"/>
        <v>2716</v>
      </c>
      <c r="AN141" s="274">
        <f t="shared" si="63"/>
        <v>3178</v>
      </c>
      <c r="AO141" s="274">
        <f t="shared" si="117"/>
        <v>3402</v>
      </c>
      <c r="AP141" s="274">
        <f t="shared" si="64"/>
        <v>4018</v>
      </c>
      <c r="AQ141" s="274"/>
      <c r="AR141" s="274">
        <f t="shared" si="65"/>
        <v>4648</v>
      </c>
      <c r="AS141" s="274">
        <f t="shared" si="128"/>
        <v>6251</v>
      </c>
      <c r="AT141" s="274">
        <f t="shared" si="66"/>
        <v>6797</v>
      </c>
      <c r="AU141" s="274"/>
      <c r="AV141" s="274">
        <f t="shared" si="67"/>
        <v>9870</v>
      </c>
      <c r="AW141" s="274"/>
      <c r="AX141" s="274">
        <f t="shared" si="68"/>
        <v>567</v>
      </c>
      <c r="AY141" s="274">
        <f t="shared" si="69"/>
        <v>1246</v>
      </c>
      <c r="AZ141" s="274">
        <f t="shared" si="70"/>
        <v>2009</v>
      </c>
      <c r="BA141" s="274"/>
      <c r="BB141" s="274">
        <f t="shared" si="71"/>
        <v>3446</v>
      </c>
      <c r="BC141" s="274">
        <f t="shared" si="72"/>
        <v>4186</v>
      </c>
      <c r="BD141" s="274">
        <f t="shared" si="73"/>
        <v>4879</v>
      </c>
      <c r="BE141" s="274"/>
      <c r="BF141" s="274">
        <f t="shared" si="74"/>
        <v>9373</v>
      </c>
      <c r="BG141" s="274"/>
      <c r="BH141" s="274"/>
      <c r="BI141" s="266">
        <f t="shared" si="75"/>
        <v>0</v>
      </c>
      <c r="BJ141" s="266" t="e">
        <f t="shared" si="76"/>
        <v>#DIV/0!</v>
      </c>
      <c r="BK141" s="263" t="str">
        <f t="shared" si="77"/>
        <v/>
      </c>
      <c r="BL141" s="263" t="str">
        <f t="shared" si="78"/>
        <v/>
      </c>
      <c r="BM141" s="263" t="str">
        <f t="shared" si="79"/>
        <v/>
      </c>
      <c r="BN141" s="263"/>
      <c r="BO141" s="263" t="str">
        <f t="shared" si="80"/>
        <v/>
      </c>
      <c r="BP141" s="263" t="str">
        <f t="shared" si="81"/>
        <v/>
      </c>
      <c r="BQ141" s="263" t="str">
        <f t="shared" si="82"/>
        <v/>
      </c>
      <c r="BR141" s="263" t="str">
        <f t="shared" si="83"/>
        <v/>
      </c>
      <c r="BS141" s="263" t="str">
        <f t="shared" si="84"/>
        <v/>
      </c>
      <c r="BT141" s="263" t="str">
        <f t="shared" si="85"/>
        <v/>
      </c>
      <c r="BU141" s="263" t="str">
        <f t="shared" si="86"/>
        <v/>
      </c>
      <c r="BV141" s="263"/>
      <c r="BW141" s="263" t="str">
        <f t="shared" si="87"/>
        <v/>
      </c>
      <c r="BX141" s="263"/>
      <c r="BY141" s="263" t="str">
        <f t="shared" si="88"/>
        <v/>
      </c>
      <c r="BZ141" s="263"/>
      <c r="CA141" s="263" t="str">
        <f t="shared" si="112"/>
        <v/>
      </c>
      <c r="CB141" s="263" t="str">
        <f t="shared" si="89"/>
        <v/>
      </c>
      <c r="CC141" s="263" t="str">
        <f t="shared" si="113"/>
        <v/>
      </c>
      <c r="CD141" s="263" t="str">
        <f t="shared" si="90"/>
        <v/>
      </c>
      <c r="CE141" s="263" t="str">
        <f t="shared" si="96"/>
        <v/>
      </c>
      <c r="CF141" s="263" t="str">
        <f t="shared" si="114"/>
        <v/>
      </c>
      <c r="CG141" s="263" t="str">
        <f t="shared" si="115"/>
        <v/>
      </c>
      <c r="CH141" s="263"/>
      <c r="CI141" s="263" t="str">
        <f t="shared" si="91"/>
        <v/>
      </c>
      <c r="CJ141" s="263"/>
      <c r="CK141" s="263" t="str">
        <f t="shared" si="92"/>
        <v/>
      </c>
      <c r="CL141" s="264">
        <f t="shared" si="118"/>
        <v>0</v>
      </c>
      <c r="CM141" s="264">
        <f t="shared" si="94"/>
        <v>0</v>
      </c>
      <c r="CO141" s="265">
        <v>0.1118</v>
      </c>
      <c r="CP141" s="265">
        <v>0.11286</v>
      </c>
      <c r="CQ141" s="265">
        <v>0.11355999999999999</v>
      </c>
      <c r="CS141" s="265">
        <v>0.11410000000000001</v>
      </c>
      <c r="CT141" s="265">
        <v>0.11601</v>
      </c>
      <c r="CU141" s="265">
        <v>0.11699999999999999</v>
      </c>
      <c r="CV141" s="265">
        <v>0.11851</v>
      </c>
      <c r="CW141" s="265">
        <v>0.11836000000000001</v>
      </c>
      <c r="CY141" s="265">
        <v>0.11803000000000001</v>
      </c>
      <c r="DA141" s="265">
        <v>0.1197</v>
      </c>
      <c r="DC141" s="265">
        <v>0.11779999999999999</v>
      </c>
      <c r="DE141" s="265">
        <v>4.5149999999999996E-2</v>
      </c>
      <c r="DF141" s="265">
        <v>4.6699999999999998E-2</v>
      </c>
      <c r="DH141" s="265">
        <v>5.0900000000000001E-2</v>
      </c>
      <c r="DI141" s="265">
        <v>5.16E-2</v>
      </c>
      <c r="DJ141" s="265">
        <v>5.289E-2</v>
      </c>
      <c r="DL141" s="265">
        <v>5.076E-2</v>
      </c>
      <c r="DO141" s="264" t="e">
        <f t="shared" si="120"/>
        <v>#N/A</v>
      </c>
      <c r="DP141" s="264" t="e" cm="1">
        <f t="array" ref="DP141">+INDEX(AH141:AV141,MATCH(DO141,AH141:AV141,1)+1)</f>
        <v>#N/A</v>
      </c>
      <c r="DQ141" s="265" t="e">
        <f t="shared" si="121"/>
        <v>#N/A</v>
      </c>
      <c r="DR141" s="267" t="e">
        <f t="shared" si="122"/>
        <v>#N/A</v>
      </c>
      <c r="DS141" s="267" t="e">
        <f t="shared" si="123"/>
        <v>#N/A</v>
      </c>
      <c r="DT141" s="268" t="e">
        <f t="shared" si="124"/>
        <v>#N/A</v>
      </c>
      <c r="DU141" s="268" t="e" cm="1">
        <f t="array" ref="DU141">+INDEX(AX141:BF141,MATCH(DT141,AX141:BF141,1)+1)</f>
        <v>#N/A</v>
      </c>
      <c r="DV141" s="267" t="e">
        <f t="shared" si="104"/>
        <v>#N/A</v>
      </c>
      <c r="DW141" s="267" t="e">
        <f t="shared" si="125"/>
        <v>#N/A</v>
      </c>
      <c r="DX141" s="267" t="e">
        <f t="shared" si="126"/>
        <v>#N/A</v>
      </c>
      <c r="DY141" s="267">
        <f>+$EE$73</f>
        <v>0.1099</v>
      </c>
      <c r="DZ141" s="205" t="e">
        <f t="shared" si="108"/>
        <v>#N/A</v>
      </c>
      <c r="EA141" s="205">
        <f t="shared" si="109"/>
        <v>0</v>
      </c>
    </row>
    <row r="142" spans="2:131">
      <c r="B142" s="272">
        <v>45218</v>
      </c>
      <c r="C142" s="271">
        <v>45218</v>
      </c>
      <c r="D142" s="263" t="e">
        <f>+SUMIFS(Tabla6[Nominal COP],Tabla6[Concepto],COSTO_OPORTUNIDAD!$B$18,Tabla6[Nemotécnico],COSTO_OPORTUNIDAD!D$16,Tabla6[Fecha Cumplimiento y/ liquidacion],COSTO_OPORTUNIDAD!$C142)/+SUMIFS(Tabla6[Nominal COP],Tabla6[Concepto],COSTO_OPORTUNIDAD!$B$18,Tabla6[Fecha Cumplimiento y/ liquidacion],COSTO_OPORTUNIDAD!$C142)</f>
        <v>#DIV/0!</v>
      </c>
      <c r="E142" s="263" t="e">
        <f>+SUMIFS(Tabla6[Nominal COP],Tabla6[Concepto],COSTO_OPORTUNIDAD!$B$18,Tabla6[Nemotécnico],COSTO_OPORTUNIDAD!E$16,Tabla6[Fecha Cumplimiento y/ liquidacion],COSTO_OPORTUNIDAD!$C142)/+SUMIFS(Tabla6[Nominal COP],Tabla6[Concepto],COSTO_OPORTUNIDAD!$B$18,Tabla6[Fecha Cumplimiento y/ liquidacion],COSTO_OPORTUNIDAD!$C142)</f>
        <v>#DIV/0!</v>
      </c>
      <c r="F142" s="263"/>
      <c r="G142" s="263"/>
      <c r="H142" s="263">
        <v>6.1881188118811881E-2</v>
      </c>
      <c r="I142" s="263"/>
      <c r="J142" s="263">
        <v>0</v>
      </c>
      <c r="K142" s="263">
        <v>0</v>
      </c>
      <c r="L142" s="263"/>
      <c r="M142" s="263">
        <v>0.59158415841584155</v>
      </c>
      <c r="N142" s="263"/>
      <c r="O142" s="263"/>
      <c r="P142" s="263">
        <v>0</v>
      </c>
      <c r="Q142" s="263"/>
      <c r="R142" s="263">
        <v>0.34653465346534651</v>
      </c>
      <c r="S142" s="263"/>
      <c r="T142" s="263">
        <v>0</v>
      </c>
      <c r="U142" s="263"/>
      <c r="V142" s="263">
        <v>0</v>
      </c>
      <c r="W142" s="263">
        <v>0</v>
      </c>
      <c r="X142" s="263">
        <v>0</v>
      </c>
      <c r="Y142" s="263"/>
      <c r="Z142" s="263">
        <v>0</v>
      </c>
      <c r="AA142" s="263">
        <v>0</v>
      </c>
      <c r="AB142" s="263">
        <v>0</v>
      </c>
      <c r="AC142" s="263"/>
      <c r="AD142" s="263">
        <v>0</v>
      </c>
      <c r="AE142" s="263"/>
      <c r="AF142" s="263"/>
      <c r="AG142" s="262"/>
      <c r="AH142" s="274">
        <f t="shared" si="58"/>
        <v>1042</v>
      </c>
      <c r="AI142" s="274">
        <f t="shared" si="59"/>
        <v>1476</v>
      </c>
      <c r="AJ142" s="274">
        <f t="shared" si="60"/>
        <v>1653</v>
      </c>
      <c r="AK142" s="274">
        <f t="shared" si="127"/>
        <v>2134</v>
      </c>
      <c r="AL142" s="274">
        <f t="shared" si="61"/>
        <v>2526</v>
      </c>
      <c r="AM142" s="274">
        <f t="shared" si="62"/>
        <v>2715</v>
      </c>
      <c r="AN142" s="274">
        <f t="shared" si="63"/>
        <v>3177</v>
      </c>
      <c r="AO142" s="274">
        <f t="shared" si="117"/>
        <v>3401</v>
      </c>
      <c r="AP142" s="274">
        <f t="shared" si="64"/>
        <v>4017</v>
      </c>
      <c r="AQ142" s="274"/>
      <c r="AR142" s="274">
        <f t="shared" si="65"/>
        <v>4647</v>
      </c>
      <c r="AS142" s="274">
        <f t="shared" si="128"/>
        <v>6250</v>
      </c>
      <c r="AT142" s="274">
        <f t="shared" si="66"/>
        <v>6796</v>
      </c>
      <c r="AU142" s="274"/>
      <c r="AV142" s="274">
        <f t="shared" si="67"/>
        <v>9869</v>
      </c>
      <c r="AW142" s="274"/>
      <c r="AX142" s="274">
        <f t="shared" si="68"/>
        <v>566</v>
      </c>
      <c r="AY142" s="274">
        <f t="shared" si="69"/>
        <v>1245</v>
      </c>
      <c r="AZ142" s="274">
        <f t="shared" si="70"/>
        <v>2008</v>
      </c>
      <c r="BA142" s="274"/>
      <c r="BB142" s="274">
        <f t="shared" si="71"/>
        <v>3445</v>
      </c>
      <c r="BC142" s="274">
        <f t="shared" si="72"/>
        <v>4185</v>
      </c>
      <c r="BD142" s="274">
        <f t="shared" si="73"/>
        <v>4878</v>
      </c>
      <c r="BE142" s="274"/>
      <c r="BF142" s="274">
        <f t="shared" si="74"/>
        <v>9372</v>
      </c>
      <c r="BG142" s="274"/>
      <c r="BH142" s="274"/>
      <c r="BI142" s="266">
        <f t="shared" si="75"/>
        <v>0</v>
      </c>
      <c r="BJ142" s="266" t="e">
        <f t="shared" si="76"/>
        <v>#DIV/0!</v>
      </c>
      <c r="BK142" s="263" t="str">
        <f t="shared" si="77"/>
        <v/>
      </c>
      <c r="BL142" s="263" t="str">
        <f t="shared" si="78"/>
        <v/>
      </c>
      <c r="BM142" s="263" t="str">
        <f t="shared" si="79"/>
        <v/>
      </c>
      <c r="BN142" s="263"/>
      <c r="BO142" s="263" t="str">
        <f t="shared" si="80"/>
        <v/>
      </c>
      <c r="BP142" s="263" t="str">
        <f t="shared" si="81"/>
        <v/>
      </c>
      <c r="BQ142" s="263" t="str">
        <f t="shared" si="82"/>
        <v/>
      </c>
      <c r="BR142" s="263" t="str">
        <f t="shared" si="83"/>
        <v/>
      </c>
      <c r="BS142" s="263" t="str">
        <f t="shared" si="84"/>
        <v/>
      </c>
      <c r="BT142" s="263" t="str">
        <f t="shared" si="85"/>
        <v/>
      </c>
      <c r="BU142" s="263" t="str">
        <f t="shared" si="86"/>
        <v/>
      </c>
      <c r="BV142" s="263"/>
      <c r="BW142" s="263" t="str">
        <f t="shared" si="87"/>
        <v/>
      </c>
      <c r="BX142" s="263"/>
      <c r="BY142" s="263" t="str">
        <f t="shared" si="88"/>
        <v/>
      </c>
      <c r="BZ142" s="263"/>
      <c r="CA142" s="263" t="str">
        <f t="shared" si="112"/>
        <v/>
      </c>
      <c r="CB142" s="263" t="str">
        <f t="shared" si="89"/>
        <v/>
      </c>
      <c r="CC142" s="263" t="str">
        <f t="shared" si="113"/>
        <v/>
      </c>
      <c r="CD142" s="263" t="str">
        <f t="shared" si="90"/>
        <v/>
      </c>
      <c r="CE142" s="263" t="str">
        <f t="shared" si="96"/>
        <v/>
      </c>
      <c r="CF142" s="263" t="str">
        <f t="shared" si="114"/>
        <v/>
      </c>
      <c r="CG142" s="263" t="str">
        <f t="shared" si="115"/>
        <v/>
      </c>
      <c r="CH142" s="263"/>
      <c r="CI142" s="263" t="str">
        <f t="shared" si="91"/>
        <v/>
      </c>
      <c r="CJ142" s="263"/>
      <c r="CK142" s="263" t="str">
        <f t="shared" si="92"/>
        <v/>
      </c>
      <c r="CL142" s="264">
        <f t="shared" si="118"/>
        <v>0</v>
      </c>
      <c r="CM142" s="264">
        <f t="shared" si="94"/>
        <v>0</v>
      </c>
      <c r="CO142" s="265">
        <v>0.11099000000000001</v>
      </c>
      <c r="CP142" s="265">
        <v>0.1124</v>
      </c>
      <c r="CQ142" s="265">
        <v>0.11221</v>
      </c>
      <c r="CS142" s="265">
        <v>0.11406000000000001</v>
      </c>
      <c r="CT142" s="265">
        <v>0.11601</v>
      </c>
      <c r="CU142" s="265">
        <v>0.1168</v>
      </c>
      <c r="CV142" s="265">
        <v>0.11851</v>
      </c>
      <c r="CW142" s="265">
        <v>0.11869</v>
      </c>
      <c r="CY142" s="265">
        <v>0.11800000000000001</v>
      </c>
      <c r="DA142" s="265">
        <v>0.12050000000000001</v>
      </c>
      <c r="DC142" s="265">
        <v>0.11855</v>
      </c>
      <c r="DE142" s="265">
        <v>4.4999999999999998E-2</v>
      </c>
      <c r="DF142" s="265">
        <v>4.6980000000000001E-2</v>
      </c>
      <c r="DH142" s="265">
        <v>4.9500000000000002E-2</v>
      </c>
      <c r="DI142" s="265">
        <v>5.0250000000000003E-2</v>
      </c>
      <c r="DJ142" s="265">
        <v>5.1650000000000001E-2</v>
      </c>
      <c r="DL142" s="265">
        <v>4.9930000000000002E-2</v>
      </c>
      <c r="DO142" s="264" t="e">
        <f t="shared" si="120"/>
        <v>#N/A</v>
      </c>
      <c r="DP142" s="264" t="e" cm="1">
        <f t="array" ref="DP142">+INDEX(AH142:AV142,MATCH(DO142,AH142:AV142,1)+1)</f>
        <v>#N/A</v>
      </c>
      <c r="DQ142" s="265" t="e">
        <f t="shared" si="121"/>
        <v>#N/A</v>
      </c>
      <c r="DR142" s="267" t="e">
        <f t="shared" si="122"/>
        <v>#N/A</v>
      </c>
      <c r="DS142" s="267" t="e">
        <f t="shared" si="123"/>
        <v>#N/A</v>
      </c>
      <c r="DT142" s="268" t="e">
        <f t="shared" si="124"/>
        <v>#N/A</v>
      </c>
      <c r="DU142" s="268" t="e" cm="1">
        <f t="array" ref="DU142">+INDEX(AX142:BF142,MATCH(DT142,AX142:BF142,1)+1)</f>
        <v>#N/A</v>
      </c>
      <c r="DV142" s="267" t="e">
        <f t="shared" si="104"/>
        <v>#N/A</v>
      </c>
      <c r="DW142" s="267" t="e">
        <f t="shared" si="125"/>
        <v>#N/A</v>
      </c>
      <c r="DX142" s="267" t="e">
        <f t="shared" si="126"/>
        <v>#N/A</v>
      </c>
      <c r="DY142" s="267">
        <f t="shared" ref="DY142:DY151" si="129">+$EE$73</f>
        <v>0.1099</v>
      </c>
      <c r="DZ142" s="205" t="e">
        <f t="shared" si="108"/>
        <v>#N/A</v>
      </c>
      <c r="EA142" s="205">
        <f t="shared" si="109"/>
        <v>0</v>
      </c>
    </row>
    <row r="143" spans="2:131">
      <c r="B143" s="272">
        <v>45219</v>
      </c>
      <c r="C143" s="271">
        <v>45219</v>
      </c>
      <c r="D143" s="263" t="e">
        <f>+SUMIFS(Tabla6[Nominal COP],Tabla6[Concepto],COSTO_OPORTUNIDAD!$B$18,Tabla6[Nemotécnico],COSTO_OPORTUNIDAD!D$16,Tabla6[Fecha Cumplimiento y/ liquidacion],COSTO_OPORTUNIDAD!$C143)/+SUMIFS(Tabla6[Nominal COP],Tabla6[Concepto],COSTO_OPORTUNIDAD!$B$18,Tabla6[Fecha Cumplimiento y/ liquidacion],COSTO_OPORTUNIDAD!$C143)</f>
        <v>#DIV/0!</v>
      </c>
      <c r="E143" s="263" t="e">
        <f>+SUMIFS(Tabla6[Nominal COP],Tabla6[Concepto],COSTO_OPORTUNIDAD!$B$18,Tabla6[Nemotécnico],COSTO_OPORTUNIDAD!E$16,Tabla6[Fecha Cumplimiento y/ liquidacion],COSTO_OPORTUNIDAD!$C143)/+SUMIFS(Tabla6[Nominal COP],Tabla6[Concepto],COSTO_OPORTUNIDAD!$B$18,Tabla6[Fecha Cumplimiento y/ liquidacion],COSTO_OPORTUNIDAD!$C143)</f>
        <v>#DIV/0!</v>
      </c>
      <c r="F143" s="263"/>
      <c r="G143" s="263"/>
      <c r="H143" s="263">
        <v>6.363636363636363E-2</v>
      </c>
      <c r="I143" s="263"/>
      <c r="J143" s="263">
        <v>0</v>
      </c>
      <c r="K143" s="263">
        <v>0</v>
      </c>
      <c r="L143" s="263"/>
      <c r="M143" s="263">
        <v>0.59090909090909094</v>
      </c>
      <c r="N143" s="263"/>
      <c r="O143" s="263"/>
      <c r="P143" s="263">
        <v>0</v>
      </c>
      <c r="Q143" s="263"/>
      <c r="R143" s="263">
        <v>0.34545454545454546</v>
      </c>
      <c r="S143" s="263"/>
      <c r="T143" s="263">
        <v>0</v>
      </c>
      <c r="U143" s="263"/>
      <c r="V143" s="263">
        <v>0</v>
      </c>
      <c r="W143" s="263">
        <v>0</v>
      </c>
      <c r="X143" s="263">
        <v>0</v>
      </c>
      <c r="Y143" s="263"/>
      <c r="Z143" s="263">
        <v>0</v>
      </c>
      <c r="AA143" s="263">
        <v>0</v>
      </c>
      <c r="AB143" s="263">
        <v>0</v>
      </c>
      <c r="AC143" s="263"/>
      <c r="AD143" s="263">
        <v>0</v>
      </c>
      <c r="AE143" s="263"/>
      <c r="AF143" s="263"/>
      <c r="AG143" s="262"/>
      <c r="AH143" s="274">
        <f t="shared" si="58"/>
        <v>1041</v>
      </c>
      <c r="AI143" s="274">
        <f t="shared" si="59"/>
        <v>1475</v>
      </c>
      <c r="AJ143" s="274">
        <f t="shared" si="60"/>
        <v>1652</v>
      </c>
      <c r="AK143" s="274">
        <f t="shared" si="127"/>
        <v>2133</v>
      </c>
      <c r="AL143" s="274">
        <f t="shared" si="61"/>
        <v>2525</v>
      </c>
      <c r="AM143" s="274">
        <f t="shared" si="62"/>
        <v>2714</v>
      </c>
      <c r="AN143" s="274">
        <f t="shared" si="63"/>
        <v>3176</v>
      </c>
      <c r="AO143" s="274">
        <f t="shared" si="117"/>
        <v>3400</v>
      </c>
      <c r="AP143" s="274">
        <f t="shared" si="64"/>
        <v>4016</v>
      </c>
      <c r="AQ143" s="274"/>
      <c r="AR143" s="274">
        <f t="shared" si="65"/>
        <v>4646</v>
      </c>
      <c r="AS143" s="274">
        <f t="shared" si="128"/>
        <v>6249</v>
      </c>
      <c r="AT143" s="274">
        <f t="shared" si="66"/>
        <v>6795</v>
      </c>
      <c r="AU143" s="274"/>
      <c r="AV143" s="274">
        <f t="shared" si="67"/>
        <v>9868</v>
      </c>
      <c r="AW143" s="274"/>
      <c r="AX143" s="274">
        <f t="shared" si="68"/>
        <v>565</v>
      </c>
      <c r="AY143" s="274">
        <f t="shared" si="69"/>
        <v>1244</v>
      </c>
      <c r="AZ143" s="274">
        <f t="shared" si="70"/>
        <v>2007</v>
      </c>
      <c r="BA143" s="274"/>
      <c r="BB143" s="274">
        <f t="shared" si="71"/>
        <v>3444</v>
      </c>
      <c r="BC143" s="274">
        <f t="shared" si="72"/>
        <v>4184</v>
      </c>
      <c r="BD143" s="274">
        <f t="shared" si="73"/>
        <v>4877</v>
      </c>
      <c r="BE143" s="274"/>
      <c r="BF143" s="274">
        <f t="shared" si="74"/>
        <v>9371</v>
      </c>
      <c r="BG143" s="274"/>
      <c r="BH143" s="274"/>
      <c r="BI143" s="266">
        <f t="shared" si="75"/>
        <v>0</v>
      </c>
      <c r="BJ143" s="266" t="e">
        <f t="shared" si="76"/>
        <v>#DIV/0!</v>
      </c>
      <c r="BK143" s="263" t="str">
        <f t="shared" si="77"/>
        <v/>
      </c>
      <c r="BL143" s="263" t="str">
        <f t="shared" si="78"/>
        <v/>
      </c>
      <c r="BM143" s="263" t="str">
        <f t="shared" si="79"/>
        <v/>
      </c>
      <c r="BN143" s="263"/>
      <c r="BO143" s="263" t="str">
        <f t="shared" si="80"/>
        <v/>
      </c>
      <c r="BP143" s="263" t="str">
        <f t="shared" si="81"/>
        <v/>
      </c>
      <c r="BQ143" s="263" t="str">
        <f t="shared" si="82"/>
        <v/>
      </c>
      <c r="BR143" s="263" t="str">
        <f t="shared" si="83"/>
        <v/>
      </c>
      <c r="BS143" s="263" t="str">
        <f t="shared" si="84"/>
        <v/>
      </c>
      <c r="BT143" s="263" t="str">
        <f t="shared" si="85"/>
        <v/>
      </c>
      <c r="BU143" s="263" t="str">
        <f t="shared" si="86"/>
        <v/>
      </c>
      <c r="BV143" s="263"/>
      <c r="BW143" s="263" t="str">
        <f t="shared" si="87"/>
        <v/>
      </c>
      <c r="BX143" s="263"/>
      <c r="BY143" s="263" t="str">
        <f t="shared" si="88"/>
        <v/>
      </c>
      <c r="BZ143" s="263"/>
      <c r="CA143" s="263" t="str">
        <f t="shared" si="112"/>
        <v/>
      </c>
      <c r="CB143" s="263" t="str">
        <f t="shared" si="89"/>
        <v/>
      </c>
      <c r="CC143" s="263" t="str">
        <f t="shared" si="113"/>
        <v/>
      </c>
      <c r="CD143" s="263" t="str">
        <f t="shared" si="90"/>
        <v/>
      </c>
      <c r="CE143" s="263" t="str">
        <f t="shared" si="96"/>
        <v/>
      </c>
      <c r="CF143" s="263" t="str">
        <f t="shared" si="114"/>
        <v/>
      </c>
      <c r="CG143" s="263" t="str">
        <f t="shared" si="115"/>
        <v/>
      </c>
      <c r="CH143" s="263"/>
      <c r="CI143" s="263" t="str">
        <f t="shared" si="91"/>
        <v/>
      </c>
      <c r="CJ143" s="263"/>
      <c r="CK143" s="263" t="str">
        <f t="shared" si="92"/>
        <v/>
      </c>
      <c r="CL143" s="264">
        <f t="shared" si="118"/>
        <v>0</v>
      </c>
      <c r="CM143" s="264">
        <f t="shared" si="94"/>
        <v>0</v>
      </c>
      <c r="CO143" s="265">
        <v>0.11</v>
      </c>
      <c r="CP143" s="265">
        <v>0.1118</v>
      </c>
      <c r="CQ143" s="265">
        <v>0.1124</v>
      </c>
      <c r="CS143" s="265">
        <v>0.11373</v>
      </c>
      <c r="CT143" s="265">
        <v>0.11478999999999999</v>
      </c>
      <c r="CU143" s="265">
        <v>0.11681</v>
      </c>
      <c r="CV143" s="265">
        <v>0.11869999999999999</v>
      </c>
      <c r="CW143" s="265">
        <v>0.11845</v>
      </c>
      <c r="CY143" s="265">
        <v>0.11801</v>
      </c>
      <c r="DA143" s="265">
        <v>0.12058999999999999</v>
      </c>
      <c r="DC143" s="265">
        <v>0.11894</v>
      </c>
      <c r="DE143" s="265">
        <v>4.4400000000000002E-2</v>
      </c>
      <c r="DF143" s="265">
        <v>4.5670000000000002E-2</v>
      </c>
      <c r="DH143" s="265">
        <v>4.8600000000000004E-2</v>
      </c>
      <c r="DI143" s="265">
        <v>5.0279999999999998E-2</v>
      </c>
      <c r="DJ143" s="265">
        <v>5.0999999999999997E-2</v>
      </c>
      <c r="DL143" s="265">
        <v>4.9370000000000004E-2</v>
      </c>
      <c r="DO143" s="264" t="e">
        <f t="shared" si="120"/>
        <v>#N/A</v>
      </c>
      <c r="DP143" s="264" t="e" cm="1">
        <f t="array" ref="DP143">+INDEX(AH143:AV143,MATCH(DO143,AH143:AV143,1)+1)</f>
        <v>#N/A</v>
      </c>
      <c r="DQ143" s="265" t="e">
        <f t="shared" si="121"/>
        <v>#N/A</v>
      </c>
      <c r="DR143" s="267" t="e">
        <f t="shared" si="122"/>
        <v>#N/A</v>
      </c>
      <c r="DS143" s="267" t="e">
        <f t="shared" si="123"/>
        <v>#N/A</v>
      </c>
      <c r="DT143" s="268" t="e">
        <f t="shared" si="124"/>
        <v>#N/A</v>
      </c>
      <c r="DU143" s="268" t="e" cm="1">
        <f t="array" ref="DU143">+INDEX(AX143:BF143,MATCH(DT143,AX143:BF143,1)+1)</f>
        <v>#N/A</v>
      </c>
      <c r="DV143" s="267" t="e">
        <f t="shared" si="104"/>
        <v>#N/A</v>
      </c>
      <c r="DW143" s="267" t="e">
        <f t="shared" si="125"/>
        <v>#N/A</v>
      </c>
      <c r="DX143" s="267" t="e">
        <f t="shared" si="126"/>
        <v>#N/A</v>
      </c>
      <c r="DY143" s="267">
        <f t="shared" si="129"/>
        <v>0.1099</v>
      </c>
      <c r="DZ143" s="205" t="e">
        <f t="shared" si="108"/>
        <v>#N/A</v>
      </c>
      <c r="EA143" s="205">
        <f t="shared" si="109"/>
        <v>0</v>
      </c>
    </row>
    <row r="144" spans="2:131">
      <c r="B144" s="272">
        <v>45222</v>
      </c>
      <c r="C144" s="271">
        <v>45222</v>
      </c>
      <c r="D144" s="263" t="e">
        <f>+SUMIFS(Tabla6[Nominal COP],Tabla6[Concepto],COSTO_OPORTUNIDAD!$B$18,Tabla6[Nemotécnico],COSTO_OPORTUNIDAD!D$16,Tabla6[Fecha Cumplimiento y/ liquidacion],COSTO_OPORTUNIDAD!$C144)/+SUMIFS(Tabla6[Nominal COP],Tabla6[Concepto],COSTO_OPORTUNIDAD!$B$18,Tabla6[Fecha Cumplimiento y/ liquidacion],COSTO_OPORTUNIDAD!$C144)</f>
        <v>#DIV/0!</v>
      </c>
      <c r="E144" s="263" t="e">
        <f>+SUMIFS(Tabla6[Nominal COP],Tabla6[Concepto],COSTO_OPORTUNIDAD!$B$18,Tabla6[Nemotécnico],COSTO_OPORTUNIDAD!E$16,Tabla6[Fecha Cumplimiento y/ liquidacion],COSTO_OPORTUNIDAD!$C144)/+SUMIFS(Tabla6[Nominal COP],Tabla6[Concepto],COSTO_OPORTUNIDAD!$B$18,Tabla6[Fecha Cumplimiento y/ liquidacion],COSTO_OPORTUNIDAD!$C144)</f>
        <v>#DIV/0!</v>
      </c>
      <c r="F144" s="263"/>
      <c r="G144" s="263"/>
      <c r="H144" s="263">
        <v>8.6592178770949726E-2</v>
      </c>
      <c r="I144" s="263"/>
      <c r="J144" s="263">
        <v>0</v>
      </c>
      <c r="K144" s="263">
        <v>0</v>
      </c>
      <c r="L144" s="263"/>
      <c r="M144" s="263">
        <v>0.6061452513966481</v>
      </c>
      <c r="N144" s="263"/>
      <c r="O144" s="263"/>
      <c r="P144" s="263">
        <v>0</v>
      </c>
      <c r="Q144" s="263"/>
      <c r="R144" s="263">
        <v>0.30726256983240224</v>
      </c>
      <c r="S144" s="263"/>
      <c r="T144" s="263">
        <v>0</v>
      </c>
      <c r="U144" s="263"/>
      <c r="V144" s="263">
        <v>0</v>
      </c>
      <c r="W144" s="263">
        <v>0</v>
      </c>
      <c r="X144" s="263">
        <v>0</v>
      </c>
      <c r="Y144" s="263"/>
      <c r="Z144" s="263">
        <v>0</v>
      </c>
      <c r="AA144" s="263">
        <v>0</v>
      </c>
      <c r="AB144" s="263">
        <v>0</v>
      </c>
      <c r="AC144" s="263"/>
      <c r="AD144" s="263">
        <v>0</v>
      </c>
      <c r="AE144" s="263"/>
      <c r="AF144" s="263"/>
      <c r="AG144" s="262"/>
      <c r="AH144" s="274">
        <f t="shared" si="58"/>
        <v>1038</v>
      </c>
      <c r="AI144" s="274">
        <f t="shared" si="59"/>
        <v>1472</v>
      </c>
      <c r="AJ144" s="274">
        <f t="shared" si="60"/>
        <v>1649</v>
      </c>
      <c r="AK144" s="274">
        <f t="shared" si="127"/>
        <v>2130</v>
      </c>
      <c r="AL144" s="274">
        <f t="shared" si="61"/>
        <v>2522</v>
      </c>
      <c r="AM144" s="274">
        <f t="shared" si="62"/>
        <v>2711</v>
      </c>
      <c r="AN144" s="274">
        <f t="shared" si="63"/>
        <v>3173</v>
      </c>
      <c r="AO144" s="274">
        <f t="shared" si="117"/>
        <v>3397</v>
      </c>
      <c r="AP144" s="274">
        <f t="shared" si="64"/>
        <v>4013</v>
      </c>
      <c r="AQ144" s="274"/>
      <c r="AR144" s="274">
        <f t="shared" si="65"/>
        <v>4643</v>
      </c>
      <c r="AS144" s="274">
        <f t="shared" si="128"/>
        <v>6246</v>
      </c>
      <c r="AT144" s="274">
        <f t="shared" si="66"/>
        <v>6792</v>
      </c>
      <c r="AU144" s="274"/>
      <c r="AV144" s="274">
        <f t="shared" si="67"/>
        <v>9865</v>
      </c>
      <c r="AW144" s="274"/>
      <c r="AX144" s="274">
        <f t="shared" si="68"/>
        <v>562</v>
      </c>
      <c r="AY144" s="274">
        <f t="shared" si="69"/>
        <v>1241</v>
      </c>
      <c r="AZ144" s="274">
        <f t="shared" si="70"/>
        <v>2004</v>
      </c>
      <c r="BA144" s="274"/>
      <c r="BB144" s="274">
        <f t="shared" si="71"/>
        <v>3441</v>
      </c>
      <c r="BC144" s="274">
        <f t="shared" si="72"/>
        <v>4181</v>
      </c>
      <c r="BD144" s="274">
        <f t="shared" si="73"/>
        <v>4874</v>
      </c>
      <c r="BE144" s="274"/>
      <c r="BF144" s="274">
        <f t="shared" si="74"/>
        <v>9368</v>
      </c>
      <c r="BG144" s="274"/>
      <c r="BH144" s="274"/>
      <c r="BI144" s="266">
        <f t="shared" si="75"/>
        <v>0</v>
      </c>
      <c r="BJ144" s="266" t="e">
        <f t="shared" si="76"/>
        <v>#DIV/0!</v>
      </c>
      <c r="BK144" s="263" t="str">
        <f t="shared" si="77"/>
        <v/>
      </c>
      <c r="BL144" s="263" t="str">
        <f t="shared" si="78"/>
        <v/>
      </c>
      <c r="BM144" s="263" t="str">
        <f t="shared" si="79"/>
        <v/>
      </c>
      <c r="BN144" s="263"/>
      <c r="BO144" s="263" t="str">
        <f t="shared" si="80"/>
        <v/>
      </c>
      <c r="BP144" s="263" t="str">
        <f t="shared" si="81"/>
        <v/>
      </c>
      <c r="BQ144" s="263" t="str">
        <f t="shared" si="82"/>
        <v/>
      </c>
      <c r="BR144" s="263" t="str">
        <f t="shared" si="83"/>
        <v/>
      </c>
      <c r="BS144" s="263" t="str">
        <f t="shared" si="84"/>
        <v/>
      </c>
      <c r="BT144" s="263" t="str">
        <f t="shared" si="85"/>
        <v/>
      </c>
      <c r="BU144" s="263" t="str">
        <f t="shared" si="86"/>
        <v/>
      </c>
      <c r="BV144" s="263"/>
      <c r="BW144" s="263" t="str">
        <f t="shared" si="87"/>
        <v/>
      </c>
      <c r="BX144" s="263"/>
      <c r="BY144" s="263" t="str">
        <f t="shared" si="88"/>
        <v/>
      </c>
      <c r="BZ144" s="263"/>
      <c r="CA144" s="263" t="str">
        <f t="shared" si="112"/>
        <v/>
      </c>
      <c r="CB144" s="263" t="str">
        <f t="shared" si="89"/>
        <v/>
      </c>
      <c r="CC144" s="263" t="str">
        <f t="shared" si="113"/>
        <v/>
      </c>
      <c r="CD144" s="263" t="str">
        <f t="shared" si="90"/>
        <v/>
      </c>
      <c r="CE144" s="263" t="str">
        <f t="shared" si="96"/>
        <v/>
      </c>
      <c r="CF144" s="263" t="str">
        <f t="shared" si="114"/>
        <v/>
      </c>
      <c r="CG144" s="263" t="str">
        <f t="shared" si="115"/>
        <v/>
      </c>
      <c r="CH144" s="263"/>
      <c r="CI144" s="263" t="str">
        <f t="shared" si="91"/>
        <v/>
      </c>
      <c r="CJ144" s="263"/>
      <c r="CK144" s="263" t="str">
        <f t="shared" si="92"/>
        <v/>
      </c>
      <c r="CL144" s="264">
        <f t="shared" si="118"/>
        <v>0</v>
      </c>
      <c r="CM144" s="264">
        <f t="shared" si="94"/>
        <v>0</v>
      </c>
      <c r="CO144" s="265">
        <v>0.10993</v>
      </c>
      <c r="CP144" s="265">
        <v>0.113</v>
      </c>
      <c r="CQ144" s="265">
        <v>0.1134</v>
      </c>
      <c r="CS144" s="265">
        <v>0.1148</v>
      </c>
      <c r="CT144" s="265">
        <v>0.11449999999999999</v>
      </c>
      <c r="CU144" s="265">
        <v>0.11800000000000001</v>
      </c>
      <c r="CV144" s="265">
        <v>0.11960000000000001</v>
      </c>
      <c r="CW144" s="265">
        <v>0.11900000000000001</v>
      </c>
      <c r="CY144" s="265">
        <v>0.11900000000000001</v>
      </c>
      <c r="DA144" s="265">
        <v>0.122</v>
      </c>
      <c r="DC144" s="265">
        <v>0.12050000000000001</v>
      </c>
      <c r="DE144" s="265">
        <v>4.5999999999999999E-2</v>
      </c>
      <c r="DF144" s="265">
        <v>4.6890000000000001E-2</v>
      </c>
      <c r="DH144" s="265">
        <v>4.8600000000000004E-2</v>
      </c>
      <c r="DI144" s="265">
        <v>0.05</v>
      </c>
      <c r="DJ144" s="265">
        <v>5.2000000000000005E-2</v>
      </c>
      <c r="DL144" s="265">
        <v>5.0659999999999997E-2</v>
      </c>
      <c r="DO144" s="264" t="e">
        <f t="shared" si="120"/>
        <v>#N/A</v>
      </c>
      <c r="DP144" s="264" t="e" cm="1">
        <f t="array" ref="DP144">+INDEX(AH144:AV144,MATCH(DO144,AH144:AV144,1)+1)</f>
        <v>#N/A</v>
      </c>
      <c r="DQ144" s="265" t="e">
        <f t="shared" si="121"/>
        <v>#N/A</v>
      </c>
      <c r="DR144" s="267" t="e">
        <f t="shared" si="122"/>
        <v>#N/A</v>
      </c>
      <c r="DS144" s="267" t="e">
        <f t="shared" si="123"/>
        <v>#N/A</v>
      </c>
      <c r="DT144" s="268" t="e">
        <f t="shared" si="124"/>
        <v>#N/A</v>
      </c>
      <c r="DU144" s="268" t="e" cm="1">
        <f t="array" ref="DU144">+INDEX(AX144:BF144,MATCH(DT144,AX144:BF144,1)+1)</f>
        <v>#N/A</v>
      </c>
      <c r="DV144" s="267" t="e">
        <f t="shared" si="104"/>
        <v>#N/A</v>
      </c>
      <c r="DW144" s="267" t="e">
        <f t="shared" si="125"/>
        <v>#N/A</v>
      </c>
      <c r="DX144" s="267" t="e">
        <f t="shared" si="126"/>
        <v>#N/A</v>
      </c>
      <c r="DY144" s="267">
        <f t="shared" si="129"/>
        <v>0.1099</v>
      </c>
      <c r="DZ144" s="205" t="e">
        <f t="shared" si="108"/>
        <v>#N/A</v>
      </c>
      <c r="EA144" s="205">
        <f t="shared" si="109"/>
        <v>0</v>
      </c>
    </row>
    <row r="145" spans="2:131">
      <c r="B145" s="272">
        <v>45224</v>
      </c>
      <c r="C145" s="271">
        <v>45224</v>
      </c>
      <c r="D145" s="263" t="e">
        <f>+SUMIFS(Tabla6[Nominal COP],Tabla6[Concepto],COSTO_OPORTUNIDAD!$B$18,Tabla6[Nemotécnico],COSTO_OPORTUNIDAD!D$16,Tabla6[Fecha Cumplimiento y/ liquidacion],COSTO_OPORTUNIDAD!$C145)/+SUMIFS(Tabla6[Nominal COP],Tabla6[Concepto],COSTO_OPORTUNIDAD!$B$18,Tabla6[Fecha Cumplimiento y/ liquidacion],COSTO_OPORTUNIDAD!$C145)</f>
        <v>#DIV/0!</v>
      </c>
      <c r="E145" s="263" t="e">
        <f>+SUMIFS(Tabla6[Nominal COP],Tabla6[Concepto],COSTO_OPORTUNIDAD!$B$18,Tabla6[Nemotécnico],COSTO_OPORTUNIDAD!E$16,Tabla6[Fecha Cumplimiento y/ liquidacion],COSTO_OPORTUNIDAD!$C145)/+SUMIFS(Tabla6[Nominal COP],Tabla6[Concepto],COSTO_OPORTUNIDAD!$B$18,Tabla6[Fecha Cumplimiento y/ liquidacion],COSTO_OPORTUNIDAD!$C145)</f>
        <v>#DIV/0!</v>
      </c>
      <c r="F145" s="263"/>
      <c r="G145" s="263"/>
      <c r="H145" s="263">
        <v>9.0909090909090912E-2</v>
      </c>
      <c r="I145" s="263"/>
      <c r="J145" s="263">
        <v>0</v>
      </c>
      <c r="K145" s="263">
        <v>0</v>
      </c>
      <c r="L145" s="263"/>
      <c r="M145" s="263">
        <v>0.62679425837320579</v>
      </c>
      <c r="N145" s="263"/>
      <c r="O145" s="263"/>
      <c r="P145" s="263">
        <v>0</v>
      </c>
      <c r="Q145" s="263"/>
      <c r="R145" s="263">
        <v>0.28229665071770332</v>
      </c>
      <c r="S145" s="263"/>
      <c r="T145" s="263">
        <v>0</v>
      </c>
      <c r="U145" s="263"/>
      <c r="V145" s="263">
        <v>0</v>
      </c>
      <c r="W145" s="263">
        <v>0</v>
      </c>
      <c r="X145" s="263">
        <v>0</v>
      </c>
      <c r="Y145" s="263"/>
      <c r="Z145" s="263">
        <v>0</v>
      </c>
      <c r="AA145" s="263">
        <v>0</v>
      </c>
      <c r="AB145" s="263">
        <v>0</v>
      </c>
      <c r="AC145" s="263"/>
      <c r="AD145" s="263">
        <v>0</v>
      </c>
      <c r="AE145" s="263"/>
      <c r="AF145" s="263"/>
      <c r="AG145" s="262"/>
      <c r="AH145" s="274">
        <f t="shared" si="58"/>
        <v>1036</v>
      </c>
      <c r="AI145" s="274">
        <f t="shared" si="59"/>
        <v>1470</v>
      </c>
      <c r="AJ145" s="274">
        <f t="shared" si="60"/>
        <v>1647</v>
      </c>
      <c r="AK145" s="274">
        <f t="shared" si="127"/>
        <v>2128</v>
      </c>
      <c r="AL145" s="274">
        <f t="shared" si="61"/>
        <v>2520</v>
      </c>
      <c r="AM145" s="274">
        <f t="shared" si="62"/>
        <v>2709</v>
      </c>
      <c r="AN145" s="274">
        <f t="shared" si="63"/>
        <v>3171</v>
      </c>
      <c r="AO145" s="274">
        <f t="shared" si="117"/>
        <v>3395</v>
      </c>
      <c r="AP145" s="274">
        <f t="shared" si="64"/>
        <v>4011</v>
      </c>
      <c r="AQ145" s="274"/>
      <c r="AR145" s="274">
        <f t="shared" si="65"/>
        <v>4641</v>
      </c>
      <c r="AS145" s="274">
        <f t="shared" si="128"/>
        <v>6244</v>
      </c>
      <c r="AT145" s="274">
        <f t="shared" si="66"/>
        <v>6790</v>
      </c>
      <c r="AU145" s="274"/>
      <c r="AV145" s="274">
        <f t="shared" si="67"/>
        <v>9863</v>
      </c>
      <c r="AW145" s="274"/>
      <c r="AX145" s="274">
        <f t="shared" si="68"/>
        <v>560</v>
      </c>
      <c r="AY145" s="274">
        <f t="shared" si="69"/>
        <v>1239</v>
      </c>
      <c r="AZ145" s="274">
        <f t="shared" si="70"/>
        <v>2002</v>
      </c>
      <c r="BA145" s="274"/>
      <c r="BB145" s="274">
        <f t="shared" si="71"/>
        <v>3439</v>
      </c>
      <c r="BC145" s="274">
        <f t="shared" si="72"/>
        <v>4179</v>
      </c>
      <c r="BD145" s="274">
        <f t="shared" si="73"/>
        <v>4872</v>
      </c>
      <c r="BE145" s="274"/>
      <c r="BF145" s="274">
        <f t="shared" si="74"/>
        <v>9366</v>
      </c>
      <c r="BG145" s="274"/>
      <c r="BH145" s="274"/>
      <c r="BI145" s="266">
        <f t="shared" si="75"/>
        <v>0</v>
      </c>
      <c r="BJ145" s="266" t="e">
        <f t="shared" si="76"/>
        <v>#DIV/0!</v>
      </c>
      <c r="BK145" s="263" t="str">
        <f t="shared" si="77"/>
        <v/>
      </c>
      <c r="BL145" s="263" t="str">
        <f t="shared" si="78"/>
        <v/>
      </c>
      <c r="BM145" s="263" t="str">
        <f t="shared" si="79"/>
        <v/>
      </c>
      <c r="BN145" s="263"/>
      <c r="BO145" s="263" t="str">
        <f t="shared" si="80"/>
        <v/>
      </c>
      <c r="BP145" s="263" t="str">
        <f t="shared" si="81"/>
        <v/>
      </c>
      <c r="BQ145" s="263" t="str">
        <f t="shared" si="82"/>
        <v/>
      </c>
      <c r="BR145" s="263" t="str">
        <f t="shared" si="83"/>
        <v/>
      </c>
      <c r="BS145" s="263" t="str">
        <f t="shared" si="84"/>
        <v/>
      </c>
      <c r="BT145" s="263" t="str">
        <f t="shared" si="85"/>
        <v/>
      </c>
      <c r="BU145" s="263" t="str">
        <f t="shared" si="86"/>
        <v/>
      </c>
      <c r="BV145" s="263"/>
      <c r="BW145" s="263" t="str">
        <f t="shared" si="87"/>
        <v/>
      </c>
      <c r="BX145" s="263"/>
      <c r="BY145" s="263" t="str">
        <f t="shared" si="88"/>
        <v/>
      </c>
      <c r="BZ145" s="263"/>
      <c r="CA145" s="263" t="str">
        <f t="shared" si="112"/>
        <v/>
      </c>
      <c r="CB145" s="263" t="str">
        <f t="shared" si="89"/>
        <v/>
      </c>
      <c r="CC145" s="263" t="str">
        <f t="shared" si="113"/>
        <v/>
      </c>
      <c r="CD145" s="263" t="str">
        <f t="shared" si="90"/>
        <v/>
      </c>
      <c r="CE145" s="263" t="str">
        <f t="shared" si="96"/>
        <v/>
      </c>
      <c r="CF145" s="263" t="str">
        <f t="shared" si="114"/>
        <v/>
      </c>
      <c r="CG145" s="263" t="str">
        <f t="shared" si="115"/>
        <v/>
      </c>
      <c r="CH145" s="263"/>
      <c r="CI145" s="263" t="str">
        <f t="shared" si="91"/>
        <v/>
      </c>
      <c r="CJ145" s="263"/>
      <c r="CK145" s="263" t="str">
        <f t="shared" si="92"/>
        <v/>
      </c>
      <c r="CL145" s="264">
        <f t="shared" si="118"/>
        <v>0</v>
      </c>
      <c r="CM145" s="264">
        <f t="shared" si="94"/>
        <v>0</v>
      </c>
      <c r="CO145" s="265">
        <v>0.11205</v>
      </c>
      <c r="CP145" s="265">
        <v>0.114</v>
      </c>
      <c r="CQ145" s="265">
        <v>0.11409000000000001</v>
      </c>
      <c r="CS145" s="265">
        <v>0.1159</v>
      </c>
      <c r="CT145" s="265">
        <v>0.11449999999999999</v>
      </c>
      <c r="CU145" s="265">
        <v>0.11800000000000001</v>
      </c>
      <c r="CV145" s="265">
        <v>0.1208</v>
      </c>
      <c r="CW145" s="265">
        <v>0.12055999999999999</v>
      </c>
      <c r="CY145" s="265">
        <v>0.12099</v>
      </c>
      <c r="DA145" s="265">
        <v>0.12308999999999999</v>
      </c>
      <c r="DC145" s="265">
        <v>0.1216</v>
      </c>
      <c r="DE145" s="265">
        <v>4.6289999999999998E-2</v>
      </c>
      <c r="DF145" s="265">
        <v>4.8300000000000003E-2</v>
      </c>
      <c r="DH145" s="265">
        <v>4.99E-2</v>
      </c>
      <c r="DI145" s="265">
        <v>5.1650000000000001E-2</v>
      </c>
      <c r="DJ145" s="265">
        <v>5.2750000000000005E-2</v>
      </c>
      <c r="DL145" s="265">
        <v>5.1299999999999998E-2</v>
      </c>
      <c r="DO145" s="264" t="e">
        <f t="shared" si="120"/>
        <v>#N/A</v>
      </c>
      <c r="DP145" s="264" t="e" cm="1">
        <f t="array" ref="DP145">+INDEX(AH145:AV145,MATCH(DO145,AH145:AV145,1)+1)</f>
        <v>#N/A</v>
      </c>
      <c r="DQ145" s="265" t="e">
        <f t="shared" si="121"/>
        <v>#N/A</v>
      </c>
      <c r="DR145" s="267" t="e">
        <f t="shared" si="122"/>
        <v>#N/A</v>
      </c>
      <c r="DS145" s="267" t="e">
        <f t="shared" si="123"/>
        <v>#N/A</v>
      </c>
      <c r="DT145" s="268" t="e">
        <f t="shared" si="124"/>
        <v>#N/A</v>
      </c>
      <c r="DU145" s="268" t="e" cm="1">
        <f t="array" ref="DU145">+INDEX(AX145:BF145,MATCH(DT145,AX145:BF145,1)+1)</f>
        <v>#N/A</v>
      </c>
      <c r="DV145" s="267" t="e">
        <f t="shared" si="104"/>
        <v>#N/A</v>
      </c>
      <c r="DW145" s="267" t="e">
        <f t="shared" si="125"/>
        <v>#N/A</v>
      </c>
      <c r="DX145" s="267" t="e">
        <f t="shared" si="126"/>
        <v>#N/A</v>
      </c>
      <c r="DY145" s="267">
        <f t="shared" si="129"/>
        <v>0.1099</v>
      </c>
      <c r="DZ145" s="205" t="e">
        <f t="shared" si="108"/>
        <v>#N/A</v>
      </c>
      <c r="EA145" s="205">
        <f t="shared" si="109"/>
        <v>0</v>
      </c>
    </row>
    <row r="146" spans="2:131">
      <c r="B146" s="272">
        <v>45226</v>
      </c>
      <c r="C146" s="271">
        <v>45226</v>
      </c>
      <c r="D146" s="263" t="e">
        <f>+SUMIFS(Tabla6[Nominal COP],Tabla6[Concepto],COSTO_OPORTUNIDAD!$B$18,Tabla6[Nemotécnico],COSTO_OPORTUNIDAD!D$16,Tabla6[Fecha Cumplimiento y/ liquidacion],COSTO_OPORTUNIDAD!$C146)/+SUMIFS(Tabla6[Nominal COP],Tabla6[Concepto],COSTO_OPORTUNIDAD!$B$18,Tabla6[Fecha Cumplimiento y/ liquidacion],COSTO_OPORTUNIDAD!$C146)</f>
        <v>#DIV/0!</v>
      </c>
      <c r="E146" s="263" t="e">
        <f>+SUMIFS(Tabla6[Nominal COP],Tabla6[Concepto],COSTO_OPORTUNIDAD!$B$18,Tabla6[Nemotécnico],COSTO_OPORTUNIDAD!E$16,Tabla6[Fecha Cumplimiento y/ liquidacion],COSTO_OPORTUNIDAD!$C146)/+SUMIFS(Tabla6[Nominal COP],Tabla6[Concepto],COSTO_OPORTUNIDAD!$B$18,Tabla6[Fecha Cumplimiento y/ liquidacion],COSTO_OPORTUNIDAD!$C146)</f>
        <v>#DIV/0!</v>
      </c>
      <c r="F146" s="263"/>
      <c r="G146" s="263"/>
      <c r="H146" s="263">
        <v>0.10833333333333334</v>
      </c>
      <c r="I146" s="263"/>
      <c r="J146" s="263">
        <v>0</v>
      </c>
      <c r="K146" s="263">
        <v>0</v>
      </c>
      <c r="L146" s="263"/>
      <c r="M146" s="263">
        <v>0.59583333333333333</v>
      </c>
      <c r="N146" s="263"/>
      <c r="O146" s="263"/>
      <c r="P146" s="263">
        <v>0</v>
      </c>
      <c r="Q146" s="263"/>
      <c r="R146" s="263">
        <v>0.29583333333333334</v>
      </c>
      <c r="S146" s="263"/>
      <c r="T146" s="263">
        <v>0</v>
      </c>
      <c r="U146" s="263"/>
      <c r="V146" s="263">
        <v>0</v>
      </c>
      <c r="W146" s="263">
        <v>0</v>
      </c>
      <c r="X146" s="263">
        <v>0</v>
      </c>
      <c r="Y146" s="263"/>
      <c r="Z146" s="263">
        <v>0</v>
      </c>
      <c r="AA146" s="263">
        <v>0</v>
      </c>
      <c r="AB146" s="263">
        <v>0</v>
      </c>
      <c r="AC146" s="263"/>
      <c r="AD146" s="263">
        <v>0</v>
      </c>
      <c r="AE146" s="263"/>
      <c r="AF146" s="263"/>
      <c r="AG146" s="262"/>
      <c r="AH146" s="274">
        <f t="shared" si="58"/>
        <v>1034</v>
      </c>
      <c r="AI146" s="274">
        <f t="shared" si="59"/>
        <v>1468</v>
      </c>
      <c r="AJ146" s="274">
        <f t="shared" si="60"/>
        <v>1645</v>
      </c>
      <c r="AK146" s="274">
        <f t="shared" si="127"/>
        <v>2126</v>
      </c>
      <c r="AL146" s="274">
        <f t="shared" si="61"/>
        <v>2518</v>
      </c>
      <c r="AM146" s="274">
        <f t="shared" si="62"/>
        <v>2707</v>
      </c>
      <c r="AN146" s="274">
        <f t="shared" si="63"/>
        <v>3169</v>
      </c>
      <c r="AO146" s="274">
        <f t="shared" si="117"/>
        <v>3393</v>
      </c>
      <c r="AP146" s="274">
        <f t="shared" si="64"/>
        <v>4009</v>
      </c>
      <c r="AQ146" s="274"/>
      <c r="AR146" s="274">
        <f t="shared" si="65"/>
        <v>4639</v>
      </c>
      <c r="AS146" s="274">
        <f t="shared" si="128"/>
        <v>6242</v>
      </c>
      <c r="AT146" s="274">
        <f t="shared" si="66"/>
        <v>6788</v>
      </c>
      <c r="AU146" s="274"/>
      <c r="AV146" s="274">
        <f t="shared" si="67"/>
        <v>9861</v>
      </c>
      <c r="AW146" s="274"/>
      <c r="AX146" s="274">
        <f t="shared" si="68"/>
        <v>558</v>
      </c>
      <c r="AY146" s="274">
        <f t="shared" si="69"/>
        <v>1237</v>
      </c>
      <c r="AZ146" s="274">
        <f t="shared" si="70"/>
        <v>2000</v>
      </c>
      <c r="BA146" s="274"/>
      <c r="BB146" s="274">
        <f t="shared" si="71"/>
        <v>3437</v>
      </c>
      <c r="BC146" s="274">
        <f t="shared" si="72"/>
        <v>4177</v>
      </c>
      <c r="BD146" s="274">
        <f t="shared" si="73"/>
        <v>4870</v>
      </c>
      <c r="BE146" s="274"/>
      <c r="BF146" s="274">
        <f t="shared" si="74"/>
        <v>9364</v>
      </c>
      <c r="BG146" s="274"/>
      <c r="BH146" s="274"/>
      <c r="BI146" s="266">
        <f t="shared" si="75"/>
        <v>0</v>
      </c>
      <c r="BJ146" s="266" t="e">
        <f t="shared" si="76"/>
        <v>#DIV/0!</v>
      </c>
      <c r="BK146" s="263" t="str">
        <f t="shared" si="77"/>
        <v/>
      </c>
      <c r="BL146" s="263" t="str">
        <f t="shared" si="78"/>
        <v/>
      </c>
      <c r="BM146" s="263" t="str">
        <f t="shared" si="79"/>
        <v/>
      </c>
      <c r="BN146" s="263"/>
      <c r="BO146" s="263" t="str">
        <f t="shared" si="80"/>
        <v/>
      </c>
      <c r="BP146" s="263" t="str">
        <f t="shared" si="81"/>
        <v/>
      </c>
      <c r="BQ146" s="263" t="str">
        <f t="shared" si="82"/>
        <v/>
      </c>
      <c r="BR146" s="263" t="str">
        <f t="shared" si="83"/>
        <v/>
      </c>
      <c r="BS146" s="263" t="str">
        <f t="shared" si="84"/>
        <v/>
      </c>
      <c r="BT146" s="263" t="str">
        <f t="shared" si="85"/>
        <v/>
      </c>
      <c r="BU146" s="263" t="str">
        <f t="shared" si="86"/>
        <v/>
      </c>
      <c r="BV146" s="263"/>
      <c r="BW146" s="263" t="str">
        <f t="shared" si="87"/>
        <v/>
      </c>
      <c r="BX146" s="263"/>
      <c r="BY146" s="263" t="str">
        <f t="shared" si="88"/>
        <v/>
      </c>
      <c r="BZ146" s="263"/>
      <c r="CA146" s="263" t="str">
        <f t="shared" si="112"/>
        <v/>
      </c>
      <c r="CB146" s="263" t="str">
        <f t="shared" si="89"/>
        <v/>
      </c>
      <c r="CC146" s="263" t="str">
        <f t="shared" si="113"/>
        <v/>
      </c>
      <c r="CD146" s="263" t="str">
        <f t="shared" si="90"/>
        <v/>
      </c>
      <c r="CE146" s="263" t="str">
        <f t="shared" si="96"/>
        <v/>
      </c>
      <c r="CF146" s="263" t="str">
        <f t="shared" si="114"/>
        <v/>
      </c>
      <c r="CG146" s="263" t="str">
        <f t="shared" si="115"/>
        <v/>
      </c>
      <c r="CH146" s="263"/>
      <c r="CI146" s="263" t="str">
        <f t="shared" si="91"/>
        <v/>
      </c>
      <c r="CJ146" s="263"/>
      <c r="CK146" s="263" t="str">
        <f t="shared" si="92"/>
        <v/>
      </c>
      <c r="CL146" s="264">
        <f t="shared" si="118"/>
        <v>0</v>
      </c>
      <c r="CM146" s="264">
        <f t="shared" si="94"/>
        <v>0</v>
      </c>
      <c r="CO146" s="265">
        <v>0.11080999999999999</v>
      </c>
      <c r="CP146" s="265">
        <v>0.11205999999999999</v>
      </c>
      <c r="CQ146" s="265">
        <v>0.11211</v>
      </c>
      <c r="CS146" s="265">
        <v>0.11359999999999999</v>
      </c>
      <c r="CT146" s="265">
        <v>0.11449999999999999</v>
      </c>
      <c r="CU146" s="265">
        <v>0.1166</v>
      </c>
      <c r="CV146" s="265">
        <v>0.1193</v>
      </c>
      <c r="CW146" s="265">
        <v>0.11900000000000001</v>
      </c>
      <c r="CY146" s="265">
        <v>0.1192</v>
      </c>
      <c r="DA146" s="265">
        <v>0.12175000000000001</v>
      </c>
      <c r="DC146" s="265">
        <v>0.12028999999999999</v>
      </c>
      <c r="DE146" s="265">
        <v>4.6649999999999997E-2</v>
      </c>
      <c r="DF146" s="265">
        <v>4.8349999999999997E-2</v>
      </c>
      <c r="DH146" s="265">
        <v>4.9000000000000002E-2</v>
      </c>
      <c r="DI146" s="265">
        <v>5.16E-2</v>
      </c>
      <c r="DJ146" s="265">
        <v>5.2000000000000005E-2</v>
      </c>
      <c r="DL146" s="265">
        <v>5.058E-2</v>
      </c>
      <c r="DO146" s="264" t="e">
        <f t="shared" si="120"/>
        <v>#N/A</v>
      </c>
      <c r="DP146" s="264" t="e" cm="1">
        <f t="array" ref="DP146">+INDEX(AH146:AV146,MATCH(DO146,AH146:AV146,1)+1)</f>
        <v>#N/A</v>
      </c>
      <c r="DQ146" s="265" t="e">
        <f t="shared" si="121"/>
        <v>#N/A</v>
      </c>
      <c r="DR146" s="267" t="e">
        <f t="shared" si="122"/>
        <v>#N/A</v>
      </c>
      <c r="DS146" s="267" t="e">
        <f t="shared" si="123"/>
        <v>#N/A</v>
      </c>
      <c r="DT146" s="268" t="e">
        <f t="shared" si="124"/>
        <v>#N/A</v>
      </c>
      <c r="DU146" s="268" t="e" cm="1">
        <f t="array" ref="DU146">+INDEX(AX146:BF146,MATCH(DT146,AX146:BF146,1)+1)</f>
        <v>#N/A</v>
      </c>
      <c r="DV146" s="267" t="e">
        <f t="shared" si="104"/>
        <v>#N/A</v>
      </c>
      <c r="DW146" s="267" t="e">
        <f t="shared" si="125"/>
        <v>#N/A</v>
      </c>
      <c r="DX146" s="267" t="e">
        <f t="shared" si="126"/>
        <v>#N/A</v>
      </c>
      <c r="DY146" s="267">
        <f t="shared" si="129"/>
        <v>0.1099</v>
      </c>
      <c r="DZ146" s="205" t="e">
        <f t="shared" si="108"/>
        <v>#N/A</v>
      </c>
      <c r="EA146" s="205">
        <f t="shared" si="109"/>
        <v>0</v>
      </c>
    </row>
    <row r="147" spans="2:131">
      <c r="B147" s="272">
        <v>45229</v>
      </c>
      <c r="C147" s="271">
        <v>45229</v>
      </c>
      <c r="D147" s="263" t="e">
        <f>+SUMIFS(Tabla6[Nominal COP],Tabla6[Concepto],COSTO_OPORTUNIDAD!$B$18,Tabla6[Nemotécnico],COSTO_OPORTUNIDAD!D$16,Tabla6[Fecha Cumplimiento y/ liquidacion],COSTO_OPORTUNIDAD!$C147)/+SUMIFS(Tabla6[Nominal COP],Tabla6[Concepto],COSTO_OPORTUNIDAD!$B$18,Tabla6[Fecha Cumplimiento y/ liquidacion],COSTO_OPORTUNIDAD!$C147)</f>
        <v>#DIV/0!</v>
      </c>
      <c r="E147" s="263" t="e">
        <f>+SUMIFS(Tabla6[Nominal COP],Tabla6[Concepto],COSTO_OPORTUNIDAD!$B$18,Tabla6[Nemotécnico],COSTO_OPORTUNIDAD!E$16,Tabla6[Fecha Cumplimiento y/ liquidacion],COSTO_OPORTUNIDAD!$C147)/+SUMIFS(Tabla6[Nominal COP],Tabla6[Concepto],COSTO_OPORTUNIDAD!$B$18,Tabla6[Fecha Cumplimiento y/ liquidacion],COSTO_OPORTUNIDAD!$C147)</f>
        <v>#DIV/0!</v>
      </c>
      <c r="F147" s="263"/>
      <c r="G147" s="263"/>
      <c r="H147" s="263">
        <v>0.1702127659574468</v>
      </c>
      <c r="I147" s="263"/>
      <c r="J147" s="263">
        <v>0</v>
      </c>
      <c r="K147" s="263">
        <v>0</v>
      </c>
      <c r="L147" s="263"/>
      <c r="M147" s="263">
        <v>0.57446808510638303</v>
      </c>
      <c r="N147" s="263"/>
      <c r="O147" s="263"/>
      <c r="P147" s="263">
        <v>0</v>
      </c>
      <c r="Q147" s="263"/>
      <c r="R147" s="263">
        <v>0.25531914893617019</v>
      </c>
      <c r="S147" s="263"/>
      <c r="T147" s="263">
        <v>0</v>
      </c>
      <c r="U147" s="263"/>
      <c r="V147" s="263">
        <v>0</v>
      </c>
      <c r="W147" s="263">
        <v>0</v>
      </c>
      <c r="X147" s="263">
        <v>0</v>
      </c>
      <c r="Y147" s="263"/>
      <c r="Z147" s="263">
        <v>0</v>
      </c>
      <c r="AA147" s="263">
        <v>0</v>
      </c>
      <c r="AB147" s="263">
        <v>0</v>
      </c>
      <c r="AC147" s="263"/>
      <c r="AD147" s="263">
        <v>0</v>
      </c>
      <c r="AE147" s="263"/>
      <c r="AF147" s="263"/>
      <c r="AG147" s="262"/>
      <c r="AH147" s="274">
        <f t="shared" ref="AH147:AH210" si="130">(F$17-$B147)</f>
        <v>1031</v>
      </c>
      <c r="AI147" s="274">
        <f t="shared" ref="AI147:AI210" si="131">(G$17-$B147)</f>
        <v>1465</v>
      </c>
      <c r="AJ147" s="274">
        <f t="shared" ref="AJ147:AJ210" si="132">(H$17-$B147)</f>
        <v>1642</v>
      </c>
      <c r="AK147" s="274">
        <f t="shared" si="127"/>
        <v>2123</v>
      </c>
      <c r="AL147" s="274">
        <f t="shared" ref="AL147:AL210" si="133">(J$17-$B147)</f>
        <v>2515</v>
      </c>
      <c r="AM147" s="274">
        <f t="shared" ref="AM147:AM210" si="134">(K$17-$B147)</f>
        <v>2704</v>
      </c>
      <c r="AN147" s="274">
        <f t="shared" ref="AN147:AN210" si="135">(L$17-$B147)</f>
        <v>3166</v>
      </c>
      <c r="AO147" s="274">
        <f t="shared" si="117"/>
        <v>3390</v>
      </c>
      <c r="AP147" s="274">
        <f t="shared" ref="AP147:AP210" si="136">(N$17-$B147)</f>
        <v>4006</v>
      </c>
      <c r="AQ147" s="274"/>
      <c r="AR147" s="274">
        <f t="shared" ref="AR147:AR210" si="137">(P$17-$B147)</f>
        <v>4636</v>
      </c>
      <c r="AS147" s="274">
        <f t="shared" si="128"/>
        <v>6239</v>
      </c>
      <c r="AT147" s="274">
        <f t="shared" ref="AT147:AT210" si="138">(R$17-$B147)</f>
        <v>6785</v>
      </c>
      <c r="AU147" s="274"/>
      <c r="AV147" s="274">
        <f t="shared" ref="AV147:AV210" si="139">(T$17-$B147)</f>
        <v>9858</v>
      </c>
      <c r="AW147" s="274"/>
      <c r="AX147" s="274">
        <f t="shared" ref="AX147:AX210" si="140">(V$17-$B147)</f>
        <v>555</v>
      </c>
      <c r="AY147" s="274">
        <f t="shared" ref="AY147:AY210" si="141">(W$17-$B147)</f>
        <v>1234</v>
      </c>
      <c r="AZ147" s="274">
        <f t="shared" ref="AZ147:AZ210" si="142">(X$17-$B147)</f>
        <v>1997</v>
      </c>
      <c r="BA147" s="274"/>
      <c r="BB147" s="274">
        <f t="shared" ref="BB147:BB210" si="143">(Z$17-$B147)</f>
        <v>3434</v>
      </c>
      <c r="BC147" s="274">
        <f t="shared" ref="BC147:BC210" si="144">(AA$17-$B147)</f>
        <v>4174</v>
      </c>
      <c r="BD147" s="274">
        <f t="shared" ref="BD147:BD210" si="145">(AB$17-$B147)</f>
        <v>4867</v>
      </c>
      <c r="BE147" s="274"/>
      <c r="BF147" s="274">
        <f t="shared" ref="BF147:BF210" si="146">(AD$17-$B147)</f>
        <v>9361</v>
      </c>
      <c r="BG147" s="274"/>
      <c r="BH147" s="274"/>
      <c r="BI147" s="266">
        <f t="shared" ref="BI147:BI210" si="147">+SUM(V147:AF147)</f>
        <v>0</v>
      </c>
      <c r="BJ147" s="266" t="e">
        <f t="shared" ref="BJ147:BJ210" si="148">+SUM(D147:T147)</f>
        <v>#DIV/0!</v>
      </c>
      <c r="BK147" s="263" t="str">
        <f t="shared" ref="BK147:BK210" si="149">IFERROR(F147/$BJ147,"")</f>
        <v/>
      </c>
      <c r="BL147" s="263" t="str">
        <f t="shared" ref="BL147:BL210" si="150">IFERROR(G147/$BJ147,"")</f>
        <v/>
      </c>
      <c r="BM147" s="263" t="str">
        <f t="shared" ref="BM147:BM210" si="151">IFERROR(H147/$BJ147,"")</f>
        <v/>
      </c>
      <c r="BN147" s="263"/>
      <c r="BO147" s="263" t="str">
        <f t="shared" ref="BO147:BO210" si="152">IFERROR(J147/$BJ147,"")</f>
        <v/>
      </c>
      <c r="BP147" s="263" t="str">
        <f t="shared" ref="BP147:BP210" si="153">IFERROR(K147/$BJ147,"")</f>
        <v/>
      </c>
      <c r="BQ147" s="263" t="str">
        <f t="shared" ref="BQ147:BQ210" si="154">IFERROR(L147/$BJ147,"")</f>
        <v/>
      </c>
      <c r="BR147" s="263" t="str">
        <f t="shared" ref="BR147:BR210" si="155">IFERROR(M147/$BJ147,"")</f>
        <v/>
      </c>
      <c r="BS147" s="263" t="str">
        <f t="shared" ref="BS147:BS210" si="156">IFERROR(N147/$BJ147,"")</f>
        <v/>
      </c>
      <c r="BT147" s="263" t="str">
        <f t="shared" ref="BT147:BT210" si="157">IFERROR(P147/$BJ147,"")</f>
        <v/>
      </c>
      <c r="BU147" s="263" t="str">
        <f t="shared" ref="BU147:BU210" si="158">IFERROR(P147/$BJ147,"")</f>
        <v/>
      </c>
      <c r="BV147" s="263"/>
      <c r="BW147" s="263" t="str">
        <f t="shared" ref="BW147:BW210" si="159">IFERROR(R147/$BJ147,"")</f>
        <v/>
      </c>
      <c r="BX147" s="263"/>
      <c r="BY147" s="263" t="str">
        <f t="shared" ref="BY147:BY210" si="160">IFERROR(T147/$BJ147,"")</f>
        <v/>
      </c>
      <c r="BZ147" s="263"/>
      <c r="CA147" s="263" t="str">
        <f t="shared" si="112"/>
        <v/>
      </c>
      <c r="CB147" s="263" t="str">
        <f t="shared" ref="CB147:CB210" si="161">IFERROR(W147/$BI147,"")</f>
        <v/>
      </c>
      <c r="CC147" s="263" t="str">
        <f t="shared" si="113"/>
        <v/>
      </c>
      <c r="CD147" s="263" t="str">
        <f t="shared" ref="CD147:CD210" si="162">IFERROR(Y147/$BI147,"")</f>
        <v/>
      </c>
      <c r="CE147" s="263" t="str">
        <f t="shared" si="96"/>
        <v/>
      </c>
      <c r="CF147" s="263" t="str">
        <f t="shared" si="114"/>
        <v/>
      </c>
      <c r="CG147" s="263" t="str">
        <f t="shared" si="115"/>
        <v/>
      </c>
      <c r="CH147" s="263"/>
      <c r="CI147" s="263" t="str">
        <f t="shared" ref="CI147:CI210" si="163">IFERROR(AD147/$BI147,"")</f>
        <v/>
      </c>
      <c r="CJ147" s="263"/>
      <c r="CK147" s="263" t="str">
        <f t="shared" ref="CK147:CK210" si="164">IFERROR(AF147/$BI147,"")</f>
        <v/>
      </c>
      <c r="CL147" s="264">
        <f t="shared" si="118"/>
        <v>0</v>
      </c>
      <c r="CM147" s="264">
        <f t="shared" ref="CM147:CM210" si="165">ROUND(IFERROR((_xlfn.DAYS($V$17,B147)*CA147),0)+IFERROR((_xlfn.DAYS($Z$17,B147)*CB147),0)+IFERROR((_xlfn.DAYS($W$17,B147)*CC147),0)+IFERROR((_xlfn.DAYS($X$17,B147)*CE147),0)+IFERROR((_xlfn.DAYS($AA$17,B147)*CF147),0)+IFERROR((_xlfn.DAYS($AB$17,B147)*CG147),0)+IFERROR((_xlfn.DAYS($AD$17,B147)*CI147),0),0)</f>
        <v>0</v>
      </c>
      <c r="CO147" s="265">
        <v>0.1105</v>
      </c>
      <c r="CP147" s="265">
        <v>0.11159000000000001</v>
      </c>
      <c r="CQ147" s="265">
        <v>0.1116</v>
      </c>
      <c r="CS147" s="265">
        <v>0.11310000000000001</v>
      </c>
      <c r="CT147" s="265">
        <v>0.11449999999999999</v>
      </c>
      <c r="CU147" s="265">
        <v>0.1162</v>
      </c>
      <c r="CV147" s="265">
        <v>0.11900000000000001</v>
      </c>
      <c r="CW147" s="265">
        <v>0.11909</v>
      </c>
      <c r="CY147" s="265">
        <v>0.11851</v>
      </c>
      <c r="DA147" s="265">
        <v>0.12169000000000001</v>
      </c>
      <c r="DC147" s="265">
        <v>0.12029999999999999</v>
      </c>
      <c r="DE147" s="265">
        <v>4.7199999999999999E-2</v>
      </c>
      <c r="DF147" s="265">
        <v>4.8550000000000003E-2</v>
      </c>
      <c r="DH147" s="265">
        <v>4.999E-2</v>
      </c>
      <c r="DI147" s="265">
        <v>5.1479999999999998E-2</v>
      </c>
      <c r="DJ147" s="265">
        <v>5.1970000000000002E-2</v>
      </c>
      <c r="DL147" s="265">
        <v>5.024E-2</v>
      </c>
      <c r="DO147" s="264" t="e">
        <f t="shared" si="120"/>
        <v>#N/A</v>
      </c>
      <c r="DP147" s="264" t="e" cm="1">
        <f t="array" ref="DP147">+INDEX(AH147:AV147,MATCH(DO147,AH147:AV147,1)+1)</f>
        <v>#N/A</v>
      </c>
      <c r="DQ147" s="265" t="e">
        <f t="shared" si="121"/>
        <v>#N/A</v>
      </c>
      <c r="DR147" s="267" t="e">
        <f t="shared" si="122"/>
        <v>#N/A</v>
      </c>
      <c r="DS147" s="267" t="e">
        <f t="shared" si="123"/>
        <v>#N/A</v>
      </c>
      <c r="DT147" s="268" t="e">
        <f t="shared" si="124"/>
        <v>#N/A</v>
      </c>
      <c r="DU147" s="268" t="e" cm="1">
        <f t="array" ref="DU147">+INDEX(AX147:BF147,MATCH(DT147,AX147:BF147,1)+1)</f>
        <v>#N/A</v>
      </c>
      <c r="DV147" s="267" t="e">
        <f t="shared" si="104"/>
        <v>#N/A</v>
      </c>
      <c r="DW147" s="267" t="e">
        <f t="shared" si="125"/>
        <v>#N/A</v>
      </c>
      <c r="DX147" s="267" t="e">
        <f t="shared" si="126"/>
        <v>#N/A</v>
      </c>
      <c r="DY147" s="267">
        <f t="shared" si="129"/>
        <v>0.1099</v>
      </c>
      <c r="DZ147" s="205" t="e">
        <f t="shared" si="108"/>
        <v>#N/A</v>
      </c>
      <c r="EA147" s="205">
        <f t="shared" si="109"/>
        <v>0</v>
      </c>
    </row>
    <row r="148" spans="2:131">
      <c r="B148" s="272">
        <v>45230</v>
      </c>
      <c r="C148" s="271">
        <v>45230</v>
      </c>
      <c r="D148" s="263" t="e">
        <f>+SUMIFS(Tabla6[Nominal COP],Tabla6[Concepto],COSTO_OPORTUNIDAD!$B$18,Tabla6[Nemotécnico],COSTO_OPORTUNIDAD!D$16,Tabla6[Fecha Cumplimiento y/ liquidacion],COSTO_OPORTUNIDAD!$C148)/+SUMIFS(Tabla6[Nominal COP],Tabla6[Concepto],COSTO_OPORTUNIDAD!$B$18,Tabla6[Fecha Cumplimiento y/ liquidacion],COSTO_OPORTUNIDAD!$C148)</f>
        <v>#DIV/0!</v>
      </c>
      <c r="E148" s="263" t="e">
        <f>+SUMIFS(Tabla6[Nominal COP],Tabla6[Concepto],COSTO_OPORTUNIDAD!$B$18,Tabla6[Nemotécnico],COSTO_OPORTUNIDAD!E$16,Tabla6[Fecha Cumplimiento y/ liquidacion],COSTO_OPORTUNIDAD!$C148)/+SUMIFS(Tabla6[Nominal COP],Tabla6[Concepto],COSTO_OPORTUNIDAD!$B$18,Tabla6[Fecha Cumplimiento y/ liquidacion],COSTO_OPORTUNIDAD!$C148)</f>
        <v>#DIV/0!</v>
      </c>
      <c r="F148" s="263"/>
      <c r="G148" s="263"/>
      <c r="H148" s="263">
        <v>0.39998000099995001</v>
      </c>
      <c r="I148" s="263"/>
      <c r="J148" s="263">
        <v>0</v>
      </c>
      <c r="K148" s="263">
        <v>0</v>
      </c>
      <c r="L148" s="263"/>
      <c r="M148" s="263">
        <v>0.29998500074996248</v>
      </c>
      <c r="N148" s="263"/>
      <c r="O148" s="263"/>
      <c r="P148" s="263">
        <v>0</v>
      </c>
      <c r="Q148" s="263"/>
      <c r="R148" s="263">
        <v>0.29998500074996248</v>
      </c>
      <c r="S148" s="263"/>
      <c r="T148" s="263">
        <v>0</v>
      </c>
      <c r="U148" s="263"/>
      <c r="V148" s="263">
        <v>0</v>
      </c>
      <c r="W148" s="263">
        <v>0</v>
      </c>
      <c r="X148" s="263">
        <v>0</v>
      </c>
      <c r="Y148" s="263"/>
      <c r="Z148" s="263">
        <v>4.9997500124993749E-5</v>
      </c>
      <c r="AA148" s="263">
        <v>0</v>
      </c>
      <c r="AB148" s="263">
        <v>0</v>
      </c>
      <c r="AC148" s="263"/>
      <c r="AD148" s="263">
        <v>0</v>
      </c>
      <c r="AE148" s="263"/>
      <c r="AF148" s="263"/>
      <c r="AG148" s="262"/>
      <c r="AH148" s="274">
        <f t="shared" si="130"/>
        <v>1030</v>
      </c>
      <c r="AI148" s="274">
        <f t="shared" si="131"/>
        <v>1464</v>
      </c>
      <c r="AJ148" s="274">
        <f t="shared" si="132"/>
        <v>1641</v>
      </c>
      <c r="AK148" s="274">
        <f t="shared" si="127"/>
        <v>2122</v>
      </c>
      <c r="AL148" s="274">
        <f t="shared" si="133"/>
        <v>2514</v>
      </c>
      <c r="AM148" s="274">
        <f t="shared" si="134"/>
        <v>2703</v>
      </c>
      <c r="AN148" s="274">
        <f t="shared" si="135"/>
        <v>3165</v>
      </c>
      <c r="AO148" s="274">
        <f t="shared" si="117"/>
        <v>3389</v>
      </c>
      <c r="AP148" s="274">
        <f t="shared" si="136"/>
        <v>4005</v>
      </c>
      <c r="AQ148" s="274"/>
      <c r="AR148" s="274">
        <f t="shared" si="137"/>
        <v>4635</v>
      </c>
      <c r="AS148" s="274">
        <f t="shared" si="128"/>
        <v>6238</v>
      </c>
      <c r="AT148" s="274">
        <f t="shared" si="138"/>
        <v>6784</v>
      </c>
      <c r="AU148" s="274"/>
      <c r="AV148" s="274">
        <f t="shared" si="139"/>
        <v>9857</v>
      </c>
      <c r="AW148" s="274"/>
      <c r="AX148" s="274">
        <f t="shared" si="140"/>
        <v>554</v>
      </c>
      <c r="AY148" s="274">
        <f t="shared" si="141"/>
        <v>1233</v>
      </c>
      <c r="AZ148" s="274">
        <f t="shared" si="142"/>
        <v>1996</v>
      </c>
      <c r="BA148" s="274"/>
      <c r="BB148" s="274">
        <f t="shared" si="143"/>
        <v>3433</v>
      </c>
      <c r="BC148" s="274">
        <f t="shared" si="144"/>
        <v>4173</v>
      </c>
      <c r="BD148" s="274">
        <f t="shared" si="145"/>
        <v>4866</v>
      </c>
      <c r="BE148" s="274"/>
      <c r="BF148" s="274">
        <f t="shared" si="146"/>
        <v>9360</v>
      </c>
      <c r="BG148" s="274"/>
      <c r="BH148" s="274"/>
      <c r="BI148" s="266">
        <f t="shared" si="147"/>
        <v>4.9997500124993749E-5</v>
      </c>
      <c r="BJ148" s="266" t="e">
        <f t="shared" si="148"/>
        <v>#DIV/0!</v>
      </c>
      <c r="BK148" s="263" t="str">
        <f t="shared" si="149"/>
        <v/>
      </c>
      <c r="BL148" s="263" t="str">
        <f t="shared" si="150"/>
        <v/>
      </c>
      <c r="BM148" s="263" t="str">
        <f t="shared" si="151"/>
        <v/>
      </c>
      <c r="BN148" s="263"/>
      <c r="BO148" s="263" t="str">
        <f t="shared" si="152"/>
        <v/>
      </c>
      <c r="BP148" s="263" t="str">
        <f t="shared" si="153"/>
        <v/>
      </c>
      <c r="BQ148" s="263" t="str">
        <f t="shared" si="154"/>
        <v/>
      </c>
      <c r="BR148" s="263" t="str">
        <f t="shared" si="155"/>
        <v/>
      </c>
      <c r="BS148" s="263" t="str">
        <f t="shared" si="156"/>
        <v/>
      </c>
      <c r="BT148" s="263" t="str">
        <f t="shared" si="157"/>
        <v/>
      </c>
      <c r="BU148" s="263" t="str">
        <f t="shared" si="158"/>
        <v/>
      </c>
      <c r="BV148" s="263"/>
      <c r="BW148" s="263" t="str">
        <f t="shared" si="159"/>
        <v/>
      </c>
      <c r="BX148" s="263"/>
      <c r="BY148" s="263" t="str">
        <f t="shared" si="160"/>
        <v/>
      </c>
      <c r="BZ148" s="263"/>
      <c r="CA148" s="263">
        <f t="shared" si="112"/>
        <v>0</v>
      </c>
      <c r="CB148" s="263">
        <f t="shared" si="161"/>
        <v>0</v>
      </c>
      <c r="CC148" s="263">
        <f t="shared" si="113"/>
        <v>0</v>
      </c>
      <c r="CD148" s="263">
        <f t="shared" si="162"/>
        <v>0</v>
      </c>
      <c r="CE148" s="263">
        <f t="shared" si="96"/>
        <v>1</v>
      </c>
      <c r="CF148" s="263">
        <f t="shared" si="114"/>
        <v>0</v>
      </c>
      <c r="CG148" s="263">
        <f t="shared" si="115"/>
        <v>0</v>
      </c>
      <c r="CH148" s="263"/>
      <c r="CI148" s="263">
        <f t="shared" si="163"/>
        <v>0</v>
      </c>
      <c r="CJ148" s="263"/>
      <c r="CK148" s="263">
        <f t="shared" si="164"/>
        <v>0</v>
      </c>
      <c r="CL148" s="264">
        <f t="shared" si="118"/>
        <v>0</v>
      </c>
      <c r="CM148" s="264">
        <f t="shared" si="165"/>
        <v>1996</v>
      </c>
      <c r="CO148" s="265">
        <v>0.1084</v>
      </c>
      <c r="CP148" s="265">
        <v>0.1094</v>
      </c>
      <c r="CQ148" s="265">
        <v>0.11009000000000001</v>
      </c>
      <c r="CS148" s="265">
        <v>0.11199999999999999</v>
      </c>
      <c r="CT148" s="265">
        <v>0.11449999999999999</v>
      </c>
      <c r="CU148" s="265">
        <v>0.1159</v>
      </c>
      <c r="CV148" s="265">
        <v>0.11699999999999999</v>
      </c>
      <c r="CW148" s="265">
        <v>0.11771000000000001</v>
      </c>
      <c r="CY148" s="265">
        <v>0.11776999999999999</v>
      </c>
      <c r="DA148" s="265">
        <v>0.11904999999999999</v>
      </c>
      <c r="DC148" s="265">
        <v>0.11832000000000001</v>
      </c>
      <c r="DE148" s="265">
        <v>4.6300000000000001E-2</v>
      </c>
      <c r="DF148" s="265">
        <v>4.7960000000000003E-2</v>
      </c>
      <c r="DH148" s="265">
        <v>5.0849999999999999E-2</v>
      </c>
      <c r="DI148" s="265">
        <v>5.0810000000000001E-2</v>
      </c>
      <c r="DJ148" s="265">
        <v>5.1879999999999996E-2</v>
      </c>
      <c r="DL148" s="265">
        <v>5.0700000000000002E-2</v>
      </c>
      <c r="DO148" s="264" t="e">
        <f t="shared" si="120"/>
        <v>#N/A</v>
      </c>
      <c r="DP148" s="264" t="e" cm="1">
        <f t="array" ref="DP148">+INDEX(AH148:AV148,MATCH(DO148,AH148:AV148,1)+1)</f>
        <v>#N/A</v>
      </c>
      <c r="DQ148" s="265" t="e">
        <f t="shared" si="121"/>
        <v>#N/A</v>
      </c>
      <c r="DR148" s="267" t="e">
        <f t="shared" si="122"/>
        <v>#N/A</v>
      </c>
      <c r="DS148" s="267" t="e">
        <f t="shared" si="123"/>
        <v>#N/A</v>
      </c>
      <c r="DT148" s="268">
        <f t="shared" si="124"/>
        <v>1996</v>
      </c>
      <c r="DU148" s="268" cm="1">
        <f t="array" ref="DU148">+INDEX(AX148:BF148,MATCH(DT148,AX148:BF148,1)+1)</f>
        <v>0</v>
      </c>
      <c r="DV148" s="267">
        <f t="shared" si="104"/>
        <v>0</v>
      </c>
      <c r="DW148" s="267" t="e">
        <f t="shared" si="125"/>
        <v>#N/A</v>
      </c>
      <c r="DX148" s="267" t="e">
        <f t="shared" si="126"/>
        <v>#N/A</v>
      </c>
      <c r="DY148" s="267">
        <f t="shared" si="129"/>
        <v>0.1099</v>
      </c>
      <c r="DZ148" s="205" t="e">
        <f t="shared" si="108"/>
        <v>#N/A</v>
      </c>
      <c r="EA148" s="205">
        <f t="shared" si="109"/>
        <v>0</v>
      </c>
    </row>
    <row r="149" spans="2:131">
      <c r="B149" s="272">
        <v>45231</v>
      </c>
      <c r="C149" s="271">
        <v>45231</v>
      </c>
      <c r="D149" s="263" t="e">
        <f>+SUMIFS(Tabla6[Nominal COP],Tabla6[Concepto],COSTO_OPORTUNIDAD!$B$18,Tabla6[Nemotécnico],COSTO_OPORTUNIDAD!D$16,Tabla6[Fecha Cumplimiento y/ liquidacion],COSTO_OPORTUNIDAD!$C149)/+SUMIFS(Tabla6[Nominal COP],Tabla6[Concepto],COSTO_OPORTUNIDAD!$B$18,Tabla6[Fecha Cumplimiento y/ liquidacion],COSTO_OPORTUNIDAD!$C149)</f>
        <v>#DIV/0!</v>
      </c>
      <c r="E149" s="263" t="e">
        <f>+SUMIFS(Tabla6[Nominal COP],Tabla6[Concepto],COSTO_OPORTUNIDAD!$B$18,Tabla6[Nemotécnico],COSTO_OPORTUNIDAD!E$16,Tabla6[Fecha Cumplimiento y/ liquidacion],COSTO_OPORTUNIDAD!$C149)/+SUMIFS(Tabla6[Nominal COP],Tabla6[Concepto],COSTO_OPORTUNIDAD!$B$18,Tabla6[Fecha Cumplimiento y/ liquidacion],COSTO_OPORTUNIDAD!$C149)</f>
        <v>#DIV/0!</v>
      </c>
      <c r="F149" s="263"/>
      <c r="G149" s="263"/>
      <c r="H149" s="263">
        <v>0.4</v>
      </c>
      <c r="I149" s="263"/>
      <c r="J149" s="263">
        <v>0</v>
      </c>
      <c r="K149" s="263">
        <v>0</v>
      </c>
      <c r="L149" s="263"/>
      <c r="M149" s="263">
        <v>0.3</v>
      </c>
      <c r="N149" s="263"/>
      <c r="O149" s="263"/>
      <c r="P149" s="263">
        <v>0</v>
      </c>
      <c r="Q149" s="263"/>
      <c r="R149" s="263">
        <v>0.3</v>
      </c>
      <c r="S149" s="263"/>
      <c r="T149" s="263">
        <v>0</v>
      </c>
      <c r="U149" s="263"/>
      <c r="V149" s="263">
        <v>0</v>
      </c>
      <c r="W149" s="263">
        <v>0</v>
      </c>
      <c r="X149" s="263">
        <v>0</v>
      </c>
      <c r="Y149" s="263"/>
      <c r="Z149" s="263">
        <v>0</v>
      </c>
      <c r="AA149" s="263">
        <v>0</v>
      </c>
      <c r="AB149" s="263">
        <v>0</v>
      </c>
      <c r="AC149" s="263"/>
      <c r="AD149" s="263">
        <v>0</v>
      </c>
      <c r="AE149" s="263"/>
      <c r="AF149" s="263"/>
      <c r="AG149" s="262"/>
      <c r="AH149" s="274">
        <f t="shared" si="130"/>
        <v>1029</v>
      </c>
      <c r="AI149" s="274">
        <f t="shared" si="131"/>
        <v>1463</v>
      </c>
      <c r="AJ149" s="274">
        <f t="shared" si="132"/>
        <v>1640</v>
      </c>
      <c r="AK149" s="274">
        <f t="shared" si="127"/>
        <v>2121</v>
      </c>
      <c r="AL149" s="274">
        <f t="shared" si="133"/>
        <v>2513</v>
      </c>
      <c r="AM149" s="274">
        <f t="shared" si="134"/>
        <v>2702</v>
      </c>
      <c r="AN149" s="274">
        <f t="shared" si="135"/>
        <v>3164</v>
      </c>
      <c r="AO149" s="274">
        <f t="shared" si="117"/>
        <v>3388</v>
      </c>
      <c r="AP149" s="274">
        <f t="shared" si="136"/>
        <v>4004</v>
      </c>
      <c r="AQ149" s="274"/>
      <c r="AR149" s="274">
        <f t="shared" si="137"/>
        <v>4634</v>
      </c>
      <c r="AS149" s="274">
        <f t="shared" si="128"/>
        <v>6237</v>
      </c>
      <c r="AT149" s="274">
        <f t="shared" si="138"/>
        <v>6783</v>
      </c>
      <c r="AU149" s="274"/>
      <c r="AV149" s="274">
        <f t="shared" si="139"/>
        <v>9856</v>
      </c>
      <c r="AW149" s="274"/>
      <c r="AX149" s="274">
        <f t="shared" si="140"/>
        <v>553</v>
      </c>
      <c r="AY149" s="274">
        <f t="shared" si="141"/>
        <v>1232</v>
      </c>
      <c r="AZ149" s="274">
        <f t="shared" si="142"/>
        <v>1995</v>
      </c>
      <c r="BA149" s="274"/>
      <c r="BB149" s="274">
        <f t="shared" si="143"/>
        <v>3432</v>
      </c>
      <c r="BC149" s="274">
        <f t="shared" si="144"/>
        <v>4172</v>
      </c>
      <c r="BD149" s="274">
        <f t="shared" si="145"/>
        <v>4865</v>
      </c>
      <c r="BE149" s="274"/>
      <c r="BF149" s="274">
        <f t="shared" si="146"/>
        <v>9359</v>
      </c>
      <c r="BG149" s="274"/>
      <c r="BH149" s="274"/>
      <c r="BI149" s="266">
        <f t="shared" si="147"/>
        <v>0</v>
      </c>
      <c r="BJ149" s="266" t="e">
        <f t="shared" si="148"/>
        <v>#DIV/0!</v>
      </c>
      <c r="BK149" s="263" t="str">
        <f t="shared" si="149"/>
        <v/>
      </c>
      <c r="BL149" s="263" t="str">
        <f t="shared" si="150"/>
        <v/>
      </c>
      <c r="BM149" s="263" t="str">
        <f t="shared" si="151"/>
        <v/>
      </c>
      <c r="BN149" s="263"/>
      <c r="BO149" s="263" t="str">
        <f t="shared" si="152"/>
        <v/>
      </c>
      <c r="BP149" s="263" t="str">
        <f t="shared" si="153"/>
        <v/>
      </c>
      <c r="BQ149" s="263" t="str">
        <f t="shared" si="154"/>
        <v/>
      </c>
      <c r="BR149" s="263" t="str">
        <f t="shared" si="155"/>
        <v/>
      </c>
      <c r="BS149" s="263" t="str">
        <f t="shared" si="156"/>
        <v/>
      </c>
      <c r="BT149" s="263" t="str">
        <f t="shared" si="157"/>
        <v/>
      </c>
      <c r="BU149" s="263" t="str">
        <f t="shared" si="158"/>
        <v/>
      </c>
      <c r="BV149" s="263"/>
      <c r="BW149" s="263" t="str">
        <f t="shared" si="159"/>
        <v/>
      </c>
      <c r="BX149" s="263"/>
      <c r="BY149" s="263" t="str">
        <f t="shared" si="160"/>
        <v/>
      </c>
      <c r="BZ149" s="263"/>
      <c r="CA149" s="263" t="str">
        <f t="shared" si="112"/>
        <v/>
      </c>
      <c r="CB149" s="263" t="str">
        <f t="shared" si="161"/>
        <v/>
      </c>
      <c r="CC149" s="263" t="str">
        <f t="shared" si="113"/>
        <v/>
      </c>
      <c r="CD149" s="263" t="str">
        <f t="shared" si="162"/>
        <v/>
      </c>
      <c r="CE149" s="263" t="str">
        <f t="shared" si="96"/>
        <v/>
      </c>
      <c r="CF149" s="263" t="str">
        <f t="shared" si="114"/>
        <v/>
      </c>
      <c r="CG149" s="263" t="str">
        <f t="shared" si="115"/>
        <v/>
      </c>
      <c r="CH149" s="263"/>
      <c r="CI149" s="263" t="str">
        <f t="shared" si="163"/>
        <v/>
      </c>
      <c r="CJ149" s="263"/>
      <c r="CK149" s="263" t="str">
        <f t="shared" si="164"/>
        <v/>
      </c>
      <c r="CL149" s="264">
        <f t="shared" si="118"/>
        <v>0</v>
      </c>
      <c r="CM149" s="264">
        <f t="shared" si="165"/>
        <v>0</v>
      </c>
      <c r="CO149" s="265">
        <v>0.10800000000000001</v>
      </c>
      <c r="CP149" s="265">
        <v>0.10911</v>
      </c>
      <c r="CQ149" s="265">
        <v>0.109</v>
      </c>
      <c r="CS149" s="265">
        <v>0.1108</v>
      </c>
      <c r="CT149" s="265">
        <v>0.11449999999999999</v>
      </c>
      <c r="CU149" s="265">
        <v>0.11368</v>
      </c>
      <c r="CV149" s="265">
        <v>0.1157</v>
      </c>
      <c r="CW149" s="265">
        <v>0.11561</v>
      </c>
      <c r="CY149" s="265">
        <v>0.1157</v>
      </c>
      <c r="DA149" s="265">
        <v>0.11792</v>
      </c>
      <c r="DC149" s="265">
        <v>0.11699999999999999</v>
      </c>
      <c r="DE149" s="265">
        <v>4.5400000000000003E-2</v>
      </c>
      <c r="DF149" s="265">
        <v>4.6799999999999994E-2</v>
      </c>
      <c r="DH149" s="265">
        <v>4.9139999999999996E-2</v>
      </c>
      <c r="DI149" s="265">
        <v>4.9800000000000004E-2</v>
      </c>
      <c r="DJ149" s="265">
        <v>5.1130000000000002E-2</v>
      </c>
      <c r="DL149" s="265">
        <v>4.9500000000000002E-2</v>
      </c>
      <c r="DO149" s="264" t="e">
        <f t="shared" si="120"/>
        <v>#N/A</v>
      </c>
      <c r="DP149" s="264" t="e" cm="1">
        <f t="array" ref="DP149">+INDEX(AH149:AV149,MATCH(DO149,AH149:AV149,1)+1)</f>
        <v>#N/A</v>
      </c>
      <c r="DQ149" s="265" t="e">
        <f t="shared" si="121"/>
        <v>#N/A</v>
      </c>
      <c r="DR149" s="267" t="e">
        <f t="shared" si="122"/>
        <v>#N/A</v>
      </c>
      <c r="DS149" s="267" t="e">
        <f t="shared" si="123"/>
        <v>#N/A</v>
      </c>
      <c r="DT149" s="268" t="e">
        <f t="shared" si="124"/>
        <v>#N/A</v>
      </c>
      <c r="DU149" s="268" t="e" cm="1">
        <f t="array" ref="DU149">+INDEX(AX149:BF149,MATCH(DT149,AX149:BF149,1)+1)</f>
        <v>#N/A</v>
      </c>
      <c r="DV149" s="267" t="e">
        <f t="shared" si="104"/>
        <v>#N/A</v>
      </c>
      <c r="DW149" s="267" t="e">
        <f t="shared" si="125"/>
        <v>#N/A</v>
      </c>
      <c r="DX149" s="267" t="e">
        <f t="shared" si="126"/>
        <v>#N/A</v>
      </c>
      <c r="DY149" s="267">
        <f t="shared" si="129"/>
        <v>0.1099</v>
      </c>
      <c r="DZ149" s="205" t="e">
        <f t="shared" si="108"/>
        <v>#N/A</v>
      </c>
      <c r="EA149" s="205">
        <f t="shared" si="109"/>
        <v>0</v>
      </c>
    </row>
    <row r="150" spans="2:131">
      <c r="B150" s="272">
        <v>45232</v>
      </c>
      <c r="C150" s="271">
        <v>45232</v>
      </c>
      <c r="D150" s="263" t="e">
        <f>+SUMIFS(Tabla6[Nominal COP],Tabla6[Concepto],COSTO_OPORTUNIDAD!$B$18,Tabla6[Nemotécnico],COSTO_OPORTUNIDAD!D$16,Tabla6[Fecha Cumplimiento y/ liquidacion],COSTO_OPORTUNIDAD!$C150)/+SUMIFS(Tabla6[Nominal COP],Tabla6[Concepto],COSTO_OPORTUNIDAD!$B$18,Tabla6[Fecha Cumplimiento y/ liquidacion],COSTO_OPORTUNIDAD!$C150)</f>
        <v>#DIV/0!</v>
      </c>
      <c r="E150" s="263" t="e">
        <f>+SUMIFS(Tabla6[Nominal COP],Tabla6[Concepto],COSTO_OPORTUNIDAD!$B$18,Tabla6[Nemotécnico],COSTO_OPORTUNIDAD!E$16,Tabla6[Fecha Cumplimiento y/ liquidacion],COSTO_OPORTUNIDAD!$C150)/+SUMIFS(Tabla6[Nominal COP],Tabla6[Concepto],COSTO_OPORTUNIDAD!$B$18,Tabla6[Fecha Cumplimiento y/ liquidacion],COSTO_OPORTUNIDAD!$C150)</f>
        <v>#DIV/0!</v>
      </c>
      <c r="F150" s="263"/>
      <c r="G150" s="263"/>
      <c r="H150" s="263">
        <v>0.4</v>
      </c>
      <c r="I150" s="263"/>
      <c r="J150" s="263">
        <v>0</v>
      </c>
      <c r="K150" s="263">
        <v>0</v>
      </c>
      <c r="L150" s="263"/>
      <c r="M150" s="263">
        <v>0.3</v>
      </c>
      <c r="N150" s="263"/>
      <c r="O150" s="263"/>
      <c r="P150" s="263">
        <v>0</v>
      </c>
      <c r="Q150" s="263"/>
      <c r="R150" s="263">
        <v>0.3</v>
      </c>
      <c r="S150" s="263"/>
      <c r="T150" s="263">
        <v>0</v>
      </c>
      <c r="U150" s="263"/>
      <c r="V150" s="263">
        <v>0</v>
      </c>
      <c r="W150" s="263">
        <v>0</v>
      </c>
      <c r="X150" s="263">
        <v>0</v>
      </c>
      <c r="Y150" s="263"/>
      <c r="Z150" s="263">
        <v>0</v>
      </c>
      <c r="AA150" s="263">
        <v>0</v>
      </c>
      <c r="AB150" s="263">
        <v>0</v>
      </c>
      <c r="AC150" s="263"/>
      <c r="AD150" s="263">
        <v>0</v>
      </c>
      <c r="AE150" s="263"/>
      <c r="AF150" s="263"/>
      <c r="AG150" s="262"/>
      <c r="AH150" s="274">
        <f t="shared" si="130"/>
        <v>1028</v>
      </c>
      <c r="AI150" s="274">
        <f t="shared" si="131"/>
        <v>1462</v>
      </c>
      <c r="AJ150" s="274">
        <f t="shared" si="132"/>
        <v>1639</v>
      </c>
      <c r="AK150" s="274">
        <f t="shared" si="127"/>
        <v>2120</v>
      </c>
      <c r="AL150" s="274">
        <f t="shared" si="133"/>
        <v>2512</v>
      </c>
      <c r="AM150" s="274">
        <f t="shared" si="134"/>
        <v>2701</v>
      </c>
      <c r="AN150" s="274">
        <f t="shared" si="135"/>
        <v>3163</v>
      </c>
      <c r="AO150" s="274">
        <f t="shared" si="117"/>
        <v>3387</v>
      </c>
      <c r="AP150" s="274">
        <f t="shared" si="136"/>
        <v>4003</v>
      </c>
      <c r="AQ150" s="274"/>
      <c r="AR150" s="274">
        <f t="shared" si="137"/>
        <v>4633</v>
      </c>
      <c r="AS150" s="274">
        <f t="shared" si="128"/>
        <v>6236</v>
      </c>
      <c r="AT150" s="274">
        <f t="shared" si="138"/>
        <v>6782</v>
      </c>
      <c r="AU150" s="274"/>
      <c r="AV150" s="274">
        <f t="shared" si="139"/>
        <v>9855</v>
      </c>
      <c r="AW150" s="274"/>
      <c r="AX150" s="274">
        <f t="shared" si="140"/>
        <v>552</v>
      </c>
      <c r="AY150" s="274">
        <f t="shared" si="141"/>
        <v>1231</v>
      </c>
      <c r="AZ150" s="274">
        <f t="shared" si="142"/>
        <v>1994</v>
      </c>
      <c r="BA150" s="274"/>
      <c r="BB150" s="274">
        <f t="shared" si="143"/>
        <v>3431</v>
      </c>
      <c r="BC150" s="274">
        <f t="shared" si="144"/>
        <v>4171</v>
      </c>
      <c r="BD150" s="274">
        <f t="shared" si="145"/>
        <v>4864</v>
      </c>
      <c r="BE150" s="274"/>
      <c r="BF150" s="274">
        <f t="shared" si="146"/>
        <v>9358</v>
      </c>
      <c r="BG150" s="274"/>
      <c r="BH150" s="274"/>
      <c r="BI150" s="266">
        <f t="shared" si="147"/>
        <v>0</v>
      </c>
      <c r="BJ150" s="266" t="e">
        <f t="shared" si="148"/>
        <v>#DIV/0!</v>
      </c>
      <c r="BK150" s="263" t="str">
        <f t="shared" si="149"/>
        <v/>
      </c>
      <c r="BL150" s="263" t="str">
        <f t="shared" si="150"/>
        <v/>
      </c>
      <c r="BM150" s="263" t="str">
        <f t="shared" si="151"/>
        <v/>
      </c>
      <c r="BN150" s="263"/>
      <c r="BO150" s="263" t="str">
        <f t="shared" si="152"/>
        <v/>
      </c>
      <c r="BP150" s="263" t="str">
        <f t="shared" si="153"/>
        <v/>
      </c>
      <c r="BQ150" s="263" t="str">
        <f t="shared" si="154"/>
        <v/>
      </c>
      <c r="BR150" s="263" t="str">
        <f t="shared" si="155"/>
        <v/>
      </c>
      <c r="BS150" s="263" t="str">
        <f t="shared" si="156"/>
        <v/>
      </c>
      <c r="BT150" s="263" t="str">
        <f t="shared" si="157"/>
        <v/>
      </c>
      <c r="BU150" s="263" t="str">
        <f t="shared" si="158"/>
        <v/>
      </c>
      <c r="BV150" s="263"/>
      <c r="BW150" s="263" t="str">
        <f t="shared" si="159"/>
        <v/>
      </c>
      <c r="BX150" s="263"/>
      <c r="BY150" s="263" t="str">
        <f t="shared" si="160"/>
        <v/>
      </c>
      <c r="BZ150" s="263"/>
      <c r="CA150" s="263" t="str">
        <f t="shared" si="112"/>
        <v/>
      </c>
      <c r="CB150" s="263" t="str">
        <f t="shared" si="161"/>
        <v/>
      </c>
      <c r="CC150" s="263" t="str">
        <f t="shared" si="113"/>
        <v/>
      </c>
      <c r="CD150" s="263" t="str">
        <f t="shared" si="162"/>
        <v/>
      </c>
      <c r="CE150" s="263" t="str">
        <f t="shared" si="96"/>
        <v/>
      </c>
      <c r="CF150" s="263" t="str">
        <f t="shared" si="114"/>
        <v/>
      </c>
      <c r="CG150" s="263" t="str">
        <f t="shared" si="115"/>
        <v/>
      </c>
      <c r="CH150" s="263"/>
      <c r="CI150" s="263" t="str">
        <f t="shared" si="163"/>
        <v/>
      </c>
      <c r="CJ150" s="263"/>
      <c r="CK150" s="263" t="str">
        <f t="shared" si="164"/>
        <v/>
      </c>
      <c r="CL150" s="264">
        <f t="shared" si="118"/>
        <v>0</v>
      </c>
      <c r="CM150" s="264">
        <f t="shared" si="165"/>
        <v>0</v>
      </c>
      <c r="CO150" s="265">
        <v>0.10605000000000001</v>
      </c>
      <c r="CP150" s="265">
        <v>0.10702</v>
      </c>
      <c r="CQ150" s="265">
        <v>0.107</v>
      </c>
      <c r="CS150" s="265">
        <v>0.10800000000000001</v>
      </c>
      <c r="CT150" s="265">
        <v>0.10800000000000001</v>
      </c>
      <c r="CU150" s="265">
        <v>0.11074999999999999</v>
      </c>
      <c r="CV150" s="265">
        <v>0.11257</v>
      </c>
      <c r="CW150" s="265">
        <v>0.11199999999999999</v>
      </c>
      <c r="CY150" s="265">
        <v>0.11253000000000001</v>
      </c>
      <c r="DA150" s="265">
        <v>0.11465</v>
      </c>
      <c r="DC150" s="265">
        <v>0.11362999999999999</v>
      </c>
      <c r="DE150" s="265">
        <v>4.4490000000000002E-2</v>
      </c>
      <c r="DF150" s="265">
        <v>4.58E-2</v>
      </c>
      <c r="DH150" s="265">
        <v>4.7019999999999999E-2</v>
      </c>
      <c r="DI150" s="265">
        <v>4.7800000000000002E-2</v>
      </c>
      <c r="DJ150" s="265">
        <v>4.8730000000000002E-2</v>
      </c>
      <c r="DL150" s="265">
        <v>4.7530000000000003E-2</v>
      </c>
      <c r="DO150" s="264" t="e">
        <f t="shared" si="120"/>
        <v>#N/A</v>
      </c>
      <c r="DP150" s="264" t="e" cm="1">
        <f t="array" ref="DP150">+INDEX(AH150:AV150,MATCH(DO150,AH150:AV150,1)+1)</f>
        <v>#N/A</v>
      </c>
      <c r="DQ150" s="265" t="e">
        <f t="shared" si="121"/>
        <v>#N/A</v>
      </c>
      <c r="DR150" s="267" t="e">
        <f t="shared" si="122"/>
        <v>#N/A</v>
      </c>
      <c r="DS150" s="267" t="e">
        <f t="shared" si="123"/>
        <v>#N/A</v>
      </c>
      <c r="DT150" s="268" t="e">
        <f t="shared" si="124"/>
        <v>#N/A</v>
      </c>
      <c r="DU150" s="268" t="e" cm="1">
        <f t="array" ref="DU150">+INDEX(AX150:BF150,MATCH(DT150,AX150:BF150,1)+1)</f>
        <v>#N/A</v>
      </c>
      <c r="DV150" s="267" t="e">
        <f t="shared" si="104"/>
        <v>#N/A</v>
      </c>
      <c r="DW150" s="267" t="e">
        <f t="shared" si="125"/>
        <v>#N/A</v>
      </c>
      <c r="DX150" s="267" t="e">
        <f t="shared" si="126"/>
        <v>#N/A</v>
      </c>
      <c r="DY150" s="267">
        <f t="shared" si="129"/>
        <v>0.1099</v>
      </c>
      <c r="DZ150" s="205" t="e">
        <f t="shared" si="108"/>
        <v>#N/A</v>
      </c>
      <c r="EA150" s="205">
        <f t="shared" si="109"/>
        <v>0</v>
      </c>
    </row>
    <row r="151" spans="2:131">
      <c r="B151" s="272">
        <v>45233</v>
      </c>
      <c r="C151" s="271">
        <v>45233</v>
      </c>
      <c r="D151" s="263" t="e">
        <f>+SUMIFS(Tabla6[Nominal COP],Tabla6[Concepto],COSTO_OPORTUNIDAD!$B$18,Tabla6[Nemotécnico],COSTO_OPORTUNIDAD!D$16,Tabla6[Fecha Cumplimiento y/ liquidacion],COSTO_OPORTUNIDAD!$C151)/+SUMIFS(Tabla6[Nominal COP],Tabla6[Concepto],COSTO_OPORTUNIDAD!$B$18,Tabla6[Fecha Cumplimiento y/ liquidacion],COSTO_OPORTUNIDAD!$C151)</f>
        <v>#DIV/0!</v>
      </c>
      <c r="E151" s="263" t="e">
        <f>+SUMIFS(Tabla6[Nominal COP],Tabla6[Concepto],COSTO_OPORTUNIDAD!$B$18,Tabla6[Nemotécnico],COSTO_OPORTUNIDAD!E$16,Tabla6[Fecha Cumplimiento y/ liquidacion],COSTO_OPORTUNIDAD!$C151)/+SUMIFS(Tabla6[Nominal COP],Tabla6[Concepto],COSTO_OPORTUNIDAD!$B$18,Tabla6[Fecha Cumplimiento y/ liquidacion],COSTO_OPORTUNIDAD!$C151)</f>
        <v>#DIV/0!</v>
      </c>
      <c r="F151" s="263"/>
      <c r="G151" s="263"/>
      <c r="H151" s="263">
        <v>0.4</v>
      </c>
      <c r="I151" s="263"/>
      <c r="J151" s="263">
        <v>0</v>
      </c>
      <c r="K151" s="263">
        <v>0</v>
      </c>
      <c r="L151" s="263"/>
      <c r="M151" s="263">
        <v>0.25</v>
      </c>
      <c r="N151" s="263"/>
      <c r="O151" s="263"/>
      <c r="P151" s="263">
        <v>0</v>
      </c>
      <c r="Q151" s="263"/>
      <c r="R151" s="263">
        <v>0.35</v>
      </c>
      <c r="S151" s="263"/>
      <c r="T151" s="263">
        <v>0</v>
      </c>
      <c r="U151" s="263"/>
      <c r="V151" s="263">
        <v>0</v>
      </c>
      <c r="W151" s="263">
        <v>0</v>
      </c>
      <c r="X151" s="263">
        <v>0</v>
      </c>
      <c r="Y151" s="263"/>
      <c r="Z151" s="263">
        <v>0</v>
      </c>
      <c r="AA151" s="263">
        <v>0</v>
      </c>
      <c r="AB151" s="263">
        <v>0</v>
      </c>
      <c r="AC151" s="263"/>
      <c r="AD151" s="263">
        <v>0</v>
      </c>
      <c r="AE151" s="263"/>
      <c r="AF151" s="263"/>
      <c r="AG151" s="262"/>
      <c r="AH151" s="274">
        <f t="shared" si="130"/>
        <v>1027</v>
      </c>
      <c r="AI151" s="274">
        <f t="shared" si="131"/>
        <v>1461</v>
      </c>
      <c r="AJ151" s="274">
        <f t="shared" si="132"/>
        <v>1638</v>
      </c>
      <c r="AK151" s="274">
        <f t="shared" si="127"/>
        <v>2119</v>
      </c>
      <c r="AL151" s="274">
        <f t="shared" si="133"/>
        <v>2511</v>
      </c>
      <c r="AM151" s="274">
        <f t="shared" si="134"/>
        <v>2700</v>
      </c>
      <c r="AN151" s="274">
        <f t="shared" si="135"/>
        <v>3162</v>
      </c>
      <c r="AO151" s="274">
        <f t="shared" si="117"/>
        <v>3386</v>
      </c>
      <c r="AP151" s="274">
        <f t="shared" si="136"/>
        <v>4002</v>
      </c>
      <c r="AQ151" s="274"/>
      <c r="AR151" s="274">
        <f t="shared" si="137"/>
        <v>4632</v>
      </c>
      <c r="AS151" s="274">
        <f t="shared" si="128"/>
        <v>6235</v>
      </c>
      <c r="AT151" s="274">
        <f t="shared" si="138"/>
        <v>6781</v>
      </c>
      <c r="AU151" s="274"/>
      <c r="AV151" s="274">
        <f t="shared" si="139"/>
        <v>9854</v>
      </c>
      <c r="AW151" s="274"/>
      <c r="AX151" s="274">
        <f t="shared" si="140"/>
        <v>551</v>
      </c>
      <c r="AY151" s="274">
        <f t="shared" si="141"/>
        <v>1230</v>
      </c>
      <c r="AZ151" s="274">
        <f t="shared" si="142"/>
        <v>1993</v>
      </c>
      <c r="BA151" s="274"/>
      <c r="BB151" s="274">
        <f t="shared" si="143"/>
        <v>3430</v>
      </c>
      <c r="BC151" s="274">
        <f t="shared" si="144"/>
        <v>4170</v>
      </c>
      <c r="BD151" s="274">
        <f t="shared" si="145"/>
        <v>4863</v>
      </c>
      <c r="BE151" s="274"/>
      <c r="BF151" s="274">
        <f t="shared" si="146"/>
        <v>9357</v>
      </c>
      <c r="BG151" s="274"/>
      <c r="BH151" s="274"/>
      <c r="BI151" s="266">
        <f t="shared" si="147"/>
        <v>0</v>
      </c>
      <c r="BJ151" s="266" t="e">
        <f t="shared" si="148"/>
        <v>#DIV/0!</v>
      </c>
      <c r="BK151" s="263" t="str">
        <f t="shared" si="149"/>
        <v/>
      </c>
      <c r="BL151" s="263" t="str">
        <f t="shared" si="150"/>
        <v/>
      </c>
      <c r="BM151" s="263" t="str">
        <f t="shared" si="151"/>
        <v/>
      </c>
      <c r="BN151" s="263"/>
      <c r="BO151" s="263" t="str">
        <f t="shared" si="152"/>
        <v/>
      </c>
      <c r="BP151" s="263" t="str">
        <f t="shared" si="153"/>
        <v/>
      </c>
      <c r="BQ151" s="263" t="str">
        <f t="shared" si="154"/>
        <v/>
      </c>
      <c r="BR151" s="263" t="str">
        <f t="shared" si="155"/>
        <v/>
      </c>
      <c r="BS151" s="263" t="str">
        <f t="shared" si="156"/>
        <v/>
      </c>
      <c r="BT151" s="263" t="str">
        <f t="shared" si="157"/>
        <v/>
      </c>
      <c r="BU151" s="263" t="str">
        <f t="shared" si="158"/>
        <v/>
      </c>
      <c r="BV151" s="263"/>
      <c r="BW151" s="263" t="str">
        <f t="shared" si="159"/>
        <v/>
      </c>
      <c r="BX151" s="263"/>
      <c r="BY151" s="263" t="str">
        <f t="shared" si="160"/>
        <v/>
      </c>
      <c r="BZ151" s="263"/>
      <c r="CA151" s="263" t="str">
        <f t="shared" si="112"/>
        <v/>
      </c>
      <c r="CB151" s="263" t="str">
        <f t="shared" si="161"/>
        <v/>
      </c>
      <c r="CC151" s="263" t="str">
        <f t="shared" si="113"/>
        <v/>
      </c>
      <c r="CD151" s="263" t="str">
        <f t="shared" si="162"/>
        <v/>
      </c>
      <c r="CE151" s="263" t="str">
        <f t="shared" si="96"/>
        <v/>
      </c>
      <c r="CF151" s="263" t="str">
        <f t="shared" si="114"/>
        <v/>
      </c>
      <c r="CG151" s="263" t="str">
        <f t="shared" si="115"/>
        <v/>
      </c>
      <c r="CH151" s="263"/>
      <c r="CI151" s="263" t="str">
        <f t="shared" si="163"/>
        <v/>
      </c>
      <c r="CJ151" s="263"/>
      <c r="CK151" s="263" t="str">
        <f t="shared" si="164"/>
        <v/>
      </c>
      <c r="CL151" s="264">
        <f t="shared" si="118"/>
        <v>0</v>
      </c>
      <c r="CM151" s="264">
        <f t="shared" si="165"/>
        <v>0</v>
      </c>
      <c r="CO151" s="265">
        <v>0.10439999999999999</v>
      </c>
      <c r="CP151" s="265">
        <v>0.106</v>
      </c>
      <c r="CQ151" s="265">
        <v>0.10585000000000001</v>
      </c>
      <c r="CS151" s="265">
        <v>0.1072</v>
      </c>
      <c r="CT151" s="265">
        <v>0.10800000000000001</v>
      </c>
      <c r="CU151" s="265">
        <v>0.10980000000000001</v>
      </c>
      <c r="CV151" s="265">
        <v>0.11105999999999999</v>
      </c>
      <c r="CW151" s="265">
        <v>0.11101000000000001</v>
      </c>
      <c r="CY151" s="265">
        <v>0.11119999999999999</v>
      </c>
      <c r="DA151" s="265">
        <v>0.11353999999999999</v>
      </c>
      <c r="DC151" s="265">
        <v>0.11196999999999999</v>
      </c>
      <c r="DE151" s="265">
        <v>4.3499999999999997E-2</v>
      </c>
      <c r="DF151" s="265">
        <v>4.505E-2</v>
      </c>
      <c r="DH151" s="265">
        <v>4.5990000000000003E-2</v>
      </c>
      <c r="DI151" s="265">
        <v>4.7889999999999995E-2</v>
      </c>
      <c r="DJ151" s="265">
        <v>4.9000000000000002E-2</v>
      </c>
      <c r="DL151" s="265">
        <v>4.6989999999999997E-2</v>
      </c>
      <c r="DO151" s="264" t="e">
        <f t="shared" si="120"/>
        <v>#N/A</v>
      </c>
      <c r="DP151" s="264" t="e" cm="1">
        <f t="array" ref="DP151">+INDEX(AH151:AV151,MATCH(DO151,AH151:AV151,1)+1)</f>
        <v>#N/A</v>
      </c>
      <c r="DQ151" s="265" t="e">
        <f t="shared" si="121"/>
        <v>#N/A</v>
      </c>
      <c r="DR151" s="267" t="e">
        <f t="shared" si="122"/>
        <v>#N/A</v>
      </c>
      <c r="DS151" s="267" t="e">
        <f t="shared" si="123"/>
        <v>#N/A</v>
      </c>
      <c r="DT151" s="268" t="e">
        <f t="shared" si="124"/>
        <v>#N/A</v>
      </c>
      <c r="DU151" s="268" t="e" cm="1">
        <f t="array" ref="DU151">+INDEX(AX151:BF151,MATCH(DT151,AX151:BF151,1)+1)</f>
        <v>#N/A</v>
      </c>
      <c r="DV151" s="267" t="e">
        <f t="shared" si="104"/>
        <v>#N/A</v>
      </c>
      <c r="DW151" s="267" t="e">
        <f t="shared" si="125"/>
        <v>#N/A</v>
      </c>
      <c r="DX151" s="267" t="e">
        <f t="shared" si="126"/>
        <v>#N/A</v>
      </c>
      <c r="DY151" s="267">
        <f t="shared" si="129"/>
        <v>0.1099</v>
      </c>
      <c r="DZ151" s="205" t="e">
        <f t="shared" si="108"/>
        <v>#N/A</v>
      </c>
      <c r="EA151" s="205">
        <f t="shared" si="109"/>
        <v>0</v>
      </c>
    </row>
    <row r="152" spans="2:131">
      <c r="B152" s="272">
        <v>45237</v>
      </c>
      <c r="C152" s="271">
        <v>45237</v>
      </c>
      <c r="D152" s="263" t="e">
        <f>+SUMIFS(Tabla6[Nominal COP],Tabla6[Concepto],COSTO_OPORTUNIDAD!$B$18,Tabla6[Nemotécnico],COSTO_OPORTUNIDAD!D$16,Tabla6[Fecha Cumplimiento y/ liquidacion],COSTO_OPORTUNIDAD!$C152)/+SUMIFS(Tabla6[Nominal COP],Tabla6[Concepto],COSTO_OPORTUNIDAD!$B$18,Tabla6[Fecha Cumplimiento y/ liquidacion],COSTO_OPORTUNIDAD!$C152)</f>
        <v>#DIV/0!</v>
      </c>
      <c r="E152" s="263" t="e">
        <f>+SUMIFS(Tabla6[Nominal COP],Tabla6[Concepto],COSTO_OPORTUNIDAD!$B$18,Tabla6[Nemotécnico],COSTO_OPORTUNIDAD!E$16,Tabla6[Fecha Cumplimiento y/ liquidacion],COSTO_OPORTUNIDAD!$C152)/+SUMIFS(Tabla6[Nominal COP],Tabla6[Concepto],COSTO_OPORTUNIDAD!$B$18,Tabla6[Fecha Cumplimiento y/ liquidacion],COSTO_OPORTUNIDAD!$C152)</f>
        <v>#DIV/0!</v>
      </c>
      <c r="F152" s="263"/>
      <c r="G152" s="263"/>
      <c r="H152" s="263">
        <v>0.5</v>
      </c>
      <c r="I152" s="263"/>
      <c r="J152" s="263">
        <v>0</v>
      </c>
      <c r="K152" s="263">
        <v>0</v>
      </c>
      <c r="L152" s="263"/>
      <c r="M152" s="263">
        <v>0.15909090909090909</v>
      </c>
      <c r="N152" s="263"/>
      <c r="O152" s="263"/>
      <c r="P152" s="263">
        <v>0</v>
      </c>
      <c r="Q152" s="263"/>
      <c r="R152" s="263">
        <v>0.34090909090909088</v>
      </c>
      <c r="S152" s="263"/>
      <c r="T152" s="263">
        <v>0</v>
      </c>
      <c r="U152" s="263"/>
      <c r="V152" s="263">
        <v>0</v>
      </c>
      <c r="W152" s="263">
        <v>0</v>
      </c>
      <c r="X152" s="263">
        <v>0</v>
      </c>
      <c r="Y152" s="263"/>
      <c r="Z152" s="263">
        <v>0</v>
      </c>
      <c r="AA152" s="263">
        <v>0</v>
      </c>
      <c r="AB152" s="263">
        <v>0</v>
      </c>
      <c r="AC152" s="263"/>
      <c r="AD152" s="263">
        <v>0</v>
      </c>
      <c r="AE152" s="263"/>
      <c r="AF152" s="263"/>
      <c r="AG152" s="262"/>
      <c r="AH152" s="274">
        <f t="shared" si="130"/>
        <v>1023</v>
      </c>
      <c r="AI152" s="274">
        <f t="shared" si="131"/>
        <v>1457</v>
      </c>
      <c r="AJ152" s="274">
        <f t="shared" si="132"/>
        <v>1634</v>
      </c>
      <c r="AK152" s="274">
        <f t="shared" si="127"/>
        <v>2115</v>
      </c>
      <c r="AL152" s="274">
        <f t="shared" si="133"/>
        <v>2507</v>
      </c>
      <c r="AM152" s="274">
        <f t="shared" si="134"/>
        <v>2696</v>
      </c>
      <c r="AN152" s="274">
        <f t="shared" si="135"/>
        <v>3158</v>
      </c>
      <c r="AO152" s="274">
        <f t="shared" si="117"/>
        <v>3382</v>
      </c>
      <c r="AP152" s="274">
        <f t="shared" si="136"/>
        <v>3998</v>
      </c>
      <c r="AQ152" s="274"/>
      <c r="AR152" s="274">
        <f t="shared" si="137"/>
        <v>4628</v>
      </c>
      <c r="AS152" s="274">
        <f t="shared" si="128"/>
        <v>6231</v>
      </c>
      <c r="AT152" s="274">
        <f t="shared" si="138"/>
        <v>6777</v>
      </c>
      <c r="AU152" s="274"/>
      <c r="AV152" s="274">
        <f t="shared" si="139"/>
        <v>9850</v>
      </c>
      <c r="AW152" s="274"/>
      <c r="AX152" s="274">
        <f t="shared" si="140"/>
        <v>547</v>
      </c>
      <c r="AY152" s="274">
        <f t="shared" si="141"/>
        <v>1226</v>
      </c>
      <c r="AZ152" s="274">
        <f t="shared" si="142"/>
        <v>1989</v>
      </c>
      <c r="BA152" s="274"/>
      <c r="BB152" s="274">
        <f t="shared" si="143"/>
        <v>3426</v>
      </c>
      <c r="BC152" s="274">
        <f t="shared" si="144"/>
        <v>4166</v>
      </c>
      <c r="BD152" s="274">
        <f t="shared" si="145"/>
        <v>4859</v>
      </c>
      <c r="BE152" s="274"/>
      <c r="BF152" s="274">
        <f t="shared" si="146"/>
        <v>9353</v>
      </c>
      <c r="BG152" s="274"/>
      <c r="BH152" s="274"/>
      <c r="BI152" s="266">
        <f t="shared" si="147"/>
        <v>0</v>
      </c>
      <c r="BJ152" s="266" t="e">
        <f t="shared" si="148"/>
        <v>#DIV/0!</v>
      </c>
      <c r="BK152" s="263" t="str">
        <f t="shared" si="149"/>
        <v/>
      </c>
      <c r="BL152" s="263" t="str">
        <f t="shared" si="150"/>
        <v/>
      </c>
      <c r="BM152" s="263" t="str">
        <f t="shared" si="151"/>
        <v/>
      </c>
      <c r="BN152" s="263"/>
      <c r="BO152" s="263" t="str">
        <f t="shared" si="152"/>
        <v/>
      </c>
      <c r="BP152" s="263" t="str">
        <f t="shared" si="153"/>
        <v/>
      </c>
      <c r="BQ152" s="263" t="str">
        <f t="shared" si="154"/>
        <v/>
      </c>
      <c r="BR152" s="263" t="str">
        <f t="shared" si="155"/>
        <v/>
      </c>
      <c r="BS152" s="263" t="str">
        <f t="shared" si="156"/>
        <v/>
      </c>
      <c r="BT152" s="263" t="str">
        <f t="shared" si="157"/>
        <v/>
      </c>
      <c r="BU152" s="263" t="str">
        <f t="shared" si="158"/>
        <v/>
      </c>
      <c r="BV152" s="263"/>
      <c r="BW152" s="263" t="str">
        <f t="shared" si="159"/>
        <v/>
      </c>
      <c r="BX152" s="263"/>
      <c r="BY152" s="263" t="str">
        <f t="shared" si="160"/>
        <v/>
      </c>
      <c r="BZ152" s="263"/>
      <c r="CA152" s="263" t="str">
        <f t="shared" si="112"/>
        <v/>
      </c>
      <c r="CB152" s="263" t="str">
        <f t="shared" si="161"/>
        <v/>
      </c>
      <c r="CC152" s="263" t="str">
        <f t="shared" si="113"/>
        <v/>
      </c>
      <c r="CD152" s="263" t="str">
        <f t="shared" si="162"/>
        <v/>
      </c>
      <c r="CE152" s="263" t="str">
        <f t="shared" si="96"/>
        <v/>
      </c>
      <c r="CF152" s="263" t="str">
        <f t="shared" si="114"/>
        <v/>
      </c>
      <c r="CG152" s="263" t="str">
        <f t="shared" si="115"/>
        <v/>
      </c>
      <c r="CH152" s="263"/>
      <c r="CI152" s="263" t="str">
        <f t="shared" si="163"/>
        <v/>
      </c>
      <c r="CJ152" s="263"/>
      <c r="CK152" s="263" t="str">
        <f t="shared" si="164"/>
        <v/>
      </c>
      <c r="CL152" s="264">
        <f t="shared" si="118"/>
        <v>0</v>
      </c>
      <c r="CM152" s="264">
        <f t="shared" si="165"/>
        <v>0</v>
      </c>
      <c r="CO152" s="265">
        <v>0.10349999999999999</v>
      </c>
      <c r="CP152" s="265">
        <v>0.10580000000000001</v>
      </c>
      <c r="CQ152" s="265">
        <v>0.105</v>
      </c>
      <c r="CS152" s="265">
        <v>0.1065</v>
      </c>
      <c r="CT152" s="265">
        <v>0.10775</v>
      </c>
      <c r="CU152" s="265">
        <v>0.1091</v>
      </c>
      <c r="CV152" s="265">
        <v>0.11</v>
      </c>
      <c r="CW152" s="265">
        <v>0.1108</v>
      </c>
      <c r="CY152" s="265">
        <v>0.11085</v>
      </c>
      <c r="DA152" s="265">
        <v>0.1134</v>
      </c>
      <c r="DC152" s="265">
        <v>0.11119999999999999</v>
      </c>
      <c r="DE152" s="265">
        <v>4.3159999999999997E-2</v>
      </c>
      <c r="DF152" s="265">
        <v>4.6029999999999995E-2</v>
      </c>
      <c r="DH152" s="265">
        <v>4.6760000000000003E-2</v>
      </c>
      <c r="DI152" s="265">
        <v>4.8179999999999994E-2</v>
      </c>
      <c r="DJ152" s="265">
        <v>4.9569999999999996E-2</v>
      </c>
      <c r="DL152" s="265">
        <v>4.793E-2</v>
      </c>
      <c r="DO152" s="264" t="e">
        <f t="shared" si="120"/>
        <v>#N/A</v>
      </c>
      <c r="DP152" s="264" t="e" cm="1">
        <f t="array" ref="DP152">+INDEX(AH152:AV152,MATCH(DO152,AH152:AV152,1)+1)</f>
        <v>#N/A</v>
      </c>
      <c r="DQ152" s="265" t="e">
        <f t="shared" si="121"/>
        <v>#N/A</v>
      </c>
      <c r="DR152" s="267" t="e">
        <f t="shared" si="122"/>
        <v>#N/A</v>
      </c>
      <c r="DS152" s="267" t="e">
        <f t="shared" si="123"/>
        <v>#N/A</v>
      </c>
      <c r="DT152" s="268" t="e">
        <f t="shared" si="124"/>
        <v>#N/A</v>
      </c>
      <c r="DU152" s="268" t="e" cm="1">
        <f t="array" ref="DU152">+INDEX(AX152:BF152,MATCH(DT152,AX152:BF152,1)+1)</f>
        <v>#N/A</v>
      </c>
      <c r="DV152" s="267" t="e">
        <f t="shared" si="104"/>
        <v>#N/A</v>
      </c>
      <c r="DW152" s="267" t="e">
        <f t="shared" si="125"/>
        <v>#N/A</v>
      </c>
      <c r="DX152" s="267" t="e">
        <f t="shared" si="126"/>
        <v>#N/A</v>
      </c>
      <c r="DY152" s="267">
        <f t="shared" ref="DY152:DY160" si="166">+$EE$74</f>
        <v>0.1048</v>
      </c>
      <c r="DZ152" s="205" t="e">
        <f t="shared" si="108"/>
        <v>#N/A</v>
      </c>
      <c r="EA152" s="205">
        <f t="shared" si="109"/>
        <v>0</v>
      </c>
    </row>
    <row r="153" spans="2:131">
      <c r="B153" s="272">
        <v>45239</v>
      </c>
      <c r="C153" s="271">
        <v>45239</v>
      </c>
      <c r="D153" s="263" t="e">
        <f>+SUMIFS(Tabla6[Nominal COP],Tabla6[Concepto],COSTO_OPORTUNIDAD!$B$18,Tabla6[Nemotécnico],COSTO_OPORTUNIDAD!D$16,Tabla6[Fecha Cumplimiento y/ liquidacion],COSTO_OPORTUNIDAD!$C153)/+SUMIFS(Tabla6[Nominal COP],Tabla6[Concepto],COSTO_OPORTUNIDAD!$B$18,Tabla6[Fecha Cumplimiento y/ liquidacion],COSTO_OPORTUNIDAD!$C153)</f>
        <v>#DIV/0!</v>
      </c>
      <c r="E153" s="263" t="e">
        <f>+SUMIFS(Tabla6[Nominal COP],Tabla6[Concepto],COSTO_OPORTUNIDAD!$B$18,Tabla6[Nemotécnico],COSTO_OPORTUNIDAD!E$16,Tabla6[Fecha Cumplimiento y/ liquidacion],COSTO_OPORTUNIDAD!$C153)/+SUMIFS(Tabla6[Nominal COP],Tabla6[Concepto],COSTO_OPORTUNIDAD!$B$18,Tabla6[Fecha Cumplimiento y/ liquidacion],COSTO_OPORTUNIDAD!$C153)</f>
        <v>#DIV/0!</v>
      </c>
      <c r="F153" s="263"/>
      <c r="G153" s="263"/>
      <c r="H153" s="263">
        <v>0.4</v>
      </c>
      <c r="I153" s="263"/>
      <c r="J153" s="263">
        <v>0</v>
      </c>
      <c r="K153" s="263">
        <v>0</v>
      </c>
      <c r="L153" s="263"/>
      <c r="M153" s="263">
        <v>0.2</v>
      </c>
      <c r="N153" s="263"/>
      <c r="O153" s="263"/>
      <c r="P153" s="263">
        <v>0</v>
      </c>
      <c r="Q153" s="263"/>
      <c r="R153" s="263">
        <v>0.4</v>
      </c>
      <c r="S153" s="263"/>
      <c r="T153" s="263">
        <v>0</v>
      </c>
      <c r="U153" s="263"/>
      <c r="V153" s="263">
        <v>0</v>
      </c>
      <c r="W153" s="263">
        <v>0</v>
      </c>
      <c r="X153" s="263">
        <v>0</v>
      </c>
      <c r="Y153" s="263"/>
      <c r="Z153" s="263">
        <v>0</v>
      </c>
      <c r="AA153" s="263">
        <v>0</v>
      </c>
      <c r="AB153" s="263">
        <v>0</v>
      </c>
      <c r="AC153" s="263"/>
      <c r="AD153" s="263">
        <v>0</v>
      </c>
      <c r="AE153" s="263"/>
      <c r="AF153" s="263"/>
      <c r="AG153" s="262"/>
      <c r="AH153" s="274">
        <f t="shared" si="130"/>
        <v>1021</v>
      </c>
      <c r="AI153" s="274">
        <f t="shared" si="131"/>
        <v>1455</v>
      </c>
      <c r="AJ153" s="274">
        <f t="shared" si="132"/>
        <v>1632</v>
      </c>
      <c r="AK153" s="274">
        <f t="shared" si="127"/>
        <v>2113</v>
      </c>
      <c r="AL153" s="274">
        <f t="shared" si="133"/>
        <v>2505</v>
      </c>
      <c r="AM153" s="274">
        <f t="shared" si="134"/>
        <v>2694</v>
      </c>
      <c r="AN153" s="274">
        <f t="shared" si="135"/>
        <v>3156</v>
      </c>
      <c r="AO153" s="274">
        <f t="shared" si="117"/>
        <v>3380</v>
      </c>
      <c r="AP153" s="274">
        <f t="shared" si="136"/>
        <v>3996</v>
      </c>
      <c r="AQ153" s="274"/>
      <c r="AR153" s="274">
        <f t="shared" si="137"/>
        <v>4626</v>
      </c>
      <c r="AS153" s="274">
        <f t="shared" si="128"/>
        <v>6229</v>
      </c>
      <c r="AT153" s="274">
        <f t="shared" si="138"/>
        <v>6775</v>
      </c>
      <c r="AU153" s="274"/>
      <c r="AV153" s="274">
        <f t="shared" si="139"/>
        <v>9848</v>
      </c>
      <c r="AW153" s="274"/>
      <c r="AX153" s="274">
        <f t="shared" si="140"/>
        <v>545</v>
      </c>
      <c r="AY153" s="274">
        <f t="shared" si="141"/>
        <v>1224</v>
      </c>
      <c r="AZ153" s="274">
        <f t="shared" si="142"/>
        <v>1987</v>
      </c>
      <c r="BA153" s="274"/>
      <c r="BB153" s="274">
        <f t="shared" si="143"/>
        <v>3424</v>
      </c>
      <c r="BC153" s="274">
        <f t="shared" si="144"/>
        <v>4164</v>
      </c>
      <c r="BD153" s="274">
        <f t="shared" si="145"/>
        <v>4857</v>
      </c>
      <c r="BE153" s="274"/>
      <c r="BF153" s="274">
        <f t="shared" si="146"/>
        <v>9351</v>
      </c>
      <c r="BG153" s="274"/>
      <c r="BH153" s="274"/>
      <c r="BI153" s="266">
        <f t="shared" si="147"/>
        <v>0</v>
      </c>
      <c r="BJ153" s="266" t="e">
        <f t="shared" si="148"/>
        <v>#DIV/0!</v>
      </c>
      <c r="BK153" s="263" t="str">
        <f t="shared" si="149"/>
        <v/>
      </c>
      <c r="BL153" s="263" t="str">
        <f t="shared" si="150"/>
        <v/>
      </c>
      <c r="BM153" s="263" t="str">
        <f t="shared" si="151"/>
        <v/>
      </c>
      <c r="BN153" s="263"/>
      <c r="BO153" s="263" t="str">
        <f t="shared" si="152"/>
        <v/>
      </c>
      <c r="BP153" s="263" t="str">
        <f t="shared" si="153"/>
        <v/>
      </c>
      <c r="BQ153" s="263" t="str">
        <f t="shared" si="154"/>
        <v/>
      </c>
      <c r="BR153" s="263" t="str">
        <f t="shared" si="155"/>
        <v/>
      </c>
      <c r="BS153" s="263" t="str">
        <f t="shared" si="156"/>
        <v/>
      </c>
      <c r="BT153" s="263" t="str">
        <f t="shared" si="157"/>
        <v/>
      </c>
      <c r="BU153" s="263" t="str">
        <f t="shared" si="158"/>
        <v/>
      </c>
      <c r="BV153" s="263"/>
      <c r="BW153" s="263" t="str">
        <f t="shared" si="159"/>
        <v/>
      </c>
      <c r="BX153" s="263"/>
      <c r="BY153" s="263" t="str">
        <f t="shared" si="160"/>
        <v/>
      </c>
      <c r="BZ153" s="263"/>
      <c r="CA153" s="263" t="str">
        <f t="shared" si="112"/>
        <v/>
      </c>
      <c r="CB153" s="263" t="str">
        <f t="shared" si="161"/>
        <v/>
      </c>
      <c r="CC153" s="263" t="str">
        <f t="shared" si="113"/>
        <v/>
      </c>
      <c r="CD153" s="263" t="str">
        <f t="shared" si="162"/>
        <v/>
      </c>
      <c r="CE153" s="263" t="str">
        <f t="shared" ref="CE153:CE216" si="167">IFERROR(Z153/$BI153,"")</f>
        <v/>
      </c>
      <c r="CF153" s="263" t="str">
        <f t="shared" si="114"/>
        <v/>
      </c>
      <c r="CG153" s="263" t="str">
        <f t="shared" si="115"/>
        <v/>
      </c>
      <c r="CH153" s="263"/>
      <c r="CI153" s="263" t="str">
        <f t="shared" si="163"/>
        <v/>
      </c>
      <c r="CJ153" s="263"/>
      <c r="CK153" s="263" t="str">
        <f t="shared" si="164"/>
        <v/>
      </c>
      <c r="CL153" s="264">
        <f t="shared" si="118"/>
        <v>0</v>
      </c>
      <c r="CM153" s="264">
        <f t="shared" si="165"/>
        <v>0</v>
      </c>
      <c r="CO153" s="265">
        <v>0.10336000000000001</v>
      </c>
      <c r="CP153" s="265">
        <v>0.10522000000000001</v>
      </c>
      <c r="CQ153" s="265">
        <v>0.10539999999999999</v>
      </c>
      <c r="CS153" s="265">
        <v>0.1065</v>
      </c>
      <c r="CT153" s="265">
        <v>0.1066</v>
      </c>
      <c r="CU153" s="265">
        <v>0.10842</v>
      </c>
      <c r="CV153" s="265">
        <v>0.1101</v>
      </c>
      <c r="CW153" s="265">
        <v>0.1094</v>
      </c>
      <c r="CY153" s="265">
        <v>0.11009000000000001</v>
      </c>
      <c r="DA153" s="265">
        <v>0.11364</v>
      </c>
      <c r="DC153" s="265">
        <v>0.11209</v>
      </c>
      <c r="DE153" s="265">
        <v>4.3779999999999999E-2</v>
      </c>
      <c r="DF153" s="265">
        <v>4.7690000000000003E-2</v>
      </c>
      <c r="DH153" s="265">
        <v>4.8600000000000004E-2</v>
      </c>
      <c r="DI153" s="265">
        <v>4.9119999999999997E-2</v>
      </c>
      <c r="DJ153" s="265">
        <v>5.0250000000000003E-2</v>
      </c>
      <c r="DL153" s="265">
        <v>4.8099999999999997E-2</v>
      </c>
      <c r="DO153" s="264" t="e">
        <f t="shared" si="120"/>
        <v>#N/A</v>
      </c>
      <c r="DP153" s="264" t="e" cm="1">
        <f t="array" ref="DP153">+INDEX(AH153:AV153,MATCH(DO153,AH153:AV153,1)+1)</f>
        <v>#N/A</v>
      </c>
      <c r="DQ153" s="265" t="e">
        <f t="shared" si="121"/>
        <v>#N/A</v>
      </c>
      <c r="DR153" s="267" t="e">
        <f t="shared" si="122"/>
        <v>#N/A</v>
      </c>
      <c r="DS153" s="267" t="e">
        <f t="shared" si="123"/>
        <v>#N/A</v>
      </c>
      <c r="DT153" s="268" t="e">
        <f t="shared" si="124"/>
        <v>#N/A</v>
      </c>
      <c r="DU153" s="268" t="e" cm="1">
        <f t="array" ref="DU153">+INDEX(AX153:BF153,MATCH(DT153,AX153:BF153,1)+1)</f>
        <v>#N/A</v>
      </c>
      <c r="DV153" s="267" t="e">
        <f t="shared" si="104"/>
        <v>#N/A</v>
      </c>
      <c r="DW153" s="267" t="e">
        <f t="shared" si="125"/>
        <v>#N/A</v>
      </c>
      <c r="DX153" s="267" t="e">
        <f t="shared" si="126"/>
        <v>#N/A</v>
      </c>
      <c r="DY153" s="267">
        <f t="shared" si="166"/>
        <v>0.1048</v>
      </c>
      <c r="DZ153" s="205" t="e">
        <f t="shared" si="108"/>
        <v>#N/A</v>
      </c>
      <c r="EA153" s="205">
        <f t="shared" si="109"/>
        <v>0</v>
      </c>
    </row>
    <row r="154" spans="2:131">
      <c r="B154" s="272">
        <v>45244</v>
      </c>
      <c r="C154" s="271">
        <v>45244</v>
      </c>
      <c r="D154" s="263" t="e">
        <f>+SUMIFS(Tabla6[Nominal COP],Tabla6[Concepto],COSTO_OPORTUNIDAD!$B$18,Tabla6[Nemotécnico],COSTO_OPORTUNIDAD!D$16,Tabla6[Fecha Cumplimiento y/ liquidacion],COSTO_OPORTUNIDAD!$C154)/+SUMIFS(Tabla6[Nominal COP],Tabla6[Concepto],COSTO_OPORTUNIDAD!$B$18,Tabla6[Fecha Cumplimiento y/ liquidacion],COSTO_OPORTUNIDAD!$C154)</f>
        <v>#DIV/0!</v>
      </c>
      <c r="E154" s="263" t="e">
        <f>+SUMIFS(Tabla6[Nominal COP],Tabla6[Concepto],COSTO_OPORTUNIDAD!$B$18,Tabla6[Nemotécnico],COSTO_OPORTUNIDAD!E$16,Tabla6[Fecha Cumplimiento y/ liquidacion],COSTO_OPORTUNIDAD!$C154)/+SUMIFS(Tabla6[Nominal COP],Tabla6[Concepto],COSTO_OPORTUNIDAD!$B$18,Tabla6[Fecha Cumplimiento y/ liquidacion],COSTO_OPORTUNIDAD!$C154)</f>
        <v>#DIV/0!</v>
      </c>
      <c r="F154" s="263"/>
      <c r="G154" s="263"/>
      <c r="H154" s="263">
        <v>0.4</v>
      </c>
      <c r="I154" s="263"/>
      <c r="J154" s="263">
        <v>0</v>
      </c>
      <c r="K154" s="263">
        <v>0</v>
      </c>
      <c r="L154" s="263"/>
      <c r="M154" s="263">
        <v>0.2</v>
      </c>
      <c r="N154" s="263"/>
      <c r="O154" s="263"/>
      <c r="P154" s="263">
        <v>0</v>
      </c>
      <c r="Q154" s="263"/>
      <c r="R154" s="263">
        <v>0.4</v>
      </c>
      <c r="S154" s="263"/>
      <c r="T154" s="263">
        <v>0</v>
      </c>
      <c r="U154" s="263"/>
      <c r="V154" s="263">
        <v>0</v>
      </c>
      <c r="W154" s="263">
        <v>0</v>
      </c>
      <c r="X154" s="263">
        <v>0</v>
      </c>
      <c r="Y154" s="263"/>
      <c r="Z154" s="263">
        <v>0</v>
      </c>
      <c r="AA154" s="263">
        <v>0</v>
      </c>
      <c r="AB154" s="263">
        <v>0</v>
      </c>
      <c r="AC154" s="263"/>
      <c r="AD154" s="263">
        <v>0</v>
      </c>
      <c r="AE154" s="263"/>
      <c r="AF154" s="263"/>
      <c r="AG154" s="262"/>
      <c r="AH154" s="274">
        <f t="shared" si="130"/>
        <v>1016</v>
      </c>
      <c r="AI154" s="274">
        <f t="shared" si="131"/>
        <v>1450</v>
      </c>
      <c r="AJ154" s="274">
        <f t="shared" si="132"/>
        <v>1627</v>
      </c>
      <c r="AK154" s="274">
        <f t="shared" si="127"/>
        <v>2108</v>
      </c>
      <c r="AL154" s="274">
        <f t="shared" si="133"/>
        <v>2500</v>
      </c>
      <c r="AM154" s="274">
        <f t="shared" si="134"/>
        <v>2689</v>
      </c>
      <c r="AN154" s="274">
        <f t="shared" si="135"/>
        <v>3151</v>
      </c>
      <c r="AO154" s="274">
        <f t="shared" ref="AO154:AO185" si="168">(M$17-$B154)</f>
        <v>3375</v>
      </c>
      <c r="AP154" s="274">
        <f t="shared" si="136"/>
        <v>3991</v>
      </c>
      <c r="AQ154" s="274"/>
      <c r="AR154" s="274">
        <f t="shared" si="137"/>
        <v>4621</v>
      </c>
      <c r="AS154" s="274">
        <f t="shared" si="128"/>
        <v>6224</v>
      </c>
      <c r="AT154" s="274">
        <f t="shared" si="138"/>
        <v>6770</v>
      </c>
      <c r="AU154" s="274"/>
      <c r="AV154" s="274">
        <f t="shared" si="139"/>
        <v>9843</v>
      </c>
      <c r="AW154" s="274"/>
      <c r="AX154" s="274">
        <f t="shared" si="140"/>
        <v>540</v>
      </c>
      <c r="AY154" s="274">
        <f t="shared" si="141"/>
        <v>1219</v>
      </c>
      <c r="AZ154" s="274">
        <f t="shared" si="142"/>
        <v>1982</v>
      </c>
      <c r="BA154" s="274"/>
      <c r="BB154" s="274">
        <f t="shared" si="143"/>
        <v>3419</v>
      </c>
      <c r="BC154" s="274">
        <f t="shared" si="144"/>
        <v>4159</v>
      </c>
      <c r="BD154" s="274">
        <f t="shared" si="145"/>
        <v>4852</v>
      </c>
      <c r="BE154" s="274"/>
      <c r="BF154" s="274">
        <f t="shared" si="146"/>
        <v>9346</v>
      </c>
      <c r="BG154" s="274"/>
      <c r="BH154" s="274"/>
      <c r="BI154" s="266">
        <f t="shared" si="147"/>
        <v>0</v>
      </c>
      <c r="BJ154" s="266" t="e">
        <f t="shared" si="148"/>
        <v>#DIV/0!</v>
      </c>
      <c r="BK154" s="263" t="str">
        <f t="shared" si="149"/>
        <v/>
      </c>
      <c r="BL154" s="263" t="str">
        <f t="shared" si="150"/>
        <v/>
      </c>
      <c r="BM154" s="263" t="str">
        <f t="shared" si="151"/>
        <v/>
      </c>
      <c r="BN154" s="263"/>
      <c r="BO154" s="263" t="str">
        <f t="shared" si="152"/>
        <v/>
      </c>
      <c r="BP154" s="263" t="str">
        <f t="shared" si="153"/>
        <v/>
      </c>
      <c r="BQ154" s="263" t="str">
        <f t="shared" si="154"/>
        <v/>
      </c>
      <c r="BR154" s="263" t="str">
        <f t="shared" si="155"/>
        <v/>
      </c>
      <c r="BS154" s="263" t="str">
        <f t="shared" si="156"/>
        <v/>
      </c>
      <c r="BT154" s="263" t="str">
        <f t="shared" si="157"/>
        <v/>
      </c>
      <c r="BU154" s="263" t="str">
        <f t="shared" si="158"/>
        <v/>
      </c>
      <c r="BV154" s="263"/>
      <c r="BW154" s="263" t="str">
        <f t="shared" si="159"/>
        <v/>
      </c>
      <c r="BX154" s="263"/>
      <c r="BY154" s="263" t="str">
        <f t="shared" si="160"/>
        <v/>
      </c>
      <c r="BZ154" s="263"/>
      <c r="CA154" s="263" t="str">
        <f t="shared" si="112"/>
        <v/>
      </c>
      <c r="CB154" s="263" t="str">
        <f t="shared" si="161"/>
        <v/>
      </c>
      <c r="CC154" s="263" t="str">
        <f t="shared" si="113"/>
        <v/>
      </c>
      <c r="CD154" s="263" t="str">
        <f t="shared" si="162"/>
        <v/>
      </c>
      <c r="CE154" s="263" t="str">
        <f t="shared" si="167"/>
        <v/>
      </c>
      <c r="CF154" s="263" t="str">
        <f t="shared" si="114"/>
        <v/>
      </c>
      <c r="CG154" s="263" t="str">
        <f t="shared" si="115"/>
        <v/>
      </c>
      <c r="CH154" s="263"/>
      <c r="CI154" s="263" t="str">
        <f t="shared" si="163"/>
        <v/>
      </c>
      <c r="CJ154" s="263"/>
      <c r="CK154" s="263" t="str">
        <f t="shared" si="164"/>
        <v/>
      </c>
      <c r="CL154" s="264">
        <f t="shared" ref="CL154:CL185" si="169">ROUND(IFERROR((_xlfn.DAYS($F$17,B154)*BK154),0)+IFERROR((_xlfn.DAYS($G$17,B154)*BL154),0)+IFERROR((_xlfn.DAYS($H$17,B154)*BM154),0)+IFERROR((_xlfn.DAYS($J$17,B154)*BO154),0)+IFERROR((_xlfn.DAYS($K$17,B154)*BP154),0)+IFERROR((_xlfn.DAYS($L$17,B154)*BQ154),0)+IFERROR((_xlfn.DAYS($M$17,B154)*BR154),0)+IFERROR((_xlfn.DAYS($N$17,B154)*BS154),0)+IFERROR((_xlfn.DAYS($P$17,B154)*BU154),0)+IFERROR((_xlfn.DAYS($R$17,B154)*BW154),0)+IFERROR((_xlfn.DAYS($T$17,B154)*BY154),0),0)</f>
        <v>0</v>
      </c>
      <c r="CM154" s="264">
        <f t="shared" si="165"/>
        <v>0</v>
      </c>
      <c r="CO154" s="265">
        <v>0.10167</v>
      </c>
      <c r="CP154" s="265">
        <v>0.10249999999999999</v>
      </c>
      <c r="CQ154" s="265">
        <v>0.10349</v>
      </c>
      <c r="CS154" s="265">
        <v>0.10439999999999999</v>
      </c>
      <c r="CT154" s="265">
        <v>0.10808999999999999</v>
      </c>
      <c r="CU154" s="265">
        <v>0.1067</v>
      </c>
      <c r="CV154" s="265">
        <v>0.1076</v>
      </c>
      <c r="CW154" s="265">
        <v>0.10808999999999999</v>
      </c>
      <c r="CY154" s="265">
        <v>0.1085</v>
      </c>
      <c r="DA154" s="265">
        <v>0.1109</v>
      </c>
      <c r="DC154" s="265">
        <v>0.1099</v>
      </c>
      <c r="DE154" s="265">
        <v>4.3499999999999997E-2</v>
      </c>
      <c r="DF154" s="265">
        <v>4.4909999999999999E-2</v>
      </c>
      <c r="DH154" s="265">
        <v>4.5999999999999999E-2</v>
      </c>
      <c r="DI154" s="265">
        <v>4.7E-2</v>
      </c>
      <c r="DJ154" s="265">
        <v>4.8150000000000005E-2</v>
      </c>
      <c r="DL154" s="265">
        <v>4.58E-2</v>
      </c>
      <c r="DO154" s="264" t="e">
        <f t="shared" si="120"/>
        <v>#N/A</v>
      </c>
      <c r="DP154" s="264" t="e" cm="1">
        <f t="array" ref="DP154">+INDEX(AH154:AV154,MATCH(DO154,AH154:AV154,1)+1)</f>
        <v>#N/A</v>
      </c>
      <c r="DQ154" s="265" t="e">
        <f t="shared" si="121"/>
        <v>#N/A</v>
      </c>
      <c r="DR154" s="267" t="e">
        <f t="shared" si="122"/>
        <v>#N/A</v>
      </c>
      <c r="DS154" s="267" t="e">
        <f t="shared" si="123"/>
        <v>#N/A</v>
      </c>
      <c r="DT154" s="268" t="e">
        <f t="shared" si="124"/>
        <v>#N/A</v>
      </c>
      <c r="DU154" s="268" t="e" cm="1">
        <f t="array" ref="DU154">+INDEX(AX154:BF154,MATCH(DT154,AX154:BF154,1)+1)</f>
        <v>#N/A</v>
      </c>
      <c r="DV154" s="267" t="e">
        <f t="shared" si="104"/>
        <v>#N/A</v>
      </c>
      <c r="DW154" s="267" t="e">
        <f t="shared" si="125"/>
        <v>#N/A</v>
      </c>
      <c r="DX154" s="267" t="e">
        <f t="shared" si="126"/>
        <v>#N/A</v>
      </c>
      <c r="DY154" s="267">
        <f t="shared" si="166"/>
        <v>0.1048</v>
      </c>
      <c r="DZ154" s="205" t="e">
        <f t="shared" si="108"/>
        <v>#N/A</v>
      </c>
      <c r="EA154" s="205">
        <f t="shared" si="109"/>
        <v>0</v>
      </c>
    </row>
    <row r="155" spans="2:131">
      <c r="B155" s="272">
        <v>45245</v>
      </c>
      <c r="C155" s="271">
        <v>45245</v>
      </c>
      <c r="D155" s="263" t="e">
        <f>+SUMIFS(Tabla6[Nominal COP],Tabla6[Concepto],COSTO_OPORTUNIDAD!$B$18,Tabla6[Nemotécnico],COSTO_OPORTUNIDAD!D$16,Tabla6[Fecha Cumplimiento y/ liquidacion],COSTO_OPORTUNIDAD!$C155)/+SUMIFS(Tabla6[Nominal COP],Tabla6[Concepto],COSTO_OPORTUNIDAD!$B$18,Tabla6[Fecha Cumplimiento y/ liquidacion],COSTO_OPORTUNIDAD!$C155)</f>
        <v>#DIV/0!</v>
      </c>
      <c r="E155" s="263" t="e">
        <f>+SUMIFS(Tabla6[Nominal COP],Tabla6[Concepto],COSTO_OPORTUNIDAD!$B$18,Tabla6[Nemotécnico],COSTO_OPORTUNIDAD!E$16,Tabla6[Fecha Cumplimiento y/ liquidacion],COSTO_OPORTUNIDAD!$C155)/+SUMIFS(Tabla6[Nominal COP],Tabla6[Concepto],COSTO_OPORTUNIDAD!$B$18,Tabla6[Fecha Cumplimiento y/ liquidacion],COSTO_OPORTUNIDAD!$C155)</f>
        <v>#DIV/0!</v>
      </c>
      <c r="F155" s="263"/>
      <c r="G155" s="263"/>
      <c r="H155" s="263">
        <v>0.4</v>
      </c>
      <c r="I155" s="263"/>
      <c r="J155" s="263">
        <v>0</v>
      </c>
      <c r="K155" s="263">
        <v>0</v>
      </c>
      <c r="L155" s="263"/>
      <c r="M155" s="263">
        <v>0.2</v>
      </c>
      <c r="N155" s="263"/>
      <c r="O155" s="263"/>
      <c r="P155" s="263">
        <v>0</v>
      </c>
      <c r="Q155" s="263"/>
      <c r="R155" s="263">
        <v>0.4</v>
      </c>
      <c r="S155" s="263"/>
      <c r="T155" s="263">
        <v>0</v>
      </c>
      <c r="U155" s="263"/>
      <c r="V155" s="263">
        <v>0</v>
      </c>
      <c r="W155" s="263">
        <v>0</v>
      </c>
      <c r="X155" s="263">
        <v>0</v>
      </c>
      <c r="Y155" s="263"/>
      <c r="Z155" s="263">
        <v>0</v>
      </c>
      <c r="AA155" s="263">
        <v>0</v>
      </c>
      <c r="AB155" s="263">
        <v>0</v>
      </c>
      <c r="AC155" s="263"/>
      <c r="AD155" s="263">
        <v>0</v>
      </c>
      <c r="AE155" s="263"/>
      <c r="AF155" s="263"/>
      <c r="AG155" s="262"/>
      <c r="AH155" s="274">
        <f t="shared" si="130"/>
        <v>1015</v>
      </c>
      <c r="AI155" s="274">
        <f t="shared" si="131"/>
        <v>1449</v>
      </c>
      <c r="AJ155" s="274">
        <f t="shared" si="132"/>
        <v>1626</v>
      </c>
      <c r="AK155" s="274">
        <f t="shared" si="127"/>
        <v>2107</v>
      </c>
      <c r="AL155" s="274">
        <f t="shared" si="133"/>
        <v>2499</v>
      </c>
      <c r="AM155" s="274">
        <f t="shared" si="134"/>
        <v>2688</v>
      </c>
      <c r="AN155" s="274">
        <f t="shared" si="135"/>
        <v>3150</v>
      </c>
      <c r="AO155" s="274">
        <f t="shared" si="168"/>
        <v>3374</v>
      </c>
      <c r="AP155" s="274">
        <f t="shared" si="136"/>
        <v>3990</v>
      </c>
      <c r="AQ155" s="274"/>
      <c r="AR155" s="274">
        <f t="shared" si="137"/>
        <v>4620</v>
      </c>
      <c r="AS155" s="274">
        <f t="shared" si="128"/>
        <v>6223</v>
      </c>
      <c r="AT155" s="274">
        <f t="shared" si="138"/>
        <v>6769</v>
      </c>
      <c r="AU155" s="274"/>
      <c r="AV155" s="274">
        <f t="shared" si="139"/>
        <v>9842</v>
      </c>
      <c r="AW155" s="274"/>
      <c r="AX155" s="274">
        <f t="shared" si="140"/>
        <v>539</v>
      </c>
      <c r="AY155" s="274">
        <f t="shared" si="141"/>
        <v>1218</v>
      </c>
      <c r="AZ155" s="274">
        <f t="shared" si="142"/>
        <v>1981</v>
      </c>
      <c r="BA155" s="274"/>
      <c r="BB155" s="274">
        <f t="shared" si="143"/>
        <v>3418</v>
      </c>
      <c r="BC155" s="274">
        <f t="shared" si="144"/>
        <v>4158</v>
      </c>
      <c r="BD155" s="274">
        <f t="shared" si="145"/>
        <v>4851</v>
      </c>
      <c r="BE155" s="274"/>
      <c r="BF155" s="274">
        <f t="shared" si="146"/>
        <v>9345</v>
      </c>
      <c r="BG155" s="274"/>
      <c r="BH155" s="274"/>
      <c r="BI155" s="266">
        <f t="shared" si="147"/>
        <v>0</v>
      </c>
      <c r="BJ155" s="266" t="e">
        <f t="shared" si="148"/>
        <v>#DIV/0!</v>
      </c>
      <c r="BK155" s="263" t="str">
        <f t="shared" si="149"/>
        <v/>
      </c>
      <c r="BL155" s="263" t="str">
        <f t="shared" si="150"/>
        <v/>
      </c>
      <c r="BM155" s="263" t="str">
        <f t="shared" si="151"/>
        <v/>
      </c>
      <c r="BN155" s="263"/>
      <c r="BO155" s="263" t="str">
        <f t="shared" si="152"/>
        <v/>
      </c>
      <c r="BP155" s="263" t="str">
        <f t="shared" si="153"/>
        <v/>
      </c>
      <c r="BQ155" s="263" t="str">
        <f t="shared" si="154"/>
        <v/>
      </c>
      <c r="BR155" s="263" t="str">
        <f t="shared" si="155"/>
        <v/>
      </c>
      <c r="BS155" s="263" t="str">
        <f t="shared" si="156"/>
        <v/>
      </c>
      <c r="BT155" s="263" t="str">
        <f t="shared" si="157"/>
        <v/>
      </c>
      <c r="BU155" s="263" t="str">
        <f t="shared" si="158"/>
        <v/>
      </c>
      <c r="BV155" s="263"/>
      <c r="BW155" s="263" t="str">
        <f t="shared" si="159"/>
        <v/>
      </c>
      <c r="BX155" s="263"/>
      <c r="BY155" s="263" t="str">
        <f t="shared" si="160"/>
        <v/>
      </c>
      <c r="BZ155" s="263"/>
      <c r="CA155" s="263" t="str">
        <f t="shared" si="112"/>
        <v/>
      </c>
      <c r="CB155" s="263" t="str">
        <f t="shared" si="161"/>
        <v/>
      </c>
      <c r="CC155" s="263" t="str">
        <f t="shared" si="113"/>
        <v/>
      </c>
      <c r="CD155" s="263" t="str">
        <f t="shared" si="162"/>
        <v/>
      </c>
      <c r="CE155" s="263" t="str">
        <f t="shared" si="167"/>
        <v/>
      </c>
      <c r="CF155" s="263" t="str">
        <f t="shared" si="114"/>
        <v/>
      </c>
      <c r="CG155" s="263" t="str">
        <f t="shared" si="115"/>
        <v/>
      </c>
      <c r="CH155" s="263"/>
      <c r="CI155" s="263" t="str">
        <f t="shared" si="163"/>
        <v/>
      </c>
      <c r="CJ155" s="263"/>
      <c r="CK155" s="263" t="str">
        <f t="shared" si="164"/>
        <v/>
      </c>
      <c r="CL155" s="264">
        <f t="shared" si="169"/>
        <v>0</v>
      </c>
      <c r="CM155" s="264">
        <f t="shared" si="165"/>
        <v>0</v>
      </c>
      <c r="CO155" s="265">
        <v>0.10038999999999999</v>
      </c>
      <c r="CP155" s="265">
        <v>0.1018</v>
      </c>
      <c r="CQ155" s="265">
        <v>0.10210000000000001</v>
      </c>
      <c r="CS155" s="265">
        <v>0.10365000000000001</v>
      </c>
      <c r="CT155" s="265">
        <v>0.10808999999999999</v>
      </c>
      <c r="CU155" s="265">
        <v>0.106</v>
      </c>
      <c r="CV155" s="265">
        <v>0.10643000000000001</v>
      </c>
      <c r="CW155" s="265">
        <v>0.1065</v>
      </c>
      <c r="CY155" s="265">
        <v>0.1075</v>
      </c>
      <c r="DA155" s="265">
        <v>0.1099</v>
      </c>
      <c r="DC155" s="265">
        <v>0.10890000000000001</v>
      </c>
      <c r="DE155" s="265">
        <v>4.4649999999999995E-2</v>
      </c>
      <c r="DF155" s="265">
        <v>4.5469999999999997E-2</v>
      </c>
      <c r="DH155" s="265">
        <v>4.5830000000000003E-2</v>
      </c>
      <c r="DI155" s="265">
        <v>4.7400000000000005E-2</v>
      </c>
      <c r="DJ155" s="265">
        <v>4.7889999999999995E-2</v>
      </c>
      <c r="DL155" s="265">
        <v>4.6289999999999998E-2</v>
      </c>
      <c r="DO155" s="264" t="e">
        <f t="shared" si="120"/>
        <v>#N/A</v>
      </c>
      <c r="DP155" s="264" t="e" cm="1">
        <f t="array" ref="DP155">+INDEX(AH155:AV155,MATCH(DO155,AH155:AV155,1)+1)</f>
        <v>#N/A</v>
      </c>
      <c r="DQ155" s="265" t="e">
        <f t="shared" si="121"/>
        <v>#N/A</v>
      </c>
      <c r="DR155" s="267" t="e">
        <f t="shared" si="122"/>
        <v>#N/A</v>
      </c>
      <c r="DS155" s="267" t="e">
        <f t="shared" si="123"/>
        <v>#N/A</v>
      </c>
      <c r="DT155" s="268" t="e">
        <f t="shared" si="124"/>
        <v>#N/A</v>
      </c>
      <c r="DU155" s="268" t="e" cm="1">
        <f t="array" ref="DU155">+INDEX(AX155:BF155,MATCH(DT155,AX155:BF155,1)+1)</f>
        <v>#N/A</v>
      </c>
      <c r="DV155" s="267" t="e">
        <f t="shared" si="104"/>
        <v>#N/A</v>
      </c>
      <c r="DW155" s="267" t="e">
        <f t="shared" si="125"/>
        <v>#N/A</v>
      </c>
      <c r="DX155" s="267" t="e">
        <f t="shared" si="126"/>
        <v>#N/A</v>
      </c>
      <c r="DY155" s="267">
        <f t="shared" si="166"/>
        <v>0.1048</v>
      </c>
      <c r="DZ155" s="205" t="e">
        <f t="shared" si="108"/>
        <v>#N/A</v>
      </c>
      <c r="EA155" s="205">
        <f t="shared" si="109"/>
        <v>0</v>
      </c>
    </row>
    <row r="156" spans="2:131">
      <c r="B156" s="272">
        <v>45246</v>
      </c>
      <c r="C156" s="271">
        <v>45246</v>
      </c>
      <c r="D156" s="263" t="e">
        <f>+SUMIFS(Tabla6[Nominal COP],Tabla6[Concepto],COSTO_OPORTUNIDAD!$B$18,Tabla6[Nemotécnico],COSTO_OPORTUNIDAD!D$16,Tabla6[Fecha Cumplimiento y/ liquidacion],COSTO_OPORTUNIDAD!$C156)/+SUMIFS(Tabla6[Nominal COP],Tabla6[Concepto],COSTO_OPORTUNIDAD!$B$18,Tabla6[Fecha Cumplimiento y/ liquidacion],COSTO_OPORTUNIDAD!$C156)</f>
        <v>#DIV/0!</v>
      </c>
      <c r="E156" s="263" t="e">
        <f>+SUMIFS(Tabla6[Nominal COP],Tabla6[Concepto],COSTO_OPORTUNIDAD!$B$18,Tabla6[Nemotécnico],COSTO_OPORTUNIDAD!E$16,Tabla6[Fecha Cumplimiento y/ liquidacion],COSTO_OPORTUNIDAD!$C156)/+SUMIFS(Tabla6[Nominal COP],Tabla6[Concepto],COSTO_OPORTUNIDAD!$B$18,Tabla6[Fecha Cumplimiento y/ liquidacion],COSTO_OPORTUNIDAD!$C156)</f>
        <v>#DIV/0!</v>
      </c>
      <c r="F156" s="263"/>
      <c r="G156" s="263"/>
      <c r="H156" s="263">
        <v>0.52</v>
      </c>
      <c r="I156" s="263"/>
      <c r="J156" s="263">
        <v>0</v>
      </c>
      <c r="K156" s="263">
        <v>0</v>
      </c>
      <c r="L156" s="263"/>
      <c r="M156" s="263">
        <v>0.25</v>
      </c>
      <c r="N156" s="263"/>
      <c r="O156" s="263"/>
      <c r="P156" s="263">
        <v>0</v>
      </c>
      <c r="Q156" s="263"/>
      <c r="R156" s="263">
        <v>0.23</v>
      </c>
      <c r="S156" s="263"/>
      <c r="T156" s="263">
        <v>0</v>
      </c>
      <c r="U156" s="263"/>
      <c r="V156" s="263">
        <v>0</v>
      </c>
      <c r="W156" s="263">
        <v>0</v>
      </c>
      <c r="X156" s="263">
        <v>0</v>
      </c>
      <c r="Y156" s="263"/>
      <c r="Z156" s="263">
        <v>0</v>
      </c>
      <c r="AA156" s="263">
        <v>0</v>
      </c>
      <c r="AB156" s="263">
        <v>0</v>
      </c>
      <c r="AC156" s="263"/>
      <c r="AD156" s="263">
        <v>0</v>
      </c>
      <c r="AE156" s="263"/>
      <c r="AF156" s="263"/>
      <c r="AG156" s="262"/>
      <c r="AH156" s="274">
        <f t="shared" si="130"/>
        <v>1014</v>
      </c>
      <c r="AI156" s="274">
        <f t="shared" si="131"/>
        <v>1448</v>
      </c>
      <c r="AJ156" s="274">
        <f t="shared" si="132"/>
        <v>1625</v>
      </c>
      <c r="AK156" s="274">
        <f t="shared" si="127"/>
        <v>2106</v>
      </c>
      <c r="AL156" s="274">
        <f t="shared" si="133"/>
        <v>2498</v>
      </c>
      <c r="AM156" s="274">
        <f t="shared" si="134"/>
        <v>2687</v>
      </c>
      <c r="AN156" s="274">
        <f t="shared" si="135"/>
        <v>3149</v>
      </c>
      <c r="AO156" s="274">
        <f t="shared" si="168"/>
        <v>3373</v>
      </c>
      <c r="AP156" s="274">
        <f t="shared" si="136"/>
        <v>3989</v>
      </c>
      <c r="AQ156" s="274"/>
      <c r="AR156" s="274">
        <f t="shared" si="137"/>
        <v>4619</v>
      </c>
      <c r="AS156" s="274">
        <f t="shared" si="128"/>
        <v>6222</v>
      </c>
      <c r="AT156" s="274">
        <f t="shared" si="138"/>
        <v>6768</v>
      </c>
      <c r="AU156" s="274"/>
      <c r="AV156" s="274">
        <f t="shared" si="139"/>
        <v>9841</v>
      </c>
      <c r="AW156" s="274"/>
      <c r="AX156" s="274">
        <f t="shared" si="140"/>
        <v>538</v>
      </c>
      <c r="AY156" s="274">
        <f t="shared" si="141"/>
        <v>1217</v>
      </c>
      <c r="AZ156" s="274">
        <f t="shared" si="142"/>
        <v>1980</v>
      </c>
      <c r="BA156" s="274"/>
      <c r="BB156" s="274">
        <f t="shared" si="143"/>
        <v>3417</v>
      </c>
      <c r="BC156" s="274">
        <f t="shared" si="144"/>
        <v>4157</v>
      </c>
      <c r="BD156" s="274">
        <f t="shared" si="145"/>
        <v>4850</v>
      </c>
      <c r="BE156" s="274"/>
      <c r="BF156" s="274">
        <f t="shared" si="146"/>
        <v>9344</v>
      </c>
      <c r="BG156" s="274"/>
      <c r="BH156" s="274"/>
      <c r="BI156" s="266">
        <f t="shared" si="147"/>
        <v>0</v>
      </c>
      <c r="BJ156" s="266" t="e">
        <f t="shared" si="148"/>
        <v>#DIV/0!</v>
      </c>
      <c r="BK156" s="263" t="str">
        <f t="shared" si="149"/>
        <v/>
      </c>
      <c r="BL156" s="263" t="str">
        <f t="shared" si="150"/>
        <v/>
      </c>
      <c r="BM156" s="263" t="str">
        <f t="shared" si="151"/>
        <v/>
      </c>
      <c r="BN156" s="263"/>
      <c r="BO156" s="263" t="str">
        <f t="shared" si="152"/>
        <v/>
      </c>
      <c r="BP156" s="263" t="str">
        <f t="shared" si="153"/>
        <v/>
      </c>
      <c r="BQ156" s="263" t="str">
        <f t="shared" si="154"/>
        <v/>
      </c>
      <c r="BR156" s="263" t="str">
        <f t="shared" si="155"/>
        <v/>
      </c>
      <c r="BS156" s="263" t="str">
        <f t="shared" si="156"/>
        <v/>
      </c>
      <c r="BT156" s="263" t="str">
        <f t="shared" si="157"/>
        <v/>
      </c>
      <c r="BU156" s="263" t="str">
        <f t="shared" si="158"/>
        <v/>
      </c>
      <c r="BV156" s="263"/>
      <c r="BW156" s="263" t="str">
        <f t="shared" si="159"/>
        <v/>
      </c>
      <c r="BX156" s="263"/>
      <c r="BY156" s="263" t="str">
        <f t="shared" si="160"/>
        <v/>
      </c>
      <c r="BZ156" s="263"/>
      <c r="CA156" s="263" t="str">
        <f t="shared" si="112"/>
        <v/>
      </c>
      <c r="CB156" s="263" t="str">
        <f t="shared" si="161"/>
        <v/>
      </c>
      <c r="CC156" s="263" t="str">
        <f t="shared" si="113"/>
        <v/>
      </c>
      <c r="CD156" s="263" t="str">
        <f t="shared" si="162"/>
        <v/>
      </c>
      <c r="CE156" s="263" t="str">
        <f t="shared" si="167"/>
        <v/>
      </c>
      <c r="CF156" s="263" t="str">
        <f t="shared" si="114"/>
        <v/>
      </c>
      <c r="CG156" s="263" t="str">
        <f t="shared" si="115"/>
        <v/>
      </c>
      <c r="CH156" s="263"/>
      <c r="CI156" s="263" t="str">
        <f t="shared" si="163"/>
        <v/>
      </c>
      <c r="CJ156" s="263"/>
      <c r="CK156" s="263" t="str">
        <f t="shared" si="164"/>
        <v/>
      </c>
      <c r="CL156" s="264">
        <f t="shared" si="169"/>
        <v>0</v>
      </c>
      <c r="CM156" s="264">
        <f t="shared" si="165"/>
        <v>0</v>
      </c>
      <c r="CO156" s="265">
        <v>0.10060000000000001</v>
      </c>
      <c r="CP156" s="265">
        <v>0.10179000000000001</v>
      </c>
      <c r="CQ156" s="265">
        <v>0.10199999999999999</v>
      </c>
      <c r="CS156" s="265">
        <v>0.10368000000000001</v>
      </c>
      <c r="CT156" s="265">
        <v>0.10808999999999999</v>
      </c>
      <c r="CU156" s="265">
        <v>0.10571</v>
      </c>
      <c r="CV156" s="265">
        <v>0.10723000000000001</v>
      </c>
      <c r="CW156" s="265">
        <v>0.1066</v>
      </c>
      <c r="CY156" s="265">
        <v>0.10839</v>
      </c>
      <c r="DA156" s="265">
        <v>0.1108</v>
      </c>
      <c r="DC156" s="265">
        <v>0.11</v>
      </c>
      <c r="DE156" s="265">
        <v>4.4400000000000002E-2</v>
      </c>
      <c r="DF156" s="265">
        <v>4.5339999999999998E-2</v>
      </c>
      <c r="DH156" s="265">
        <v>4.5810000000000003E-2</v>
      </c>
      <c r="DI156" s="265">
        <v>4.6799999999999994E-2</v>
      </c>
      <c r="DJ156" s="265">
        <v>4.7500000000000001E-2</v>
      </c>
      <c r="DL156" s="265">
        <v>4.5769999999999998E-2</v>
      </c>
      <c r="DO156" s="264" t="e">
        <f t="shared" si="120"/>
        <v>#N/A</v>
      </c>
      <c r="DP156" s="264" t="e" cm="1">
        <f t="array" ref="DP156">+INDEX(AH156:AV156,MATCH(DO156,AH156:AV156,1)+1)</f>
        <v>#N/A</v>
      </c>
      <c r="DQ156" s="265" t="e">
        <f t="shared" si="121"/>
        <v>#N/A</v>
      </c>
      <c r="DR156" s="267" t="e">
        <f t="shared" si="122"/>
        <v>#N/A</v>
      </c>
      <c r="DS156" s="267" t="e">
        <f t="shared" si="123"/>
        <v>#N/A</v>
      </c>
      <c r="DT156" s="268" t="e">
        <f t="shared" si="124"/>
        <v>#N/A</v>
      </c>
      <c r="DU156" s="268" t="e" cm="1">
        <f t="array" ref="DU156">+INDEX(AX156:BF156,MATCH(DT156,AX156:BF156,1)+1)</f>
        <v>#N/A</v>
      </c>
      <c r="DV156" s="267" t="e">
        <f t="shared" si="104"/>
        <v>#N/A</v>
      </c>
      <c r="DW156" s="267" t="e">
        <f t="shared" si="125"/>
        <v>#N/A</v>
      </c>
      <c r="DX156" s="267" t="e">
        <f t="shared" si="126"/>
        <v>#N/A</v>
      </c>
      <c r="DY156" s="267">
        <f t="shared" si="166"/>
        <v>0.1048</v>
      </c>
      <c r="DZ156" s="205" t="e">
        <f t="shared" si="108"/>
        <v>#N/A</v>
      </c>
      <c r="EA156" s="205">
        <f t="shared" si="109"/>
        <v>0</v>
      </c>
    </row>
    <row r="157" spans="2:131">
      <c r="B157" s="272">
        <v>45252</v>
      </c>
      <c r="C157" s="271">
        <v>45252</v>
      </c>
      <c r="D157" s="263" t="e">
        <f>+SUMIFS(Tabla6[Nominal COP],Tabla6[Concepto],COSTO_OPORTUNIDAD!$B$18,Tabla6[Nemotécnico],COSTO_OPORTUNIDAD!D$16,Tabla6[Fecha Cumplimiento y/ liquidacion],COSTO_OPORTUNIDAD!$C157)/+SUMIFS(Tabla6[Nominal COP],Tabla6[Concepto],COSTO_OPORTUNIDAD!$B$18,Tabla6[Fecha Cumplimiento y/ liquidacion],COSTO_OPORTUNIDAD!$C157)</f>
        <v>#DIV/0!</v>
      </c>
      <c r="E157" s="263" t="e">
        <f>+SUMIFS(Tabla6[Nominal COP],Tabla6[Concepto],COSTO_OPORTUNIDAD!$B$18,Tabla6[Nemotécnico],COSTO_OPORTUNIDAD!E$16,Tabla6[Fecha Cumplimiento y/ liquidacion],COSTO_OPORTUNIDAD!$C157)/+SUMIFS(Tabla6[Nominal COP],Tabla6[Concepto],COSTO_OPORTUNIDAD!$B$18,Tabla6[Fecha Cumplimiento y/ liquidacion],COSTO_OPORTUNIDAD!$C157)</f>
        <v>#DIV/0!</v>
      </c>
      <c r="F157" s="263"/>
      <c r="G157" s="263"/>
      <c r="H157" s="263">
        <v>0.4</v>
      </c>
      <c r="I157" s="263"/>
      <c r="J157" s="263">
        <v>0</v>
      </c>
      <c r="K157" s="263">
        <v>0</v>
      </c>
      <c r="L157" s="263"/>
      <c r="M157" s="263">
        <v>0.2</v>
      </c>
      <c r="N157" s="263"/>
      <c r="O157" s="263"/>
      <c r="P157" s="263">
        <v>0</v>
      </c>
      <c r="Q157" s="263"/>
      <c r="R157" s="263">
        <v>0.4</v>
      </c>
      <c r="S157" s="263"/>
      <c r="T157" s="263">
        <v>0</v>
      </c>
      <c r="U157" s="263"/>
      <c r="V157" s="263">
        <v>0</v>
      </c>
      <c r="W157" s="263">
        <v>0</v>
      </c>
      <c r="X157" s="263">
        <v>0</v>
      </c>
      <c r="Y157" s="263"/>
      <c r="Z157" s="263">
        <v>0</v>
      </c>
      <c r="AA157" s="263">
        <v>0</v>
      </c>
      <c r="AB157" s="263">
        <v>0</v>
      </c>
      <c r="AC157" s="263"/>
      <c r="AD157" s="263">
        <v>0</v>
      </c>
      <c r="AE157" s="263"/>
      <c r="AF157" s="263"/>
      <c r="AG157" s="262"/>
      <c r="AH157" s="274">
        <f t="shared" si="130"/>
        <v>1008</v>
      </c>
      <c r="AI157" s="274">
        <f t="shared" si="131"/>
        <v>1442</v>
      </c>
      <c r="AJ157" s="274">
        <f t="shared" si="132"/>
        <v>1619</v>
      </c>
      <c r="AK157" s="274">
        <f t="shared" si="127"/>
        <v>2100</v>
      </c>
      <c r="AL157" s="274">
        <f t="shared" si="133"/>
        <v>2492</v>
      </c>
      <c r="AM157" s="274">
        <f t="shared" si="134"/>
        <v>2681</v>
      </c>
      <c r="AN157" s="274">
        <f t="shared" si="135"/>
        <v>3143</v>
      </c>
      <c r="AO157" s="274">
        <f t="shared" si="168"/>
        <v>3367</v>
      </c>
      <c r="AP157" s="274">
        <f t="shared" si="136"/>
        <v>3983</v>
      </c>
      <c r="AQ157" s="274"/>
      <c r="AR157" s="274">
        <f t="shared" si="137"/>
        <v>4613</v>
      </c>
      <c r="AS157" s="274">
        <f t="shared" si="128"/>
        <v>6216</v>
      </c>
      <c r="AT157" s="274">
        <f t="shared" si="138"/>
        <v>6762</v>
      </c>
      <c r="AU157" s="274"/>
      <c r="AV157" s="274">
        <f t="shared" si="139"/>
        <v>9835</v>
      </c>
      <c r="AW157" s="274"/>
      <c r="AX157" s="274">
        <f t="shared" si="140"/>
        <v>532</v>
      </c>
      <c r="AY157" s="274">
        <f t="shared" si="141"/>
        <v>1211</v>
      </c>
      <c r="AZ157" s="274">
        <f t="shared" si="142"/>
        <v>1974</v>
      </c>
      <c r="BA157" s="274"/>
      <c r="BB157" s="274">
        <f t="shared" si="143"/>
        <v>3411</v>
      </c>
      <c r="BC157" s="274">
        <f t="shared" si="144"/>
        <v>4151</v>
      </c>
      <c r="BD157" s="274">
        <f t="shared" si="145"/>
        <v>4844</v>
      </c>
      <c r="BE157" s="274"/>
      <c r="BF157" s="274">
        <f t="shared" si="146"/>
        <v>9338</v>
      </c>
      <c r="BG157" s="274"/>
      <c r="BH157" s="274"/>
      <c r="BI157" s="266">
        <f t="shared" si="147"/>
        <v>0</v>
      </c>
      <c r="BJ157" s="266" t="e">
        <f t="shared" si="148"/>
        <v>#DIV/0!</v>
      </c>
      <c r="BK157" s="263" t="str">
        <f t="shared" si="149"/>
        <v/>
      </c>
      <c r="BL157" s="263" t="str">
        <f t="shared" si="150"/>
        <v/>
      </c>
      <c r="BM157" s="263" t="str">
        <f t="shared" si="151"/>
        <v/>
      </c>
      <c r="BN157" s="263"/>
      <c r="BO157" s="263" t="str">
        <f t="shared" si="152"/>
        <v/>
      </c>
      <c r="BP157" s="263" t="str">
        <f t="shared" si="153"/>
        <v/>
      </c>
      <c r="BQ157" s="263" t="str">
        <f t="shared" si="154"/>
        <v/>
      </c>
      <c r="BR157" s="263" t="str">
        <f t="shared" si="155"/>
        <v/>
      </c>
      <c r="BS157" s="263" t="str">
        <f t="shared" si="156"/>
        <v/>
      </c>
      <c r="BT157" s="263" t="str">
        <f t="shared" si="157"/>
        <v/>
      </c>
      <c r="BU157" s="263" t="str">
        <f t="shared" si="158"/>
        <v/>
      </c>
      <c r="BV157" s="263"/>
      <c r="BW157" s="263" t="str">
        <f t="shared" si="159"/>
        <v/>
      </c>
      <c r="BX157" s="263"/>
      <c r="BY157" s="263" t="str">
        <f t="shared" si="160"/>
        <v/>
      </c>
      <c r="BZ157" s="263"/>
      <c r="CA157" s="263" t="str">
        <f t="shared" si="112"/>
        <v/>
      </c>
      <c r="CB157" s="263" t="str">
        <f t="shared" si="161"/>
        <v/>
      </c>
      <c r="CC157" s="263" t="str">
        <f t="shared" si="113"/>
        <v/>
      </c>
      <c r="CD157" s="263" t="str">
        <f t="shared" si="162"/>
        <v/>
      </c>
      <c r="CE157" s="263" t="str">
        <f t="shared" si="167"/>
        <v/>
      </c>
      <c r="CF157" s="263" t="str">
        <f t="shared" si="114"/>
        <v/>
      </c>
      <c r="CG157" s="263" t="str">
        <f t="shared" si="115"/>
        <v/>
      </c>
      <c r="CH157" s="263"/>
      <c r="CI157" s="263" t="str">
        <f t="shared" si="163"/>
        <v/>
      </c>
      <c r="CJ157" s="263"/>
      <c r="CK157" s="263" t="str">
        <f t="shared" si="164"/>
        <v/>
      </c>
      <c r="CL157" s="264">
        <f t="shared" si="169"/>
        <v>0</v>
      </c>
      <c r="CM157" s="264">
        <f t="shared" si="165"/>
        <v>0</v>
      </c>
      <c r="CO157" s="265">
        <v>9.9199999999999997E-2</v>
      </c>
      <c r="CP157" s="265">
        <v>0.1</v>
      </c>
      <c r="CQ157" s="265">
        <v>0.10039999999999999</v>
      </c>
      <c r="CS157" s="265">
        <v>0.10198</v>
      </c>
      <c r="CT157" s="265">
        <v>0.10392</v>
      </c>
      <c r="CU157" s="265">
        <v>0.1057</v>
      </c>
      <c r="CV157" s="265">
        <v>0.1072</v>
      </c>
      <c r="CW157" s="265">
        <v>0.10698000000000001</v>
      </c>
      <c r="CY157" s="265">
        <v>0.10830000000000001</v>
      </c>
      <c r="DA157" s="265">
        <v>0.11</v>
      </c>
      <c r="DC157" s="265">
        <v>0.10890000000000001</v>
      </c>
      <c r="DE157" s="265">
        <v>4.2999999999999997E-2</v>
      </c>
      <c r="DF157" s="265">
        <v>4.4299999999999999E-2</v>
      </c>
      <c r="DH157" s="265">
        <v>4.5999999999999999E-2</v>
      </c>
      <c r="DI157" s="265">
        <v>4.7500000000000001E-2</v>
      </c>
      <c r="DJ157" s="265">
        <v>4.7400000000000005E-2</v>
      </c>
      <c r="DL157" s="265">
        <v>4.5720000000000004E-2</v>
      </c>
      <c r="DO157" s="264" t="e">
        <f t="shared" si="120"/>
        <v>#N/A</v>
      </c>
      <c r="DP157" s="264" t="e" cm="1">
        <f t="array" ref="DP157">+INDEX(AH157:AV157,MATCH(DO157,AH157:AV157,1)+1)</f>
        <v>#N/A</v>
      </c>
      <c r="DQ157" s="265" t="e">
        <f t="shared" si="121"/>
        <v>#N/A</v>
      </c>
      <c r="DR157" s="267" t="e">
        <f t="shared" si="122"/>
        <v>#N/A</v>
      </c>
      <c r="DS157" s="267" t="e">
        <f t="shared" si="123"/>
        <v>#N/A</v>
      </c>
      <c r="DT157" s="268" t="e">
        <f t="shared" si="124"/>
        <v>#N/A</v>
      </c>
      <c r="DU157" s="268" t="e" cm="1">
        <f t="array" ref="DU157">+INDEX(AX157:BF157,MATCH(DT157,AX157:BF157,1)+1)</f>
        <v>#N/A</v>
      </c>
      <c r="DV157" s="267" t="e">
        <f t="shared" si="104"/>
        <v>#N/A</v>
      </c>
      <c r="DW157" s="267" t="e">
        <f t="shared" si="125"/>
        <v>#N/A</v>
      </c>
      <c r="DX157" s="267" t="e">
        <f t="shared" si="126"/>
        <v>#N/A</v>
      </c>
      <c r="DY157" s="267">
        <f t="shared" si="166"/>
        <v>0.1048</v>
      </c>
      <c r="DZ157" s="205" t="e">
        <f t="shared" si="108"/>
        <v>#N/A</v>
      </c>
      <c r="EA157" s="205">
        <f t="shared" si="109"/>
        <v>0</v>
      </c>
    </row>
    <row r="158" spans="2:131">
      <c r="B158" s="272">
        <v>45258</v>
      </c>
      <c r="C158" s="271">
        <v>45258</v>
      </c>
      <c r="D158" s="263" t="e">
        <f>+SUMIFS(Tabla6[Nominal COP],Tabla6[Concepto],COSTO_OPORTUNIDAD!$B$18,Tabla6[Nemotécnico],COSTO_OPORTUNIDAD!D$16,Tabla6[Fecha Cumplimiento y/ liquidacion],COSTO_OPORTUNIDAD!$C158)/+SUMIFS(Tabla6[Nominal COP],Tabla6[Concepto],COSTO_OPORTUNIDAD!$B$18,Tabla6[Fecha Cumplimiento y/ liquidacion],COSTO_OPORTUNIDAD!$C158)</f>
        <v>#DIV/0!</v>
      </c>
      <c r="E158" s="263" t="e">
        <f>+SUMIFS(Tabla6[Nominal COP],Tabla6[Concepto],COSTO_OPORTUNIDAD!$B$18,Tabla6[Nemotécnico],COSTO_OPORTUNIDAD!E$16,Tabla6[Fecha Cumplimiento y/ liquidacion],COSTO_OPORTUNIDAD!$C158)/+SUMIFS(Tabla6[Nominal COP],Tabla6[Concepto],COSTO_OPORTUNIDAD!$B$18,Tabla6[Fecha Cumplimiento y/ liquidacion],COSTO_OPORTUNIDAD!$C158)</f>
        <v>#DIV/0!</v>
      </c>
      <c r="F158" s="263"/>
      <c r="G158" s="263"/>
      <c r="H158" s="263">
        <v>0</v>
      </c>
      <c r="I158" s="263"/>
      <c r="J158" s="263">
        <v>0</v>
      </c>
      <c r="K158" s="263">
        <v>0</v>
      </c>
      <c r="L158" s="263"/>
      <c r="M158" s="263">
        <v>0.30371567043618741</v>
      </c>
      <c r="N158" s="263"/>
      <c r="O158" s="263"/>
      <c r="P158" s="263">
        <v>0</v>
      </c>
      <c r="Q158" s="263"/>
      <c r="R158" s="263">
        <v>0.69628432956381259</v>
      </c>
      <c r="S158" s="263"/>
      <c r="T158" s="263">
        <v>0</v>
      </c>
      <c r="U158" s="263"/>
      <c r="V158" s="263">
        <v>0</v>
      </c>
      <c r="W158" s="263">
        <v>0</v>
      </c>
      <c r="X158" s="263">
        <v>0</v>
      </c>
      <c r="Y158" s="263"/>
      <c r="Z158" s="263">
        <v>0</v>
      </c>
      <c r="AA158" s="263">
        <v>0</v>
      </c>
      <c r="AB158" s="263">
        <v>0</v>
      </c>
      <c r="AC158" s="263"/>
      <c r="AD158" s="263">
        <v>0</v>
      </c>
      <c r="AE158" s="263"/>
      <c r="AF158" s="263"/>
      <c r="AG158" s="262"/>
      <c r="AH158" s="274">
        <f t="shared" si="130"/>
        <v>1002</v>
      </c>
      <c r="AI158" s="274">
        <f t="shared" si="131"/>
        <v>1436</v>
      </c>
      <c r="AJ158" s="274">
        <f t="shared" si="132"/>
        <v>1613</v>
      </c>
      <c r="AK158" s="274">
        <f t="shared" si="127"/>
        <v>2094</v>
      </c>
      <c r="AL158" s="274">
        <f t="shared" si="133"/>
        <v>2486</v>
      </c>
      <c r="AM158" s="274">
        <f t="shared" si="134"/>
        <v>2675</v>
      </c>
      <c r="AN158" s="274">
        <f t="shared" si="135"/>
        <v>3137</v>
      </c>
      <c r="AO158" s="274">
        <f t="shared" si="168"/>
        <v>3361</v>
      </c>
      <c r="AP158" s="274">
        <f t="shared" si="136"/>
        <v>3977</v>
      </c>
      <c r="AQ158" s="274"/>
      <c r="AR158" s="274">
        <f t="shared" si="137"/>
        <v>4607</v>
      </c>
      <c r="AS158" s="274">
        <f t="shared" si="128"/>
        <v>6210</v>
      </c>
      <c r="AT158" s="274">
        <f t="shared" si="138"/>
        <v>6756</v>
      </c>
      <c r="AU158" s="274"/>
      <c r="AV158" s="274">
        <f t="shared" si="139"/>
        <v>9829</v>
      </c>
      <c r="AW158" s="274"/>
      <c r="AX158" s="274">
        <f t="shared" si="140"/>
        <v>526</v>
      </c>
      <c r="AY158" s="274">
        <f t="shared" si="141"/>
        <v>1205</v>
      </c>
      <c r="AZ158" s="274">
        <f t="shared" si="142"/>
        <v>1968</v>
      </c>
      <c r="BA158" s="274"/>
      <c r="BB158" s="274">
        <f t="shared" si="143"/>
        <v>3405</v>
      </c>
      <c r="BC158" s="274">
        <f t="shared" si="144"/>
        <v>4145</v>
      </c>
      <c r="BD158" s="274">
        <f t="shared" si="145"/>
        <v>4838</v>
      </c>
      <c r="BE158" s="274"/>
      <c r="BF158" s="274">
        <f t="shared" si="146"/>
        <v>9332</v>
      </c>
      <c r="BG158" s="274"/>
      <c r="BH158" s="274"/>
      <c r="BI158" s="266">
        <f t="shared" si="147"/>
        <v>0</v>
      </c>
      <c r="BJ158" s="266" t="e">
        <f t="shared" si="148"/>
        <v>#DIV/0!</v>
      </c>
      <c r="BK158" s="263" t="str">
        <f t="shared" si="149"/>
        <v/>
      </c>
      <c r="BL158" s="263" t="str">
        <f t="shared" si="150"/>
        <v/>
      </c>
      <c r="BM158" s="263" t="str">
        <f t="shared" si="151"/>
        <v/>
      </c>
      <c r="BN158" s="263"/>
      <c r="BO158" s="263" t="str">
        <f t="shared" si="152"/>
        <v/>
      </c>
      <c r="BP158" s="263" t="str">
        <f t="shared" si="153"/>
        <v/>
      </c>
      <c r="BQ158" s="263" t="str">
        <f t="shared" si="154"/>
        <v/>
      </c>
      <c r="BR158" s="263" t="str">
        <f t="shared" si="155"/>
        <v/>
      </c>
      <c r="BS158" s="263" t="str">
        <f t="shared" si="156"/>
        <v/>
      </c>
      <c r="BT158" s="263" t="str">
        <f t="shared" si="157"/>
        <v/>
      </c>
      <c r="BU158" s="263" t="str">
        <f t="shared" si="158"/>
        <v/>
      </c>
      <c r="BV158" s="263"/>
      <c r="BW158" s="263" t="str">
        <f t="shared" si="159"/>
        <v/>
      </c>
      <c r="BX158" s="263"/>
      <c r="BY158" s="263" t="str">
        <f t="shared" si="160"/>
        <v/>
      </c>
      <c r="BZ158" s="263"/>
      <c r="CA158" s="263" t="str">
        <f t="shared" si="112"/>
        <v/>
      </c>
      <c r="CB158" s="263" t="str">
        <f t="shared" si="161"/>
        <v/>
      </c>
      <c r="CC158" s="263" t="str">
        <f t="shared" si="113"/>
        <v/>
      </c>
      <c r="CD158" s="263" t="str">
        <f t="shared" si="162"/>
        <v/>
      </c>
      <c r="CE158" s="263" t="str">
        <f t="shared" si="167"/>
        <v/>
      </c>
      <c r="CF158" s="263" t="str">
        <f t="shared" si="114"/>
        <v/>
      </c>
      <c r="CG158" s="263" t="str">
        <f t="shared" si="115"/>
        <v/>
      </c>
      <c r="CH158" s="263"/>
      <c r="CI158" s="263" t="str">
        <f t="shared" si="163"/>
        <v/>
      </c>
      <c r="CJ158" s="263"/>
      <c r="CK158" s="263" t="str">
        <f t="shared" si="164"/>
        <v/>
      </c>
      <c r="CL158" s="264">
        <f t="shared" si="169"/>
        <v>0</v>
      </c>
      <c r="CM158" s="264">
        <f t="shared" si="165"/>
        <v>0</v>
      </c>
      <c r="CO158" s="265">
        <v>9.8699999999999996E-2</v>
      </c>
      <c r="CP158" s="265">
        <v>9.9600000000000008E-2</v>
      </c>
      <c r="CQ158" s="265">
        <v>9.9600000000000008E-2</v>
      </c>
      <c r="CS158" s="265">
        <v>0.1013</v>
      </c>
      <c r="CT158" s="265">
        <v>0.1045</v>
      </c>
      <c r="CU158" s="265">
        <v>0.10543</v>
      </c>
      <c r="CV158" s="265">
        <v>0.10715</v>
      </c>
      <c r="CW158" s="265">
        <v>0.10765000000000001</v>
      </c>
      <c r="CY158" s="265">
        <v>0.10830000000000001</v>
      </c>
      <c r="DA158" s="265">
        <v>0.11080999999999999</v>
      </c>
      <c r="DC158" s="265">
        <v>0.10975</v>
      </c>
      <c r="DE158" s="265">
        <v>4.2950000000000002E-2</v>
      </c>
      <c r="DF158" s="265">
        <v>4.3899999999999995E-2</v>
      </c>
      <c r="DH158" s="265">
        <v>4.5560000000000003E-2</v>
      </c>
      <c r="DI158" s="265">
        <v>4.6649999999999997E-2</v>
      </c>
      <c r="DJ158" s="265">
        <v>4.7300000000000002E-2</v>
      </c>
      <c r="DL158" s="265">
        <v>4.5850000000000002E-2</v>
      </c>
      <c r="DO158" s="264" t="e">
        <f t="shared" si="120"/>
        <v>#N/A</v>
      </c>
      <c r="DP158" s="264" t="e" cm="1">
        <f t="array" ref="DP158">+INDEX(AH158:AV158,MATCH(DO158,AH158:AV158,1)+1)</f>
        <v>#N/A</v>
      </c>
      <c r="DQ158" s="265" t="e">
        <f t="shared" si="121"/>
        <v>#N/A</v>
      </c>
      <c r="DR158" s="267" t="e">
        <f t="shared" si="122"/>
        <v>#N/A</v>
      </c>
      <c r="DS158" s="267" t="e">
        <f t="shared" si="123"/>
        <v>#N/A</v>
      </c>
      <c r="DT158" s="268" t="e">
        <f t="shared" si="124"/>
        <v>#N/A</v>
      </c>
      <c r="DU158" s="268" t="e" cm="1">
        <f t="array" ref="DU158">+INDEX(AX158:BF158,MATCH(DT158,AX158:BF158,1)+1)</f>
        <v>#N/A</v>
      </c>
      <c r="DV158" s="267" t="e">
        <f t="shared" si="104"/>
        <v>#N/A</v>
      </c>
      <c r="DW158" s="267" t="e">
        <f t="shared" si="125"/>
        <v>#N/A</v>
      </c>
      <c r="DX158" s="267" t="e">
        <f t="shared" si="126"/>
        <v>#N/A</v>
      </c>
      <c r="DY158" s="267">
        <f t="shared" si="166"/>
        <v>0.1048</v>
      </c>
      <c r="DZ158" s="205" t="e">
        <f t="shared" si="108"/>
        <v>#N/A</v>
      </c>
      <c r="EA158" s="205">
        <f t="shared" si="109"/>
        <v>0</v>
      </c>
    </row>
    <row r="159" spans="2:131">
      <c r="B159" s="272">
        <v>45259</v>
      </c>
      <c r="C159" s="271">
        <v>45259</v>
      </c>
      <c r="D159" s="263" t="e">
        <f>+SUMIFS(Tabla6[Nominal COP],Tabla6[Concepto],COSTO_OPORTUNIDAD!$B$18,Tabla6[Nemotécnico],COSTO_OPORTUNIDAD!D$16,Tabla6[Fecha Cumplimiento y/ liquidacion],COSTO_OPORTUNIDAD!$C159)/+SUMIFS(Tabla6[Nominal COP],Tabla6[Concepto],COSTO_OPORTUNIDAD!$B$18,Tabla6[Fecha Cumplimiento y/ liquidacion],COSTO_OPORTUNIDAD!$C159)</f>
        <v>#DIV/0!</v>
      </c>
      <c r="E159" s="263" t="e">
        <f>+SUMIFS(Tabla6[Nominal COP],Tabla6[Concepto],COSTO_OPORTUNIDAD!$B$18,Tabla6[Nemotécnico],COSTO_OPORTUNIDAD!E$16,Tabla6[Fecha Cumplimiento y/ liquidacion],COSTO_OPORTUNIDAD!$C159)/+SUMIFS(Tabla6[Nominal COP],Tabla6[Concepto],COSTO_OPORTUNIDAD!$B$18,Tabla6[Fecha Cumplimiento y/ liquidacion],COSTO_OPORTUNIDAD!$C159)</f>
        <v>#DIV/0!</v>
      </c>
      <c r="F159" s="263"/>
      <c r="G159" s="263"/>
      <c r="H159" s="263">
        <v>6.6666666666666666E-2</v>
      </c>
      <c r="I159" s="263"/>
      <c r="J159" s="263">
        <v>0</v>
      </c>
      <c r="K159" s="263">
        <v>0</v>
      </c>
      <c r="L159" s="263"/>
      <c r="M159" s="263">
        <v>0.36666666666666664</v>
      </c>
      <c r="N159" s="263"/>
      <c r="O159" s="263"/>
      <c r="P159" s="263">
        <v>0</v>
      </c>
      <c r="Q159" s="263"/>
      <c r="R159" s="263">
        <v>0.56666666666666665</v>
      </c>
      <c r="S159" s="263"/>
      <c r="T159" s="263">
        <v>0</v>
      </c>
      <c r="U159" s="263"/>
      <c r="V159" s="263">
        <v>0</v>
      </c>
      <c r="W159" s="263">
        <v>0</v>
      </c>
      <c r="X159" s="263">
        <v>0</v>
      </c>
      <c r="Y159" s="263"/>
      <c r="Z159" s="263">
        <v>0</v>
      </c>
      <c r="AA159" s="263">
        <v>0</v>
      </c>
      <c r="AB159" s="263">
        <v>0</v>
      </c>
      <c r="AC159" s="263"/>
      <c r="AD159" s="263">
        <v>0</v>
      </c>
      <c r="AE159" s="263"/>
      <c r="AF159" s="263"/>
      <c r="AG159" s="262"/>
      <c r="AH159" s="274">
        <f t="shared" si="130"/>
        <v>1001</v>
      </c>
      <c r="AI159" s="274">
        <f t="shared" si="131"/>
        <v>1435</v>
      </c>
      <c r="AJ159" s="274">
        <f t="shared" si="132"/>
        <v>1612</v>
      </c>
      <c r="AK159" s="274">
        <f t="shared" si="127"/>
        <v>2093</v>
      </c>
      <c r="AL159" s="274">
        <f t="shared" si="133"/>
        <v>2485</v>
      </c>
      <c r="AM159" s="274">
        <f t="shared" si="134"/>
        <v>2674</v>
      </c>
      <c r="AN159" s="274">
        <f t="shared" si="135"/>
        <v>3136</v>
      </c>
      <c r="AO159" s="274">
        <f t="shared" si="168"/>
        <v>3360</v>
      </c>
      <c r="AP159" s="274">
        <f t="shared" si="136"/>
        <v>3976</v>
      </c>
      <c r="AQ159" s="274"/>
      <c r="AR159" s="274">
        <f t="shared" si="137"/>
        <v>4606</v>
      </c>
      <c r="AS159" s="274">
        <f t="shared" si="128"/>
        <v>6209</v>
      </c>
      <c r="AT159" s="274">
        <f t="shared" si="138"/>
        <v>6755</v>
      </c>
      <c r="AU159" s="274"/>
      <c r="AV159" s="274">
        <f t="shared" si="139"/>
        <v>9828</v>
      </c>
      <c r="AW159" s="274"/>
      <c r="AX159" s="274">
        <f t="shared" si="140"/>
        <v>525</v>
      </c>
      <c r="AY159" s="274">
        <f t="shared" si="141"/>
        <v>1204</v>
      </c>
      <c r="AZ159" s="274">
        <f t="shared" si="142"/>
        <v>1967</v>
      </c>
      <c r="BA159" s="274"/>
      <c r="BB159" s="274">
        <f t="shared" si="143"/>
        <v>3404</v>
      </c>
      <c r="BC159" s="274">
        <f t="shared" si="144"/>
        <v>4144</v>
      </c>
      <c r="BD159" s="274">
        <f t="shared" si="145"/>
        <v>4837</v>
      </c>
      <c r="BE159" s="274"/>
      <c r="BF159" s="274">
        <f t="shared" si="146"/>
        <v>9331</v>
      </c>
      <c r="BG159" s="274"/>
      <c r="BH159" s="274"/>
      <c r="BI159" s="266">
        <f t="shared" si="147"/>
        <v>0</v>
      </c>
      <c r="BJ159" s="266" t="e">
        <f t="shared" si="148"/>
        <v>#DIV/0!</v>
      </c>
      <c r="BK159" s="263" t="str">
        <f t="shared" si="149"/>
        <v/>
      </c>
      <c r="BL159" s="263" t="str">
        <f t="shared" si="150"/>
        <v/>
      </c>
      <c r="BM159" s="263" t="str">
        <f t="shared" si="151"/>
        <v/>
      </c>
      <c r="BN159" s="263"/>
      <c r="BO159" s="263" t="str">
        <f t="shared" si="152"/>
        <v/>
      </c>
      <c r="BP159" s="263" t="str">
        <f t="shared" si="153"/>
        <v/>
      </c>
      <c r="BQ159" s="263" t="str">
        <f t="shared" si="154"/>
        <v/>
      </c>
      <c r="BR159" s="263" t="str">
        <f t="shared" si="155"/>
        <v/>
      </c>
      <c r="BS159" s="263" t="str">
        <f t="shared" si="156"/>
        <v/>
      </c>
      <c r="BT159" s="263" t="str">
        <f t="shared" si="157"/>
        <v/>
      </c>
      <c r="BU159" s="263" t="str">
        <f t="shared" si="158"/>
        <v/>
      </c>
      <c r="BV159" s="263"/>
      <c r="BW159" s="263" t="str">
        <f t="shared" si="159"/>
        <v/>
      </c>
      <c r="BX159" s="263"/>
      <c r="BY159" s="263" t="str">
        <f t="shared" si="160"/>
        <v/>
      </c>
      <c r="BZ159" s="263"/>
      <c r="CA159" s="263" t="str">
        <f t="shared" si="112"/>
        <v/>
      </c>
      <c r="CB159" s="263" t="str">
        <f t="shared" si="161"/>
        <v/>
      </c>
      <c r="CC159" s="263" t="str">
        <f t="shared" si="113"/>
        <v/>
      </c>
      <c r="CD159" s="263" t="str">
        <f t="shared" si="162"/>
        <v/>
      </c>
      <c r="CE159" s="263" t="str">
        <f t="shared" si="167"/>
        <v/>
      </c>
      <c r="CF159" s="263" t="str">
        <f t="shared" si="114"/>
        <v/>
      </c>
      <c r="CG159" s="263" t="str">
        <f t="shared" si="115"/>
        <v/>
      </c>
      <c r="CH159" s="263"/>
      <c r="CI159" s="263" t="str">
        <f t="shared" si="163"/>
        <v/>
      </c>
      <c r="CJ159" s="263"/>
      <c r="CK159" s="263" t="str">
        <f t="shared" si="164"/>
        <v/>
      </c>
      <c r="CL159" s="264">
        <f t="shared" si="169"/>
        <v>0</v>
      </c>
      <c r="CM159" s="264">
        <f t="shared" si="165"/>
        <v>0</v>
      </c>
      <c r="CO159" s="265">
        <v>9.826E-2</v>
      </c>
      <c r="CP159" s="265">
        <v>9.8949999999999996E-2</v>
      </c>
      <c r="CQ159" s="265">
        <v>9.8989999999999995E-2</v>
      </c>
      <c r="CS159" s="265">
        <v>0.10099999999999999</v>
      </c>
      <c r="CT159" s="265">
        <v>0.1045</v>
      </c>
      <c r="CU159" s="265">
        <v>0.10526999999999999</v>
      </c>
      <c r="CV159" s="265">
        <v>0.10676000000000001</v>
      </c>
      <c r="CW159" s="265">
        <v>0.10715999999999999</v>
      </c>
      <c r="CY159" s="265">
        <v>0.10779999999999999</v>
      </c>
      <c r="DA159" s="265">
        <v>0.1103</v>
      </c>
      <c r="DC159" s="265">
        <v>0.10869999999999999</v>
      </c>
      <c r="DE159" s="265">
        <v>4.2249999999999996E-2</v>
      </c>
      <c r="DF159" s="265">
        <v>4.3419999999999993E-2</v>
      </c>
      <c r="DH159" s="265">
        <v>4.5560000000000003E-2</v>
      </c>
      <c r="DI159" s="265">
        <v>4.6679999999999999E-2</v>
      </c>
      <c r="DJ159" s="265">
        <v>4.7400000000000005E-2</v>
      </c>
      <c r="DL159" s="265">
        <v>4.5659999999999999E-2</v>
      </c>
      <c r="DO159" s="264" t="e">
        <f t="shared" si="120"/>
        <v>#N/A</v>
      </c>
      <c r="DP159" s="264" t="e" cm="1">
        <f t="array" ref="DP159">+INDEX(AH159:AV159,MATCH(DO159,AH159:AV159,1)+1)</f>
        <v>#N/A</v>
      </c>
      <c r="DQ159" s="265" t="e">
        <f t="shared" si="121"/>
        <v>#N/A</v>
      </c>
      <c r="DR159" s="267" t="e">
        <f t="shared" si="122"/>
        <v>#N/A</v>
      </c>
      <c r="DS159" s="267" t="e">
        <f t="shared" si="123"/>
        <v>#N/A</v>
      </c>
      <c r="DT159" s="268" t="e">
        <f t="shared" si="124"/>
        <v>#N/A</v>
      </c>
      <c r="DU159" s="268" t="e" cm="1">
        <f t="array" ref="DU159">+INDEX(AX159:BF159,MATCH(DT159,AX159:BF159,1)+1)</f>
        <v>#N/A</v>
      </c>
      <c r="DV159" s="267" t="e">
        <f t="shared" si="104"/>
        <v>#N/A</v>
      </c>
      <c r="DW159" s="267" t="e">
        <f t="shared" si="125"/>
        <v>#N/A</v>
      </c>
      <c r="DX159" s="267" t="e">
        <f t="shared" si="126"/>
        <v>#N/A</v>
      </c>
      <c r="DY159" s="267">
        <f t="shared" si="166"/>
        <v>0.1048</v>
      </c>
      <c r="DZ159" s="205" t="e">
        <f t="shared" si="108"/>
        <v>#N/A</v>
      </c>
      <c r="EA159" s="205">
        <f t="shared" si="109"/>
        <v>0</v>
      </c>
    </row>
    <row r="160" spans="2:131">
      <c r="B160" s="272">
        <v>45264</v>
      </c>
      <c r="C160" s="271">
        <v>45264</v>
      </c>
      <c r="D160" s="263" t="e">
        <f>+SUMIFS(Tabla6[Nominal COP],Tabla6[Concepto],COSTO_OPORTUNIDAD!$B$18,Tabla6[Nemotécnico],COSTO_OPORTUNIDAD!D$16,Tabla6[Fecha Cumplimiento y/ liquidacion],COSTO_OPORTUNIDAD!$C160)/+SUMIFS(Tabla6[Nominal COP],Tabla6[Concepto],COSTO_OPORTUNIDAD!$B$18,Tabla6[Fecha Cumplimiento y/ liquidacion],COSTO_OPORTUNIDAD!$C160)</f>
        <v>#DIV/0!</v>
      </c>
      <c r="E160" s="263" t="e">
        <f>+SUMIFS(Tabla6[Nominal COP],Tabla6[Concepto],COSTO_OPORTUNIDAD!$B$18,Tabla6[Nemotécnico],COSTO_OPORTUNIDAD!E$16,Tabla6[Fecha Cumplimiento y/ liquidacion],COSTO_OPORTUNIDAD!$C160)/+SUMIFS(Tabla6[Nominal COP],Tabla6[Concepto],COSTO_OPORTUNIDAD!$B$18,Tabla6[Fecha Cumplimiento y/ liquidacion],COSTO_OPORTUNIDAD!$C160)</f>
        <v>#DIV/0!</v>
      </c>
      <c r="F160" s="263"/>
      <c r="G160" s="263"/>
      <c r="H160" s="263">
        <v>0.3</v>
      </c>
      <c r="I160" s="263"/>
      <c r="J160" s="263">
        <v>0</v>
      </c>
      <c r="K160" s="263">
        <v>0</v>
      </c>
      <c r="L160" s="263"/>
      <c r="M160" s="263">
        <v>0.3</v>
      </c>
      <c r="N160" s="263"/>
      <c r="O160" s="263"/>
      <c r="P160" s="263">
        <v>0</v>
      </c>
      <c r="Q160" s="263"/>
      <c r="R160" s="263">
        <v>0.4</v>
      </c>
      <c r="S160" s="263"/>
      <c r="T160" s="263">
        <v>0</v>
      </c>
      <c r="U160" s="263"/>
      <c r="V160" s="263">
        <v>0</v>
      </c>
      <c r="W160" s="263">
        <v>0</v>
      </c>
      <c r="X160" s="263">
        <v>0</v>
      </c>
      <c r="Y160" s="263"/>
      <c r="Z160" s="263">
        <v>0</v>
      </c>
      <c r="AA160" s="263">
        <v>0</v>
      </c>
      <c r="AB160" s="263">
        <v>0</v>
      </c>
      <c r="AC160" s="263"/>
      <c r="AD160" s="263">
        <v>0</v>
      </c>
      <c r="AE160" s="263"/>
      <c r="AF160" s="263"/>
      <c r="AG160" s="262"/>
      <c r="AH160" s="274">
        <f t="shared" si="130"/>
        <v>996</v>
      </c>
      <c r="AI160" s="274">
        <f t="shared" si="131"/>
        <v>1430</v>
      </c>
      <c r="AJ160" s="274">
        <f t="shared" si="132"/>
        <v>1607</v>
      </c>
      <c r="AK160" s="274">
        <f t="shared" si="127"/>
        <v>2088</v>
      </c>
      <c r="AL160" s="274">
        <f t="shared" si="133"/>
        <v>2480</v>
      </c>
      <c r="AM160" s="274">
        <f t="shared" si="134"/>
        <v>2669</v>
      </c>
      <c r="AN160" s="274">
        <f t="shared" si="135"/>
        <v>3131</v>
      </c>
      <c r="AO160" s="274">
        <f t="shared" si="168"/>
        <v>3355</v>
      </c>
      <c r="AP160" s="274">
        <f t="shared" si="136"/>
        <v>3971</v>
      </c>
      <c r="AQ160" s="274"/>
      <c r="AR160" s="274">
        <f t="shared" si="137"/>
        <v>4601</v>
      </c>
      <c r="AS160" s="274">
        <f t="shared" si="128"/>
        <v>6204</v>
      </c>
      <c r="AT160" s="274">
        <f t="shared" si="138"/>
        <v>6750</v>
      </c>
      <c r="AU160" s="274"/>
      <c r="AV160" s="274">
        <f t="shared" si="139"/>
        <v>9823</v>
      </c>
      <c r="AW160" s="274"/>
      <c r="AX160" s="274">
        <f t="shared" si="140"/>
        <v>520</v>
      </c>
      <c r="AY160" s="274">
        <f t="shared" si="141"/>
        <v>1199</v>
      </c>
      <c r="AZ160" s="274">
        <f t="shared" si="142"/>
        <v>1962</v>
      </c>
      <c r="BA160" s="274"/>
      <c r="BB160" s="274">
        <f t="shared" si="143"/>
        <v>3399</v>
      </c>
      <c r="BC160" s="274">
        <f t="shared" si="144"/>
        <v>4139</v>
      </c>
      <c r="BD160" s="274">
        <f t="shared" si="145"/>
        <v>4832</v>
      </c>
      <c r="BE160" s="274"/>
      <c r="BF160" s="274">
        <f t="shared" si="146"/>
        <v>9326</v>
      </c>
      <c r="BG160" s="274"/>
      <c r="BH160" s="274"/>
      <c r="BI160" s="266">
        <f t="shared" si="147"/>
        <v>0</v>
      </c>
      <c r="BJ160" s="266" t="e">
        <f t="shared" si="148"/>
        <v>#DIV/0!</v>
      </c>
      <c r="BK160" s="263" t="str">
        <f t="shared" si="149"/>
        <v/>
      </c>
      <c r="BL160" s="263" t="str">
        <f t="shared" si="150"/>
        <v/>
      </c>
      <c r="BM160" s="263" t="str">
        <f t="shared" si="151"/>
        <v/>
      </c>
      <c r="BN160" s="263"/>
      <c r="BO160" s="263" t="str">
        <f t="shared" si="152"/>
        <v/>
      </c>
      <c r="BP160" s="263" t="str">
        <f t="shared" si="153"/>
        <v/>
      </c>
      <c r="BQ160" s="263" t="str">
        <f t="shared" si="154"/>
        <v/>
      </c>
      <c r="BR160" s="263" t="str">
        <f t="shared" si="155"/>
        <v/>
      </c>
      <c r="BS160" s="263" t="str">
        <f t="shared" si="156"/>
        <v/>
      </c>
      <c r="BT160" s="263" t="str">
        <f t="shared" si="157"/>
        <v/>
      </c>
      <c r="BU160" s="263" t="str">
        <f t="shared" si="158"/>
        <v/>
      </c>
      <c r="BV160" s="263"/>
      <c r="BW160" s="263" t="str">
        <f t="shared" si="159"/>
        <v/>
      </c>
      <c r="BX160" s="263"/>
      <c r="BY160" s="263" t="str">
        <f t="shared" si="160"/>
        <v/>
      </c>
      <c r="BZ160" s="263"/>
      <c r="CA160" s="263" t="str">
        <f t="shared" si="112"/>
        <v/>
      </c>
      <c r="CB160" s="263" t="str">
        <f t="shared" si="161"/>
        <v/>
      </c>
      <c r="CC160" s="263" t="str">
        <f t="shared" si="113"/>
        <v/>
      </c>
      <c r="CD160" s="263" t="str">
        <f t="shared" si="162"/>
        <v/>
      </c>
      <c r="CE160" s="263" t="str">
        <f t="shared" si="167"/>
        <v/>
      </c>
      <c r="CF160" s="263" t="str">
        <f t="shared" si="114"/>
        <v/>
      </c>
      <c r="CG160" s="263" t="str">
        <f t="shared" si="115"/>
        <v/>
      </c>
      <c r="CH160" s="263"/>
      <c r="CI160" s="263" t="str">
        <f t="shared" si="163"/>
        <v/>
      </c>
      <c r="CJ160" s="263"/>
      <c r="CK160" s="263" t="str">
        <f t="shared" si="164"/>
        <v/>
      </c>
      <c r="CL160" s="264">
        <f t="shared" si="169"/>
        <v>0</v>
      </c>
      <c r="CM160" s="264">
        <f t="shared" si="165"/>
        <v>0</v>
      </c>
      <c r="CO160" s="265">
        <v>9.9879999999999997E-2</v>
      </c>
      <c r="CP160" s="265">
        <v>0.10060000000000001</v>
      </c>
      <c r="CQ160" s="265">
        <v>0.10063000000000001</v>
      </c>
      <c r="CS160" s="265">
        <v>0.10235</v>
      </c>
      <c r="CT160" s="265">
        <v>0.10400000000000001</v>
      </c>
      <c r="CU160" s="265">
        <v>0.1065</v>
      </c>
      <c r="CV160" s="265">
        <v>0.10775</v>
      </c>
      <c r="CW160" s="265">
        <v>0.10835</v>
      </c>
      <c r="CY160" s="265">
        <v>0.10869999999999999</v>
      </c>
      <c r="DA160" s="265">
        <v>0.11164</v>
      </c>
      <c r="DC160" s="265">
        <v>0.11083</v>
      </c>
      <c r="DE160" s="265">
        <v>4.2190000000000005E-2</v>
      </c>
      <c r="DF160" s="265">
        <v>4.3990000000000001E-2</v>
      </c>
      <c r="DH160" s="265">
        <v>4.6359999999999998E-2</v>
      </c>
      <c r="DI160" s="265">
        <v>4.8099999999999997E-2</v>
      </c>
      <c r="DJ160" s="265">
        <v>4.8570000000000002E-2</v>
      </c>
      <c r="DL160" s="265">
        <v>4.7100000000000003E-2</v>
      </c>
      <c r="DO160" s="264" t="e">
        <f t="shared" ref="DO160:DO191" si="170">+INDEX(AH160:AV160,MATCH(CL160,AH160:AV160,1))</f>
        <v>#N/A</v>
      </c>
      <c r="DP160" s="264" t="e" cm="1">
        <f t="array" ref="DP160">+INDEX(AH160:AV160,MATCH(DO160,AH160:AV160,1)+1)</f>
        <v>#N/A</v>
      </c>
      <c r="DQ160" s="265" t="e">
        <f t="shared" ref="DQ160:DQ191" si="171">+INDEX(CO160:DC160,MATCH(DO160,AH160:AV160,1))</f>
        <v>#N/A</v>
      </c>
      <c r="DR160" s="267" t="e">
        <f t="shared" ref="DR160:DR191" si="172">+INDEX(CO160:DC160,MATCH(DP160,AH160:AV160,1))</f>
        <v>#N/A</v>
      </c>
      <c r="DS160" s="267" t="e">
        <f t="shared" ref="DS160:DS191" si="173">ROUND(DQ160+((CL160-DO160)/(DP160-DO160))*(DR160-DQ160),5)</f>
        <v>#N/A</v>
      </c>
      <c r="DT160" s="268" t="e">
        <f t="shared" ref="DT160:DT191" si="174">+INDEX(AX160:BF160,MATCH(CM160,AX160:BF160,1))</f>
        <v>#N/A</v>
      </c>
      <c r="DU160" s="268" t="e" cm="1">
        <f t="array" ref="DU160">+INDEX(AX160:BF160,MATCH(DT160,AX160:BF160,1)+1)</f>
        <v>#N/A</v>
      </c>
      <c r="DV160" s="267" t="e">
        <f t="shared" ref="DV160:DV223" si="175">+INDEX(DE160:DL160,MATCH(DT160,AX160:BF160,1))</f>
        <v>#N/A</v>
      </c>
      <c r="DW160" s="267" t="e">
        <f t="shared" ref="DW160:DW191" si="176">+INDEX(DE160:DL160,MATCH(DU160,AX160:BF160,1))</f>
        <v>#N/A</v>
      </c>
      <c r="DX160" s="267" t="e">
        <f t="shared" ref="DX160:DX191" si="177">ROUND(DV160+((CM160-DT160)/(DU160-DT160))*(DW160-DV160),5)</f>
        <v>#N/A</v>
      </c>
      <c r="DY160" s="267">
        <f t="shared" si="166"/>
        <v>0.1048</v>
      </c>
      <c r="DZ160" s="205" t="e">
        <f t="shared" si="108"/>
        <v>#N/A</v>
      </c>
      <c r="EA160" s="205">
        <f t="shared" si="109"/>
        <v>0</v>
      </c>
    </row>
    <row r="161" spans="2:131">
      <c r="B161" s="272">
        <v>45265</v>
      </c>
      <c r="C161" s="271">
        <v>45265</v>
      </c>
      <c r="D161" s="263" t="e">
        <f>+SUMIFS(Tabla6[Nominal COP],Tabla6[Concepto],COSTO_OPORTUNIDAD!$B$18,Tabla6[Nemotécnico],COSTO_OPORTUNIDAD!D$16,Tabla6[Fecha Cumplimiento y/ liquidacion],COSTO_OPORTUNIDAD!$C161)/+SUMIFS(Tabla6[Nominal COP],Tabla6[Concepto],COSTO_OPORTUNIDAD!$B$18,Tabla6[Fecha Cumplimiento y/ liquidacion],COSTO_OPORTUNIDAD!$C161)</f>
        <v>#DIV/0!</v>
      </c>
      <c r="E161" s="263" t="e">
        <f>+SUMIFS(Tabla6[Nominal COP],Tabla6[Concepto],COSTO_OPORTUNIDAD!$B$18,Tabla6[Nemotécnico],COSTO_OPORTUNIDAD!E$16,Tabla6[Fecha Cumplimiento y/ liquidacion],COSTO_OPORTUNIDAD!$C161)/+SUMIFS(Tabla6[Nominal COP],Tabla6[Concepto],COSTO_OPORTUNIDAD!$B$18,Tabla6[Fecha Cumplimiento y/ liquidacion],COSTO_OPORTUNIDAD!$C161)</f>
        <v>#DIV/0!</v>
      </c>
      <c r="F161" s="263"/>
      <c r="G161" s="263"/>
      <c r="H161" s="263">
        <v>0.27777777777777779</v>
      </c>
      <c r="I161" s="263"/>
      <c r="J161" s="263">
        <v>0</v>
      </c>
      <c r="K161" s="263">
        <v>0</v>
      </c>
      <c r="L161" s="263"/>
      <c r="M161" s="263">
        <v>0.16666666666666666</v>
      </c>
      <c r="N161" s="263"/>
      <c r="O161" s="263"/>
      <c r="P161" s="263">
        <v>0</v>
      </c>
      <c r="Q161" s="263"/>
      <c r="R161" s="263">
        <v>0.55555555555555558</v>
      </c>
      <c r="S161" s="263"/>
      <c r="T161" s="263">
        <v>0</v>
      </c>
      <c r="U161" s="263"/>
      <c r="V161" s="263">
        <v>0</v>
      </c>
      <c r="W161" s="263">
        <v>0</v>
      </c>
      <c r="X161" s="263">
        <v>0</v>
      </c>
      <c r="Y161" s="263"/>
      <c r="Z161" s="263">
        <v>0</v>
      </c>
      <c r="AA161" s="263">
        <v>0</v>
      </c>
      <c r="AB161" s="263">
        <v>0</v>
      </c>
      <c r="AC161" s="263"/>
      <c r="AD161" s="263">
        <v>0</v>
      </c>
      <c r="AE161" s="263"/>
      <c r="AF161" s="263"/>
      <c r="AG161" s="262"/>
      <c r="AH161" s="274">
        <f t="shared" si="130"/>
        <v>995</v>
      </c>
      <c r="AI161" s="274">
        <f t="shared" si="131"/>
        <v>1429</v>
      </c>
      <c r="AJ161" s="274">
        <f t="shared" si="132"/>
        <v>1606</v>
      </c>
      <c r="AK161" s="274">
        <f t="shared" si="127"/>
        <v>2087</v>
      </c>
      <c r="AL161" s="274">
        <f t="shared" si="133"/>
        <v>2479</v>
      </c>
      <c r="AM161" s="274">
        <f t="shared" si="134"/>
        <v>2668</v>
      </c>
      <c r="AN161" s="274">
        <f t="shared" si="135"/>
        <v>3130</v>
      </c>
      <c r="AO161" s="274">
        <f t="shared" si="168"/>
        <v>3354</v>
      </c>
      <c r="AP161" s="274">
        <f t="shared" si="136"/>
        <v>3970</v>
      </c>
      <c r="AQ161" s="274"/>
      <c r="AR161" s="274">
        <f t="shared" si="137"/>
        <v>4600</v>
      </c>
      <c r="AS161" s="274">
        <f t="shared" si="128"/>
        <v>6203</v>
      </c>
      <c r="AT161" s="274">
        <f t="shared" si="138"/>
        <v>6749</v>
      </c>
      <c r="AU161" s="274"/>
      <c r="AV161" s="274">
        <f t="shared" si="139"/>
        <v>9822</v>
      </c>
      <c r="AW161" s="274"/>
      <c r="AX161" s="274">
        <f t="shared" si="140"/>
        <v>519</v>
      </c>
      <c r="AY161" s="274">
        <f t="shared" si="141"/>
        <v>1198</v>
      </c>
      <c r="AZ161" s="274">
        <f t="shared" si="142"/>
        <v>1961</v>
      </c>
      <c r="BA161" s="274"/>
      <c r="BB161" s="274">
        <f t="shared" si="143"/>
        <v>3398</v>
      </c>
      <c r="BC161" s="274">
        <f t="shared" si="144"/>
        <v>4138</v>
      </c>
      <c r="BD161" s="274">
        <f t="shared" si="145"/>
        <v>4831</v>
      </c>
      <c r="BE161" s="274"/>
      <c r="BF161" s="274">
        <f t="shared" si="146"/>
        <v>9325</v>
      </c>
      <c r="BG161" s="274"/>
      <c r="BH161" s="274"/>
      <c r="BI161" s="266">
        <f t="shared" si="147"/>
        <v>0</v>
      </c>
      <c r="BJ161" s="266" t="e">
        <f t="shared" si="148"/>
        <v>#DIV/0!</v>
      </c>
      <c r="BK161" s="263" t="str">
        <f t="shared" si="149"/>
        <v/>
      </c>
      <c r="BL161" s="263" t="str">
        <f t="shared" si="150"/>
        <v/>
      </c>
      <c r="BM161" s="263" t="str">
        <f t="shared" si="151"/>
        <v/>
      </c>
      <c r="BN161" s="263"/>
      <c r="BO161" s="263" t="str">
        <f t="shared" si="152"/>
        <v/>
      </c>
      <c r="BP161" s="263" t="str">
        <f t="shared" si="153"/>
        <v/>
      </c>
      <c r="BQ161" s="263" t="str">
        <f t="shared" si="154"/>
        <v/>
      </c>
      <c r="BR161" s="263" t="str">
        <f t="shared" si="155"/>
        <v/>
      </c>
      <c r="BS161" s="263" t="str">
        <f t="shared" si="156"/>
        <v/>
      </c>
      <c r="BT161" s="263" t="str">
        <f t="shared" si="157"/>
        <v/>
      </c>
      <c r="BU161" s="263" t="str">
        <f t="shared" si="158"/>
        <v/>
      </c>
      <c r="BV161" s="263"/>
      <c r="BW161" s="263" t="str">
        <f t="shared" si="159"/>
        <v/>
      </c>
      <c r="BX161" s="263"/>
      <c r="BY161" s="263" t="str">
        <f t="shared" si="160"/>
        <v/>
      </c>
      <c r="BZ161" s="263"/>
      <c r="CA161" s="263" t="str">
        <f t="shared" si="112"/>
        <v/>
      </c>
      <c r="CB161" s="263" t="str">
        <f t="shared" si="161"/>
        <v/>
      </c>
      <c r="CC161" s="263" t="str">
        <f t="shared" si="113"/>
        <v/>
      </c>
      <c r="CD161" s="263" t="str">
        <f t="shared" si="162"/>
        <v/>
      </c>
      <c r="CE161" s="263" t="str">
        <f t="shared" si="167"/>
        <v/>
      </c>
      <c r="CF161" s="263" t="str">
        <f t="shared" si="114"/>
        <v/>
      </c>
      <c r="CG161" s="263" t="str">
        <f t="shared" si="115"/>
        <v/>
      </c>
      <c r="CH161" s="263"/>
      <c r="CI161" s="263" t="str">
        <f t="shared" si="163"/>
        <v/>
      </c>
      <c r="CJ161" s="263"/>
      <c r="CK161" s="263" t="str">
        <f t="shared" si="164"/>
        <v/>
      </c>
      <c r="CL161" s="264">
        <f t="shared" si="169"/>
        <v>0</v>
      </c>
      <c r="CM161" s="264">
        <f t="shared" si="165"/>
        <v>0</v>
      </c>
      <c r="CO161" s="265">
        <v>9.8919999999999994E-2</v>
      </c>
      <c r="CP161" s="265">
        <v>9.98E-2</v>
      </c>
      <c r="CQ161" s="265">
        <v>9.9860000000000004E-2</v>
      </c>
      <c r="CS161" s="265">
        <v>0.10223</v>
      </c>
      <c r="CT161" s="265">
        <v>0.10400000000000001</v>
      </c>
      <c r="CU161" s="265">
        <v>0.10585000000000001</v>
      </c>
      <c r="CV161" s="265">
        <v>0.1072</v>
      </c>
      <c r="CW161" s="265">
        <v>0.10754</v>
      </c>
      <c r="CY161" s="265">
        <v>0.10815</v>
      </c>
      <c r="DA161" s="265">
        <v>0.11121</v>
      </c>
      <c r="DC161" s="265">
        <v>0.1103</v>
      </c>
      <c r="DE161" s="265">
        <v>4.2350000000000006E-2</v>
      </c>
      <c r="DF161" s="265">
        <v>4.3720000000000002E-2</v>
      </c>
      <c r="DH161" s="265">
        <v>4.6300000000000001E-2</v>
      </c>
      <c r="DI161" s="265">
        <v>4.8079999999999998E-2</v>
      </c>
      <c r="DJ161" s="265">
        <v>4.8590000000000001E-2</v>
      </c>
      <c r="DL161" s="265">
        <v>4.6950000000000006E-2</v>
      </c>
      <c r="DO161" s="264" t="e">
        <f t="shared" si="170"/>
        <v>#N/A</v>
      </c>
      <c r="DP161" s="264" t="e" cm="1">
        <f t="array" ref="DP161">+INDEX(AH161:AV161,MATCH(DO161,AH161:AV161,1)+1)</f>
        <v>#N/A</v>
      </c>
      <c r="DQ161" s="265" t="e">
        <f t="shared" si="171"/>
        <v>#N/A</v>
      </c>
      <c r="DR161" s="267" t="e">
        <f t="shared" si="172"/>
        <v>#N/A</v>
      </c>
      <c r="DS161" s="267" t="e">
        <f t="shared" si="173"/>
        <v>#N/A</v>
      </c>
      <c r="DT161" s="268" t="e">
        <f t="shared" si="174"/>
        <v>#N/A</v>
      </c>
      <c r="DU161" s="268" t="e" cm="1">
        <f t="array" ref="DU161">+INDEX(AX161:BF161,MATCH(DT161,AX161:BF161,1)+1)</f>
        <v>#N/A</v>
      </c>
      <c r="DV161" s="267" t="e">
        <f t="shared" si="175"/>
        <v>#N/A</v>
      </c>
      <c r="DW161" s="267" t="e">
        <f t="shared" si="176"/>
        <v>#N/A</v>
      </c>
      <c r="DX161" s="267" t="e">
        <f t="shared" si="177"/>
        <v>#N/A</v>
      </c>
      <c r="DY161" s="267">
        <f>+$EE$74</f>
        <v>0.1048</v>
      </c>
      <c r="DZ161" s="205" t="e">
        <f t="shared" si="108"/>
        <v>#N/A</v>
      </c>
      <c r="EA161" s="205">
        <f t="shared" si="109"/>
        <v>0</v>
      </c>
    </row>
    <row r="162" spans="2:131">
      <c r="B162" s="272">
        <v>45341</v>
      </c>
      <c r="C162" s="271">
        <v>45341</v>
      </c>
      <c r="D162" s="263" t="e">
        <f>+SUMIFS(Tabla6[Nominal COP],Tabla6[Concepto],COSTO_OPORTUNIDAD!$B$18,Tabla6[Nemotécnico],COSTO_OPORTUNIDAD!D$16,Tabla6[Fecha Cumplimiento y/ liquidacion],COSTO_OPORTUNIDAD!$C162)/+SUMIFS(Tabla6[Nominal COP],Tabla6[Concepto],COSTO_OPORTUNIDAD!$B$18,Tabla6[Fecha Cumplimiento y/ liquidacion],COSTO_OPORTUNIDAD!$C162)</f>
        <v>#DIV/0!</v>
      </c>
      <c r="E162" s="263" t="e">
        <f>+SUMIFS(Tabla6[Nominal COP],Tabla6[Concepto],COSTO_OPORTUNIDAD!$B$18,Tabla6[Nemotécnico],COSTO_OPORTUNIDAD!E$16,Tabla6[Fecha Cumplimiento y/ liquidacion],COSTO_OPORTUNIDAD!$C162)/+SUMIFS(Tabla6[Nominal COP],Tabla6[Concepto],COSTO_OPORTUNIDAD!$B$18,Tabla6[Fecha Cumplimiento y/ liquidacion],COSTO_OPORTUNIDAD!$C162)</f>
        <v>#DIV/0!</v>
      </c>
      <c r="F162" s="263"/>
      <c r="G162" s="263"/>
      <c r="H162" s="263">
        <v>0</v>
      </c>
      <c r="I162" s="263"/>
      <c r="J162" s="263">
        <v>0</v>
      </c>
      <c r="K162" s="263">
        <v>0</v>
      </c>
      <c r="L162" s="263"/>
      <c r="M162" s="263">
        <v>0.33300033300033299</v>
      </c>
      <c r="N162" s="263"/>
      <c r="O162" s="263"/>
      <c r="P162" s="263">
        <v>0</v>
      </c>
      <c r="Q162" s="263"/>
      <c r="R162" s="263">
        <v>0.66600066600066599</v>
      </c>
      <c r="S162" s="263"/>
      <c r="T162" s="263">
        <v>0</v>
      </c>
      <c r="U162" s="263"/>
      <c r="V162" s="263">
        <v>0</v>
      </c>
      <c r="W162" s="263">
        <v>0</v>
      </c>
      <c r="X162" s="263">
        <v>4.995004995004995E-4</v>
      </c>
      <c r="Y162" s="263"/>
      <c r="Z162" s="263">
        <v>0</v>
      </c>
      <c r="AA162" s="263">
        <v>0</v>
      </c>
      <c r="AB162" s="263">
        <v>4.995004995004995E-4</v>
      </c>
      <c r="AC162" s="263"/>
      <c r="AD162" s="263">
        <v>0</v>
      </c>
      <c r="AE162" s="263"/>
      <c r="AF162" s="263"/>
      <c r="AG162" s="262"/>
      <c r="AH162" s="274">
        <f t="shared" si="130"/>
        <v>919</v>
      </c>
      <c r="AI162" s="274">
        <f t="shared" si="131"/>
        <v>1353</v>
      </c>
      <c r="AJ162" s="274">
        <f t="shared" si="132"/>
        <v>1530</v>
      </c>
      <c r="AK162" s="274">
        <f t="shared" si="127"/>
        <v>2011</v>
      </c>
      <c r="AL162" s="274">
        <f t="shared" si="133"/>
        <v>2403</v>
      </c>
      <c r="AM162" s="274">
        <f t="shared" si="134"/>
        <v>2592</v>
      </c>
      <c r="AN162" s="274">
        <f t="shared" si="135"/>
        <v>3054</v>
      </c>
      <c r="AO162" s="274">
        <f t="shared" si="168"/>
        <v>3278</v>
      </c>
      <c r="AP162" s="274">
        <f t="shared" si="136"/>
        <v>3894</v>
      </c>
      <c r="AQ162" s="274"/>
      <c r="AR162" s="274">
        <f t="shared" si="137"/>
        <v>4524</v>
      </c>
      <c r="AS162" s="274">
        <f t="shared" si="128"/>
        <v>6127</v>
      </c>
      <c r="AT162" s="274">
        <f t="shared" si="138"/>
        <v>6673</v>
      </c>
      <c r="AU162" s="274"/>
      <c r="AV162" s="274">
        <f t="shared" si="139"/>
        <v>9746</v>
      </c>
      <c r="AW162" s="274"/>
      <c r="AX162" s="274">
        <f t="shared" si="140"/>
        <v>443</v>
      </c>
      <c r="AY162" s="274">
        <f t="shared" si="141"/>
        <v>1122</v>
      </c>
      <c r="AZ162" s="274">
        <f t="shared" si="142"/>
        <v>1885</v>
      </c>
      <c r="BA162" s="274"/>
      <c r="BB162" s="274">
        <f t="shared" si="143"/>
        <v>3322</v>
      </c>
      <c r="BC162" s="274">
        <f t="shared" si="144"/>
        <v>4062</v>
      </c>
      <c r="BD162" s="274">
        <f t="shared" si="145"/>
        <v>4755</v>
      </c>
      <c r="BE162" s="274"/>
      <c r="BF162" s="274">
        <f t="shared" si="146"/>
        <v>9249</v>
      </c>
      <c r="BG162" s="274"/>
      <c r="BH162" s="274"/>
      <c r="BI162" s="266">
        <f t="shared" si="147"/>
        <v>9.99000999000999E-4</v>
      </c>
      <c r="BJ162" s="266" t="e">
        <f t="shared" si="148"/>
        <v>#DIV/0!</v>
      </c>
      <c r="BK162" s="263" t="str">
        <f t="shared" si="149"/>
        <v/>
      </c>
      <c r="BL162" s="263" t="str">
        <f t="shared" si="150"/>
        <v/>
      </c>
      <c r="BM162" s="263" t="str">
        <f t="shared" si="151"/>
        <v/>
      </c>
      <c r="BN162" s="263"/>
      <c r="BO162" s="263" t="str">
        <f t="shared" si="152"/>
        <v/>
      </c>
      <c r="BP162" s="263" t="str">
        <f t="shared" si="153"/>
        <v/>
      </c>
      <c r="BQ162" s="263" t="str">
        <f t="shared" si="154"/>
        <v/>
      </c>
      <c r="BR162" s="263" t="str">
        <f t="shared" si="155"/>
        <v/>
      </c>
      <c r="BS162" s="263" t="str">
        <f t="shared" si="156"/>
        <v/>
      </c>
      <c r="BT162" s="263" t="str">
        <f t="shared" si="157"/>
        <v/>
      </c>
      <c r="BU162" s="263" t="str">
        <f t="shared" si="158"/>
        <v/>
      </c>
      <c r="BV162" s="263"/>
      <c r="BW162" s="263" t="str">
        <f t="shared" si="159"/>
        <v/>
      </c>
      <c r="BX162" s="263"/>
      <c r="BY162" s="263" t="str">
        <f t="shared" si="160"/>
        <v/>
      </c>
      <c r="BZ162" s="263"/>
      <c r="CA162" s="263">
        <f t="shared" si="112"/>
        <v>0</v>
      </c>
      <c r="CB162" s="263">
        <f t="shared" si="161"/>
        <v>0</v>
      </c>
      <c r="CC162" s="263">
        <f t="shared" si="113"/>
        <v>0.5</v>
      </c>
      <c r="CD162" s="263">
        <f t="shared" si="162"/>
        <v>0</v>
      </c>
      <c r="CE162" s="263">
        <f t="shared" si="167"/>
        <v>0</v>
      </c>
      <c r="CF162" s="263">
        <f t="shared" si="114"/>
        <v>0</v>
      </c>
      <c r="CG162" s="263">
        <f t="shared" si="115"/>
        <v>0.5</v>
      </c>
      <c r="CH162" s="263"/>
      <c r="CI162" s="263">
        <f t="shared" si="163"/>
        <v>0</v>
      </c>
      <c r="CJ162" s="263"/>
      <c r="CK162" s="263">
        <f t="shared" si="164"/>
        <v>0</v>
      </c>
      <c r="CL162" s="264">
        <f t="shared" si="169"/>
        <v>0</v>
      </c>
      <c r="CM162" s="264">
        <f t="shared" si="165"/>
        <v>2939</v>
      </c>
      <c r="CO162" s="265">
        <v>8.9810000000000001E-2</v>
      </c>
      <c r="CP162" s="265">
        <v>8.9079999999999993E-2</v>
      </c>
      <c r="CQ162" s="265">
        <v>8.9520000000000002E-2</v>
      </c>
      <c r="CS162" s="265">
        <v>9.2119999999999994E-2</v>
      </c>
      <c r="CT162" s="265">
        <v>9.2469999999999997E-2</v>
      </c>
      <c r="CU162" s="265">
        <v>9.5930000000000001E-2</v>
      </c>
      <c r="CV162" s="265">
        <v>9.8470000000000002E-2</v>
      </c>
      <c r="CW162" s="265">
        <v>9.8589999999999997E-2</v>
      </c>
      <c r="CY162" s="265">
        <v>9.9600000000000008E-2</v>
      </c>
      <c r="DA162" s="265">
        <v>0.10255</v>
      </c>
      <c r="DC162" s="265">
        <v>0.10255</v>
      </c>
      <c r="DE162" s="265">
        <v>3.4759999999999999E-2</v>
      </c>
      <c r="DF162" s="265">
        <v>3.7940000000000002E-2</v>
      </c>
      <c r="DH162" s="265">
        <v>4.2180000000000002E-2</v>
      </c>
      <c r="DI162" s="265">
        <v>4.4160000000000005E-2</v>
      </c>
      <c r="DJ162" s="265">
        <v>4.5270000000000005E-2</v>
      </c>
      <c r="DL162" s="265">
        <v>4.3810000000000002E-2</v>
      </c>
      <c r="DO162" s="264" t="e">
        <f t="shared" si="170"/>
        <v>#N/A</v>
      </c>
      <c r="DP162" s="264" t="e" cm="1">
        <f t="array" ref="DP162">+INDEX(AH162:AV162,MATCH(DO162,AH162:AV162,1)+1)</f>
        <v>#N/A</v>
      </c>
      <c r="DQ162" s="265" t="e">
        <f t="shared" si="171"/>
        <v>#N/A</v>
      </c>
      <c r="DR162" s="267" t="e">
        <f t="shared" si="172"/>
        <v>#N/A</v>
      </c>
      <c r="DS162" s="267" t="e">
        <f t="shared" si="173"/>
        <v>#N/A</v>
      </c>
      <c r="DT162" s="268">
        <f t="shared" si="174"/>
        <v>1885</v>
      </c>
      <c r="DU162" s="268" cm="1">
        <f t="array" ref="DU162">+INDEX(AX162:BF162,MATCH(DT162,AX162:BF162,1)+1)</f>
        <v>0</v>
      </c>
      <c r="DV162" s="267">
        <f t="shared" si="175"/>
        <v>0</v>
      </c>
      <c r="DW162" s="267" t="e">
        <f t="shared" si="176"/>
        <v>#N/A</v>
      </c>
      <c r="DX162" s="267" t="e">
        <f t="shared" si="177"/>
        <v>#N/A</v>
      </c>
      <c r="DY162" s="267">
        <f t="shared" ref="DY162:DY174" si="178">+$EE$77</f>
        <v>8.3499999999999991E-2</v>
      </c>
      <c r="DZ162" s="205" t="e">
        <f t="shared" si="108"/>
        <v>#N/A</v>
      </c>
      <c r="EA162" s="205">
        <f t="shared" si="109"/>
        <v>0</v>
      </c>
    </row>
    <row r="163" spans="2:131">
      <c r="B163" s="272">
        <v>45342</v>
      </c>
      <c r="C163" s="271">
        <v>45342</v>
      </c>
      <c r="D163" s="263" t="e">
        <f>+SUMIFS(Tabla6[Nominal COP],Tabla6[Concepto],COSTO_OPORTUNIDAD!$B$18,Tabla6[Nemotécnico],COSTO_OPORTUNIDAD!D$16,Tabla6[Fecha Cumplimiento y/ liquidacion],COSTO_OPORTUNIDAD!$C163)/+SUMIFS(Tabla6[Nominal COP],Tabla6[Concepto],COSTO_OPORTUNIDAD!$B$18,Tabla6[Fecha Cumplimiento y/ liquidacion],COSTO_OPORTUNIDAD!$C163)</f>
        <v>#DIV/0!</v>
      </c>
      <c r="E163" s="263" t="e">
        <f>+SUMIFS(Tabla6[Nominal COP],Tabla6[Concepto],COSTO_OPORTUNIDAD!$B$18,Tabla6[Nemotécnico],COSTO_OPORTUNIDAD!E$16,Tabla6[Fecha Cumplimiento y/ liquidacion],COSTO_OPORTUNIDAD!$C163)/+SUMIFS(Tabla6[Nominal COP],Tabla6[Concepto],COSTO_OPORTUNIDAD!$B$18,Tabla6[Fecha Cumplimiento y/ liquidacion],COSTO_OPORTUNIDAD!$C163)</f>
        <v>#DIV/0!</v>
      </c>
      <c r="F163" s="263"/>
      <c r="G163" s="263"/>
      <c r="H163" s="263">
        <v>0.19040365575019041</v>
      </c>
      <c r="I163" s="263"/>
      <c r="J163" s="263">
        <v>0</v>
      </c>
      <c r="K163" s="263">
        <v>0</v>
      </c>
      <c r="L163" s="263"/>
      <c r="M163" s="263">
        <v>0.33320639756283321</v>
      </c>
      <c r="N163" s="263"/>
      <c r="O163" s="263"/>
      <c r="P163" s="263">
        <v>0</v>
      </c>
      <c r="Q163" s="263"/>
      <c r="R163" s="263">
        <v>0.47600913937547601</v>
      </c>
      <c r="S163" s="263"/>
      <c r="T163" s="263">
        <v>0</v>
      </c>
      <c r="U163" s="263"/>
      <c r="V163" s="263">
        <v>0</v>
      </c>
      <c r="W163" s="263">
        <v>0</v>
      </c>
      <c r="X163" s="263">
        <v>1.9040365575019041E-4</v>
      </c>
      <c r="Y163" s="263"/>
      <c r="Z163" s="263">
        <v>0</v>
      </c>
      <c r="AA163" s="263">
        <v>0</v>
      </c>
      <c r="AB163" s="263">
        <v>1.9040365575019041E-4</v>
      </c>
      <c r="AC163" s="263"/>
      <c r="AD163" s="263">
        <v>0</v>
      </c>
      <c r="AE163" s="263"/>
      <c r="AF163" s="263"/>
      <c r="AG163" s="262"/>
      <c r="AH163" s="274">
        <f t="shared" si="130"/>
        <v>918</v>
      </c>
      <c r="AI163" s="274">
        <f t="shared" si="131"/>
        <v>1352</v>
      </c>
      <c r="AJ163" s="274">
        <f t="shared" si="132"/>
        <v>1529</v>
      </c>
      <c r="AK163" s="274">
        <f t="shared" si="127"/>
        <v>2010</v>
      </c>
      <c r="AL163" s="274">
        <f t="shared" si="133"/>
        <v>2402</v>
      </c>
      <c r="AM163" s="274">
        <f t="shared" si="134"/>
        <v>2591</v>
      </c>
      <c r="AN163" s="274">
        <f t="shared" si="135"/>
        <v>3053</v>
      </c>
      <c r="AO163" s="274">
        <f t="shared" si="168"/>
        <v>3277</v>
      </c>
      <c r="AP163" s="274">
        <f t="shared" si="136"/>
        <v>3893</v>
      </c>
      <c r="AQ163" s="274"/>
      <c r="AR163" s="274">
        <f t="shared" si="137"/>
        <v>4523</v>
      </c>
      <c r="AS163" s="274">
        <f t="shared" si="128"/>
        <v>6126</v>
      </c>
      <c r="AT163" s="274">
        <f t="shared" si="138"/>
        <v>6672</v>
      </c>
      <c r="AU163" s="274"/>
      <c r="AV163" s="274">
        <f t="shared" si="139"/>
        <v>9745</v>
      </c>
      <c r="AW163" s="274"/>
      <c r="AX163" s="274">
        <f t="shared" si="140"/>
        <v>442</v>
      </c>
      <c r="AY163" s="274">
        <f t="shared" si="141"/>
        <v>1121</v>
      </c>
      <c r="AZ163" s="274">
        <f t="shared" si="142"/>
        <v>1884</v>
      </c>
      <c r="BA163" s="274"/>
      <c r="BB163" s="274">
        <f t="shared" si="143"/>
        <v>3321</v>
      </c>
      <c r="BC163" s="274">
        <f t="shared" si="144"/>
        <v>4061</v>
      </c>
      <c r="BD163" s="274">
        <f t="shared" si="145"/>
        <v>4754</v>
      </c>
      <c r="BE163" s="274"/>
      <c r="BF163" s="274">
        <f t="shared" si="146"/>
        <v>9248</v>
      </c>
      <c r="BG163" s="274"/>
      <c r="BH163" s="274"/>
      <c r="BI163" s="266">
        <f t="shared" si="147"/>
        <v>3.8080731150038082E-4</v>
      </c>
      <c r="BJ163" s="266" t="e">
        <f t="shared" si="148"/>
        <v>#DIV/0!</v>
      </c>
      <c r="BK163" s="263" t="str">
        <f t="shared" si="149"/>
        <v/>
      </c>
      <c r="BL163" s="263" t="str">
        <f t="shared" si="150"/>
        <v/>
      </c>
      <c r="BM163" s="263" t="str">
        <f t="shared" si="151"/>
        <v/>
      </c>
      <c r="BN163" s="263"/>
      <c r="BO163" s="263" t="str">
        <f t="shared" si="152"/>
        <v/>
      </c>
      <c r="BP163" s="263" t="str">
        <f t="shared" si="153"/>
        <v/>
      </c>
      <c r="BQ163" s="263" t="str">
        <f t="shared" si="154"/>
        <v/>
      </c>
      <c r="BR163" s="263" t="str">
        <f t="shared" si="155"/>
        <v/>
      </c>
      <c r="BS163" s="263" t="str">
        <f t="shared" si="156"/>
        <v/>
      </c>
      <c r="BT163" s="263" t="str">
        <f t="shared" si="157"/>
        <v/>
      </c>
      <c r="BU163" s="263" t="str">
        <f t="shared" si="158"/>
        <v/>
      </c>
      <c r="BV163" s="263"/>
      <c r="BW163" s="263" t="str">
        <f t="shared" si="159"/>
        <v/>
      </c>
      <c r="BX163" s="263"/>
      <c r="BY163" s="263" t="str">
        <f t="shared" si="160"/>
        <v/>
      </c>
      <c r="BZ163" s="263"/>
      <c r="CA163" s="263">
        <f t="shared" si="112"/>
        <v>0</v>
      </c>
      <c r="CB163" s="263">
        <f t="shared" si="161"/>
        <v>0</v>
      </c>
      <c r="CC163" s="263">
        <f t="shared" si="113"/>
        <v>0.5</v>
      </c>
      <c r="CD163" s="263">
        <f t="shared" si="162"/>
        <v>0</v>
      </c>
      <c r="CE163" s="263">
        <f t="shared" si="167"/>
        <v>0</v>
      </c>
      <c r="CF163" s="263">
        <f t="shared" si="114"/>
        <v>0</v>
      </c>
      <c r="CG163" s="263">
        <f t="shared" si="115"/>
        <v>0.5</v>
      </c>
      <c r="CH163" s="263"/>
      <c r="CI163" s="263">
        <f t="shared" si="163"/>
        <v>0</v>
      </c>
      <c r="CJ163" s="263"/>
      <c r="CK163" s="263">
        <f t="shared" si="164"/>
        <v>0</v>
      </c>
      <c r="CL163" s="264">
        <f t="shared" si="169"/>
        <v>0</v>
      </c>
      <c r="CM163" s="264">
        <f t="shared" si="165"/>
        <v>2938</v>
      </c>
      <c r="CO163" s="265">
        <v>9.0220000000000009E-2</v>
      </c>
      <c r="CP163" s="265">
        <v>9.0389999999999998E-2</v>
      </c>
      <c r="CQ163" s="265">
        <v>9.0450000000000003E-2</v>
      </c>
      <c r="CS163" s="265">
        <v>9.1660000000000005E-2</v>
      </c>
      <c r="CT163" s="265">
        <v>9.2399999999999996E-2</v>
      </c>
      <c r="CU163" s="265">
        <v>9.5839999999999995E-2</v>
      </c>
      <c r="CV163" s="265">
        <v>9.8369999999999999E-2</v>
      </c>
      <c r="CW163" s="265">
        <v>9.8350000000000007E-2</v>
      </c>
      <c r="CY163" s="265">
        <v>9.9339999999999998E-2</v>
      </c>
      <c r="DA163" s="265">
        <v>0.10266</v>
      </c>
      <c r="DC163" s="265">
        <v>0.10235</v>
      </c>
      <c r="DE163" s="265">
        <v>3.4599999999999999E-2</v>
      </c>
      <c r="DF163" s="265">
        <v>3.7810000000000003E-2</v>
      </c>
      <c r="DH163" s="265">
        <v>4.1900000000000007E-2</v>
      </c>
      <c r="DI163" s="265">
        <v>4.369E-2</v>
      </c>
      <c r="DJ163" s="265">
        <v>4.4850000000000001E-2</v>
      </c>
      <c r="DL163" s="265">
        <v>4.4299999999999999E-2</v>
      </c>
      <c r="DO163" s="264" t="e">
        <f t="shared" si="170"/>
        <v>#N/A</v>
      </c>
      <c r="DP163" s="264" t="e" cm="1">
        <f t="array" ref="DP163">+INDEX(AH163:AV163,MATCH(DO163,AH163:AV163,1)+1)</f>
        <v>#N/A</v>
      </c>
      <c r="DQ163" s="265" t="e">
        <f t="shared" si="171"/>
        <v>#N/A</v>
      </c>
      <c r="DR163" s="267" t="e">
        <f t="shared" si="172"/>
        <v>#N/A</v>
      </c>
      <c r="DS163" s="267" t="e">
        <f t="shared" si="173"/>
        <v>#N/A</v>
      </c>
      <c r="DT163" s="268">
        <f t="shared" si="174"/>
        <v>1884</v>
      </c>
      <c r="DU163" s="268" cm="1">
        <f t="array" ref="DU163">+INDEX(AX163:BF163,MATCH(DT163,AX163:BF163,1)+1)</f>
        <v>0</v>
      </c>
      <c r="DV163" s="267">
        <f t="shared" si="175"/>
        <v>0</v>
      </c>
      <c r="DW163" s="267" t="e">
        <f t="shared" si="176"/>
        <v>#N/A</v>
      </c>
      <c r="DX163" s="267" t="e">
        <f t="shared" si="177"/>
        <v>#N/A</v>
      </c>
      <c r="DY163" s="267">
        <f t="shared" si="178"/>
        <v>8.3499999999999991E-2</v>
      </c>
      <c r="DZ163" s="205" t="e">
        <f t="shared" si="108"/>
        <v>#N/A</v>
      </c>
      <c r="EA163" s="205">
        <f t="shared" si="109"/>
        <v>0</v>
      </c>
    </row>
    <row r="164" spans="2:131">
      <c r="B164" s="272">
        <v>45343</v>
      </c>
      <c r="C164" s="271">
        <v>45343</v>
      </c>
      <c r="D164" s="263" t="e">
        <f>+SUMIFS(Tabla6[Nominal COP],Tabla6[Concepto],COSTO_OPORTUNIDAD!$B$18,Tabla6[Nemotécnico],COSTO_OPORTUNIDAD!D$16,Tabla6[Fecha Cumplimiento y/ liquidacion],COSTO_OPORTUNIDAD!$C164)/+SUMIFS(Tabla6[Nominal COP],Tabla6[Concepto],COSTO_OPORTUNIDAD!$B$18,Tabla6[Fecha Cumplimiento y/ liquidacion],COSTO_OPORTUNIDAD!$C164)</f>
        <v>#DIV/0!</v>
      </c>
      <c r="E164" s="263" t="e">
        <f>+SUMIFS(Tabla6[Nominal COP],Tabla6[Concepto],COSTO_OPORTUNIDAD!$B$18,Tabla6[Nemotécnico],COSTO_OPORTUNIDAD!E$16,Tabla6[Fecha Cumplimiento y/ liquidacion],COSTO_OPORTUNIDAD!$C164)/+SUMIFS(Tabla6[Nominal COP],Tabla6[Concepto],COSTO_OPORTUNIDAD!$B$18,Tabla6[Fecha Cumplimiento y/ liquidacion],COSTO_OPORTUNIDAD!$C164)</f>
        <v>#DIV/0!</v>
      </c>
      <c r="F164" s="263"/>
      <c r="G164" s="263"/>
      <c r="H164" s="263">
        <v>0</v>
      </c>
      <c r="I164" s="263"/>
      <c r="J164" s="263">
        <v>0</v>
      </c>
      <c r="K164" s="263">
        <v>0</v>
      </c>
      <c r="L164" s="263"/>
      <c r="M164" s="263">
        <v>0.29991002699190245</v>
      </c>
      <c r="N164" s="263"/>
      <c r="O164" s="263"/>
      <c r="P164" s="263">
        <v>0</v>
      </c>
      <c r="Q164" s="263"/>
      <c r="R164" s="263">
        <v>0.69979006298110569</v>
      </c>
      <c r="S164" s="263"/>
      <c r="T164" s="263">
        <v>0</v>
      </c>
      <c r="U164" s="263"/>
      <c r="V164" s="263">
        <v>0</v>
      </c>
      <c r="W164" s="263">
        <v>0</v>
      </c>
      <c r="X164" s="263">
        <v>1.4995501349595122E-4</v>
      </c>
      <c r="Y164" s="263"/>
      <c r="Z164" s="263">
        <v>0</v>
      </c>
      <c r="AA164" s="263">
        <v>0</v>
      </c>
      <c r="AB164" s="263">
        <v>1.4995501349595122E-4</v>
      </c>
      <c r="AC164" s="263"/>
      <c r="AD164" s="263">
        <v>0</v>
      </c>
      <c r="AE164" s="263"/>
      <c r="AF164" s="263"/>
      <c r="AG164" s="262"/>
      <c r="AH164" s="274">
        <f t="shared" si="130"/>
        <v>917</v>
      </c>
      <c r="AI164" s="274">
        <f t="shared" si="131"/>
        <v>1351</v>
      </c>
      <c r="AJ164" s="274">
        <f t="shared" si="132"/>
        <v>1528</v>
      </c>
      <c r="AK164" s="274">
        <f t="shared" si="127"/>
        <v>2009</v>
      </c>
      <c r="AL164" s="274">
        <f t="shared" si="133"/>
        <v>2401</v>
      </c>
      <c r="AM164" s="274">
        <f t="shared" si="134"/>
        <v>2590</v>
      </c>
      <c r="AN164" s="274">
        <f t="shared" si="135"/>
        <v>3052</v>
      </c>
      <c r="AO164" s="274">
        <f t="shared" si="168"/>
        <v>3276</v>
      </c>
      <c r="AP164" s="274">
        <f t="shared" si="136"/>
        <v>3892</v>
      </c>
      <c r="AQ164" s="274"/>
      <c r="AR164" s="274">
        <f t="shared" si="137"/>
        <v>4522</v>
      </c>
      <c r="AS164" s="274">
        <f t="shared" si="128"/>
        <v>6125</v>
      </c>
      <c r="AT164" s="274">
        <f t="shared" si="138"/>
        <v>6671</v>
      </c>
      <c r="AU164" s="274"/>
      <c r="AV164" s="274">
        <f t="shared" si="139"/>
        <v>9744</v>
      </c>
      <c r="AW164" s="274"/>
      <c r="AX164" s="274">
        <f t="shared" si="140"/>
        <v>441</v>
      </c>
      <c r="AY164" s="274">
        <f t="shared" si="141"/>
        <v>1120</v>
      </c>
      <c r="AZ164" s="274">
        <f t="shared" si="142"/>
        <v>1883</v>
      </c>
      <c r="BA164" s="274"/>
      <c r="BB164" s="274">
        <f t="shared" si="143"/>
        <v>3320</v>
      </c>
      <c r="BC164" s="274">
        <f t="shared" si="144"/>
        <v>4060</v>
      </c>
      <c r="BD164" s="274">
        <f t="shared" si="145"/>
        <v>4753</v>
      </c>
      <c r="BE164" s="274"/>
      <c r="BF164" s="274">
        <f t="shared" si="146"/>
        <v>9247</v>
      </c>
      <c r="BG164" s="274"/>
      <c r="BH164" s="274"/>
      <c r="BI164" s="266">
        <f t="shared" si="147"/>
        <v>2.9991002699190244E-4</v>
      </c>
      <c r="BJ164" s="266" t="e">
        <f t="shared" si="148"/>
        <v>#DIV/0!</v>
      </c>
      <c r="BK164" s="263" t="str">
        <f t="shared" si="149"/>
        <v/>
      </c>
      <c r="BL164" s="263" t="str">
        <f t="shared" si="150"/>
        <v/>
      </c>
      <c r="BM164" s="263" t="str">
        <f t="shared" si="151"/>
        <v/>
      </c>
      <c r="BN164" s="263"/>
      <c r="BO164" s="263" t="str">
        <f t="shared" si="152"/>
        <v/>
      </c>
      <c r="BP164" s="263" t="str">
        <f t="shared" si="153"/>
        <v/>
      </c>
      <c r="BQ164" s="263" t="str">
        <f t="shared" si="154"/>
        <v/>
      </c>
      <c r="BR164" s="263" t="str">
        <f t="shared" si="155"/>
        <v/>
      </c>
      <c r="BS164" s="263" t="str">
        <f t="shared" si="156"/>
        <v/>
      </c>
      <c r="BT164" s="263" t="str">
        <f t="shared" si="157"/>
        <v/>
      </c>
      <c r="BU164" s="263" t="str">
        <f t="shared" si="158"/>
        <v/>
      </c>
      <c r="BV164" s="263"/>
      <c r="BW164" s="263" t="str">
        <f t="shared" si="159"/>
        <v/>
      </c>
      <c r="BX164" s="263"/>
      <c r="BY164" s="263" t="str">
        <f t="shared" si="160"/>
        <v/>
      </c>
      <c r="BZ164" s="263"/>
      <c r="CA164" s="263">
        <f t="shared" si="112"/>
        <v>0</v>
      </c>
      <c r="CB164" s="263">
        <f t="shared" si="161"/>
        <v>0</v>
      </c>
      <c r="CC164" s="263">
        <f t="shared" si="113"/>
        <v>0.5</v>
      </c>
      <c r="CD164" s="263">
        <f t="shared" si="162"/>
        <v>0</v>
      </c>
      <c r="CE164" s="263">
        <f t="shared" si="167"/>
        <v>0</v>
      </c>
      <c r="CF164" s="263">
        <f t="shared" si="114"/>
        <v>0</v>
      </c>
      <c r="CG164" s="263">
        <f t="shared" si="115"/>
        <v>0.5</v>
      </c>
      <c r="CH164" s="263"/>
      <c r="CI164" s="263">
        <f t="shared" si="163"/>
        <v>0</v>
      </c>
      <c r="CJ164" s="263"/>
      <c r="CK164" s="263">
        <f t="shared" si="164"/>
        <v>0</v>
      </c>
      <c r="CL164" s="264">
        <f t="shared" si="169"/>
        <v>0</v>
      </c>
      <c r="CM164" s="264">
        <f t="shared" si="165"/>
        <v>2937</v>
      </c>
      <c r="CO164" s="265">
        <v>9.11E-2</v>
      </c>
      <c r="CP164" s="265">
        <v>9.1189999999999993E-2</v>
      </c>
      <c r="CQ164" s="265">
        <v>9.11E-2</v>
      </c>
      <c r="CS164" s="265">
        <v>9.2749999999999999E-2</v>
      </c>
      <c r="CT164" s="265">
        <v>9.2100000000000015E-2</v>
      </c>
      <c r="CU164" s="265">
        <v>9.6989999999999993E-2</v>
      </c>
      <c r="CV164" s="265">
        <v>9.9390000000000006E-2</v>
      </c>
      <c r="CW164" s="265">
        <v>9.8510000000000014E-2</v>
      </c>
      <c r="CY164" s="265">
        <v>0.1002</v>
      </c>
      <c r="DA164" s="265">
        <v>0.10400000000000001</v>
      </c>
      <c r="DC164" s="265">
        <v>0.10355</v>
      </c>
      <c r="DE164" s="265">
        <v>3.5000000000000003E-2</v>
      </c>
      <c r="DF164" s="265">
        <v>3.9100000000000003E-2</v>
      </c>
      <c r="DH164" s="265">
        <v>4.24E-2</v>
      </c>
      <c r="DI164" s="265">
        <v>4.4809999999999996E-2</v>
      </c>
      <c r="DJ164" s="265">
        <v>4.6180000000000006E-2</v>
      </c>
      <c r="DL164" s="265">
        <v>4.4999999999999998E-2</v>
      </c>
      <c r="DO164" s="264" t="e">
        <f t="shared" si="170"/>
        <v>#N/A</v>
      </c>
      <c r="DP164" s="264" t="e" cm="1">
        <f t="array" ref="DP164">+INDEX(AH164:AV164,MATCH(DO164,AH164:AV164,1)+1)</f>
        <v>#N/A</v>
      </c>
      <c r="DQ164" s="265" t="e">
        <f t="shared" si="171"/>
        <v>#N/A</v>
      </c>
      <c r="DR164" s="267" t="e">
        <f t="shared" si="172"/>
        <v>#N/A</v>
      </c>
      <c r="DS164" s="267" t="e">
        <f t="shared" si="173"/>
        <v>#N/A</v>
      </c>
      <c r="DT164" s="268">
        <f t="shared" si="174"/>
        <v>1883</v>
      </c>
      <c r="DU164" s="268" cm="1">
        <f t="array" ref="DU164">+INDEX(AX164:BF164,MATCH(DT164,AX164:BF164,1)+1)</f>
        <v>0</v>
      </c>
      <c r="DV164" s="267">
        <f t="shared" si="175"/>
        <v>0</v>
      </c>
      <c r="DW164" s="267" t="e">
        <f t="shared" si="176"/>
        <v>#N/A</v>
      </c>
      <c r="DX164" s="267" t="e">
        <f t="shared" si="177"/>
        <v>#N/A</v>
      </c>
      <c r="DY164" s="267">
        <f t="shared" si="178"/>
        <v>8.3499999999999991E-2</v>
      </c>
      <c r="DZ164" s="205" t="e">
        <f t="shared" si="108"/>
        <v>#N/A</v>
      </c>
      <c r="EA164" s="205">
        <f t="shared" si="109"/>
        <v>0</v>
      </c>
    </row>
    <row r="165" spans="2:131">
      <c r="B165" s="272">
        <v>45344</v>
      </c>
      <c r="C165" s="271">
        <v>45344</v>
      </c>
      <c r="D165" s="263" t="e">
        <f>+SUMIFS(Tabla6[Nominal COP],Tabla6[Concepto],COSTO_OPORTUNIDAD!$B$18,Tabla6[Nemotécnico],COSTO_OPORTUNIDAD!D$16,Tabla6[Fecha Cumplimiento y/ liquidacion],COSTO_OPORTUNIDAD!$C165)/+SUMIFS(Tabla6[Nominal COP],Tabla6[Concepto],COSTO_OPORTUNIDAD!$B$18,Tabla6[Fecha Cumplimiento y/ liquidacion],COSTO_OPORTUNIDAD!$C165)</f>
        <v>#DIV/0!</v>
      </c>
      <c r="E165" s="263" t="e">
        <f>+SUMIFS(Tabla6[Nominal COP],Tabla6[Concepto],COSTO_OPORTUNIDAD!$B$18,Tabla6[Nemotécnico],COSTO_OPORTUNIDAD!E$16,Tabla6[Fecha Cumplimiento y/ liquidacion],COSTO_OPORTUNIDAD!$C165)/+SUMIFS(Tabla6[Nominal COP],Tabla6[Concepto],COSTO_OPORTUNIDAD!$B$18,Tabla6[Fecha Cumplimiento y/ liquidacion],COSTO_OPORTUNIDAD!$C165)</f>
        <v>#DIV/0!</v>
      </c>
      <c r="F165" s="263"/>
      <c r="G165" s="263"/>
      <c r="H165" s="263">
        <v>0.18828451882845187</v>
      </c>
      <c r="I165" s="263"/>
      <c r="J165" s="263">
        <v>0</v>
      </c>
      <c r="K165" s="263">
        <v>0</v>
      </c>
      <c r="L165" s="263"/>
      <c r="M165" s="263">
        <v>0.33472803347280333</v>
      </c>
      <c r="N165" s="263"/>
      <c r="O165" s="263"/>
      <c r="P165" s="263">
        <v>0</v>
      </c>
      <c r="Q165" s="263"/>
      <c r="R165" s="263">
        <v>0.47698744769874479</v>
      </c>
      <c r="S165" s="263"/>
      <c r="T165" s="263">
        <v>0</v>
      </c>
      <c r="U165" s="263"/>
      <c r="V165" s="263">
        <v>0</v>
      </c>
      <c r="W165" s="263">
        <v>0</v>
      </c>
      <c r="X165" s="263">
        <v>0</v>
      </c>
      <c r="Y165" s="263"/>
      <c r="Z165" s="263">
        <v>0</v>
      </c>
      <c r="AA165" s="263">
        <v>0</v>
      </c>
      <c r="AB165" s="263">
        <v>0</v>
      </c>
      <c r="AC165" s="263"/>
      <c r="AD165" s="263">
        <v>0</v>
      </c>
      <c r="AE165" s="263"/>
      <c r="AF165" s="263"/>
      <c r="AG165" s="262"/>
      <c r="AH165" s="274">
        <f t="shared" si="130"/>
        <v>916</v>
      </c>
      <c r="AI165" s="274">
        <f t="shared" si="131"/>
        <v>1350</v>
      </c>
      <c r="AJ165" s="274">
        <f t="shared" si="132"/>
        <v>1527</v>
      </c>
      <c r="AK165" s="274">
        <f t="shared" si="127"/>
        <v>2008</v>
      </c>
      <c r="AL165" s="274">
        <f t="shared" si="133"/>
        <v>2400</v>
      </c>
      <c r="AM165" s="274">
        <f t="shared" si="134"/>
        <v>2589</v>
      </c>
      <c r="AN165" s="274">
        <f t="shared" si="135"/>
        <v>3051</v>
      </c>
      <c r="AO165" s="274">
        <f t="shared" si="168"/>
        <v>3275</v>
      </c>
      <c r="AP165" s="274">
        <f t="shared" si="136"/>
        <v>3891</v>
      </c>
      <c r="AQ165" s="274"/>
      <c r="AR165" s="274">
        <f t="shared" si="137"/>
        <v>4521</v>
      </c>
      <c r="AS165" s="274">
        <f t="shared" si="128"/>
        <v>6124</v>
      </c>
      <c r="AT165" s="274">
        <f t="shared" si="138"/>
        <v>6670</v>
      </c>
      <c r="AU165" s="274"/>
      <c r="AV165" s="274">
        <f t="shared" si="139"/>
        <v>9743</v>
      </c>
      <c r="AW165" s="274"/>
      <c r="AX165" s="274">
        <f t="shared" si="140"/>
        <v>440</v>
      </c>
      <c r="AY165" s="274">
        <f t="shared" si="141"/>
        <v>1119</v>
      </c>
      <c r="AZ165" s="274">
        <f t="shared" si="142"/>
        <v>1882</v>
      </c>
      <c r="BA165" s="274"/>
      <c r="BB165" s="274">
        <f t="shared" si="143"/>
        <v>3319</v>
      </c>
      <c r="BC165" s="274">
        <f t="shared" si="144"/>
        <v>4059</v>
      </c>
      <c r="BD165" s="274">
        <f t="shared" si="145"/>
        <v>4752</v>
      </c>
      <c r="BE165" s="274"/>
      <c r="BF165" s="274">
        <f t="shared" si="146"/>
        <v>9246</v>
      </c>
      <c r="BG165" s="274"/>
      <c r="BH165" s="274"/>
      <c r="BI165" s="266">
        <f t="shared" si="147"/>
        <v>0</v>
      </c>
      <c r="BJ165" s="266" t="e">
        <f t="shared" si="148"/>
        <v>#DIV/0!</v>
      </c>
      <c r="BK165" s="263" t="str">
        <f t="shared" si="149"/>
        <v/>
      </c>
      <c r="BL165" s="263" t="str">
        <f t="shared" si="150"/>
        <v/>
      </c>
      <c r="BM165" s="263" t="str">
        <f t="shared" si="151"/>
        <v/>
      </c>
      <c r="BN165" s="263"/>
      <c r="BO165" s="263" t="str">
        <f t="shared" si="152"/>
        <v/>
      </c>
      <c r="BP165" s="263" t="str">
        <f t="shared" si="153"/>
        <v/>
      </c>
      <c r="BQ165" s="263" t="str">
        <f t="shared" si="154"/>
        <v/>
      </c>
      <c r="BR165" s="263" t="str">
        <f t="shared" si="155"/>
        <v/>
      </c>
      <c r="BS165" s="263" t="str">
        <f t="shared" si="156"/>
        <v/>
      </c>
      <c r="BT165" s="263" t="str">
        <f t="shared" si="157"/>
        <v/>
      </c>
      <c r="BU165" s="263" t="str">
        <f t="shared" si="158"/>
        <v/>
      </c>
      <c r="BV165" s="263"/>
      <c r="BW165" s="263" t="str">
        <f t="shared" si="159"/>
        <v/>
      </c>
      <c r="BX165" s="263"/>
      <c r="BY165" s="263" t="str">
        <f t="shared" si="160"/>
        <v/>
      </c>
      <c r="BZ165" s="263"/>
      <c r="CA165" s="263" t="str">
        <f t="shared" si="112"/>
        <v/>
      </c>
      <c r="CB165" s="263" t="str">
        <f t="shared" si="161"/>
        <v/>
      </c>
      <c r="CC165" s="263" t="str">
        <f t="shared" si="113"/>
        <v/>
      </c>
      <c r="CD165" s="263" t="str">
        <f t="shared" si="162"/>
        <v/>
      </c>
      <c r="CE165" s="263" t="str">
        <f t="shared" si="167"/>
        <v/>
      </c>
      <c r="CF165" s="263" t="str">
        <f t="shared" si="114"/>
        <v/>
      </c>
      <c r="CG165" s="263" t="str">
        <f t="shared" si="115"/>
        <v/>
      </c>
      <c r="CH165" s="263"/>
      <c r="CI165" s="263" t="str">
        <f t="shared" si="163"/>
        <v/>
      </c>
      <c r="CJ165" s="263"/>
      <c r="CK165" s="263" t="str">
        <f t="shared" si="164"/>
        <v/>
      </c>
      <c r="CL165" s="264">
        <f t="shared" si="169"/>
        <v>0</v>
      </c>
      <c r="CM165" s="264">
        <f t="shared" si="165"/>
        <v>0</v>
      </c>
      <c r="CO165" s="265">
        <v>9.1170000000000015E-2</v>
      </c>
      <c r="CP165" s="265">
        <v>9.1209999999999999E-2</v>
      </c>
      <c r="CQ165" s="265">
        <v>9.1400000000000009E-2</v>
      </c>
      <c r="CS165" s="265">
        <v>9.3569999999999987E-2</v>
      </c>
      <c r="CT165" s="265">
        <v>9.4E-2</v>
      </c>
      <c r="CU165" s="265">
        <v>9.7309999999999994E-2</v>
      </c>
      <c r="CV165" s="265">
        <v>9.9739999999999995E-2</v>
      </c>
      <c r="CW165" s="265">
        <v>0.10023</v>
      </c>
      <c r="CY165" s="265">
        <v>0.10003999999999999</v>
      </c>
      <c r="DA165" s="265">
        <v>0.10439999999999999</v>
      </c>
      <c r="DC165" s="265">
        <v>0.10391</v>
      </c>
      <c r="DE165" s="265">
        <v>3.5979999999999998E-2</v>
      </c>
      <c r="DF165" s="265">
        <v>3.9699999999999999E-2</v>
      </c>
      <c r="DH165" s="265">
        <v>4.24E-2</v>
      </c>
      <c r="DI165" s="265">
        <v>4.4900000000000002E-2</v>
      </c>
      <c r="DJ165" s="265">
        <v>4.614E-2</v>
      </c>
      <c r="DL165" s="265">
        <v>4.5250000000000005E-2</v>
      </c>
      <c r="DO165" s="264" t="e">
        <f t="shared" si="170"/>
        <v>#N/A</v>
      </c>
      <c r="DP165" s="264" t="e" cm="1">
        <f t="array" ref="DP165">+INDEX(AH165:AV165,MATCH(DO165,AH165:AV165,1)+1)</f>
        <v>#N/A</v>
      </c>
      <c r="DQ165" s="265" t="e">
        <f t="shared" si="171"/>
        <v>#N/A</v>
      </c>
      <c r="DR165" s="267" t="e">
        <f t="shared" si="172"/>
        <v>#N/A</v>
      </c>
      <c r="DS165" s="267" t="e">
        <f t="shared" si="173"/>
        <v>#N/A</v>
      </c>
      <c r="DT165" s="268" t="e">
        <f t="shared" si="174"/>
        <v>#N/A</v>
      </c>
      <c r="DU165" s="268" t="e" cm="1">
        <f t="array" ref="DU165">+INDEX(AX165:BF165,MATCH(DT165,AX165:BF165,1)+1)</f>
        <v>#N/A</v>
      </c>
      <c r="DV165" s="267" t="e">
        <f t="shared" si="175"/>
        <v>#N/A</v>
      </c>
      <c r="DW165" s="267" t="e">
        <f t="shared" si="176"/>
        <v>#N/A</v>
      </c>
      <c r="DX165" s="267" t="e">
        <f t="shared" si="177"/>
        <v>#N/A</v>
      </c>
      <c r="DY165" s="267">
        <f t="shared" si="178"/>
        <v>8.3499999999999991E-2</v>
      </c>
      <c r="DZ165" s="205" t="e">
        <f t="shared" si="108"/>
        <v>#N/A</v>
      </c>
      <c r="EA165" s="205">
        <f t="shared" si="109"/>
        <v>0</v>
      </c>
    </row>
    <row r="166" spans="2:131">
      <c r="B166" s="272">
        <v>45345</v>
      </c>
      <c r="C166" s="271">
        <v>45345</v>
      </c>
      <c r="D166" s="263" t="e">
        <f>+SUMIFS(Tabla6[Nominal COP],Tabla6[Concepto],COSTO_OPORTUNIDAD!$B$18,Tabla6[Nemotécnico],COSTO_OPORTUNIDAD!D$16,Tabla6[Fecha Cumplimiento y/ liquidacion],COSTO_OPORTUNIDAD!$C166)/+SUMIFS(Tabla6[Nominal COP],Tabla6[Concepto],COSTO_OPORTUNIDAD!$B$18,Tabla6[Fecha Cumplimiento y/ liquidacion],COSTO_OPORTUNIDAD!$C166)</f>
        <v>#DIV/0!</v>
      </c>
      <c r="E166" s="263" t="e">
        <f>+SUMIFS(Tabla6[Nominal COP],Tabla6[Concepto],COSTO_OPORTUNIDAD!$B$18,Tabla6[Nemotécnico],COSTO_OPORTUNIDAD!E$16,Tabla6[Fecha Cumplimiento y/ liquidacion],COSTO_OPORTUNIDAD!$C166)/+SUMIFS(Tabla6[Nominal COP],Tabla6[Concepto],COSTO_OPORTUNIDAD!$B$18,Tabla6[Fecha Cumplimiento y/ liquidacion],COSTO_OPORTUNIDAD!$C166)</f>
        <v>#DIV/0!</v>
      </c>
      <c r="F166" s="263"/>
      <c r="G166" s="263"/>
      <c r="H166" s="263">
        <v>0.14423076923076922</v>
      </c>
      <c r="I166" s="263"/>
      <c r="J166" s="263">
        <v>0</v>
      </c>
      <c r="K166" s="263">
        <v>0</v>
      </c>
      <c r="L166" s="263"/>
      <c r="M166" s="263">
        <v>0.23076923076923078</v>
      </c>
      <c r="N166" s="263"/>
      <c r="O166" s="263"/>
      <c r="P166" s="263">
        <v>0</v>
      </c>
      <c r="Q166" s="263"/>
      <c r="R166" s="263">
        <v>0.625</v>
      </c>
      <c r="S166" s="263"/>
      <c r="T166" s="263">
        <v>0</v>
      </c>
      <c r="U166" s="263"/>
      <c r="V166" s="263">
        <v>0</v>
      </c>
      <c r="W166" s="263">
        <v>0</v>
      </c>
      <c r="X166" s="263">
        <v>0</v>
      </c>
      <c r="Y166" s="263"/>
      <c r="Z166" s="263">
        <v>0</v>
      </c>
      <c r="AA166" s="263">
        <v>0</v>
      </c>
      <c r="AB166" s="263">
        <v>0</v>
      </c>
      <c r="AC166" s="263"/>
      <c r="AD166" s="263">
        <v>0</v>
      </c>
      <c r="AE166" s="263"/>
      <c r="AF166" s="263"/>
      <c r="AG166" s="262"/>
      <c r="AH166" s="274">
        <f t="shared" si="130"/>
        <v>915</v>
      </c>
      <c r="AI166" s="274">
        <f t="shared" si="131"/>
        <v>1349</v>
      </c>
      <c r="AJ166" s="274">
        <f t="shared" si="132"/>
        <v>1526</v>
      </c>
      <c r="AK166" s="274">
        <f t="shared" si="127"/>
        <v>2007</v>
      </c>
      <c r="AL166" s="274">
        <f t="shared" si="133"/>
        <v>2399</v>
      </c>
      <c r="AM166" s="274">
        <f t="shared" si="134"/>
        <v>2588</v>
      </c>
      <c r="AN166" s="274">
        <f t="shared" si="135"/>
        <v>3050</v>
      </c>
      <c r="AO166" s="274">
        <f t="shared" si="168"/>
        <v>3274</v>
      </c>
      <c r="AP166" s="274">
        <f t="shared" si="136"/>
        <v>3890</v>
      </c>
      <c r="AQ166" s="274"/>
      <c r="AR166" s="274">
        <f t="shared" si="137"/>
        <v>4520</v>
      </c>
      <c r="AS166" s="274">
        <f t="shared" si="128"/>
        <v>6123</v>
      </c>
      <c r="AT166" s="274">
        <f t="shared" si="138"/>
        <v>6669</v>
      </c>
      <c r="AU166" s="274"/>
      <c r="AV166" s="274">
        <f t="shared" si="139"/>
        <v>9742</v>
      </c>
      <c r="AW166" s="274"/>
      <c r="AX166" s="274">
        <f t="shared" si="140"/>
        <v>439</v>
      </c>
      <c r="AY166" s="274">
        <f t="shared" si="141"/>
        <v>1118</v>
      </c>
      <c r="AZ166" s="274">
        <f t="shared" si="142"/>
        <v>1881</v>
      </c>
      <c r="BA166" s="274"/>
      <c r="BB166" s="274">
        <f t="shared" si="143"/>
        <v>3318</v>
      </c>
      <c r="BC166" s="274">
        <f t="shared" si="144"/>
        <v>4058</v>
      </c>
      <c r="BD166" s="274">
        <f t="shared" si="145"/>
        <v>4751</v>
      </c>
      <c r="BE166" s="274"/>
      <c r="BF166" s="274">
        <f t="shared" si="146"/>
        <v>9245</v>
      </c>
      <c r="BG166" s="274"/>
      <c r="BH166" s="274"/>
      <c r="BI166" s="266">
        <f t="shared" si="147"/>
        <v>0</v>
      </c>
      <c r="BJ166" s="266" t="e">
        <f t="shared" si="148"/>
        <v>#DIV/0!</v>
      </c>
      <c r="BK166" s="263" t="str">
        <f t="shared" si="149"/>
        <v/>
      </c>
      <c r="BL166" s="263" t="str">
        <f t="shared" si="150"/>
        <v/>
      </c>
      <c r="BM166" s="263" t="str">
        <f t="shared" si="151"/>
        <v/>
      </c>
      <c r="BN166" s="263"/>
      <c r="BO166" s="263" t="str">
        <f t="shared" si="152"/>
        <v/>
      </c>
      <c r="BP166" s="263" t="str">
        <f t="shared" si="153"/>
        <v/>
      </c>
      <c r="BQ166" s="263" t="str">
        <f t="shared" si="154"/>
        <v/>
      </c>
      <c r="BR166" s="263" t="str">
        <f t="shared" si="155"/>
        <v/>
      </c>
      <c r="BS166" s="263" t="str">
        <f t="shared" si="156"/>
        <v/>
      </c>
      <c r="BT166" s="263" t="str">
        <f t="shared" si="157"/>
        <v/>
      </c>
      <c r="BU166" s="263" t="str">
        <f t="shared" si="158"/>
        <v/>
      </c>
      <c r="BV166" s="263"/>
      <c r="BW166" s="263" t="str">
        <f t="shared" si="159"/>
        <v/>
      </c>
      <c r="BX166" s="263"/>
      <c r="BY166" s="263" t="str">
        <f t="shared" si="160"/>
        <v/>
      </c>
      <c r="BZ166" s="263"/>
      <c r="CA166" s="263" t="str">
        <f t="shared" si="112"/>
        <v/>
      </c>
      <c r="CB166" s="263" t="str">
        <f t="shared" si="161"/>
        <v/>
      </c>
      <c r="CC166" s="263" t="str">
        <f t="shared" si="113"/>
        <v/>
      </c>
      <c r="CD166" s="263" t="str">
        <f t="shared" si="162"/>
        <v/>
      </c>
      <c r="CE166" s="263" t="str">
        <f t="shared" si="167"/>
        <v/>
      </c>
      <c r="CF166" s="263" t="str">
        <f t="shared" si="114"/>
        <v/>
      </c>
      <c r="CG166" s="263" t="str">
        <f t="shared" si="115"/>
        <v/>
      </c>
      <c r="CH166" s="263"/>
      <c r="CI166" s="263" t="str">
        <f t="shared" si="163"/>
        <v/>
      </c>
      <c r="CJ166" s="263"/>
      <c r="CK166" s="263" t="str">
        <f t="shared" si="164"/>
        <v/>
      </c>
      <c r="CL166" s="264">
        <f t="shared" si="169"/>
        <v>0</v>
      </c>
      <c r="CM166" s="264">
        <f t="shared" si="165"/>
        <v>0</v>
      </c>
      <c r="CO166" s="265">
        <v>9.1150000000000009E-2</v>
      </c>
      <c r="CP166" s="265">
        <v>9.1489999999999988E-2</v>
      </c>
      <c r="CQ166" s="265">
        <v>9.1499999999999998E-2</v>
      </c>
      <c r="CS166" s="265">
        <v>9.3490000000000004E-2</v>
      </c>
      <c r="CT166" s="265">
        <v>9.4E-2</v>
      </c>
      <c r="CU166" s="265">
        <v>9.7470000000000001E-2</v>
      </c>
      <c r="CV166" s="265">
        <v>9.9429999999999991E-2</v>
      </c>
      <c r="CW166" s="265">
        <v>9.9710000000000007E-2</v>
      </c>
      <c r="CY166" s="265">
        <v>0.10079</v>
      </c>
      <c r="DA166" s="265">
        <v>0.10439</v>
      </c>
      <c r="DC166" s="265">
        <v>0.10375999999999999</v>
      </c>
      <c r="DE166" s="265">
        <v>3.7499999999999999E-2</v>
      </c>
      <c r="DF166" s="265">
        <v>4.0629999999999999E-2</v>
      </c>
      <c r="DH166" s="265">
        <v>4.4320000000000005E-2</v>
      </c>
      <c r="DI166" s="265">
        <v>4.5999999999999999E-2</v>
      </c>
      <c r="DJ166" s="265">
        <v>4.6870000000000002E-2</v>
      </c>
      <c r="DL166" s="265">
        <v>4.5599999999999995E-2</v>
      </c>
      <c r="DO166" s="264" t="e">
        <f t="shared" si="170"/>
        <v>#N/A</v>
      </c>
      <c r="DP166" s="264" t="e" cm="1">
        <f t="array" ref="DP166">+INDEX(AH166:AV166,MATCH(DO166,AH166:AV166,1)+1)</f>
        <v>#N/A</v>
      </c>
      <c r="DQ166" s="265" t="e">
        <f t="shared" si="171"/>
        <v>#N/A</v>
      </c>
      <c r="DR166" s="267" t="e">
        <f t="shared" si="172"/>
        <v>#N/A</v>
      </c>
      <c r="DS166" s="267" t="e">
        <f t="shared" si="173"/>
        <v>#N/A</v>
      </c>
      <c r="DT166" s="268" t="e">
        <f t="shared" si="174"/>
        <v>#N/A</v>
      </c>
      <c r="DU166" s="268" t="e" cm="1">
        <f t="array" ref="DU166">+INDEX(AX166:BF166,MATCH(DT166,AX166:BF166,1)+1)</f>
        <v>#N/A</v>
      </c>
      <c r="DV166" s="267" t="e">
        <f t="shared" si="175"/>
        <v>#N/A</v>
      </c>
      <c r="DW166" s="267" t="e">
        <f t="shared" si="176"/>
        <v>#N/A</v>
      </c>
      <c r="DX166" s="267" t="e">
        <f t="shared" si="177"/>
        <v>#N/A</v>
      </c>
      <c r="DY166" s="267">
        <f t="shared" si="178"/>
        <v>8.3499999999999991E-2</v>
      </c>
      <c r="DZ166" s="205" t="e">
        <f t="shared" si="108"/>
        <v>#N/A</v>
      </c>
      <c r="EA166" s="205">
        <f t="shared" si="109"/>
        <v>0</v>
      </c>
    </row>
    <row r="167" spans="2:131">
      <c r="B167" s="272">
        <v>45348</v>
      </c>
      <c r="C167" s="271">
        <v>45348</v>
      </c>
      <c r="D167" s="263" t="e">
        <f>+SUMIFS(Tabla6[Nominal COP],Tabla6[Concepto],COSTO_OPORTUNIDAD!$B$18,Tabla6[Nemotécnico],COSTO_OPORTUNIDAD!D$16,Tabla6[Fecha Cumplimiento y/ liquidacion],COSTO_OPORTUNIDAD!$C167)/+SUMIFS(Tabla6[Nominal COP],Tabla6[Concepto],COSTO_OPORTUNIDAD!$B$18,Tabla6[Fecha Cumplimiento y/ liquidacion],COSTO_OPORTUNIDAD!$C167)</f>
        <v>#DIV/0!</v>
      </c>
      <c r="E167" s="263" t="e">
        <f>+SUMIFS(Tabla6[Nominal COP],Tabla6[Concepto],COSTO_OPORTUNIDAD!$B$18,Tabla6[Nemotécnico],COSTO_OPORTUNIDAD!E$16,Tabla6[Fecha Cumplimiento y/ liquidacion],COSTO_OPORTUNIDAD!$C167)/+SUMIFS(Tabla6[Nominal COP],Tabla6[Concepto],COSTO_OPORTUNIDAD!$B$18,Tabla6[Fecha Cumplimiento y/ liquidacion],COSTO_OPORTUNIDAD!$C167)</f>
        <v>#DIV/0!</v>
      </c>
      <c r="F167" s="263"/>
      <c r="G167" s="263"/>
      <c r="H167" s="263">
        <v>0</v>
      </c>
      <c r="I167" s="263"/>
      <c r="J167" s="263">
        <v>0</v>
      </c>
      <c r="K167" s="263">
        <v>0</v>
      </c>
      <c r="L167" s="263"/>
      <c r="M167" s="263">
        <v>0.28949093292549705</v>
      </c>
      <c r="N167" s="263"/>
      <c r="O167" s="263"/>
      <c r="P167" s="263">
        <v>0</v>
      </c>
      <c r="Q167" s="263"/>
      <c r="R167" s="263">
        <v>0.71007209962857765</v>
      </c>
      <c r="S167" s="263"/>
      <c r="T167" s="263">
        <v>0</v>
      </c>
      <c r="U167" s="263"/>
      <c r="V167" s="263">
        <v>0</v>
      </c>
      <c r="W167" s="263">
        <v>0</v>
      </c>
      <c r="X167" s="263">
        <v>2.1848372296263927E-4</v>
      </c>
      <c r="Y167" s="263"/>
      <c r="Z167" s="263">
        <v>0</v>
      </c>
      <c r="AA167" s="263">
        <v>0</v>
      </c>
      <c r="AB167" s="263">
        <v>2.1848372296263927E-4</v>
      </c>
      <c r="AC167" s="263"/>
      <c r="AD167" s="263">
        <v>0</v>
      </c>
      <c r="AE167" s="263"/>
      <c r="AF167" s="263"/>
      <c r="AG167" s="262"/>
      <c r="AH167" s="274">
        <f t="shared" si="130"/>
        <v>912</v>
      </c>
      <c r="AI167" s="274">
        <f t="shared" si="131"/>
        <v>1346</v>
      </c>
      <c r="AJ167" s="274">
        <f t="shared" si="132"/>
        <v>1523</v>
      </c>
      <c r="AK167" s="274">
        <f t="shared" si="127"/>
        <v>2004</v>
      </c>
      <c r="AL167" s="274">
        <f t="shared" si="133"/>
        <v>2396</v>
      </c>
      <c r="AM167" s="274">
        <f t="shared" si="134"/>
        <v>2585</v>
      </c>
      <c r="AN167" s="274">
        <f t="shared" si="135"/>
        <v>3047</v>
      </c>
      <c r="AO167" s="274">
        <f t="shared" si="168"/>
        <v>3271</v>
      </c>
      <c r="AP167" s="274">
        <f t="shared" si="136"/>
        <v>3887</v>
      </c>
      <c r="AQ167" s="274"/>
      <c r="AR167" s="274">
        <f t="shared" si="137"/>
        <v>4517</v>
      </c>
      <c r="AS167" s="274">
        <f t="shared" si="128"/>
        <v>6120</v>
      </c>
      <c r="AT167" s="274">
        <f t="shared" si="138"/>
        <v>6666</v>
      </c>
      <c r="AU167" s="274"/>
      <c r="AV167" s="274">
        <f t="shared" si="139"/>
        <v>9739</v>
      </c>
      <c r="AW167" s="274"/>
      <c r="AX167" s="274">
        <f t="shared" si="140"/>
        <v>436</v>
      </c>
      <c r="AY167" s="274">
        <f t="shared" si="141"/>
        <v>1115</v>
      </c>
      <c r="AZ167" s="274">
        <f t="shared" si="142"/>
        <v>1878</v>
      </c>
      <c r="BA167" s="274"/>
      <c r="BB167" s="274">
        <f t="shared" si="143"/>
        <v>3315</v>
      </c>
      <c r="BC167" s="274">
        <f t="shared" si="144"/>
        <v>4055</v>
      </c>
      <c r="BD167" s="274">
        <f t="shared" si="145"/>
        <v>4748</v>
      </c>
      <c r="BE167" s="274"/>
      <c r="BF167" s="274">
        <f t="shared" si="146"/>
        <v>9242</v>
      </c>
      <c r="BG167" s="274"/>
      <c r="BH167" s="274"/>
      <c r="BI167" s="266">
        <f t="shared" si="147"/>
        <v>4.3696744592527855E-4</v>
      </c>
      <c r="BJ167" s="266" t="e">
        <f t="shared" si="148"/>
        <v>#DIV/0!</v>
      </c>
      <c r="BK167" s="263" t="str">
        <f t="shared" si="149"/>
        <v/>
      </c>
      <c r="BL167" s="263" t="str">
        <f t="shared" si="150"/>
        <v/>
      </c>
      <c r="BM167" s="263" t="str">
        <f t="shared" si="151"/>
        <v/>
      </c>
      <c r="BN167" s="263"/>
      <c r="BO167" s="263" t="str">
        <f t="shared" si="152"/>
        <v/>
      </c>
      <c r="BP167" s="263" t="str">
        <f t="shared" si="153"/>
        <v/>
      </c>
      <c r="BQ167" s="263" t="str">
        <f t="shared" si="154"/>
        <v/>
      </c>
      <c r="BR167" s="263" t="str">
        <f t="shared" si="155"/>
        <v/>
      </c>
      <c r="BS167" s="263" t="str">
        <f t="shared" si="156"/>
        <v/>
      </c>
      <c r="BT167" s="263" t="str">
        <f t="shared" si="157"/>
        <v/>
      </c>
      <c r="BU167" s="263" t="str">
        <f t="shared" si="158"/>
        <v/>
      </c>
      <c r="BV167" s="263"/>
      <c r="BW167" s="263" t="str">
        <f t="shared" si="159"/>
        <v/>
      </c>
      <c r="BX167" s="263"/>
      <c r="BY167" s="263" t="str">
        <f t="shared" si="160"/>
        <v/>
      </c>
      <c r="BZ167" s="263"/>
      <c r="CA167" s="263">
        <f t="shared" si="112"/>
        <v>0</v>
      </c>
      <c r="CB167" s="263">
        <f t="shared" si="161"/>
        <v>0</v>
      </c>
      <c r="CC167" s="263">
        <f t="shared" si="113"/>
        <v>0.5</v>
      </c>
      <c r="CD167" s="263">
        <f t="shared" si="162"/>
        <v>0</v>
      </c>
      <c r="CE167" s="263">
        <f t="shared" si="167"/>
        <v>0</v>
      </c>
      <c r="CF167" s="263">
        <f t="shared" si="114"/>
        <v>0</v>
      </c>
      <c r="CG167" s="263">
        <f t="shared" si="115"/>
        <v>0.5</v>
      </c>
      <c r="CH167" s="263"/>
      <c r="CI167" s="263">
        <f t="shared" si="163"/>
        <v>0</v>
      </c>
      <c r="CJ167" s="263"/>
      <c r="CK167" s="263">
        <f t="shared" si="164"/>
        <v>0</v>
      </c>
      <c r="CL167" s="264">
        <f t="shared" si="169"/>
        <v>0</v>
      </c>
      <c r="CM167" s="264">
        <f t="shared" si="165"/>
        <v>2932</v>
      </c>
      <c r="CO167" s="265">
        <v>9.1209999999999999E-2</v>
      </c>
      <c r="CP167" s="265">
        <v>9.1549999999999992E-2</v>
      </c>
      <c r="CQ167" s="265">
        <v>9.1630000000000003E-2</v>
      </c>
      <c r="CS167" s="265">
        <v>9.3689999999999996E-2</v>
      </c>
      <c r="CT167" s="265">
        <v>9.4E-2</v>
      </c>
      <c r="CU167" s="265">
        <v>9.7850000000000006E-2</v>
      </c>
      <c r="CV167" s="265">
        <v>0.10009</v>
      </c>
      <c r="CW167" s="265">
        <v>0.10050000000000001</v>
      </c>
      <c r="CY167" s="265">
        <v>0.10149</v>
      </c>
      <c r="DA167" s="265">
        <v>0.10515000000000001</v>
      </c>
      <c r="DC167" s="265">
        <v>0.10465999999999999</v>
      </c>
      <c r="DE167" s="265">
        <v>3.8100000000000002E-2</v>
      </c>
      <c r="DF167" s="265">
        <v>4.1489999999999999E-2</v>
      </c>
      <c r="DH167" s="265">
        <v>4.4500000000000005E-2</v>
      </c>
      <c r="DI167" s="265">
        <v>4.6280000000000002E-2</v>
      </c>
      <c r="DJ167" s="265">
        <v>4.7100000000000003E-2</v>
      </c>
      <c r="DL167" s="265">
        <v>4.5700000000000005E-2</v>
      </c>
      <c r="DO167" s="264" t="e">
        <f t="shared" si="170"/>
        <v>#N/A</v>
      </c>
      <c r="DP167" s="264" t="e" cm="1">
        <f t="array" ref="DP167">+INDEX(AH167:AV167,MATCH(DO167,AH167:AV167,1)+1)</f>
        <v>#N/A</v>
      </c>
      <c r="DQ167" s="265" t="e">
        <f t="shared" si="171"/>
        <v>#N/A</v>
      </c>
      <c r="DR167" s="267" t="e">
        <f t="shared" si="172"/>
        <v>#N/A</v>
      </c>
      <c r="DS167" s="267" t="e">
        <f t="shared" si="173"/>
        <v>#N/A</v>
      </c>
      <c r="DT167" s="268">
        <f t="shared" si="174"/>
        <v>1878</v>
      </c>
      <c r="DU167" s="268" cm="1">
        <f t="array" ref="DU167">+INDEX(AX167:BF167,MATCH(DT167,AX167:BF167,1)+1)</f>
        <v>0</v>
      </c>
      <c r="DV167" s="267">
        <f t="shared" si="175"/>
        <v>0</v>
      </c>
      <c r="DW167" s="267" t="e">
        <f t="shared" si="176"/>
        <v>#N/A</v>
      </c>
      <c r="DX167" s="267" t="e">
        <f t="shared" si="177"/>
        <v>#N/A</v>
      </c>
      <c r="DY167" s="267">
        <f t="shared" si="178"/>
        <v>8.3499999999999991E-2</v>
      </c>
      <c r="DZ167" s="205" t="e">
        <f t="shared" si="108"/>
        <v>#N/A</v>
      </c>
      <c r="EA167" s="205">
        <f t="shared" si="109"/>
        <v>0</v>
      </c>
    </row>
    <row r="168" spans="2:131">
      <c r="B168" s="272">
        <v>45349</v>
      </c>
      <c r="C168" s="271">
        <v>45349</v>
      </c>
      <c r="D168" s="263" t="e">
        <f>+SUMIFS(Tabla6[Nominal COP],Tabla6[Concepto],COSTO_OPORTUNIDAD!$B$18,Tabla6[Nemotécnico],COSTO_OPORTUNIDAD!D$16,Tabla6[Fecha Cumplimiento y/ liquidacion],COSTO_OPORTUNIDAD!$C168)/+SUMIFS(Tabla6[Nominal COP],Tabla6[Concepto],COSTO_OPORTUNIDAD!$B$18,Tabla6[Fecha Cumplimiento y/ liquidacion],COSTO_OPORTUNIDAD!$C168)</f>
        <v>#DIV/0!</v>
      </c>
      <c r="E168" s="263" t="e">
        <f>+SUMIFS(Tabla6[Nominal COP],Tabla6[Concepto],COSTO_OPORTUNIDAD!$B$18,Tabla6[Nemotécnico],COSTO_OPORTUNIDAD!E$16,Tabla6[Fecha Cumplimiento y/ liquidacion],COSTO_OPORTUNIDAD!$C168)/+SUMIFS(Tabla6[Nominal COP],Tabla6[Concepto],COSTO_OPORTUNIDAD!$B$18,Tabla6[Fecha Cumplimiento y/ liquidacion],COSTO_OPORTUNIDAD!$C168)</f>
        <v>#DIV/0!</v>
      </c>
      <c r="F168" s="263"/>
      <c r="G168" s="263"/>
      <c r="H168" s="263">
        <v>0.13258541560428352</v>
      </c>
      <c r="I168" s="263"/>
      <c r="J168" s="263">
        <v>0</v>
      </c>
      <c r="K168" s="263">
        <v>0</v>
      </c>
      <c r="L168" s="263"/>
      <c r="M168" s="263">
        <v>0.30596634370219278</v>
      </c>
      <c r="N168" s="263"/>
      <c r="O168" s="263"/>
      <c r="P168" s="263">
        <v>0</v>
      </c>
      <c r="Q168" s="263"/>
      <c r="R168" s="263">
        <v>0.56093829678735341</v>
      </c>
      <c r="S168" s="263"/>
      <c r="T168" s="263">
        <v>0</v>
      </c>
      <c r="U168" s="263"/>
      <c r="V168" s="263">
        <v>0</v>
      </c>
      <c r="W168" s="263">
        <v>0</v>
      </c>
      <c r="X168" s="263">
        <v>2.5497195308516065E-4</v>
      </c>
      <c r="Y168" s="263"/>
      <c r="Z168" s="263">
        <v>0</v>
      </c>
      <c r="AA168" s="263">
        <v>0</v>
      </c>
      <c r="AB168" s="263">
        <v>2.5497195308516065E-4</v>
      </c>
      <c r="AC168" s="263"/>
      <c r="AD168" s="263">
        <v>0</v>
      </c>
      <c r="AE168" s="263"/>
      <c r="AF168" s="263"/>
      <c r="AG168" s="262"/>
      <c r="AH168" s="274">
        <f t="shared" si="130"/>
        <v>911</v>
      </c>
      <c r="AI168" s="274">
        <f t="shared" si="131"/>
        <v>1345</v>
      </c>
      <c r="AJ168" s="274">
        <f t="shared" si="132"/>
        <v>1522</v>
      </c>
      <c r="AK168" s="274">
        <f t="shared" si="127"/>
        <v>2003</v>
      </c>
      <c r="AL168" s="274">
        <f t="shared" si="133"/>
        <v>2395</v>
      </c>
      <c r="AM168" s="274">
        <f t="shared" si="134"/>
        <v>2584</v>
      </c>
      <c r="AN168" s="274">
        <f t="shared" si="135"/>
        <v>3046</v>
      </c>
      <c r="AO168" s="274">
        <f t="shared" si="168"/>
        <v>3270</v>
      </c>
      <c r="AP168" s="274">
        <f t="shared" si="136"/>
        <v>3886</v>
      </c>
      <c r="AQ168" s="274"/>
      <c r="AR168" s="274">
        <f t="shared" si="137"/>
        <v>4516</v>
      </c>
      <c r="AS168" s="274">
        <f t="shared" si="128"/>
        <v>6119</v>
      </c>
      <c r="AT168" s="274">
        <f t="shared" si="138"/>
        <v>6665</v>
      </c>
      <c r="AU168" s="274"/>
      <c r="AV168" s="274">
        <f t="shared" si="139"/>
        <v>9738</v>
      </c>
      <c r="AW168" s="274"/>
      <c r="AX168" s="274">
        <f t="shared" si="140"/>
        <v>435</v>
      </c>
      <c r="AY168" s="274">
        <f t="shared" si="141"/>
        <v>1114</v>
      </c>
      <c r="AZ168" s="274">
        <f t="shared" si="142"/>
        <v>1877</v>
      </c>
      <c r="BA168" s="274"/>
      <c r="BB168" s="274">
        <f t="shared" si="143"/>
        <v>3314</v>
      </c>
      <c r="BC168" s="274">
        <f t="shared" si="144"/>
        <v>4054</v>
      </c>
      <c r="BD168" s="274">
        <f t="shared" si="145"/>
        <v>4747</v>
      </c>
      <c r="BE168" s="274"/>
      <c r="BF168" s="274">
        <f t="shared" si="146"/>
        <v>9241</v>
      </c>
      <c r="BG168" s="274"/>
      <c r="BH168" s="274"/>
      <c r="BI168" s="266">
        <f t="shared" si="147"/>
        <v>5.099439061703213E-4</v>
      </c>
      <c r="BJ168" s="266" t="e">
        <f t="shared" si="148"/>
        <v>#DIV/0!</v>
      </c>
      <c r="BK168" s="263" t="str">
        <f t="shared" si="149"/>
        <v/>
      </c>
      <c r="BL168" s="263" t="str">
        <f t="shared" si="150"/>
        <v/>
      </c>
      <c r="BM168" s="263" t="str">
        <f t="shared" si="151"/>
        <v/>
      </c>
      <c r="BN168" s="263"/>
      <c r="BO168" s="263" t="str">
        <f t="shared" si="152"/>
        <v/>
      </c>
      <c r="BP168" s="263" t="str">
        <f t="shared" si="153"/>
        <v/>
      </c>
      <c r="BQ168" s="263" t="str">
        <f t="shared" si="154"/>
        <v/>
      </c>
      <c r="BR168" s="263" t="str">
        <f t="shared" si="155"/>
        <v/>
      </c>
      <c r="BS168" s="263" t="str">
        <f t="shared" si="156"/>
        <v/>
      </c>
      <c r="BT168" s="263" t="str">
        <f t="shared" si="157"/>
        <v/>
      </c>
      <c r="BU168" s="263" t="str">
        <f t="shared" si="158"/>
        <v/>
      </c>
      <c r="BV168" s="263"/>
      <c r="BW168" s="263" t="str">
        <f t="shared" si="159"/>
        <v/>
      </c>
      <c r="BX168" s="263"/>
      <c r="BY168" s="263" t="str">
        <f t="shared" si="160"/>
        <v/>
      </c>
      <c r="BZ168" s="263"/>
      <c r="CA168" s="263">
        <f t="shared" si="112"/>
        <v>0</v>
      </c>
      <c r="CB168" s="263">
        <f t="shared" si="161"/>
        <v>0</v>
      </c>
      <c r="CC168" s="263">
        <f t="shared" si="113"/>
        <v>0.5</v>
      </c>
      <c r="CD168" s="263">
        <f t="shared" si="162"/>
        <v>0</v>
      </c>
      <c r="CE168" s="263">
        <f t="shared" si="167"/>
        <v>0</v>
      </c>
      <c r="CF168" s="263">
        <f t="shared" si="114"/>
        <v>0</v>
      </c>
      <c r="CG168" s="263">
        <f t="shared" si="115"/>
        <v>0.5</v>
      </c>
      <c r="CH168" s="263"/>
      <c r="CI168" s="263">
        <f t="shared" si="163"/>
        <v>0</v>
      </c>
      <c r="CJ168" s="263"/>
      <c r="CK168" s="263">
        <f t="shared" si="164"/>
        <v>0</v>
      </c>
      <c r="CL168" s="264">
        <f t="shared" si="169"/>
        <v>0</v>
      </c>
      <c r="CM168" s="264">
        <f t="shared" si="165"/>
        <v>2931</v>
      </c>
      <c r="CO168" s="265">
        <v>9.1499999999999998E-2</v>
      </c>
      <c r="CP168" s="265">
        <v>9.1910000000000006E-2</v>
      </c>
      <c r="CQ168" s="265">
        <v>9.1859999999999997E-2</v>
      </c>
      <c r="CS168" s="265">
        <v>9.4359999999999999E-2</v>
      </c>
      <c r="CT168" s="265">
        <v>9.4200000000000006E-2</v>
      </c>
      <c r="CU168" s="265">
        <v>9.8670000000000008E-2</v>
      </c>
      <c r="CV168" s="265">
        <v>0.10079</v>
      </c>
      <c r="CW168" s="265">
        <v>0.10099999999999999</v>
      </c>
      <c r="CY168" s="265">
        <v>0.10221999999999999</v>
      </c>
      <c r="DA168" s="265">
        <v>0.10543</v>
      </c>
      <c r="DC168" s="265">
        <v>0.10557999999999999</v>
      </c>
      <c r="DE168" s="265">
        <v>3.8379999999999997E-2</v>
      </c>
      <c r="DF168" s="265">
        <v>4.1529999999999997E-2</v>
      </c>
      <c r="DH168" s="265">
        <v>4.4800000000000006E-2</v>
      </c>
      <c r="DI168" s="265">
        <v>4.6199999999999998E-2</v>
      </c>
      <c r="DJ168" s="265">
        <v>4.7619999999999996E-2</v>
      </c>
      <c r="DL168" s="265">
        <v>4.5970000000000004E-2</v>
      </c>
      <c r="DO168" s="264" t="e">
        <f t="shared" si="170"/>
        <v>#N/A</v>
      </c>
      <c r="DP168" s="264" t="e" cm="1">
        <f t="array" ref="DP168">+INDEX(AH168:AV168,MATCH(DO168,AH168:AV168,1)+1)</f>
        <v>#N/A</v>
      </c>
      <c r="DQ168" s="265" t="e">
        <f t="shared" si="171"/>
        <v>#N/A</v>
      </c>
      <c r="DR168" s="267" t="e">
        <f t="shared" si="172"/>
        <v>#N/A</v>
      </c>
      <c r="DS168" s="267" t="e">
        <f t="shared" si="173"/>
        <v>#N/A</v>
      </c>
      <c r="DT168" s="268">
        <f t="shared" si="174"/>
        <v>1877</v>
      </c>
      <c r="DU168" s="268" cm="1">
        <f t="array" ref="DU168">+INDEX(AX168:BF168,MATCH(DT168,AX168:BF168,1)+1)</f>
        <v>0</v>
      </c>
      <c r="DV168" s="267">
        <f t="shared" si="175"/>
        <v>0</v>
      </c>
      <c r="DW168" s="267" t="e">
        <f t="shared" si="176"/>
        <v>#N/A</v>
      </c>
      <c r="DX168" s="267" t="e">
        <f t="shared" si="177"/>
        <v>#N/A</v>
      </c>
      <c r="DY168" s="267">
        <f t="shared" si="178"/>
        <v>8.3499999999999991E-2</v>
      </c>
      <c r="DZ168" s="205" t="e">
        <f t="shared" ref="DZ168:DZ210" si="179">+(1+DX168)*(1+DY168)-1</f>
        <v>#N/A</v>
      </c>
      <c r="EA168" s="205">
        <f t="shared" ref="EA168:EA231" si="180">IFERROR(BJ168*DS168,0)+IFERROR(BI168*DZ168,0)</f>
        <v>0</v>
      </c>
    </row>
    <row r="169" spans="2:131">
      <c r="B169" s="272">
        <v>45350</v>
      </c>
      <c r="C169" s="271">
        <v>45350</v>
      </c>
      <c r="D169" s="263" t="e">
        <f>+SUMIFS(Tabla6[Nominal COP],Tabla6[Concepto],COSTO_OPORTUNIDAD!$B$18,Tabla6[Nemotécnico],COSTO_OPORTUNIDAD!D$16,Tabla6[Fecha Cumplimiento y/ liquidacion],COSTO_OPORTUNIDAD!$C169)/+SUMIFS(Tabla6[Nominal COP],Tabla6[Concepto],COSTO_OPORTUNIDAD!$B$18,Tabla6[Fecha Cumplimiento y/ liquidacion],COSTO_OPORTUNIDAD!$C169)</f>
        <v>#DIV/0!</v>
      </c>
      <c r="E169" s="263" t="e">
        <f>+SUMIFS(Tabla6[Nominal COP],Tabla6[Concepto],COSTO_OPORTUNIDAD!$B$18,Tabla6[Nemotécnico],COSTO_OPORTUNIDAD!E$16,Tabla6[Fecha Cumplimiento y/ liquidacion],COSTO_OPORTUNIDAD!$C169)/+SUMIFS(Tabla6[Nominal COP],Tabla6[Concepto],COSTO_OPORTUNIDAD!$B$18,Tabla6[Fecha Cumplimiento y/ liquidacion],COSTO_OPORTUNIDAD!$C169)</f>
        <v>#DIV/0!</v>
      </c>
      <c r="F169" s="263"/>
      <c r="G169" s="263"/>
      <c r="H169" s="263">
        <v>0.31547142984093129</v>
      </c>
      <c r="I169" s="263"/>
      <c r="J169" s="263">
        <v>0</v>
      </c>
      <c r="K169" s="263">
        <v>0</v>
      </c>
      <c r="L169" s="263"/>
      <c r="M169" s="263">
        <v>0.23104949791166801</v>
      </c>
      <c r="N169" s="263"/>
      <c r="O169" s="263"/>
      <c r="P169" s="263">
        <v>0</v>
      </c>
      <c r="Q169" s="263"/>
      <c r="R169" s="263">
        <v>0.45321247667288722</v>
      </c>
      <c r="S169" s="263"/>
      <c r="T169" s="263">
        <v>0</v>
      </c>
      <c r="U169" s="263"/>
      <c r="V169" s="263">
        <v>0</v>
      </c>
      <c r="W169" s="263">
        <v>0</v>
      </c>
      <c r="X169" s="263">
        <v>1.7773038300897539E-4</v>
      </c>
      <c r="Y169" s="263"/>
      <c r="Z169" s="263">
        <v>0</v>
      </c>
      <c r="AA169" s="263">
        <v>0</v>
      </c>
      <c r="AB169" s="263">
        <v>8.8865191504487693E-5</v>
      </c>
      <c r="AC169" s="263"/>
      <c r="AD169" s="263">
        <v>0</v>
      </c>
      <c r="AE169" s="263"/>
      <c r="AF169" s="263"/>
      <c r="AG169" s="262"/>
      <c r="AH169" s="274">
        <f t="shared" si="130"/>
        <v>910</v>
      </c>
      <c r="AI169" s="274">
        <f t="shared" si="131"/>
        <v>1344</v>
      </c>
      <c r="AJ169" s="274">
        <f t="shared" si="132"/>
        <v>1521</v>
      </c>
      <c r="AK169" s="274">
        <f t="shared" si="127"/>
        <v>2002</v>
      </c>
      <c r="AL169" s="274">
        <f t="shared" si="133"/>
        <v>2394</v>
      </c>
      <c r="AM169" s="274">
        <f t="shared" si="134"/>
        <v>2583</v>
      </c>
      <c r="AN169" s="274">
        <f t="shared" si="135"/>
        <v>3045</v>
      </c>
      <c r="AO169" s="274">
        <f t="shared" si="168"/>
        <v>3269</v>
      </c>
      <c r="AP169" s="274">
        <f t="shared" si="136"/>
        <v>3885</v>
      </c>
      <c r="AQ169" s="274"/>
      <c r="AR169" s="274">
        <f t="shared" si="137"/>
        <v>4515</v>
      </c>
      <c r="AS169" s="274">
        <f t="shared" si="128"/>
        <v>6118</v>
      </c>
      <c r="AT169" s="274">
        <f t="shared" si="138"/>
        <v>6664</v>
      </c>
      <c r="AU169" s="274"/>
      <c r="AV169" s="274">
        <f t="shared" si="139"/>
        <v>9737</v>
      </c>
      <c r="AW169" s="274"/>
      <c r="AX169" s="274">
        <f t="shared" si="140"/>
        <v>434</v>
      </c>
      <c r="AY169" s="274">
        <f t="shared" si="141"/>
        <v>1113</v>
      </c>
      <c r="AZ169" s="274">
        <f t="shared" si="142"/>
        <v>1876</v>
      </c>
      <c r="BA169" s="274"/>
      <c r="BB169" s="274">
        <f t="shared" si="143"/>
        <v>3313</v>
      </c>
      <c r="BC169" s="274">
        <f t="shared" si="144"/>
        <v>4053</v>
      </c>
      <c r="BD169" s="274">
        <f t="shared" si="145"/>
        <v>4746</v>
      </c>
      <c r="BE169" s="274"/>
      <c r="BF169" s="274">
        <f t="shared" si="146"/>
        <v>9240</v>
      </c>
      <c r="BG169" s="274"/>
      <c r="BH169" s="274"/>
      <c r="BI169" s="266">
        <f t="shared" si="147"/>
        <v>2.6659557451346307E-4</v>
      </c>
      <c r="BJ169" s="266" t="e">
        <f t="shared" si="148"/>
        <v>#DIV/0!</v>
      </c>
      <c r="BK169" s="263" t="str">
        <f t="shared" si="149"/>
        <v/>
      </c>
      <c r="BL169" s="263" t="str">
        <f t="shared" si="150"/>
        <v/>
      </c>
      <c r="BM169" s="263" t="str">
        <f t="shared" si="151"/>
        <v/>
      </c>
      <c r="BN169" s="263"/>
      <c r="BO169" s="263" t="str">
        <f t="shared" si="152"/>
        <v/>
      </c>
      <c r="BP169" s="263" t="str">
        <f t="shared" si="153"/>
        <v/>
      </c>
      <c r="BQ169" s="263" t="str">
        <f t="shared" si="154"/>
        <v/>
      </c>
      <c r="BR169" s="263" t="str">
        <f t="shared" si="155"/>
        <v/>
      </c>
      <c r="BS169" s="263" t="str">
        <f t="shared" si="156"/>
        <v/>
      </c>
      <c r="BT169" s="263" t="str">
        <f t="shared" si="157"/>
        <v/>
      </c>
      <c r="BU169" s="263" t="str">
        <f t="shared" si="158"/>
        <v/>
      </c>
      <c r="BV169" s="263"/>
      <c r="BW169" s="263" t="str">
        <f t="shared" si="159"/>
        <v/>
      </c>
      <c r="BX169" s="263"/>
      <c r="BY169" s="263" t="str">
        <f t="shared" si="160"/>
        <v/>
      </c>
      <c r="BZ169" s="263"/>
      <c r="CA169" s="263">
        <f t="shared" si="112"/>
        <v>0</v>
      </c>
      <c r="CB169" s="263">
        <f t="shared" si="161"/>
        <v>0</v>
      </c>
      <c r="CC169" s="263">
        <f t="shared" si="113"/>
        <v>0.66666666666666674</v>
      </c>
      <c r="CD169" s="263">
        <f t="shared" si="162"/>
        <v>0</v>
      </c>
      <c r="CE169" s="263">
        <f t="shared" si="167"/>
        <v>0</v>
      </c>
      <c r="CF169" s="263">
        <f t="shared" si="114"/>
        <v>0</v>
      </c>
      <c r="CG169" s="263">
        <f t="shared" si="115"/>
        <v>0.33333333333333337</v>
      </c>
      <c r="CH169" s="263"/>
      <c r="CI169" s="263">
        <f t="shared" si="163"/>
        <v>0</v>
      </c>
      <c r="CJ169" s="263"/>
      <c r="CK169" s="263">
        <f t="shared" si="164"/>
        <v>0</v>
      </c>
      <c r="CL169" s="264">
        <f t="shared" si="169"/>
        <v>0</v>
      </c>
      <c r="CM169" s="264">
        <f t="shared" si="165"/>
        <v>2324</v>
      </c>
      <c r="CO169" s="265">
        <v>9.11E-2</v>
      </c>
      <c r="CP169" s="265">
        <v>9.1649999999999995E-2</v>
      </c>
      <c r="CQ169" s="265">
        <v>9.1420000000000001E-2</v>
      </c>
      <c r="CS169" s="265">
        <v>9.4100000000000003E-2</v>
      </c>
      <c r="CT169" s="265">
        <v>9.4899999999999998E-2</v>
      </c>
      <c r="CU169" s="265">
        <v>9.8549999999999999E-2</v>
      </c>
      <c r="CV169" s="265">
        <v>0.10050000000000001</v>
      </c>
      <c r="CW169" s="265">
        <v>0.1007</v>
      </c>
      <c r="CY169" s="265">
        <v>0.10164999999999999</v>
      </c>
      <c r="DA169" s="265">
        <v>0.106</v>
      </c>
      <c r="DC169" s="265">
        <v>0.1056</v>
      </c>
      <c r="DE169" s="265">
        <v>3.8420000000000003E-2</v>
      </c>
      <c r="DF169" s="265">
        <v>4.1660000000000003E-2</v>
      </c>
      <c r="DH169" s="265">
        <v>4.4999999999999998E-2</v>
      </c>
      <c r="DI169" s="265">
        <v>4.6239999999999996E-2</v>
      </c>
      <c r="DJ169" s="265">
        <v>4.7469999999999998E-2</v>
      </c>
      <c r="DL169" s="265">
        <v>4.616E-2</v>
      </c>
      <c r="DO169" s="264" t="e">
        <f t="shared" si="170"/>
        <v>#N/A</v>
      </c>
      <c r="DP169" s="264" t="e" cm="1">
        <f t="array" ref="DP169">+INDEX(AH169:AV169,MATCH(DO169,AH169:AV169,1)+1)</f>
        <v>#N/A</v>
      </c>
      <c r="DQ169" s="265" t="e">
        <f t="shared" si="171"/>
        <v>#N/A</v>
      </c>
      <c r="DR169" s="267" t="e">
        <f t="shared" si="172"/>
        <v>#N/A</v>
      </c>
      <c r="DS169" s="267" t="e">
        <f t="shared" si="173"/>
        <v>#N/A</v>
      </c>
      <c r="DT169" s="268">
        <f t="shared" si="174"/>
        <v>1876</v>
      </c>
      <c r="DU169" s="268" cm="1">
        <f t="array" ref="DU169">+INDEX(AX169:BF169,MATCH(DT169,AX169:BF169,1)+1)</f>
        <v>0</v>
      </c>
      <c r="DV169" s="267">
        <f t="shared" si="175"/>
        <v>0</v>
      </c>
      <c r="DW169" s="267" t="e">
        <f t="shared" si="176"/>
        <v>#N/A</v>
      </c>
      <c r="DX169" s="267" t="e">
        <f t="shared" si="177"/>
        <v>#N/A</v>
      </c>
      <c r="DY169" s="267">
        <f t="shared" si="178"/>
        <v>8.3499999999999991E-2</v>
      </c>
      <c r="DZ169" s="205" t="e">
        <f t="shared" si="179"/>
        <v>#N/A</v>
      </c>
      <c r="EA169" s="205">
        <f t="shared" si="180"/>
        <v>0</v>
      </c>
    </row>
    <row r="170" spans="2:131">
      <c r="B170" s="272">
        <v>45351</v>
      </c>
      <c r="C170" s="271">
        <v>45351</v>
      </c>
      <c r="D170" s="263" t="e">
        <f>+SUMIFS(Tabla6[Nominal COP],Tabla6[Concepto],COSTO_OPORTUNIDAD!$B$18,Tabla6[Nemotécnico],COSTO_OPORTUNIDAD!D$16,Tabla6[Fecha Cumplimiento y/ liquidacion],COSTO_OPORTUNIDAD!$C170)/+SUMIFS(Tabla6[Nominal COP],Tabla6[Concepto],COSTO_OPORTUNIDAD!$B$18,Tabla6[Fecha Cumplimiento y/ liquidacion],COSTO_OPORTUNIDAD!$C170)</f>
        <v>#DIV/0!</v>
      </c>
      <c r="E170" s="263" t="e">
        <f>+SUMIFS(Tabla6[Nominal COP],Tabla6[Concepto],COSTO_OPORTUNIDAD!$B$18,Tabla6[Nemotécnico],COSTO_OPORTUNIDAD!E$16,Tabla6[Fecha Cumplimiento y/ liquidacion],COSTO_OPORTUNIDAD!$C170)/+SUMIFS(Tabla6[Nominal COP],Tabla6[Concepto],COSTO_OPORTUNIDAD!$B$18,Tabla6[Fecha Cumplimiento y/ liquidacion],COSTO_OPORTUNIDAD!$C170)</f>
        <v>#DIV/0!</v>
      </c>
      <c r="F170" s="263"/>
      <c r="G170" s="263"/>
      <c r="H170" s="263">
        <v>0.24075100457253706</v>
      </c>
      <c r="I170" s="263"/>
      <c r="J170" s="263">
        <v>0</v>
      </c>
      <c r="K170" s="263">
        <v>0</v>
      </c>
      <c r="L170" s="263"/>
      <c r="M170" s="263">
        <v>0.28405154496328117</v>
      </c>
      <c r="N170" s="263"/>
      <c r="O170" s="263"/>
      <c r="P170" s="263">
        <v>0</v>
      </c>
      <c r="Q170" s="263"/>
      <c r="R170" s="263">
        <v>0.4745739226825551</v>
      </c>
      <c r="S170" s="263"/>
      <c r="T170" s="263">
        <v>0</v>
      </c>
      <c r="U170" s="263"/>
      <c r="V170" s="263">
        <v>0</v>
      </c>
      <c r="W170" s="263">
        <v>0</v>
      </c>
      <c r="X170" s="263">
        <v>3.1176389081335733E-4</v>
      </c>
      <c r="Y170" s="263"/>
      <c r="Z170" s="263">
        <v>0</v>
      </c>
      <c r="AA170" s="263">
        <v>0</v>
      </c>
      <c r="AB170" s="263">
        <v>3.1176389081335733E-4</v>
      </c>
      <c r="AC170" s="263"/>
      <c r="AD170" s="263">
        <v>0</v>
      </c>
      <c r="AE170" s="263"/>
      <c r="AF170" s="263"/>
      <c r="AG170" s="262"/>
      <c r="AH170" s="274">
        <f t="shared" si="130"/>
        <v>909</v>
      </c>
      <c r="AI170" s="274">
        <f t="shared" si="131"/>
        <v>1343</v>
      </c>
      <c r="AJ170" s="274">
        <f t="shared" si="132"/>
        <v>1520</v>
      </c>
      <c r="AK170" s="274">
        <f t="shared" si="127"/>
        <v>2001</v>
      </c>
      <c r="AL170" s="274">
        <f t="shared" si="133"/>
        <v>2393</v>
      </c>
      <c r="AM170" s="274">
        <f t="shared" si="134"/>
        <v>2582</v>
      </c>
      <c r="AN170" s="274">
        <f t="shared" si="135"/>
        <v>3044</v>
      </c>
      <c r="AO170" s="274">
        <f t="shared" si="168"/>
        <v>3268</v>
      </c>
      <c r="AP170" s="274">
        <f t="shared" si="136"/>
        <v>3884</v>
      </c>
      <c r="AQ170" s="274"/>
      <c r="AR170" s="274">
        <f t="shared" si="137"/>
        <v>4514</v>
      </c>
      <c r="AS170" s="274">
        <f t="shared" si="128"/>
        <v>6117</v>
      </c>
      <c r="AT170" s="274">
        <f t="shared" si="138"/>
        <v>6663</v>
      </c>
      <c r="AU170" s="274"/>
      <c r="AV170" s="274">
        <f t="shared" si="139"/>
        <v>9736</v>
      </c>
      <c r="AW170" s="274"/>
      <c r="AX170" s="274">
        <f t="shared" si="140"/>
        <v>433</v>
      </c>
      <c r="AY170" s="274">
        <f t="shared" si="141"/>
        <v>1112</v>
      </c>
      <c r="AZ170" s="274">
        <f t="shared" si="142"/>
        <v>1875</v>
      </c>
      <c r="BA170" s="274"/>
      <c r="BB170" s="274">
        <f t="shared" si="143"/>
        <v>3312</v>
      </c>
      <c r="BC170" s="274">
        <f t="shared" si="144"/>
        <v>4052</v>
      </c>
      <c r="BD170" s="274">
        <f t="shared" si="145"/>
        <v>4745</v>
      </c>
      <c r="BE170" s="274"/>
      <c r="BF170" s="274">
        <f t="shared" si="146"/>
        <v>9239</v>
      </c>
      <c r="BG170" s="274"/>
      <c r="BH170" s="274"/>
      <c r="BI170" s="266">
        <f t="shared" si="147"/>
        <v>6.2352778162671465E-4</v>
      </c>
      <c r="BJ170" s="266" t="e">
        <f t="shared" si="148"/>
        <v>#DIV/0!</v>
      </c>
      <c r="BK170" s="263" t="str">
        <f t="shared" si="149"/>
        <v/>
      </c>
      <c r="BL170" s="263" t="str">
        <f t="shared" si="150"/>
        <v/>
      </c>
      <c r="BM170" s="263" t="str">
        <f t="shared" si="151"/>
        <v/>
      </c>
      <c r="BN170" s="263"/>
      <c r="BO170" s="263" t="str">
        <f t="shared" si="152"/>
        <v/>
      </c>
      <c r="BP170" s="263" t="str">
        <f t="shared" si="153"/>
        <v/>
      </c>
      <c r="BQ170" s="263" t="str">
        <f t="shared" si="154"/>
        <v/>
      </c>
      <c r="BR170" s="263" t="str">
        <f t="shared" si="155"/>
        <v/>
      </c>
      <c r="BS170" s="263" t="str">
        <f t="shared" si="156"/>
        <v/>
      </c>
      <c r="BT170" s="263" t="str">
        <f t="shared" si="157"/>
        <v/>
      </c>
      <c r="BU170" s="263" t="str">
        <f t="shared" si="158"/>
        <v/>
      </c>
      <c r="BV170" s="263"/>
      <c r="BW170" s="263" t="str">
        <f t="shared" si="159"/>
        <v/>
      </c>
      <c r="BX170" s="263"/>
      <c r="BY170" s="263" t="str">
        <f t="shared" si="160"/>
        <v/>
      </c>
      <c r="BZ170" s="263"/>
      <c r="CA170" s="263">
        <f t="shared" si="112"/>
        <v>0</v>
      </c>
      <c r="CB170" s="263">
        <f t="shared" si="161"/>
        <v>0</v>
      </c>
      <c r="CC170" s="263">
        <f t="shared" si="113"/>
        <v>0.5</v>
      </c>
      <c r="CD170" s="263">
        <f t="shared" si="162"/>
        <v>0</v>
      </c>
      <c r="CE170" s="263">
        <f t="shared" si="167"/>
        <v>0</v>
      </c>
      <c r="CF170" s="263">
        <f t="shared" si="114"/>
        <v>0</v>
      </c>
      <c r="CG170" s="263">
        <f t="shared" si="115"/>
        <v>0.5</v>
      </c>
      <c r="CH170" s="263"/>
      <c r="CI170" s="263">
        <f t="shared" si="163"/>
        <v>0</v>
      </c>
      <c r="CJ170" s="263"/>
      <c r="CK170" s="263">
        <f t="shared" si="164"/>
        <v>0</v>
      </c>
      <c r="CL170" s="264">
        <f t="shared" si="169"/>
        <v>0</v>
      </c>
      <c r="CM170" s="264">
        <f t="shared" si="165"/>
        <v>2929</v>
      </c>
      <c r="CO170" s="265">
        <v>0.09</v>
      </c>
      <c r="CP170" s="265">
        <v>9.06E-2</v>
      </c>
      <c r="CQ170" s="265">
        <v>9.0500000000000011E-2</v>
      </c>
      <c r="CS170" s="265">
        <v>9.2799999999999994E-2</v>
      </c>
      <c r="CT170" s="265">
        <v>9.398999999999999E-2</v>
      </c>
      <c r="CU170" s="265">
        <v>9.7880000000000009E-2</v>
      </c>
      <c r="CV170" s="265">
        <v>9.9650000000000002E-2</v>
      </c>
      <c r="CW170" s="265">
        <v>9.9940000000000001E-2</v>
      </c>
      <c r="CY170" s="265">
        <v>0.1014</v>
      </c>
      <c r="DA170" s="265">
        <v>0.10571</v>
      </c>
      <c r="DC170" s="265">
        <v>0.10525000000000001</v>
      </c>
      <c r="DE170" s="265">
        <v>3.8399999999999997E-2</v>
      </c>
      <c r="DF170" s="265">
        <v>4.1180000000000001E-2</v>
      </c>
      <c r="DH170" s="265">
        <v>4.4189999999999993E-2</v>
      </c>
      <c r="DI170" s="265">
        <v>4.6039999999999998E-2</v>
      </c>
      <c r="DJ170" s="265">
        <v>4.7230000000000001E-2</v>
      </c>
      <c r="DL170" s="265">
        <v>4.6050000000000008E-2</v>
      </c>
      <c r="DO170" s="264" t="e">
        <f t="shared" si="170"/>
        <v>#N/A</v>
      </c>
      <c r="DP170" s="264" t="e" cm="1">
        <f t="array" ref="DP170">+INDEX(AH170:AV170,MATCH(DO170,AH170:AV170,1)+1)</f>
        <v>#N/A</v>
      </c>
      <c r="DQ170" s="265" t="e">
        <f t="shared" si="171"/>
        <v>#N/A</v>
      </c>
      <c r="DR170" s="267" t="e">
        <f t="shared" si="172"/>
        <v>#N/A</v>
      </c>
      <c r="DS170" s="267" t="e">
        <f t="shared" si="173"/>
        <v>#N/A</v>
      </c>
      <c r="DT170" s="268">
        <f t="shared" si="174"/>
        <v>1875</v>
      </c>
      <c r="DU170" s="268" cm="1">
        <f t="array" ref="DU170">+INDEX(AX170:BF170,MATCH(DT170,AX170:BF170,1)+1)</f>
        <v>0</v>
      </c>
      <c r="DV170" s="267">
        <f t="shared" si="175"/>
        <v>0</v>
      </c>
      <c r="DW170" s="267" t="e">
        <f t="shared" si="176"/>
        <v>#N/A</v>
      </c>
      <c r="DX170" s="267" t="e">
        <f t="shared" si="177"/>
        <v>#N/A</v>
      </c>
      <c r="DY170" s="267">
        <f t="shared" si="178"/>
        <v>8.3499999999999991E-2</v>
      </c>
      <c r="DZ170" s="205" t="e">
        <f t="shared" si="179"/>
        <v>#N/A</v>
      </c>
      <c r="EA170" s="205">
        <f t="shared" si="180"/>
        <v>0</v>
      </c>
    </row>
    <row r="171" spans="2:131">
      <c r="B171" s="272">
        <v>45352</v>
      </c>
      <c r="C171" s="271">
        <v>45352</v>
      </c>
      <c r="D171" s="263" t="e">
        <f>+SUMIFS(Tabla6[Nominal COP],Tabla6[Concepto],COSTO_OPORTUNIDAD!$B$18,Tabla6[Nemotécnico],COSTO_OPORTUNIDAD!D$16,Tabla6[Fecha Cumplimiento y/ liquidacion],COSTO_OPORTUNIDAD!$C171)/+SUMIFS(Tabla6[Nominal COP],Tabla6[Concepto],COSTO_OPORTUNIDAD!$B$18,Tabla6[Fecha Cumplimiento y/ liquidacion],COSTO_OPORTUNIDAD!$C171)</f>
        <v>#DIV/0!</v>
      </c>
      <c r="E171" s="263" t="e">
        <f>+SUMIFS(Tabla6[Nominal COP],Tabla6[Concepto],COSTO_OPORTUNIDAD!$B$18,Tabla6[Nemotécnico],COSTO_OPORTUNIDAD!E$16,Tabla6[Fecha Cumplimiento y/ liquidacion],COSTO_OPORTUNIDAD!$C171)/+SUMIFS(Tabla6[Nominal COP],Tabla6[Concepto],COSTO_OPORTUNIDAD!$B$18,Tabla6[Fecha Cumplimiento y/ liquidacion],COSTO_OPORTUNIDAD!$C171)</f>
        <v>#DIV/0!</v>
      </c>
      <c r="F171" s="263"/>
      <c r="G171" s="263"/>
      <c r="H171" s="263">
        <v>0.29803756952460908</v>
      </c>
      <c r="I171" s="263"/>
      <c r="J171" s="263">
        <v>0</v>
      </c>
      <c r="K171" s="263">
        <v>0</v>
      </c>
      <c r="L171" s="263"/>
      <c r="M171" s="263">
        <v>0.27704900829048168</v>
      </c>
      <c r="N171" s="263"/>
      <c r="O171" s="263"/>
      <c r="P171" s="263">
        <v>0</v>
      </c>
      <c r="Q171" s="263"/>
      <c r="R171" s="263">
        <v>0.42396893692937349</v>
      </c>
      <c r="S171" s="263"/>
      <c r="T171" s="263">
        <v>0</v>
      </c>
      <c r="U171" s="263"/>
      <c r="V171" s="263">
        <v>0</v>
      </c>
      <c r="W171" s="263">
        <v>0</v>
      </c>
      <c r="X171" s="263">
        <v>3.7779410221429322E-4</v>
      </c>
      <c r="Y171" s="263"/>
      <c r="Z171" s="263">
        <v>0</v>
      </c>
      <c r="AA171" s="263">
        <v>0</v>
      </c>
      <c r="AB171" s="263">
        <v>5.6669115332143977E-4</v>
      </c>
      <c r="AC171" s="263"/>
      <c r="AD171" s="263">
        <v>0</v>
      </c>
      <c r="AE171" s="263"/>
      <c r="AF171" s="263"/>
      <c r="AG171" s="262"/>
      <c r="AH171" s="274">
        <f t="shared" si="130"/>
        <v>908</v>
      </c>
      <c r="AI171" s="274">
        <f t="shared" si="131"/>
        <v>1342</v>
      </c>
      <c r="AJ171" s="274">
        <f t="shared" si="132"/>
        <v>1519</v>
      </c>
      <c r="AK171" s="274">
        <f t="shared" si="127"/>
        <v>2000</v>
      </c>
      <c r="AL171" s="274">
        <f t="shared" si="133"/>
        <v>2392</v>
      </c>
      <c r="AM171" s="274">
        <f t="shared" si="134"/>
        <v>2581</v>
      </c>
      <c r="AN171" s="274">
        <f t="shared" si="135"/>
        <v>3043</v>
      </c>
      <c r="AO171" s="274">
        <f t="shared" si="168"/>
        <v>3267</v>
      </c>
      <c r="AP171" s="274">
        <f t="shared" si="136"/>
        <v>3883</v>
      </c>
      <c r="AQ171" s="274"/>
      <c r="AR171" s="274">
        <f t="shared" si="137"/>
        <v>4513</v>
      </c>
      <c r="AS171" s="274">
        <f t="shared" si="128"/>
        <v>6116</v>
      </c>
      <c r="AT171" s="274">
        <f t="shared" si="138"/>
        <v>6662</v>
      </c>
      <c r="AU171" s="274"/>
      <c r="AV171" s="274">
        <f t="shared" si="139"/>
        <v>9735</v>
      </c>
      <c r="AW171" s="274"/>
      <c r="AX171" s="274">
        <f t="shared" si="140"/>
        <v>432</v>
      </c>
      <c r="AY171" s="274">
        <f t="shared" si="141"/>
        <v>1111</v>
      </c>
      <c r="AZ171" s="274">
        <f t="shared" si="142"/>
        <v>1874</v>
      </c>
      <c r="BA171" s="274"/>
      <c r="BB171" s="274">
        <f t="shared" si="143"/>
        <v>3311</v>
      </c>
      <c r="BC171" s="274">
        <f t="shared" si="144"/>
        <v>4051</v>
      </c>
      <c r="BD171" s="274">
        <f t="shared" si="145"/>
        <v>4744</v>
      </c>
      <c r="BE171" s="274"/>
      <c r="BF171" s="274">
        <f t="shared" si="146"/>
        <v>9238</v>
      </c>
      <c r="BG171" s="274"/>
      <c r="BH171" s="274"/>
      <c r="BI171" s="266">
        <f t="shared" si="147"/>
        <v>9.4448525553573299E-4</v>
      </c>
      <c r="BJ171" s="266" t="e">
        <f t="shared" si="148"/>
        <v>#DIV/0!</v>
      </c>
      <c r="BK171" s="263" t="str">
        <f t="shared" si="149"/>
        <v/>
      </c>
      <c r="BL171" s="263" t="str">
        <f t="shared" si="150"/>
        <v/>
      </c>
      <c r="BM171" s="263" t="str">
        <f t="shared" si="151"/>
        <v/>
      </c>
      <c r="BN171" s="263"/>
      <c r="BO171" s="263" t="str">
        <f t="shared" si="152"/>
        <v/>
      </c>
      <c r="BP171" s="263" t="str">
        <f t="shared" si="153"/>
        <v/>
      </c>
      <c r="BQ171" s="263" t="str">
        <f t="shared" si="154"/>
        <v/>
      </c>
      <c r="BR171" s="263" t="str">
        <f t="shared" si="155"/>
        <v/>
      </c>
      <c r="BS171" s="263" t="str">
        <f t="shared" si="156"/>
        <v/>
      </c>
      <c r="BT171" s="263" t="str">
        <f t="shared" si="157"/>
        <v/>
      </c>
      <c r="BU171" s="263" t="str">
        <f t="shared" si="158"/>
        <v/>
      </c>
      <c r="BV171" s="263"/>
      <c r="BW171" s="263" t="str">
        <f t="shared" si="159"/>
        <v/>
      </c>
      <c r="BX171" s="263"/>
      <c r="BY171" s="263" t="str">
        <f t="shared" si="160"/>
        <v/>
      </c>
      <c r="BZ171" s="263"/>
      <c r="CA171" s="263">
        <f t="shared" si="112"/>
        <v>0</v>
      </c>
      <c r="CB171" s="263">
        <f t="shared" si="161"/>
        <v>0</v>
      </c>
      <c r="CC171" s="263">
        <f t="shared" si="113"/>
        <v>0.4</v>
      </c>
      <c r="CD171" s="263">
        <f t="shared" si="162"/>
        <v>0</v>
      </c>
      <c r="CE171" s="263">
        <f t="shared" si="167"/>
        <v>0</v>
      </c>
      <c r="CF171" s="263">
        <f t="shared" si="114"/>
        <v>0</v>
      </c>
      <c r="CG171" s="263">
        <f t="shared" si="115"/>
        <v>0.6</v>
      </c>
      <c r="CH171" s="263"/>
      <c r="CI171" s="263">
        <f t="shared" si="163"/>
        <v>0</v>
      </c>
      <c r="CJ171" s="263"/>
      <c r="CK171" s="263">
        <f t="shared" si="164"/>
        <v>0</v>
      </c>
      <c r="CL171" s="264">
        <f t="shared" si="169"/>
        <v>0</v>
      </c>
      <c r="CM171" s="264">
        <f t="shared" si="165"/>
        <v>3291</v>
      </c>
      <c r="CO171" s="265">
        <v>8.9979999999999991E-2</v>
      </c>
      <c r="CP171" s="265">
        <v>9.0200000000000002E-2</v>
      </c>
      <c r="CQ171" s="265">
        <v>9.0150000000000008E-2</v>
      </c>
      <c r="CS171" s="265">
        <v>9.2520000000000005E-2</v>
      </c>
      <c r="CT171" s="265">
        <v>9.325E-2</v>
      </c>
      <c r="CU171" s="265">
        <v>9.7230000000000011E-2</v>
      </c>
      <c r="CV171" s="265">
        <v>9.9399999999999988E-2</v>
      </c>
      <c r="CW171" s="265">
        <v>9.9640000000000006E-2</v>
      </c>
      <c r="CY171" s="265">
        <v>0.1009</v>
      </c>
      <c r="DA171" s="265">
        <v>0.10541</v>
      </c>
      <c r="DC171" s="265">
        <v>0.10482</v>
      </c>
      <c r="DE171" s="265">
        <v>3.8539999999999998E-2</v>
      </c>
      <c r="DF171" s="265">
        <v>4.1399999999999999E-2</v>
      </c>
      <c r="DH171" s="265">
        <v>4.4500000000000005E-2</v>
      </c>
      <c r="DI171" s="265">
        <v>4.6010000000000002E-2</v>
      </c>
      <c r="DJ171" s="265">
        <v>4.7599999999999996E-2</v>
      </c>
      <c r="DL171" s="265">
        <v>4.5940000000000002E-2</v>
      </c>
      <c r="DO171" s="264" t="e">
        <f t="shared" si="170"/>
        <v>#N/A</v>
      </c>
      <c r="DP171" s="264" t="e" cm="1">
        <f t="array" ref="DP171">+INDEX(AH171:AV171,MATCH(DO171,AH171:AV171,1)+1)</f>
        <v>#N/A</v>
      </c>
      <c r="DQ171" s="265" t="e">
        <f t="shared" si="171"/>
        <v>#N/A</v>
      </c>
      <c r="DR171" s="267" t="e">
        <f t="shared" si="172"/>
        <v>#N/A</v>
      </c>
      <c r="DS171" s="267" t="e">
        <f t="shared" si="173"/>
        <v>#N/A</v>
      </c>
      <c r="DT171" s="268">
        <f t="shared" si="174"/>
        <v>1874</v>
      </c>
      <c r="DU171" s="268" cm="1">
        <f t="array" ref="DU171">+INDEX(AX171:BF171,MATCH(DT171,AX171:BF171,1)+1)</f>
        <v>0</v>
      </c>
      <c r="DV171" s="267">
        <f t="shared" si="175"/>
        <v>0</v>
      </c>
      <c r="DW171" s="267" t="e">
        <f t="shared" si="176"/>
        <v>#N/A</v>
      </c>
      <c r="DX171" s="267" t="e">
        <f t="shared" si="177"/>
        <v>#N/A</v>
      </c>
      <c r="DY171" s="267">
        <f t="shared" si="178"/>
        <v>8.3499999999999991E-2</v>
      </c>
      <c r="DZ171" s="205" t="e">
        <f t="shared" si="179"/>
        <v>#N/A</v>
      </c>
      <c r="EA171" s="205">
        <f t="shared" si="180"/>
        <v>0</v>
      </c>
    </row>
    <row r="172" spans="2:131">
      <c r="B172" s="272">
        <v>45355</v>
      </c>
      <c r="C172" s="271">
        <v>45355</v>
      </c>
      <c r="D172" s="263" t="e">
        <f>+SUMIFS(Tabla6[Nominal COP],Tabla6[Concepto],COSTO_OPORTUNIDAD!$B$18,Tabla6[Nemotécnico],COSTO_OPORTUNIDAD!D$16,Tabla6[Fecha Cumplimiento y/ liquidacion],COSTO_OPORTUNIDAD!$C172)/+SUMIFS(Tabla6[Nominal COP],Tabla6[Concepto],COSTO_OPORTUNIDAD!$B$18,Tabla6[Fecha Cumplimiento y/ liquidacion],COSTO_OPORTUNIDAD!$C172)</f>
        <v>#DIV/0!</v>
      </c>
      <c r="E172" s="263" t="e">
        <f>+SUMIFS(Tabla6[Nominal COP],Tabla6[Concepto],COSTO_OPORTUNIDAD!$B$18,Tabla6[Nemotécnico],COSTO_OPORTUNIDAD!E$16,Tabla6[Fecha Cumplimiento y/ liquidacion],COSTO_OPORTUNIDAD!$C172)/+SUMIFS(Tabla6[Nominal COP],Tabla6[Concepto],COSTO_OPORTUNIDAD!$B$18,Tabla6[Fecha Cumplimiento y/ liquidacion],COSTO_OPORTUNIDAD!$C172)</f>
        <v>#DIV/0!</v>
      </c>
      <c r="F172" s="263"/>
      <c r="G172" s="263"/>
      <c r="H172" s="263">
        <v>0</v>
      </c>
      <c r="I172" s="263"/>
      <c r="J172" s="263">
        <v>0</v>
      </c>
      <c r="K172" s="263">
        <v>0</v>
      </c>
      <c r="L172" s="263"/>
      <c r="M172" s="263">
        <v>0.33080816434549604</v>
      </c>
      <c r="N172" s="263"/>
      <c r="O172" s="263"/>
      <c r="P172" s="263">
        <v>0</v>
      </c>
      <c r="Q172" s="263"/>
      <c r="R172" s="263">
        <v>0.66823249197790202</v>
      </c>
      <c r="S172" s="263"/>
      <c r="T172" s="263">
        <v>0</v>
      </c>
      <c r="U172" s="263"/>
      <c r="V172" s="263">
        <v>0</v>
      </c>
      <c r="W172" s="263">
        <v>0</v>
      </c>
      <c r="X172" s="263">
        <v>3.6388898078004559E-4</v>
      </c>
      <c r="Y172" s="263"/>
      <c r="Z172" s="263">
        <v>0</v>
      </c>
      <c r="AA172" s="263">
        <v>0</v>
      </c>
      <c r="AB172" s="263">
        <v>5.9545469582189287E-4</v>
      </c>
      <c r="AC172" s="263"/>
      <c r="AD172" s="263">
        <v>0</v>
      </c>
      <c r="AE172" s="263"/>
      <c r="AF172" s="263"/>
      <c r="AG172" s="262"/>
      <c r="AH172" s="274">
        <f t="shared" si="130"/>
        <v>905</v>
      </c>
      <c r="AI172" s="274">
        <f t="shared" si="131"/>
        <v>1339</v>
      </c>
      <c r="AJ172" s="274">
        <f t="shared" si="132"/>
        <v>1516</v>
      </c>
      <c r="AK172" s="274">
        <f t="shared" si="127"/>
        <v>1997</v>
      </c>
      <c r="AL172" s="274">
        <f t="shared" si="133"/>
        <v>2389</v>
      </c>
      <c r="AM172" s="274">
        <f t="shared" si="134"/>
        <v>2578</v>
      </c>
      <c r="AN172" s="274">
        <f t="shared" si="135"/>
        <v>3040</v>
      </c>
      <c r="AO172" s="274">
        <f t="shared" si="168"/>
        <v>3264</v>
      </c>
      <c r="AP172" s="274">
        <f t="shared" si="136"/>
        <v>3880</v>
      </c>
      <c r="AQ172" s="274"/>
      <c r="AR172" s="274">
        <f t="shared" si="137"/>
        <v>4510</v>
      </c>
      <c r="AS172" s="274">
        <f t="shared" si="128"/>
        <v>6113</v>
      </c>
      <c r="AT172" s="274">
        <f t="shared" si="138"/>
        <v>6659</v>
      </c>
      <c r="AU172" s="274"/>
      <c r="AV172" s="274">
        <f t="shared" si="139"/>
        <v>9732</v>
      </c>
      <c r="AW172" s="274"/>
      <c r="AX172" s="274">
        <f t="shared" si="140"/>
        <v>429</v>
      </c>
      <c r="AY172" s="274">
        <f t="shared" si="141"/>
        <v>1108</v>
      </c>
      <c r="AZ172" s="274">
        <f t="shared" si="142"/>
        <v>1871</v>
      </c>
      <c r="BA172" s="274"/>
      <c r="BB172" s="274">
        <f t="shared" si="143"/>
        <v>3308</v>
      </c>
      <c r="BC172" s="274">
        <f t="shared" si="144"/>
        <v>4048</v>
      </c>
      <c r="BD172" s="274">
        <f t="shared" si="145"/>
        <v>4741</v>
      </c>
      <c r="BE172" s="274"/>
      <c r="BF172" s="274">
        <f t="shared" si="146"/>
        <v>9235</v>
      </c>
      <c r="BG172" s="274"/>
      <c r="BH172" s="274"/>
      <c r="BI172" s="266">
        <f t="shared" si="147"/>
        <v>9.5934367660193841E-4</v>
      </c>
      <c r="BJ172" s="266" t="e">
        <f t="shared" si="148"/>
        <v>#DIV/0!</v>
      </c>
      <c r="BK172" s="263" t="str">
        <f t="shared" si="149"/>
        <v/>
      </c>
      <c r="BL172" s="263" t="str">
        <f t="shared" si="150"/>
        <v/>
      </c>
      <c r="BM172" s="263" t="str">
        <f t="shared" si="151"/>
        <v/>
      </c>
      <c r="BN172" s="263"/>
      <c r="BO172" s="263" t="str">
        <f t="shared" si="152"/>
        <v/>
      </c>
      <c r="BP172" s="263" t="str">
        <f t="shared" si="153"/>
        <v/>
      </c>
      <c r="BQ172" s="263" t="str">
        <f t="shared" si="154"/>
        <v/>
      </c>
      <c r="BR172" s="263" t="str">
        <f t="shared" si="155"/>
        <v/>
      </c>
      <c r="BS172" s="263" t="str">
        <f t="shared" si="156"/>
        <v/>
      </c>
      <c r="BT172" s="263" t="str">
        <f t="shared" si="157"/>
        <v/>
      </c>
      <c r="BU172" s="263" t="str">
        <f t="shared" si="158"/>
        <v/>
      </c>
      <c r="BV172" s="263"/>
      <c r="BW172" s="263" t="str">
        <f t="shared" si="159"/>
        <v/>
      </c>
      <c r="BX172" s="263"/>
      <c r="BY172" s="263" t="str">
        <f t="shared" si="160"/>
        <v/>
      </c>
      <c r="BZ172" s="263"/>
      <c r="CA172" s="263">
        <f t="shared" si="112"/>
        <v>0</v>
      </c>
      <c r="CB172" s="263">
        <f t="shared" si="161"/>
        <v>0</v>
      </c>
      <c r="CC172" s="263">
        <f t="shared" si="113"/>
        <v>0.37931034482758619</v>
      </c>
      <c r="CD172" s="263">
        <f t="shared" si="162"/>
        <v>0</v>
      </c>
      <c r="CE172" s="263">
        <f t="shared" si="167"/>
        <v>0</v>
      </c>
      <c r="CF172" s="263">
        <f t="shared" si="114"/>
        <v>0</v>
      </c>
      <c r="CG172" s="263">
        <f t="shared" si="115"/>
        <v>0.62068965517241381</v>
      </c>
      <c r="CH172" s="263"/>
      <c r="CI172" s="263">
        <f t="shared" si="163"/>
        <v>0</v>
      </c>
      <c r="CJ172" s="263"/>
      <c r="CK172" s="263">
        <f t="shared" si="164"/>
        <v>0</v>
      </c>
      <c r="CL172" s="264">
        <f t="shared" si="169"/>
        <v>0</v>
      </c>
      <c r="CM172" s="264">
        <f t="shared" si="165"/>
        <v>3363</v>
      </c>
      <c r="CO172" s="265">
        <v>9.017E-2</v>
      </c>
      <c r="CP172" s="265">
        <v>9.0160000000000004E-2</v>
      </c>
      <c r="CQ172" s="265">
        <v>9.0490000000000001E-2</v>
      </c>
      <c r="CS172" s="265">
        <v>9.2689999999999995E-2</v>
      </c>
      <c r="CT172" s="265">
        <v>9.325E-2</v>
      </c>
      <c r="CU172" s="265">
        <v>9.7530000000000006E-2</v>
      </c>
      <c r="CV172" s="265">
        <v>0.10005000000000001</v>
      </c>
      <c r="CW172" s="265">
        <v>0.1</v>
      </c>
      <c r="CY172" s="265">
        <v>0.1016</v>
      </c>
      <c r="DA172" s="265">
        <v>0.10589</v>
      </c>
      <c r="DC172" s="265">
        <v>0.10507999999999999</v>
      </c>
      <c r="DE172" s="265">
        <v>3.9050000000000001E-2</v>
      </c>
      <c r="DF172" s="265">
        <v>4.1589999999999995E-2</v>
      </c>
      <c r="DH172" s="265">
        <v>4.4500000000000005E-2</v>
      </c>
      <c r="DI172" s="265">
        <v>4.6699999999999998E-2</v>
      </c>
      <c r="DJ172" s="265">
        <v>4.8330000000000005E-2</v>
      </c>
      <c r="DL172" s="265">
        <v>4.632E-2</v>
      </c>
      <c r="DO172" s="264" t="e">
        <f t="shared" si="170"/>
        <v>#N/A</v>
      </c>
      <c r="DP172" s="264" t="e" cm="1">
        <f t="array" ref="DP172">+INDEX(AH172:AV172,MATCH(DO172,AH172:AV172,1)+1)</f>
        <v>#N/A</v>
      </c>
      <c r="DQ172" s="265" t="e">
        <f t="shared" si="171"/>
        <v>#N/A</v>
      </c>
      <c r="DR172" s="267" t="e">
        <f t="shared" si="172"/>
        <v>#N/A</v>
      </c>
      <c r="DS172" s="267" t="e">
        <f t="shared" si="173"/>
        <v>#N/A</v>
      </c>
      <c r="DT172" s="268">
        <f t="shared" si="174"/>
        <v>3308</v>
      </c>
      <c r="DU172" s="268" cm="1">
        <f t="array" ref="DU172">+INDEX(AX172:BF172,MATCH(DT172,AX172:BF172,1)+1)</f>
        <v>4048</v>
      </c>
      <c r="DV172" s="267">
        <f t="shared" si="175"/>
        <v>4.6699999999999998E-2</v>
      </c>
      <c r="DW172" s="267">
        <f t="shared" si="176"/>
        <v>4.8330000000000005E-2</v>
      </c>
      <c r="DX172" s="267">
        <f t="shared" si="177"/>
        <v>4.6820000000000001E-2</v>
      </c>
      <c r="DY172" s="267">
        <f t="shared" si="178"/>
        <v>8.3499999999999991E-2</v>
      </c>
      <c r="DZ172" s="205">
        <f t="shared" si="179"/>
        <v>0.13422946999999996</v>
      </c>
      <c r="EA172" s="205">
        <f t="shared" si="180"/>
        <v>1.2877219325812956E-4</v>
      </c>
    </row>
    <row r="173" spans="2:131">
      <c r="B173" s="272">
        <v>45356</v>
      </c>
      <c r="C173" s="271">
        <v>45356</v>
      </c>
      <c r="D173" s="263" t="e">
        <f>+SUMIFS(Tabla6[Nominal COP],Tabla6[Concepto],COSTO_OPORTUNIDAD!$B$18,Tabla6[Nemotécnico],COSTO_OPORTUNIDAD!D$16,Tabla6[Fecha Cumplimiento y/ liquidacion],COSTO_OPORTUNIDAD!$C173)/+SUMIFS(Tabla6[Nominal COP],Tabla6[Concepto],COSTO_OPORTUNIDAD!$B$18,Tabla6[Fecha Cumplimiento y/ liquidacion],COSTO_OPORTUNIDAD!$C173)</f>
        <v>#DIV/0!</v>
      </c>
      <c r="E173" s="263" t="e">
        <f>+SUMIFS(Tabla6[Nominal COP],Tabla6[Concepto],COSTO_OPORTUNIDAD!$B$18,Tabla6[Nemotécnico],COSTO_OPORTUNIDAD!E$16,Tabla6[Fecha Cumplimiento y/ liquidacion],COSTO_OPORTUNIDAD!$C173)/+SUMIFS(Tabla6[Nominal COP],Tabla6[Concepto],COSTO_OPORTUNIDAD!$B$18,Tabla6[Fecha Cumplimiento y/ liquidacion],COSTO_OPORTUNIDAD!$C173)</f>
        <v>#DIV/0!</v>
      </c>
      <c r="F173" s="263"/>
      <c r="G173" s="263"/>
      <c r="H173" s="263">
        <v>0</v>
      </c>
      <c r="I173" s="263"/>
      <c r="J173" s="263">
        <v>0</v>
      </c>
      <c r="K173" s="263">
        <v>0</v>
      </c>
      <c r="L173" s="263"/>
      <c r="M173" s="263">
        <v>0.43495573865898857</v>
      </c>
      <c r="N173" s="263"/>
      <c r="O173" s="263"/>
      <c r="P173" s="263">
        <v>0</v>
      </c>
      <c r="Q173" s="263"/>
      <c r="R173" s="263">
        <v>0.56360461910742177</v>
      </c>
      <c r="S173" s="263"/>
      <c r="T173" s="263">
        <v>0</v>
      </c>
      <c r="U173" s="263"/>
      <c r="V173" s="263">
        <v>0</v>
      </c>
      <c r="W173" s="263">
        <v>0</v>
      </c>
      <c r="X173" s="263">
        <v>7.3513645970533278E-4</v>
      </c>
      <c r="Y173" s="263"/>
      <c r="Z173" s="263">
        <v>0</v>
      </c>
      <c r="AA173" s="263">
        <v>0</v>
      </c>
      <c r="AB173" s="263">
        <v>7.0450577388427732E-4</v>
      </c>
      <c r="AC173" s="263"/>
      <c r="AD173" s="263">
        <v>0</v>
      </c>
      <c r="AE173" s="263"/>
      <c r="AF173" s="263"/>
      <c r="AG173" s="262"/>
      <c r="AH173" s="274">
        <f t="shared" si="130"/>
        <v>904</v>
      </c>
      <c r="AI173" s="274">
        <f t="shared" si="131"/>
        <v>1338</v>
      </c>
      <c r="AJ173" s="274">
        <f t="shared" si="132"/>
        <v>1515</v>
      </c>
      <c r="AK173" s="274">
        <f t="shared" si="127"/>
        <v>1996</v>
      </c>
      <c r="AL173" s="274">
        <f t="shared" si="133"/>
        <v>2388</v>
      </c>
      <c r="AM173" s="274">
        <f t="shared" si="134"/>
        <v>2577</v>
      </c>
      <c r="AN173" s="274">
        <f t="shared" si="135"/>
        <v>3039</v>
      </c>
      <c r="AO173" s="274">
        <f t="shared" si="168"/>
        <v>3263</v>
      </c>
      <c r="AP173" s="274">
        <f t="shared" si="136"/>
        <v>3879</v>
      </c>
      <c r="AQ173" s="274"/>
      <c r="AR173" s="274">
        <f t="shared" si="137"/>
        <v>4509</v>
      </c>
      <c r="AS173" s="274">
        <f t="shared" si="128"/>
        <v>6112</v>
      </c>
      <c r="AT173" s="274">
        <f t="shared" si="138"/>
        <v>6658</v>
      </c>
      <c r="AU173" s="274"/>
      <c r="AV173" s="274">
        <f t="shared" si="139"/>
        <v>9731</v>
      </c>
      <c r="AW173" s="274"/>
      <c r="AX173" s="274">
        <f t="shared" si="140"/>
        <v>428</v>
      </c>
      <c r="AY173" s="274">
        <f t="shared" si="141"/>
        <v>1107</v>
      </c>
      <c r="AZ173" s="274">
        <f t="shared" si="142"/>
        <v>1870</v>
      </c>
      <c r="BA173" s="274"/>
      <c r="BB173" s="274">
        <f t="shared" si="143"/>
        <v>3307</v>
      </c>
      <c r="BC173" s="274">
        <f t="shared" si="144"/>
        <v>4047</v>
      </c>
      <c r="BD173" s="274">
        <f t="shared" si="145"/>
        <v>4740</v>
      </c>
      <c r="BE173" s="274"/>
      <c r="BF173" s="274">
        <f t="shared" si="146"/>
        <v>9234</v>
      </c>
      <c r="BG173" s="274"/>
      <c r="BH173" s="274"/>
      <c r="BI173" s="266">
        <f t="shared" si="147"/>
        <v>1.43964223358961E-3</v>
      </c>
      <c r="BJ173" s="266" t="e">
        <f t="shared" si="148"/>
        <v>#DIV/0!</v>
      </c>
      <c r="BK173" s="263" t="str">
        <f t="shared" si="149"/>
        <v/>
      </c>
      <c r="BL173" s="263" t="str">
        <f t="shared" si="150"/>
        <v/>
      </c>
      <c r="BM173" s="263" t="str">
        <f t="shared" si="151"/>
        <v/>
      </c>
      <c r="BN173" s="263"/>
      <c r="BO173" s="263" t="str">
        <f t="shared" si="152"/>
        <v/>
      </c>
      <c r="BP173" s="263" t="str">
        <f t="shared" si="153"/>
        <v/>
      </c>
      <c r="BQ173" s="263" t="str">
        <f t="shared" si="154"/>
        <v/>
      </c>
      <c r="BR173" s="263" t="str">
        <f t="shared" si="155"/>
        <v/>
      </c>
      <c r="BS173" s="263" t="str">
        <f t="shared" si="156"/>
        <v/>
      </c>
      <c r="BT173" s="263" t="str">
        <f t="shared" si="157"/>
        <v/>
      </c>
      <c r="BU173" s="263" t="str">
        <f t="shared" si="158"/>
        <v/>
      </c>
      <c r="BV173" s="263"/>
      <c r="BW173" s="263" t="str">
        <f t="shared" si="159"/>
        <v/>
      </c>
      <c r="BX173" s="263"/>
      <c r="BY173" s="263" t="str">
        <f t="shared" si="160"/>
        <v/>
      </c>
      <c r="BZ173" s="263"/>
      <c r="CA173" s="263">
        <f t="shared" si="112"/>
        <v>0</v>
      </c>
      <c r="CB173" s="263">
        <f t="shared" si="161"/>
        <v>0</v>
      </c>
      <c r="CC173" s="263">
        <f t="shared" si="113"/>
        <v>0.51063829787234039</v>
      </c>
      <c r="CD173" s="263">
        <f t="shared" si="162"/>
        <v>0</v>
      </c>
      <c r="CE173" s="263">
        <f t="shared" si="167"/>
        <v>0</v>
      </c>
      <c r="CF173" s="263">
        <f t="shared" si="114"/>
        <v>0</v>
      </c>
      <c r="CG173" s="263">
        <f t="shared" si="115"/>
        <v>0.48936170212765961</v>
      </c>
      <c r="CH173" s="263"/>
      <c r="CI173" s="263">
        <f t="shared" si="163"/>
        <v>0</v>
      </c>
      <c r="CJ173" s="263"/>
      <c r="CK173" s="263">
        <f t="shared" si="164"/>
        <v>0</v>
      </c>
      <c r="CL173" s="264">
        <f t="shared" si="169"/>
        <v>0</v>
      </c>
      <c r="CM173" s="264">
        <f t="shared" si="165"/>
        <v>2885</v>
      </c>
      <c r="CO173" s="265">
        <v>9.01E-2</v>
      </c>
      <c r="CP173" s="265">
        <v>9.0389999999999998E-2</v>
      </c>
      <c r="CQ173" s="265">
        <v>9.035E-2</v>
      </c>
      <c r="CS173" s="265">
        <v>9.2899999999999996E-2</v>
      </c>
      <c r="CT173" s="265">
        <v>9.265000000000001E-2</v>
      </c>
      <c r="CU173" s="265">
        <v>9.7870000000000013E-2</v>
      </c>
      <c r="CV173" s="265">
        <v>9.9749999999999991E-2</v>
      </c>
      <c r="CW173" s="265">
        <v>9.9819999999999992E-2</v>
      </c>
      <c r="CY173" s="265">
        <v>0.1014</v>
      </c>
      <c r="DA173" s="265">
        <v>0.10580000000000001</v>
      </c>
      <c r="DC173" s="265">
        <v>0.10478999999999999</v>
      </c>
      <c r="DE173" s="265">
        <v>3.8900000000000004E-2</v>
      </c>
      <c r="DF173" s="265">
        <v>4.1790000000000001E-2</v>
      </c>
      <c r="DH173" s="265">
        <v>4.4500000000000005E-2</v>
      </c>
      <c r="DI173" s="265">
        <v>4.7E-2</v>
      </c>
      <c r="DJ173" s="265">
        <v>4.845E-2</v>
      </c>
      <c r="DL173" s="265">
        <v>4.6550000000000001E-2</v>
      </c>
      <c r="DO173" s="264" t="e">
        <f t="shared" si="170"/>
        <v>#N/A</v>
      </c>
      <c r="DP173" s="264" t="e" cm="1">
        <f t="array" ref="DP173">+INDEX(AH173:AV173,MATCH(DO173,AH173:AV173,1)+1)</f>
        <v>#N/A</v>
      </c>
      <c r="DQ173" s="265" t="e">
        <f t="shared" si="171"/>
        <v>#N/A</v>
      </c>
      <c r="DR173" s="267" t="e">
        <f t="shared" si="172"/>
        <v>#N/A</v>
      </c>
      <c r="DS173" s="267" t="e">
        <f t="shared" si="173"/>
        <v>#N/A</v>
      </c>
      <c r="DT173" s="268">
        <f t="shared" si="174"/>
        <v>1870</v>
      </c>
      <c r="DU173" s="268" cm="1">
        <f t="array" ref="DU173">+INDEX(AX173:BF173,MATCH(DT173,AX173:BF173,1)+1)</f>
        <v>0</v>
      </c>
      <c r="DV173" s="267">
        <f t="shared" si="175"/>
        <v>0</v>
      </c>
      <c r="DW173" s="267" t="e">
        <f t="shared" si="176"/>
        <v>#N/A</v>
      </c>
      <c r="DX173" s="267" t="e">
        <f t="shared" si="177"/>
        <v>#N/A</v>
      </c>
      <c r="DY173" s="267">
        <f t="shared" si="178"/>
        <v>8.3499999999999991E-2</v>
      </c>
      <c r="DZ173" s="205" t="e">
        <f t="shared" si="179"/>
        <v>#N/A</v>
      </c>
      <c r="EA173" s="205">
        <f t="shared" si="180"/>
        <v>0</v>
      </c>
    </row>
    <row r="174" spans="2:131">
      <c r="B174" s="272">
        <v>45357</v>
      </c>
      <c r="C174" s="271">
        <v>45357</v>
      </c>
      <c r="D174" s="263" t="e">
        <f>+SUMIFS(Tabla6[Nominal COP],Tabla6[Concepto],COSTO_OPORTUNIDAD!$B$18,Tabla6[Nemotécnico],COSTO_OPORTUNIDAD!D$16,Tabla6[Fecha Cumplimiento y/ liquidacion],COSTO_OPORTUNIDAD!$C174)/+SUMIFS(Tabla6[Nominal COP],Tabla6[Concepto],COSTO_OPORTUNIDAD!$B$18,Tabla6[Fecha Cumplimiento y/ liquidacion],COSTO_OPORTUNIDAD!$C174)</f>
        <v>#DIV/0!</v>
      </c>
      <c r="E174" s="263" t="e">
        <f>+SUMIFS(Tabla6[Nominal COP],Tabla6[Concepto],COSTO_OPORTUNIDAD!$B$18,Tabla6[Nemotécnico],COSTO_OPORTUNIDAD!E$16,Tabla6[Fecha Cumplimiento y/ liquidacion],COSTO_OPORTUNIDAD!$C174)/+SUMIFS(Tabla6[Nominal COP],Tabla6[Concepto],COSTO_OPORTUNIDAD!$B$18,Tabla6[Fecha Cumplimiento y/ liquidacion],COSTO_OPORTUNIDAD!$C174)</f>
        <v>#DIV/0!</v>
      </c>
      <c r="F174" s="263"/>
      <c r="G174" s="263"/>
      <c r="H174" s="263">
        <v>6.7051092932814804E-2</v>
      </c>
      <c r="I174" s="263"/>
      <c r="J174" s="263">
        <v>0</v>
      </c>
      <c r="K174" s="263">
        <v>0</v>
      </c>
      <c r="L174" s="263"/>
      <c r="M174" s="263">
        <v>0.39113137544141968</v>
      </c>
      <c r="N174" s="263"/>
      <c r="O174" s="263"/>
      <c r="P174" s="263">
        <v>0</v>
      </c>
      <c r="Q174" s="263"/>
      <c r="R174" s="263">
        <v>0.54087881632470614</v>
      </c>
      <c r="S174" s="263"/>
      <c r="T174" s="263">
        <v>0</v>
      </c>
      <c r="U174" s="263"/>
      <c r="V174" s="263">
        <v>0</v>
      </c>
      <c r="W174" s="263">
        <v>0</v>
      </c>
      <c r="X174" s="263">
        <v>4.4700728621876535E-4</v>
      </c>
      <c r="Y174" s="263"/>
      <c r="Z174" s="263">
        <v>0</v>
      </c>
      <c r="AA174" s="263">
        <v>0</v>
      </c>
      <c r="AB174" s="263">
        <v>4.9170801484064194E-4</v>
      </c>
      <c r="AC174" s="263"/>
      <c r="AD174" s="263">
        <v>0</v>
      </c>
      <c r="AE174" s="263"/>
      <c r="AF174" s="263"/>
      <c r="AG174" s="262"/>
      <c r="AH174" s="274">
        <f t="shared" si="130"/>
        <v>903</v>
      </c>
      <c r="AI174" s="274">
        <f t="shared" si="131"/>
        <v>1337</v>
      </c>
      <c r="AJ174" s="274">
        <f t="shared" si="132"/>
        <v>1514</v>
      </c>
      <c r="AK174" s="274">
        <f t="shared" si="127"/>
        <v>1995</v>
      </c>
      <c r="AL174" s="274">
        <f t="shared" si="133"/>
        <v>2387</v>
      </c>
      <c r="AM174" s="274">
        <f t="shared" si="134"/>
        <v>2576</v>
      </c>
      <c r="AN174" s="274">
        <f t="shared" si="135"/>
        <v>3038</v>
      </c>
      <c r="AO174" s="274">
        <f t="shared" si="168"/>
        <v>3262</v>
      </c>
      <c r="AP174" s="274">
        <f t="shared" si="136"/>
        <v>3878</v>
      </c>
      <c r="AQ174" s="274"/>
      <c r="AR174" s="274">
        <f t="shared" si="137"/>
        <v>4508</v>
      </c>
      <c r="AS174" s="274">
        <f t="shared" si="128"/>
        <v>6111</v>
      </c>
      <c r="AT174" s="274">
        <f t="shared" si="138"/>
        <v>6657</v>
      </c>
      <c r="AU174" s="274"/>
      <c r="AV174" s="274">
        <f t="shared" si="139"/>
        <v>9730</v>
      </c>
      <c r="AW174" s="274"/>
      <c r="AX174" s="274">
        <f t="shared" si="140"/>
        <v>427</v>
      </c>
      <c r="AY174" s="274">
        <f t="shared" si="141"/>
        <v>1106</v>
      </c>
      <c r="AZ174" s="274">
        <f t="shared" si="142"/>
        <v>1869</v>
      </c>
      <c r="BA174" s="274"/>
      <c r="BB174" s="274">
        <f t="shared" si="143"/>
        <v>3306</v>
      </c>
      <c r="BC174" s="274">
        <f t="shared" si="144"/>
        <v>4046</v>
      </c>
      <c r="BD174" s="274">
        <f t="shared" si="145"/>
        <v>4739</v>
      </c>
      <c r="BE174" s="274"/>
      <c r="BF174" s="274">
        <f t="shared" si="146"/>
        <v>9233</v>
      </c>
      <c r="BG174" s="274"/>
      <c r="BH174" s="274"/>
      <c r="BI174" s="266">
        <f t="shared" si="147"/>
        <v>9.3871530105940734E-4</v>
      </c>
      <c r="BJ174" s="266" t="e">
        <f t="shared" si="148"/>
        <v>#DIV/0!</v>
      </c>
      <c r="BK174" s="263" t="str">
        <f t="shared" si="149"/>
        <v/>
      </c>
      <c r="BL174" s="263" t="str">
        <f t="shared" si="150"/>
        <v/>
      </c>
      <c r="BM174" s="263" t="str">
        <f t="shared" si="151"/>
        <v/>
      </c>
      <c r="BN174" s="263"/>
      <c r="BO174" s="263" t="str">
        <f t="shared" si="152"/>
        <v/>
      </c>
      <c r="BP174" s="263" t="str">
        <f t="shared" si="153"/>
        <v/>
      </c>
      <c r="BQ174" s="263" t="str">
        <f t="shared" si="154"/>
        <v/>
      </c>
      <c r="BR174" s="263" t="str">
        <f t="shared" si="155"/>
        <v/>
      </c>
      <c r="BS174" s="263" t="str">
        <f t="shared" si="156"/>
        <v/>
      </c>
      <c r="BT174" s="263" t="str">
        <f t="shared" si="157"/>
        <v/>
      </c>
      <c r="BU174" s="263" t="str">
        <f t="shared" si="158"/>
        <v/>
      </c>
      <c r="BV174" s="263"/>
      <c r="BW174" s="263" t="str">
        <f t="shared" si="159"/>
        <v/>
      </c>
      <c r="BX174" s="263"/>
      <c r="BY174" s="263" t="str">
        <f t="shared" si="160"/>
        <v/>
      </c>
      <c r="BZ174" s="263"/>
      <c r="CA174" s="263">
        <f t="shared" si="112"/>
        <v>0</v>
      </c>
      <c r="CB174" s="263">
        <f t="shared" si="161"/>
        <v>0</v>
      </c>
      <c r="CC174" s="263">
        <f t="shared" si="113"/>
        <v>0.47619047619047611</v>
      </c>
      <c r="CD174" s="263">
        <f t="shared" si="162"/>
        <v>0</v>
      </c>
      <c r="CE174" s="263">
        <f t="shared" si="167"/>
        <v>0</v>
      </c>
      <c r="CF174" s="263">
        <f t="shared" si="114"/>
        <v>0</v>
      </c>
      <c r="CG174" s="263">
        <f t="shared" si="115"/>
        <v>0.52380952380952384</v>
      </c>
      <c r="CH174" s="263"/>
      <c r="CI174" s="263">
        <f t="shared" si="163"/>
        <v>0</v>
      </c>
      <c r="CJ174" s="263"/>
      <c r="CK174" s="263">
        <f t="shared" si="164"/>
        <v>0</v>
      </c>
      <c r="CL174" s="264">
        <f t="shared" si="169"/>
        <v>0</v>
      </c>
      <c r="CM174" s="264">
        <f t="shared" si="165"/>
        <v>3009</v>
      </c>
      <c r="CO174" s="265">
        <v>8.9800000000000005E-2</v>
      </c>
      <c r="CP174" s="265">
        <v>9.0999999999999998E-2</v>
      </c>
      <c r="CQ174" s="265">
        <v>9.0999999999999998E-2</v>
      </c>
      <c r="CS174" s="265">
        <v>9.282E-2</v>
      </c>
      <c r="CT174" s="265">
        <v>9.265000000000001E-2</v>
      </c>
      <c r="CU174" s="265">
        <v>9.8000000000000004E-2</v>
      </c>
      <c r="CV174" s="265">
        <v>9.9600000000000008E-2</v>
      </c>
      <c r="CW174" s="265">
        <v>9.9610000000000004E-2</v>
      </c>
      <c r="CY174" s="265">
        <v>0.10150000000000001</v>
      </c>
      <c r="DA174" s="265">
        <v>0.10566</v>
      </c>
      <c r="DC174" s="265">
        <v>0.10471</v>
      </c>
      <c r="DE174" s="265">
        <v>3.9E-2</v>
      </c>
      <c r="DF174" s="265">
        <v>4.2160000000000003E-2</v>
      </c>
      <c r="DH174" s="265">
        <v>4.4500000000000005E-2</v>
      </c>
      <c r="DI174" s="265">
        <v>4.7300000000000002E-2</v>
      </c>
      <c r="DJ174" s="265">
        <v>4.8869999999999997E-2</v>
      </c>
      <c r="DL174" s="265">
        <v>4.7E-2</v>
      </c>
      <c r="DO174" s="264" t="e">
        <f t="shared" si="170"/>
        <v>#N/A</v>
      </c>
      <c r="DP174" s="264" t="e" cm="1">
        <f t="array" ref="DP174">+INDEX(AH174:AV174,MATCH(DO174,AH174:AV174,1)+1)</f>
        <v>#N/A</v>
      </c>
      <c r="DQ174" s="265" t="e">
        <f t="shared" si="171"/>
        <v>#N/A</v>
      </c>
      <c r="DR174" s="267" t="e">
        <f t="shared" si="172"/>
        <v>#N/A</v>
      </c>
      <c r="DS174" s="267" t="e">
        <f t="shared" si="173"/>
        <v>#N/A</v>
      </c>
      <c r="DT174" s="268">
        <f t="shared" si="174"/>
        <v>1869</v>
      </c>
      <c r="DU174" s="268" cm="1">
        <f t="array" ref="DU174">+INDEX(AX174:BF174,MATCH(DT174,AX174:BF174,1)+1)</f>
        <v>0</v>
      </c>
      <c r="DV174" s="267">
        <f t="shared" si="175"/>
        <v>0</v>
      </c>
      <c r="DW174" s="267" t="e">
        <f t="shared" si="176"/>
        <v>#N/A</v>
      </c>
      <c r="DX174" s="267" t="e">
        <f t="shared" si="177"/>
        <v>#N/A</v>
      </c>
      <c r="DY174" s="267">
        <f t="shared" si="178"/>
        <v>8.3499999999999991E-2</v>
      </c>
      <c r="DZ174" s="205" t="e">
        <f t="shared" si="179"/>
        <v>#N/A</v>
      </c>
      <c r="EA174" s="205">
        <f t="shared" si="180"/>
        <v>0</v>
      </c>
    </row>
    <row r="175" spans="2:131">
      <c r="B175" s="272">
        <v>45358</v>
      </c>
      <c r="C175" s="271">
        <v>45358</v>
      </c>
      <c r="D175" s="263" t="e">
        <f>+SUMIFS(Tabla6[Nominal COP],Tabla6[Concepto],COSTO_OPORTUNIDAD!$B$18,Tabla6[Nemotécnico],COSTO_OPORTUNIDAD!D$16,Tabla6[Fecha Cumplimiento y/ liquidacion],COSTO_OPORTUNIDAD!$C175)/+SUMIFS(Tabla6[Nominal COP],Tabla6[Concepto],COSTO_OPORTUNIDAD!$B$18,Tabla6[Fecha Cumplimiento y/ liquidacion],COSTO_OPORTUNIDAD!$C175)</f>
        <v>#DIV/0!</v>
      </c>
      <c r="E175" s="263" t="e">
        <f>+SUMIFS(Tabla6[Nominal COP],Tabla6[Concepto],COSTO_OPORTUNIDAD!$B$18,Tabla6[Nemotécnico],COSTO_OPORTUNIDAD!E$16,Tabla6[Fecha Cumplimiento y/ liquidacion],COSTO_OPORTUNIDAD!$C175)/+SUMIFS(Tabla6[Nominal COP],Tabla6[Concepto],COSTO_OPORTUNIDAD!$B$18,Tabla6[Fecha Cumplimiento y/ liquidacion],COSTO_OPORTUNIDAD!$C175)</f>
        <v>#DIV/0!</v>
      </c>
      <c r="F175" s="263"/>
      <c r="G175" s="263"/>
      <c r="H175" s="263">
        <v>0</v>
      </c>
      <c r="I175" s="263"/>
      <c r="J175" s="263">
        <v>0</v>
      </c>
      <c r="K175" s="263">
        <v>0</v>
      </c>
      <c r="L175" s="263"/>
      <c r="M175" s="263">
        <v>0.56254474787767206</v>
      </c>
      <c r="N175" s="263"/>
      <c r="O175" s="263"/>
      <c r="P175" s="263">
        <v>0</v>
      </c>
      <c r="Q175" s="263"/>
      <c r="R175" s="263">
        <v>0.43469366881456478</v>
      </c>
      <c r="S175" s="263"/>
      <c r="T175" s="263">
        <v>0</v>
      </c>
      <c r="U175" s="263"/>
      <c r="V175" s="263">
        <v>0</v>
      </c>
      <c r="W175" s="263">
        <v>0</v>
      </c>
      <c r="X175" s="263">
        <v>2.5570215812621457E-3</v>
      </c>
      <c r="Y175" s="263"/>
      <c r="Z175" s="263">
        <v>0</v>
      </c>
      <c r="AA175" s="263">
        <v>0</v>
      </c>
      <c r="AB175" s="263">
        <v>2.0456172650097168E-4</v>
      </c>
      <c r="AC175" s="263"/>
      <c r="AD175" s="263">
        <v>0</v>
      </c>
      <c r="AE175" s="263"/>
      <c r="AF175" s="263"/>
      <c r="AG175" s="262"/>
      <c r="AH175" s="274">
        <f t="shared" si="130"/>
        <v>902</v>
      </c>
      <c r="AI175" s="274">
        <f t="shared" si="131"/>
        <v>1336</v>
      </c>
      <c r="AJ175" s="274">
        <f t="shared" si="132"/>
        <v>1513</v>
      </c>
      <c r="AK175" s="274">
        <f t="shared" si="127"/>
        <v>1994</v>
      </c>
      <c r="AL175" s="274">
        <f t="shared" si="133"/>
        <v>2386</v>
      </c>
      <c r="AM175" s="274">
        <f t="shared" si="134"/>
        <v>2575</v>
      </c>
      <c r="AN175" s="274">
        <f t="shared" si="135"/>
        <v>3037</v>
      </c>
      <c r="AO175" s="274">
        <f t="shared" si="168"/>
        <v>3261</v>
      </c>
      <c r="AP175" s="274">
        <f t="shared" si="136"/>
        <v>3877</v>
      </c>
      <c r="AQ175" s="274"/>
      <c r="AR175" s="274">
        <f t="shared" si="137"/>
        <v>4507</v>
      </c>
      <c r="AS175" s="274">
        <f t="shared" si="128"/>
        <v>6110</v>
      </c>
      <c r="AT175" s="274">
        <f t="shared" si="138"/>
        <v>6656</v>
      </c>
      <c r="AU175" s="274"/>
      <c r="AV175" s="274">
        <f t="shared" si="139"/>
        <v>9729</v>
      </c>
      <c r="AW175" s="274"/>
      <c r="AX175" s="274">
        <f t="shared" si="140"/>
        <v>426</v>
      </c>
      <c r="AY175" s="274">
        <f t="shared" si="141"/>
        <v>1105</v>
      </c>
      <c r="AZ175" s="274">
        <f t="shared" si="142"/>
        <v>1868</v>
      </c>
      <c r="BA175" s="274"/>
      <c r="BB175" s="274">
        <f t="shared" si="143"/>
        <v>3305</v>
      </c>
      <c r="BC175" s="274">
        <f t="shared" si="144"/>
        <v>4045</v>
      </c>
      <c r="BD175" s="274">
        <f t="shared" si="145"/>
        <v>4738</v>
      </c>
      <c r="BE175" s="274"/>
      <c r="BF175" s="274">
        <f t="shared" si="146"/>
        <v>9232</v>
      </c>
      <c r="BG175" s="274"/>
      <c r="BH175" s="274"/>
      <c r="BI175" s="266">
        <f t="shared" si="147"/>
        <v>2.7615833077631173E-3</v>
      </c>
      <c r="BJ175" s="266" t="e">
        <f t="shared" si="148"/>
        <v>#DIV/0!</v>
      </c>
      <c r="BK175" s="263" t="str">
        <f t="shared" si="149"/>
        <v/>
      </c>
      <c r="BL175" s="263" t="str">
        <f t="shared" si="150"/>
        <v/>
      </c>
      <c r="BM175" s="263" t="str">
        <f t="shared" si="151"/>
        <v/>
      </c>
      <c r="BN175" s="263"/>
      <c r="BO175" s="263" t="str">
        <f t="shared" si="152"/>
        <v/>
      </c>
      <c r="BP175" s="263" t="str">
        <f t="shared" si="153"/>
        <v/>
      </c>
      <c r="BQ175" s="263" t="str">
        <f t="shared" si="154"/>
        <v/>
      </c>
      <c r="BR175" s="263" t="str">
        <f t="shared" si="155"/>
        <v/>
      </c>
      <c r="BS175" s="263" t="str">
        <f t="shared" si="156"/>
        <v/>
      </c>
      <c r="BT175" s="263" t="str">
        <f t="shared" si="157"/>
        <v/>
      </c>
      <c r="BU175" s="263" t="str">
        <f t="shared" si="158"/>
        <v/>
      </c>
      <c r="BV175" s="263"/>
      <c r="BW175" s="263" t="str">
        <f t="shared" si="159"/>
        <v/>
      </c>
      <c r="BX175" s="263"/>
      <c r="BY175" s="263" t="str">
        <f t="shared" si="160"/>
        <v/>
      </c>
      <c r="BZ175" s="263"/>
      <c r="CA175" s="263">
        <f t="shared" si="112"/>
        <v>0</v>
      </c>
      <c r="CB175" s="263">
        <f t="shared" si="161"/>
        <v>0</v>
      </c>
      <c r="CC175" s="263">
        <f t="shared" si="113"/>
        <v>0.92592592592592593</v>
      </c>
      <c r="CD175" s="263">
        <f t="shared" si="162"/>
        <v>0</v>
      </c>
      <c r="CE175" s="263">
        <f t="shared" si="167"/>
        <v>0</v>
      </c>
      <c r="CF175" s="263">
        <f t="shared" si="114"/>
        <v>0</v>
      </c>
      <c r="CG175" s="263">
        <f t="shared" si="115"/>
        <v>7.4074074074074084E-2</v>
      </c>
      <c r="CH175" s="263"/>
      <c r="CI175" s="263">
        <f t="shared" si="163"/>
        <v>0</v>
      </c>
      <c r="CJ175" s="263"/>
      <c r="CK175" s="263">
        <f t="shared" si="164"/>
        <v>0</v>
      </c>
      <c r="CL175" s="264">
        <f t="shared" si="169"/>
        <v>0</v>
      </c>
      <c r="CM175" s="264">
        <f t="shared" si="165"/>
        <v>1374</v>
      </c>
      <c r="CO175" s="265">
        <v>8.9359999999999995E-2</v>
      </c>
      <c r="CP175" s="265">
        <v>9.0700000000000003E-2</v>
      </c>
      <c r="CQ175" s="265">
        <v>9.0719999999999995E-2</v>
      </c>
      <c r="CS175" s="265">
        <v>9.3019999999999992E-2</v>
      </c>
      <c r="CT175" s="265">
        <v>9.2880000000000004E-2</v>
      </c>
      <c r="CU175" s="265">
        <v>9.8000000000000004E-2</v>
      </c>
      <c r="CV175" s="265">
        <v>9.9149999999999988E-2</v>
      </c>
      <c r="CW175" s="265">
        <v>9.9330000000000002E-2</v>
      </c>
      <c r="CY175" s="265">
        <v>0.10099999999999999</v>
      </c>
      <c r="DA175" s="265">
        <v>0.1051</v>
      </c>
      <c r="DC175" s="265">
        <v>0.1043</v>
      </c>
      <c r="DE175" s="265">
        <v>3.9320000000000001E-2</v>
      </c>
      <c r="DF175" s="265">
        <v>4.1449999999999994E-2</v>
      </c>
      <c r="DH175" s="265">
        <v>4.4900000000000002E-2</v>
      </c>
      <c r="DI175" s="265">
        <v>4.6699999999999998E-2</v>
      </c>
      <c r="DJ175" s="265">
        <v>4.7910000000000001E-2</v>
      </c>
      <c r="DL175" s="265">
        <v>4.5999999999999999E-2</v>
      </c>
      <c r="DO175" s="264" t="e">
        <f t="shared" si="170"/>
        <v>#N/A</v>
      </c>
      <c r="DP175" s="264" t="e" cm="1">
        <f t="array" ref="DP175">+INDEX(AH175:AV175,MATCH(DO175,AH175:AV175,1)+1)</f>
        <v>#N/A</v>
      </c>
      <c r="DQ175" s="265" t="e">
        <f t="shared" si="171"/>
        <v>#N/A</v>
      </c>
      <c r="DR175" s="267" t="e">
        <f t="shared" si="172"/>
        <v>#N/A</v>
      </c>
      <c r="DS175" s="267" t="e">
        <f t="shared" si="173"/>
        <v>#N/A</v>
      </c>
      <c r="DT175" s="268">
        <f t="shared" si="174"/>
        <v>1105</v>
      </c>
      <c r="DU175" s="268" cm="1">
        <f t="array" ref="DU175">+INDEX(AX175:BF175,MATCH(DT175,AX175:BF175,1)+1)</f>
        <v>1868</v>
      </c>
      <c r="DV175" s="267">
        <f t="shared" si="175"/>
        <v>4.1449999999999994E-2</v>
      </c>
      <c r="DW175" s="267">
        <f t="shared" si="176"/>
        <v>0</v>
      </c>
      <c r="DX175" s="267">
        <f t="shared" si="177"/>
        <v>2.6839999999999999E-2</v>
      </c>
      <c r="DY175" s="267">
        <f>+$EE$77</f>
        <v>8.3499999999999991E-2</v>
      </c>
      <c r="DZ175" s="205">
        <f t="shared" si="179"/>
        <v>0.11258113999999986</v>
      </c>
      <c r="EA175" s="205">
        <f t="shared" si="180"/>
        <v>3.1090219699294219E-4</v>
      </c>
    </row>
    <row r="176" spans="2:131">
      <c r="B176" s="272">
        <v>45364</v>
      </c>
      <c r="C176" s="271">
        <v>45364</v>
      </c>
      <c r="D176" s="263" t="e">
        <f>+SUMIFS(Tabla6[Nominal COP],Tabla6[Concepto],COSTO_OPORTUNIDAD!$B$18,Tabla6[Nemotécnico],COSTO_OPORTUNIDAD!D$16,Tabla6[Fecha Cumplimiento y/ liquidacion],COSTO_OPORTUNIDAD!$C176)/+SUMIFS(Tabla6[Nominal COP],Tabla6[Concepto],COSTO_OPORTUNIDAD!$B$18,Tabla6[Fecha Cumplimiento y/ liquidacion],COSTO_OPORTUNIDAD!$C176)</f>
        <v>#DIV/0!</v>
      </c>
      <c r="E176" s="263" t="e">
        <f>+SUMIFS(Tabla6[Nominal COP],Tabla6[Concepto],COSTO_OPORTUNIDAD!$B$18,Tabla6[Nemotécnico],COSTO_OPORTUNIDAD!E$16,Tabla6[Fecha Cumplimiento y/ liquidacion],COSTO_OPORTUNIDAD!$C176)/+SUMIFS(Tabla6[Nominal COP],Tabla6[Concepto],COSTO_OPORTUNIDAD!$B$18,Tabla6[Fecha Cumplimiento y/ liquidacion],COSTO_OPORTUNIDAD!$C176)</f>
        <v>#DIV/0!</v>
      </c>
      <c r="F176" s="263"/>
      <c r="G176" s="263"/>
      <c r="H176" s="263">
        <v>0.10214921957996241</v>
      </c>
      <c r="I176" s="263"/>
      <c r="J176" s="263">
        <v>0</v>
      </c>
      <c r="K176" s="263">
        <v>0</v>
      </c>
      <c r="L176" s="263"/>
      <c r="M176" s="263">
        <v>0.40655389392825036</v>
      </c>
      <c r="N176" s="263"/>
      <c r="O176" s="263"/>
      <c r="P176" s="263">
        <v>0</v>
      </c>
      <c r="Q176" s="263"/>
      <c r="R176" s="263">
        <v>0.49031625398381956</v>
      </c>
      <c r="S176" s="263"/>
      <c r="T176" s="263">
        <v>0</v>
      </c>
      <c r="U176" s="263"/>
      <c r="V176" s="263">
        <v>0</v>
      </c>
      <c r="W176" s="263">
        <v>0</v>
      </c>
      <c r="X176" s="263">
        <v>4.0859687831984962E-5</v>
      </c>
      <c r="Y176" s="263"/>
      <c r="Z176" s="263">
        <v>0</v>
      </c>
      <c r="AA176" s="263">
        <v>0</v>
      </c>
      <c r="AB176" s="263">
        <v>9.3977282013565412E-4</v>
      </c>
      <c r="AC176" s="263"/>
      <c r="AD176" s="263">
        <v>0</v>
      </c>
      <c r="AE176" s="263"/>
      <c r="AF176" s="263"/>
      <c r="AG176" s="262"/>
      <c r="AH176" s="274">
        <f t="shared" si="130"/>
        <v>896</v>
      </c>
      <c r="AI176" s="274">
        <f t="shared" si="131"/>
        <v>1330</v>
      </c>
      <c r="AJ176" s="274">
        <f t="shared" si="132"/>
        <v>1507</v>
      </c>
      <c r="AK176" s="274">
        <f t="shared" si="127"/>
        <v>1988</v>
      </c>
      <c r="AL176" s="274">
        <f t="shared" si="133"/>
        <v>2380</v>
      </c>
      <c r="AM176" s="274">
        <f t="shared" si="134"/>
        <v>2569</v>
      </c>
      <c r="AN176" s="274">
        <f t="shared" si="135"/>
        <v>3031</v>
      </c>
      <c r="AO176" s="274">
        <f t="shared" si="168"/>
        <v>3255</v>
      </c>
      <c r="AP176" s="274">
        <f t="shared" si="136"/>
        <v>3871</v>
      </c>
      <c r="AQ176" s="274"/>
      <c r="AR176" s="274">
        <f t="shared" si="137"/>
        <v>4501</v>
      </c>
      <c r="AS176" s="274">
        <f t="shared" si="128"/>
        <v>6104</v>
      </c>
      <c r="AT176" s="274">
        <f t="shared" si="138"/>
        <v>6650</v>
      </c>
      <c r="AU176" s="274"/>
      <c r="AV176" s="274">
        <f t="shared" si="139"/>
        <v>9723</v>
      </c>
      <c r="AW176" s="274"/>
      <c r="AX176" s="274">
        <f t="shared" si="140"/>
        <v>420</v>
      </c>
      <c r="AY176" s="274">
        <f t="shared" si="141"/>
        <v>1099</v>
      </c>
      <c r="AZ176" s="274">
        <f t="shared" si="142"/>
        <v>1862</v>
      </c>
      <c r="BA176" s="274"/>
      <c r="BB176" s="274">
        <f t="shared" si="143"/>
        <v>3299</v>
      </c>
      <c r="BC176" s="274">
        <f t="shared" si="144"/>
        <v>4039</v>
      </c>
      <c r="BD176" s="274">
        <f t="shared" si="145"/>
        <v>4732</v>
      </c>
      <c r="BE176" s="274"/>
      <c r="BF176" s="274">
        <f t="shared" si="146"/>
        <v>9226</v>
      </c>
      <c r="BG176" s="274"/>
      <c r="BH176" s="274"/>
      <c r="BI176" s="266">
        <f t="shared" si="147"/>
        <v>9.8063250796763903E-4</v>
      </c>
      <c r="BJ176" s="266" t="e">
        <f t="shared" si="148"/>
        <v>#DIV/0!</v>
      </c>
      <c r="BK176" s="263" t="str">
        <f t="shared" si="149"/>
        <v/>
      </c>
      <c r="BL176" s="263" t="str">
        <f t="shared" si="150"/>
        <v/>
      </c>
      <c r="BM176" s="263" t="str">
        <f t="shared" si="151"/>
        <v/>
      </c>
      <c r="BN176" s="263"/>
      <c r="BO176" s="263" t="str">
        <f t="shared" si="152"/>
        <v/>
      </c>
      <c r="BP176" s="263" t="str">
        <f t="shared" si="153"/>
        <v/>
      </c>
      <c r="BQ176" s="263" t="str">
        <f t="shared" si="154"/>
        <v/>
      </c>
      <c r="BR176" s="263" t="str">
        <f t="shared" si="155"/>
        <v/>
      </c>
      <c r="BS176" s="263" t="str">
        <f t="shared" si="156"/>
        <v/>
      </c>
      <c r="BT176" s="263" t="str">
        <f t="shared" si="157"/>
        <v/>
      </c>
      <c r="BU176" s="263" t="str">
        <f t="shared" si="158"/>
        <v/>
      </c>
      <c r="BV176" s="263"/>
      <c r="BW176" s="263" t="str">
        <f t="shared" si="159"/>
        <v/>
      </c>
      <c r="BX176" s="263"/>
      <c r="BY176" s="263" t="str">
        <f t="shared" si="160"/>
        <v/>
      </c>
      <c r="BZ176" s="263"/>
      <c r="CA176" s="263">
        <f t="shared" si="112"/>
        <v>0</v>
      </c>
      <c r="CB176" s="263">
        <f t="shared" si="161"/>
        <v>0</v>
      </c>
      <c r="CC176" s="263">
        <f t="shared" si="113"/>
        <v>4.1666666666666671E-2</v>
      </c>
      <c r="CD176" s="263">
        <f t="shared" si="162"/>
        <v>0</v>
      </c>
      <c r="CE176" s="263">
        <f t="shared" si="167"/>
        <v>0</v>
      </c>
      <c r="CF176" s="263">
        <f t="shared" si="114"/>
        <v>0</v>
      </c>
      <c r="CG176" s="263">
        <f t="shared" si="115"/>
        <v>0.95833333333333337</v>
      </c>
      <c r="CH176" s="263"/>
      <c r="CI176" s="263">
        <f t="shared" si="163"/>
        <v>0</v>
      </c>
      <c r="CJ176" s="263"/>
      <c r="CK176" s="263">
        <f t="shared" si="164"/>
        <v>0</v>
      </c>
      <c r="CL176" s="264">
        <f t="shared" si="169"/>
        <v>0</v>
      </c>
      <c r="CM176" s="264">
        <f t="shared" si="165"/>
        <v>4581</v>
      </c>
      <c r="CO176" s="265">
        <v>9.0899999999999995E-2</v>
      </c>
      <c r="CP176" s="265">
        <v>9.2449999999999991E-2</v>
      </c>
      <c r="CQ176" s="265">
        <v>9.2260000000000009E-2</v>
      </c>
      <c r="CS176" s="265">
        <v>9.4979999999999995E-2</v>
      </c>
      <c r="CT176" s="265">
        <v>9.4640000000000002E-2</v>
      </c>
      <c r="CU176" s="265">
        <v>9.8580000000000001E-2</v>
      </c>
      <c r="CV176" s="265">
        <v>0.10049</v>
      </c>
      <c r="CW176" s="265">
        <v>0.10091</v>
      </c>
      <c r="CY176" s="265">
        <v>0.10292</v>
      </c>
      <c r="DA176" s="265">
        <v>0.10667</v>
      </c>
      <c r="DC176" s="265">
        <v>0.10526999999999999</v>
      </c>
      <c r="DE176" s="265">
        <v>4.1189999999999997E-2</v>
      </c>
      <c r="DF176" s="265">
        <v>4.3799999999999999E-2</v>
      </c>
      <c r="DH176" s="265">
        <v>4.5700000000000005E-2</v>
      </c>
      <c r="DI176" s="265">
        <v>4.743E-2</v>
      </c>
      <c r="DJ176" s="265">
        <v>4.8590000000000001E-2</v>
      </c>
      <c r="DL176" s="265">
        <v>4.6600000000000003E-2</v>
      </c>
      <c r="DO176" s="264" t="e">
        <f t="shared" si="170"/>
        <v>#N/A</v>
      </c>
      <c r="DP176" s="264" t="e" cm="1">
        <f t="array" ref="DP176">+INDEX(AH176:AV176,MATCH(DO176,AH176:AV176,1)+1)</f>
        <v>#N/A</v>
      </c>
      <c r="DQ176" s="265" t="e">
        <f t="shared" si="171"/>
        <v>#N/A</v>
      </c>
      <c r="DR176" s="267" t="e">
        <f t="shared" si="172"/>
        <v>#N/A</v>
      </c>
      <c r="DS176" s="267" t="e">
        <f t="shared" si="173"/>
        <v>#N/A</v>
      </c>
      <c r="DT176" s="268">
        <f t="shared" si="174"/>
        <v>4039</v>
      </c>
      <c r="DU176" s="268" cm="1">
        <f t="array" ref="DU176">+INDEX(AX176:BF176,MATCH(DT176,AX176:BF176,1)+1)</f>
        <v>4732</v>
      </c>
      <c r="DV176" s="267">
        <f t="shared" si="175"/>
        <v>4.8590000000000001E-2</v>
      </c>
      <c r="DW176" s="267">
        <f t="shared" si="176"/>
        <v>0</v>
      </c>
      <c r="DX176" s="267">
        <f t="shared" si="177"/>
        <v>1.059E-2</v>
      </c>
      <c r="DY176" s="267">
        <f t="shared" ref="DY176:DY182" si="181">+$EE$78</f>
        <v>7.7399999999999997E-2</v>
      </c>
      <c r="DZ176" s="205">
        <f t="shared" si="179"/>
        <v>8.8809665999999954E-2</v>
      </c>
      <c r="EA176" s="205">
        <f t="shared" si="180"/>
        <v>8.7089645501348315E-5</v>
      </c>
    </row>
    <row r="177" spans="2:131">
      <c r="B177" s="272">
        <v>45365</v>
      </c>
      <c r="C177" s="271">
        <v>45365</v>
      </c>
      <c r="D177" s="263" t="e">
        <f>+SUMIFS(Tabla6[Nominal COP],Tabla6[Concepto],COSTO_OPORTUNIDAD!$B$18,Tabla6[Nemotécnico],COSTO_OPORTUNIDAD!D$16,Tabla6[Fecha Cumplimiento y/ liquidacion],COSTO_OPORTUNIDAD!$C177)/+SUMIFS(Tabla6[Nominal COP],Tabla6[Concepto],COSTO_OPORTUNIDAD!$B$18,Tabla6[Fecha Cumplimiento y/ liquidacion],COSTO_OPORTUNIDAD!$C177)</f>
        <v>#DIV/0!</v>
      </c>
      <c r="E177" s="263" t="e">
        <f>+SUMIFS(Tabla6[Nominal COP],Tabla6[Concepto],COSTO_OPORTUNIDAD!$B$18,Tabla6[Nemotécnico],COSTO_OPORTUNIDAD!E$16,Tabla6[Fecha Cumplimiento y/ liquidacion],COSTO_OPORTUNIDAD!$C177)/+SUMIFS(Tabla6[Nominal COP],Tabla6[Concepto],COSTO_OPORTUNIDAD!$B$18,Tabla6[Fecha Cumplimiento y/ liquidacion],COSTO_OPORTUNIDAD!$C177)</f>
        <v>#DIV/0!</v>
      </c>
      <c r="F177" s="263"/>
      <c r="G177" s="263"/>
      <c r="H177" s="263">
        <v>0</v>
      </c>
      <c r="I177" s="263"/>
      <c r="J177" s="263">
        <v>0</v>
      </c>
      <c r="K177" s="263">
        <v>0</v>
      </c>
      <c r="L177" s="263"/>
      <c r="M177" s="263">
        <v>0.48373816385343765</v>
      </c>
      <c r="N177" s="263"/>
      <c r="O177" s="263"/>
      <c r="P177" s="263">
        <v>0</v>
      </c>
      <c r="Q177" s="263"/>
      <c r="R177" s="263">
        <v>0.51461506792918899</v>
      </c>
      <c r="S177" s="263"/>
      <c r="T177" s="263">
        <v>0</v>
      </c>
      <c r="U177" s="263"/>
      <c r="V177" s="263">
        <v>0</v>
      </c>
      <c r="W177" s="263">
        <v>0</v>
      </c>
      <c r="X177" s="263">
        <v>1.5181144503911075E-3</v>
      </c>
      <c r="Y177" s="263"/>
      <c r="Z177" s="263">
        <v>0</v>
      </c>
      <c r="AA177" s="263">
        <v>0</v>
      </c>
      <c r="AB177" s="263">
        <v>1.2865376698229723E-4</v>
      </c>
      <c r="AC177" s="263"/>
      <c r="AD177" s="263">
        <v>0</v>
      </c>
      <c r="AE177" s="263"/>
      <c r="AF177" s="263"/>
      <c r="AG177" s="262"/>
      <c r="AH177" s="274">
        <f t="shared" si="130"/>
        <v>895</v>
      </c>
      <c r="AI177" s="274">
        <f t="shared" si="131"/>
        <v>1329</v>
      </c>
      <c r="AJ177" s="274">
        <f t="shared" si="132"/>
        <v>1506</v>
      </c>
      <c r="AK177" s="274">
        <f t="shared" si="127"/>
        <v>1987</v>
      </c>
      <c r="AL177" s="274">
        <f t="shared" si="133"/>
        <v>2379</v>
      </c>
      <c r="AM177" s="274">
        <f t="shared" si="134"/>
        <v>2568</v>
      </c>
      <c r="AN177" s="274">
        <f t="shared" si="135"/>
        <v>3030</v>
      </c>
      <c r="AO177" s="274">
        <f t="shared" si="168"/>
        <v>3254</v>
      </c>
      <c r="AP177" s="274">
        <f t="shared" si="136"/>
        <v>3870</v>
      </c>
      <c r="AQ177" s="274"/>
      <c r="AR177" s="274">
        <f t="shared" si="137"/>
        <v>4500</v>
      </c>
      <c r="AS177" s="274">
        <f t="shared" si="128"/>
        <v>6103</v>
      </c>
      <c r="AT177" s="274">
        <f t="shared" si="138"/>
        <v>6649</v>
      </c>
      <c r="AU177" s="274"/>
      <c r="AV177" s="274">
        <f t="shared" si="139"/>
        <v>9722</v>
      </c>
      <c r="AW177" s="274"/>
      <c r="AX177" s="274">
        <f t="shared" si="140"/>
        <v>419</v>
      </c>
      <c r="AY177" s="274">
        <f t="shared" si="141"/>
        <v>1098</v>
      </c>
      <c r="AZ177" s="274">
        <f t="shared" si="142"/>
        <v>1861</v>
      </c>
      <c r="BA177" s="274"/>
      <c r="BB177" s="274">
        <f t="shared" si="143"/>
        <v>3298</v>
      </c>
      <c r="BC177" s="274">
        <f t="shared" si="144"/>
        <v>4038</v>
      </c>
      <c r="BD177" s="274">
        <f t="shared" si="145"/>
        <v>4731</v>
      </c>
      <c r="BE177" s="274"/>
      <c r="BF177" s="274">
        <f t="shared" si="146"/>
        <v>9225</v>
      </c>
      <c r="BG177" s="274"/>
      <c r="BH177" s="274"/>
      <c r="BI177" s="266">
        <f t="shared" si="147"/>
        <v>1.6467682173734047E-3</v>
      </c>
      <c r="BJ177" s="266" t="e">
        <f t="shared" si="148"/>
        <v>#DIV/0!</v>
      </c>
      <c r="BK177" s="263" t="str">
        <f t="shared" si="149"/>
        <v/>
      </c>
      <c r="BL177" s="263" t="str">
        <f t="shared" si="150"/>
        <v/>
      </c>
      <c r="BM177" s="263" t="str">
        <f t="shared" si="151"/>
        <v/>
      </c>
      <c r="BN177" s="263"/>
      <c r="BO177" s="263" t="str">
        <f t="shared" si="152"/>
        <v/>
      </c>
      <c r="BP177" s="263" t="str">
        <f t="shared" si="153"/>
        <v/>
      </c>
      <c r="BQ177" s="263" t="str">
        <f t="shared" si="154"/>
        <v/>
      </c>
      <c r="BR177" s="263" t="str">
        <f t="shared" si="155"/>
        <v/>
      </c>
      <c r="BS177" s="263" t="str">
        <f t="shared" si="156"/>
        <v/>
      </c>
      <c r="BT177" s="263" t="str">
        <f t="shared" si="157"/>
        <v/>
      </c>
      <c r="BU177" s="263" t="str">
        <f t="shared" si="158"/>
        <v/>
      </c>
      <c r="BV177" s="263"/>
      <c r="BW177" s="263" t="str">
        <f t="shared" si="159"/>
        <v/>
      </c>
      <c r="BX177" s="263"/>
      <c r="BY177" s="263" t="str">
        <f t="shared" si="160"/>
        <v/>
      </c>
      <c r="BZ177" s="263"/>
      <c r="CA177" s="263">
        <f t="shared" si="112"/>
        <v>0</v>
      </c>
      <c r="CB177" s="263">
        <f t="shared" si="161"/>
        <v>0</v>
      </c>
      <c r="CC177" s="263">
        <f t="shared" si="113"/>
        <v>0.921875</v>
      </c>
      <c r="CD177" s="263">
        <f t="shared" si="162"/>
        <v>0</v>
      </c>
      <c r="CE177" s="263">
        <f t="shared" si="167"/>
        <v>0</v>
      </c>
      <c r="CF177" s="263">
        <f t="shared" si="114"/>
        <v>0</v>
      </c>
      <c r="CG177" s="263">
        <f t="shared" si="115"/>
        <v>7.8124999999999986E-2</v>
      </c>
      <c r="CH177" s="263"/>
      <c r="CI177" s="263">
        <f t="shared" si="163"/>
        <v>0</v>
      </c>
      <c r="CJ177" s="263"/>
      <c r="CK177" s="263">
        <f t="shared" si="164"/>
        <v>0</v>
      </c>
      <c r="CL177" s="264">
        <f t="shared" si="169"/>
        <v>0</v>
      </c>
      <c r="CM177" s="264">
        <f t="shared" si="165"/>
        <v>1382</v>
      </c>
      <c r="CO177" s="265">
        <v>9.2189999999999994E-2</v>
      </c>
      <c r="CP177" s="265">
        <v>9.398999999999999E-2</v>
      </c>
      <c r="CQ177" s="265">
        <v>9.4350000000000003E-2</v>
      </c>
      <c r="CS177" s="265">
        <v>9.605000000000001E-2</v>
      </c>
      <c r="CT177" s="265">
        <v>9.4640000000000002E-2</v>
      </c>
      <c r="CU177" s="265">
        <v>9.9449999999999997E-2</v>
      </c>
      <c r="CV177" s="265">
        <v>0.1012</v>
      </c>
      <c r="CW177" s="265">
        <v>0.10192</v>
      </c>
      <c r="CY177" s="265">
        <v>0.10375</v>
      </c>
      <c r="DA177" s="265">
        <v>0.10791000000000001</v>
      </c>
      <c r="DC177" s="265">
        <v>0.10630000000000001</v>
      </c>
      <c r="DE177" s="265">
        <v>4.2619999999999998E-2</v>
      </c>
      <c r="DF177" s="265">
        <v>4.5749999999999999E-2</v>
      </c>
      <c r="DH177" s="265">
        <v>4.7210000000000002E-2</v>
      </c>
      <c r="DI177" s="265">
        <v>4.8320000000000002E-2</v>
      </c>
      <c r="DJ177" s="265">
        <v>4.9439999999999998E-2</v>
      </c>
      <c r="DL177" s="265">
        <v>4.7050000000000002E-2</v>
      </c>
      <c r="DO177" s="264" t="e">
        <f t="shared" si="170"/>
        <v>#N/A</v>
      </c>
      <c r="DP177" s="264" t="e" cm="1">
        <f t="array" ref="DP177">+INDEX(AH177:AV177,MATCH(DO177,AH177:AV177,1)+1)</f>
        <v>#N/A</v>
      </c>
      <c r="DQ177" s="265" t="e">
        <f t="shared" si="171"/>
        <v>#N/A</v>
      </c>
      <c r="DR177" s="267" t="e">
        <f t="shared" si="172"/>
        <v>#N/A</v>
      </c>
      <c r="DS177" s="267" t="e">
        <f t="shared" si="173"/>
        <v>#N/A</v>
      </c>
      <c r="DT177" s="268">
        <f t="shared" si="174"/>
        <v>1098</v>
      </c>
      <c r="DU177" s="268" cm="1">
        <f t="array" ref="DU177">+INDEX(AX177:BF177,MATCH(DT177,AX177:BF177,1)+1)</f>
        <v>1861</v>
      </c>
      <c r="DV177" s="267">
        <f t="shared" si="175"/>
        <v>4.5749999999999999E-2</v>
      </c>
      <c r="DW177" s="267">
        <f t="shared" si="176"/>
        <v>0</v>
      </c>
      <c r="DX177" s="267">
        <f t="shared" si="177"/>
        <v>2.8719999999999999E-2</v>
      </c>
      <c r="DY177" s="267">
        <f t="shared" si="181"/>
        <v>7.7399999999999997E-2</v>
      </c>
      <c r="DZ177" s="205">
        <f t="shared" si="179"/>
        <v>0.10834292799999989</v>
      </c>
      <c r="EA177" s="205">
        <f t="shared" si="180"/>
        <v>1.7841569040757496E-4</v>
      </c>
    </row>
    <row r="178" spans="2:131">
      <c r="B178" s="272">
        <v>45366</v>
      </c>
      <c r="C178" s="271">
        <v>45366</v>
      </c>
      <c r="D178" s="263" t="e">
        <f>+SUMIFS(Tabla6[Nominal COP],Tabla6[Concepto],COSTO_OPORTUNIDAD!$B$18,Tabla6[Nemotécnico],COSTO_OPORTUNIDAD!D$16,Tabla6[Fecha Cumplimiento y/ liquidacion],COSTO_OPORTUNIDAD!$C178)/+SUMIFS(Tabla6[Nominal COP],Tabla6[Concepto],COSTO_OPORTUNIDAD!$B$18,Tabla6[Fecha Cumplimiento y/ liquidacion],COSTO_OPORTUNIDAD!$C178)</f>
        <v>#DIV/0!</v>
      </c>
      <c r="E178" s="263" t="e">
        <f>+SUMIFS(Tabla6[Nominal COP],Tabla6[Concepto],COSTO_OPORTUNIDAD!$B$18,Tabla6[Nemotécnico],COSTO_OPORTUNIDAD!E$16,Tabla6[Fecha Cumplimiento y/ liquidacion],COSTO_OPORTUNIDAD!$C178)/+SUMIFS(Tabla6[Nominal COP],Tabla6[Concepto],COSTO_OPORTUNIDAD!$B$18,Tabla6[Fecha Cumplimiento y/ liquidacion],COSTO_OPORTUNIDAD!$C178)</f>
        <v>#DIV/0!</v>
      </c>
      <c r="F178" s="263"/>
      <c r="G178" s="263"/>
      <c r="H178" s="263">
        <v>0</v>
      </c>
      <c r="I178" s="263"/>
      <c r="J178" s="263">
        <v>0</v>
      </c>
      <c r="K178" s="263">
        <v>0</v>
      </c>
      <c r="L178" s="263"/>
      <c r="M178" s="263">
        <v>0.59300256967780196</v>
      </c>
      <c r="N178" s="263"/>
      <c r="O178" s="263"/>
      <c r="P178" s="263">
        <v>0</v>
      </c>
      <c r="Q178" s="263"/>
      <c r="R178" s="263">
        <v>0.40521842261316465</v>
      </c>
      <c r="S178" s="263"/>
      <c r="T178" s="263">
        <v>0</v>
      </c>
      <c r="U178" s="263"/>
      <c r="V178" s="263">
        <v>0</v>
      </c>
      <c r="W178" s="263">
        <v>0</v>
      </c>
      <c r="X178" s="263">
        <v>1.6801739474204388E-3</v>
      </c>
      <c r="Y178" s="263"/>
      <c r="Z178" s="263">
        <v>0</v>
      </c>
      <c r="AA178" s="263">
        <v>0</v>
      </c>
      <c r="AB178" s="263">
        <v>9.8833761612966996E-5</v>
      </c>
      <c r="AC178" s="263"/>
      <c r="AD178" s="263">
        <v>0</v>
      </c>
      <c r="AE178" s="263"/>
      <c r="AF178" s="263"/>
      <c r="AG178" s="262"/>
      <c r="AH178" s="274">
        <f t="shared" si="130"/>
        <v>894</v>
      </c>
      <c r="AI178" s="274">
        <f t="shared" si="131"/>
        <v>1328</v>
      </c>
      <c r="AJ178" s="274">
        <f t="shared" si="132"/>
        <v>1505</v>
      </c>
      <c r="AK178" s="274">
        <f t="shared" si="127"/>
        <v>1986</v>
      </c>
      <c r="AL178" s="274">
        <f t="shared" si="133"/>
        <v>2378</v>
      </c>
      <c r="AM178" s="274">
        <f t="shared" si="134"/>
        <v>2567</v>
      </c>
      <c r="AN178" s="274">
        <f t="shared" si="135"/>
        <v>3029</v>
      </c>
      <c r="AO178" s="274">
        <f t="shared" si="168"/>
        <v>3253</v>
      </c>
      <c r="AP178" s="274">
        <f t="shared" si="136"/>
        <v>3869</v>
      </c>
      <c r="AQ178" s="274"/>
      <c r="AR178" s="274">
        <f t="shared" si="137"/>
        <v>4499</v>
      </c>
      <c r="AS178" s="274">
        <f t="shared" si="128"/>
        <v>6102</v>
      </c>
      <c r="AT178" s="274">
        <f t="shared" si="138"/>
        <v>6648</v>
      </c>
      <c r="AU178" s="274"/>
      <c r="AV178" s="274">
        <f t="shared" si="139"/>
        <v>9721</v>
      </c>
      <c r="AW178" s="274"/>
      <c r="AX178" s="274">
        <f t="shared" si="140"/>
        <v>418</v>
      </c>
      <c r="AY178" s="274">
        <f t="shared" si="141"/>
        <v>1097</v>
      </c>
      <c r="AZ178" s="274">
        <f t="shared" si="142"/>
        <v>1860</v>
      </c>
      <c r="BA178" s="274"/>
      <c r="BB178" s="274">
        <f t="shared" si="143"/>
        <v>3297</v>
      </c>
      <c r="BC178" s="274">
        <f t="shared" si="144"/>
        <v>4037</v>
      </c>
      <c r="BD178" s="274">
        <f t="shared" si="145"/>
        <v>4730</v>
      </c>
      <c r="BE178" s="274"/>
      <c r="BF178" s="274">
        <f t="shared" si="146"/>
        <v>9224</v>
      </c>
      <c r="BG178" s="274"/>
      <c r="BH178" s="274"/>
      <c r="BI178" s="266">
        <f t="shared" si="147"/>
        <v>1.7790077090334058E-3</v>
      </c>
      <c r="BJ178" s="266" t="e">
        <f t="shared" si="148"/>
        <v>#DIV/0!</v>
      </c>
      <c r="BK178" s="263" t="str">
        <f t="shared" si="149"/>
        <v/>
      </c>
      <c r="BL178" s="263" t="str">
        <f t="shared" si="150"/>
        <v/>
      </c>
      <c r="BM178" s="263" t="str">
        <f t="shared" si="151"/>
        <v/>
      </c>
      <c r="BN178" s="263"/>
      <c r="BO178" s="263" t="str">
        <f t="shared" si="152"/>
        <v/>
      </c>
      <c r="BP178" s="263" t="str">
        <f t="shared" si="153"/>
        <v/>
      </c>
      <c r="BQ178" s="263" t="str">
        <f t="shared" si="154"/>
        <v/>
      </c>
      <c r="BR178" s="263" t="str">
        <f t="shared" si="155"/>
        <v/>
      </c>
      <c r="BS178" s="263" t="str">
        <f t="shared" si="156"/>
        <v/>
      </c>
      <c r="BT178" s="263" t="str">
        <f t="shared" si="157"/>
        <v/>
      </c>
      <c r="BU178" s="263" t="str">
        <f t="shared" si="158"/>
        <v/>
      </c>
      <c r="BV178" s="263"/>
      <c r="BW178" s="263" t="str">
        <f t="shared" si="159"/>
        <v/>
      </c>
      <c r="BX178" s="263"/>
      <c r="BY178" s="263" t="str">
        <f t="shared" si="160"/>
        <v/>
      </c>
      <c r="BZ178" s="263"/>
      <c r="CA178" s="263">
        <f t="shared" si="112"/>
        <v>0</v>
      </c>
      <c r="CB178" s="263">
        <f t="shared" si="161"/>
        <v>0</v>
      </c>
      <c r="CC178" s="263">
        <f t="shared" si="113"/>
        <v>0.94444444444444453</v>
      </c>
      <c r="CD178" s="263">
        <f t="shared" si="162"/>
        <v>0</v>
      </c>
      <c r="CE178" s="263">
        <f t="shared" si="167"/>
        <v>0</v>
      </c>
      <c r="CF178" s="263">
        <f t="shared" si="114"/>
        <v>0</v>
      </c>
      <c r="CG178" s="263">
        <f t="shared" si="115"/>
        <v>5.5555555555555559E-2</v>
      </c>
      <c r="CH178" s="263"/>
      <c r="CI178" s="263">
        <f t="shared" si="163"/>
        <v>0</v>
      </c>
      <c r="CJ178" s="263"/>
      <c r="CK178" s="263">
        <f t="shared" si="164"/>
        <v>0</v>
      </c>
      <c r="CL178" s="264">
        <f t="shared" si="169"/>
        <v>0</v>
      </c>
      <c r="CM178" s="264">
        <f t="shared" si="165"/>
        <v>1299</v>
      </c>
      <c r="CO178" s="265">
        <v>9.1590000000000005E-2</v>
      </c>
      <c r="CP178" s="265">
        <v>9.3800000000000008E-2</v>
      </c>
      <c r="CQ178" s="265">
        <v>9.391999999999999E-2</v>
      </c>
      <c r="CS178" s="265">
        <v>9.6250000000000002E-2</v>
      </c>
      <c r="CT178" s="265">
        <v>9.4640000000000002E-2</v>
      </c>
      <c r="CU178" s="265">
        <v>9.9749999999999991E-2</v>
      </c>
      <c r="CV178" s="265">
        <v>0.10122999999999999</v>
      </c>
      <c r="CW178" s="265">
        <v>0.10169</v>
      </c>
      <c r="CY178" s="265">
        <v>0.10419</v>
      </c>
      <c r="DA178" s="265">
        <v>0.10749</v>
      </c>
      <c r="DC178" s="265">
        <v>0.10640000000000001</v>
      </c>
      <c r="DE178" s="265">
        <v>4.3499999999999997E-2</v>
      </c>
      <c r="DF178" s="265">
        <v>4.6280000000000002E-2</v>
      </c>
      <c r="DH178" s="265">
        <v>4.7019999999999999E-2</v>
      </c>
      <c r="DI178" s="265">
        <v>4.8039999999999999E-2</v>
      </c>
      <c r="DJ178" s="265">
        <v>4.9530000000000005E-2</v>
      </c>
      <c r="DL178" s="265">
        <v>4.7289999999999999E-2</v>
      </c>
      <c r="DO178" s="264" t="e">
        <f t="shared" si="170"/>
        <v>#N/A</v>
      </c>
      <c r="DP178" s="264" t="e" cm="1">
        <f t="array" ref="DP178">+INDEX(AH178:AV178,MATCH(DO178,AH178:AV178,1)+1)</f>
        <v>#N/A</v>
      </c>
      <c r="DQ178" s="265" t="e">
        <f t="shared" si="171"/>
        <v>#N/A</v>
      </c>
      <c r="DR178" s="267" t="e">
        <f t="shared" si="172"/>
        <v>#N/A</v>
      </c>
      <c r="DS178" s="267" t="e">
        <f t="shared" si="173"/>
        <v>#N/A</v>
      </c>
      <c r="DT178" s="268">
        <f t="shared" si="174"/>
        <v>1097</v>
      </c>
      <c r="DU178" s="268" cm="1">
        <f t="array" ref="DU178">+INDEX(AX178:BF178,MATCH(DT178,AX178:BF178,1)+1)</f>
        <v>1860</v>
      </c>
      <c r="DV178" s="267">
        <f t="shared" si="175"/>
        <v>4.6280000000000002E-2</v>
      </c>
      <c r="DW178" s="267">
        <f t="shared" si="176"/>
        <v>0</v>
      </c>
      <c r="DX178" s="267">
        <f t="shared" si="177"/>
        <v>3.4029999999999998E-2</v>
      </c>
      <c r="DY178" s="267">
        <f t="shared" si="181"/>
        <v>7.7399999999999997E-2</v>
      </c>
      <c r="DZ178" s="205">
        <f t="shared" si="179"/>
        <v>0.11406392199999993</v>
      </c>
      <c r="EA178" s="205">
        <f t="shared" si="180"/>
        <v>2.0292059656058496E-4</v>
      </c>
    </row>
    <row r="179" spans="2:131">
      <c r="B179" s="272">
        <v>45371</v>
      </c>
      <c r="C179" s="271">
        <v>45371</v>
      </c>
      <c r="D179" s="263" t="e">
        <f>+SUMIFS(Tabla6[Nominal COP],Tabla6[Concepto],COSTO_OPORTUNIDAD!$B$18,Tabla6[Nemotécnico],COSTO_OPORTUNIDAD!D$16,Tabla6[Fecha Cumplimiento y/ liquidacion],COSTO_OPORTUNIDAD!$C179)/+SUMIFS(Tabla6[Nominal COP],Tabla6[Concepto],COSTO_OPORTUNIDAD!$B$18,Tabla6[Fecha Cumplimiento y/ liquidacion],COSTO_OPORTUNIDAD!$C179)</f>
        <v>#DIV/0!</v>
      </c>
      <c r="E179" s="263" t="e">
        <f>+SUMIFS(Tabla6[Nominal COP],Tabla6[Concepto],COSTO_OPORTUNIDAD!$B$18,Tabla6[Nemotécnico],COSTO_OPORTUNIDAD!E$16,Tabla6[Fecha Cumplimiento y/ liquidacion],COSTO_OPORTUNIDAD!$C179)/+SUMIFS(Tabla6[Nominal COP],Tabla6[Concepto],COSTO_OPORTUNIDAD!$B$18,Tabla6[Fecha Cumplimiento y/ liquidacion],COSTO_OPORTUNIDAD!$C179)</f>
        <v>#DIV/0!</v>
      </c>
      <c r="F179" s="263"/>
      <c r="G179" s="263"/>
      <c r="H179" s="263">
        <v>0</v>
      </c>
      <c r="I179" s="263"/>
      <c r="J179" s="263">
        <v>0</v>
      </c>
      <c r="K179" s="263">
        <v>0</v>
      </c>
      <c r="L179" s="263"/>
      <c r="M179" s="263">
        <v>0.52894310555720847</v>
      </c>
      <c r="N179" s="263"/>
      <c r="O179" s="263"/>
      <c r="P179" s="263">
        <v>0</v>
      </c>
      <c r="Q179" s="263"/>
      <c r="R179" s="263">
        <v>0.33720122979272044</v>
      </c>
      <c r="S179" s="263"/>
      <c r="T179" s="263">
        <v>0.13223577638930212</v>
      </c>
      <c r="U179" s="263"/>
      <c r="V179" s="263">
        <v>0</v>
      </c>
      <c r="W179" s="263">
        <v>0</v>
      </c>
      <c r="X179" s="263">
        <v>1.5537703725743001E-3</v>
      </c>
      <c r="Y179" s="263"/>
      <c r="Z179" s="263">
        <v>0</v>
      </c>
      <c r="AA179" s="263">
        <v>0</v>
      </c>
      <c r="AB179" s="263">
        <v>6.6117888194651065E-5</v>
      </c>
      <c r="AC179" s="263"/>
      <c r="AD179" s="263">
        <v>0</v>
      </c>
      <c r="AE179" s="263"/>
      <c r="AF179" s="263"/>
      <c r="AG179" s="262"/>
      <c r="AH179" s="274">
        <f t="shared" si="130"/>
        <v>889</v>
      </c>
      <c r="AI179" s="274">
        <f t="shared" si="131"/>
        <v>1323</v>
      </c>
      <c r="AJ179" s="274">
        <f t="shared" si="132"/>
        <v>1500</v>
      </c>
      <c r="AK179" s="274">
        <f t="shared" si="127"/>
        <v>1981</v>
      </c>
      <c r="AL179" s="274">
        <f t="shared" si="133"/>
        <v>2373</v>
      </c>
      <c r="AM179" s="274">
        <f t="shared" si="134"/>
        <v>2562</v>
      </c>
      <c r="AN179" s="274">
        <f t="shared" si="135"/>
        <v>3024</v>
      </c>
      <c r="AO179" s="274">
        <f t="shared" si="168"/>
        <v>3248</v>
      </c>
      <c r="AP179" s="274">
        <f t="shared" si="136"/>
        <v>3864</v>
      </c>
      <c r="AQ179" s="274"/>
      <c r="AR179" s="274">
        <f t="shared" si="137"/>
        <v>4494</v>
      </c>
      <c r="AS179" s="274">
        <f t="shared" si="128"/>
        <v>6097</v>
      </c>
      <c r="AT179" s="274">
        <f t="shared" si="138"/>
        <v>6643</v>
      </c>
      <c r="AU179" s="274"/>
      <c r="AV179" s="274">
        <f t="shared" si="139"/>
        <v>9716</v>
      </c>
      <c r="AW179" s="274"/>
      <c r="AX179" s="274">
        <f t="shared" si="140"/>
        <v>413</v>
      </c>
      <c r="AY179" s="274">
        <f t="shared" si="141"/>
        <v>1092</v>
      </c>
      <c r="AZ179" s="274">
        <f t="shared" si="142"/>
        <v>1855</v>
      </c>
      <c r="BA179" s="274"/>
      <c r="BB179" s="274">
        <f t="shared" si="143"/>
        <v>3292</v>
      </c>
      <c r="BC179" s="274">
        <f t="shared" si="144"/>
        <v>4032</v>
      </c>
      <c r="BD179" s="274">
        <f t="shared" si="145"/>
        <v>4725</v>
      </c>
      <c r="BE179" s="274"/>
      <c r="BF179" s="274">
        <f t="shared" si="146"/>
        <v>9219</v>
      </c>
      <c r="BG179" s="274"/>
      <c r="BH179" s="274"/>
      <c r="BI179" s="266">
        <f t="shared" si="147"/>
        <v>1.6198882607689512E-3</v>
      </c>
      <c r="BJ179" s="266" t="e">
        <f t="shared" si="148"/>
        <v>#DIV/0!</v>
      </c>
      <c r="BK179" s="263" t="str">
        <f t="shared" si="149"/>
        <v/>
      </c>
      <c r="BL179" s="263" t="str">
        <f t="shared" si="150"/>
        <v/>
      </c>
      <c r="BM179" s="263" t="str">
        <f t="shared" si="151"/>
        <v/>
      </c>
      <c r="BN179" s="263"/>
      <c r="BO179" s="263" t="str">
        <f t="shared" si="152"/>
        <v/>
      </c>
      <c r="BP179" s="263" t="str">
        <f t="shared" si="153"/>
        <v/>
      </c>
      <c r="BQ179" s="263" t="str">
        <f t="shared" si="154"/>
        <v/>
      </c>
      <c r="BR179" s="263" t="str">
        <f t="shared" si="155"/>
        <v/>
      </c>
      <c r="BS179" s="263" t="str">
        <f t="shared" si="156"/>
        <v/>
      </c>
      <c r="BT179" s="263" t="str">
        <f t="shared" si="157"/>
        <v/>
      </c>
      <c r="BU179" s="263" t="str">
        <f t="shared" si="158"/>
        <v/>
      </c>
      <c r="BV179" s="263"/>
      <c r="BW179" s="263" t="str">
        <f t="shared" si="159"/>
        <v/>
      </c>
      <c r="BX179" s="263"/>
      <c r="BY179" s="263" t="str">
        <f t="shared" si="160"/>
        <v/>
      </c>
      <c r="BZ179" s="263"/>
      <c r="CA179" s="263">
        <f t="shared" ref="CA179:CA242" si="182">IFERROR(V179/$BI179,"")</f>
        <v>0</v>
      </c>
      <c r="CB179" s="263">
        <f t="shared" si="161"/>
        <v>0</v>
      </c>
      <c r="CC179" s="263">
        <f t="shared" ref="CC179:CC242" si="183">IFERROR(X179/$BI179,"")</f>
        <v>0.95918367346938771</v>
      </c>
      <c r="CD179" s="263">
        <f t="shared" si="162"/>
        <v>0</v>
      </c>
      <c r="CE179" s="263">
        <f t="shared" si="167"/>
        <v>0</v>
      </c>
      <c r="CF179" s="263">
        <f t="shared" ref="CF179:CF242" si="184">IFERROR(AA179/$BI179,"")</f>
        <v>0</v>
      </c>
      <c r="CG179" s="263">
        <f t="shared" ref="CG179:CG242" si="185">IFERROR(AB179/$BI179,"")</f>
        <v>4.0816326530612242E-2</v>
      </c>
      <c r="CH179" s="263"/>
      <c r="CI179" s="263">
        <f t="shared" si="163"/>
        <v>0</v>
      </c>
      <c r="CJ179" s="263"/>
      <c r="CK179" s="263">
        <f t="shared" si="164"/>
        <v>0</v>
      </c>
      <c r="CL179" s="264">
        <f t="shared" si="169"/>
        <v>0</v>
      </c>
      <c r="CM179" s="264">
        <f t="shared" si="165"/>
        <v>1240</v>
      </c>
      <c r="CO179" s="265">
        <v>9.1209999999999999E-2</v>
      </c>
      <c r="CP179" s="265">
        <v>9.3109999999999998E-2</v>
      </c>
      <c r="CQ179" s="265">
        <v>9.3810000000000004E-2</v>
      </c>
      <c r="CS179" s="265">
        <v>9.6000000000000002E-2</v>
      </c>
      <c r="CT179" s="265">
        <v>9.5500000000000002E-2</v>
      </c>
      <c r="CU179" s="265">
        <v>9.938000000000001E-2</v>
      </c>
      <c r="CV179" s="265">
        <v>0.10088</v>
      </c>
      <c r="CW179" s="265">
        <v>0.1018</v>
      </c>
      <c r="CY179" s="265">
        <v>0.10369999999999999</v>
      </c>
      <c r="DA179" s="265">
        <v>0.1069</v>
      </c>
      <c r="DC179" s="265">
        <v>0.10539999999999999</v>
      </c>
      <c r="DE179" s="265">
        <v>4.2900000000000001E-2</v>
      </c>
      <c r="DF179" s="265">
        <v>4.4999999999999998E-2</v>
      </c>
      <c r="DH179" s="265">
        <v>4.6199999999999998E-2</v>
      </c>
      <c r="DI179" s="265">
        <v>4.5869999999999994E-2</v>
      </c>
      <c r="DJ179" s="265">
        <v>4.8899999999999999E-2</v>
      </c>
      <c r="DL179" s="265">
        <v>4.6649999999999997E-2</v>
      </c>
      <c r="DO179" s="264" t="e">
        <f t="shared" si="170"/>
        <v>#N/A</v>
      </c>
      <c r="DP179" s="264" t="e" cm="1">
        <f t="array" ref="DP179">+INDEX(AH179:AV179,MATCH(DO179,AH179:AV179,1)+1)</f>
        <v>#N/A</v>
      </c>
      <c r="DQ179" s="265" t="e">
        <f t="shared" si="171"/>
        <v>#N/A</v>
      </c>
      <c r="DR179" s="267" t="e">
        <f t="shared" si="172"/>
        <v>#N/A</v>
      </c>
      <c r="DS179" s="267" t="e">
        <f t="shared" si="173"/>
        <v>#N/A</v>
      </c>
      <c r="DT179" s="268">
        <f t="shared" si="174"/>
        <v>1092</v>
      </c>
      <c r="DU179" s="268" cm="1">
        <f t="array" ref="DU179">+INDEX(AX179:BF179,MATCH(DT179,AX179:BF179,1)+1)</f>
        <v>1855</v>
      </c>
      <c r="DV179" s="267">
        <f t="shared" si="175"/>
        <v>4.4999999999999998E-2</v>
      </c>
      <c r="DW179" s="267">
        <f t="shared" si="176"/>
        <v>0</v>
      </c>
      <c r="DX179" s="267">
        <f t="shared" si="177"/>
        <v>3.6269999999999997E-2</v>
      </c>
      <c r="DY179" s="267">
        <f t="shared" si="181"/>
        <v>7.7399999999999997E-2</v>
      </c>
      <c r="DZ179" s="205">
        <f t="shared" si="179"/>
        <v>0.11647729799999995</v>
      </c>
      <c r="EA179" s="205">
        <f t="shared" si="180"/>
        <v>1.8868020767628677E-4</v>
      </c>
    </row>
    <row r="180" spans="2:131">
      <c r="B180" s="272">
        <v>45372</v>
      </c>
      <c r="C180" s="271">
        <v>45372</v>
      </c>
      <c r="D180" s="263" t="e">
        <f>+SUMIFS(Tabla6[Nominal COP],Tabla6[Concepto],COSTO_OPORTUNIDAD!$B$18,Tabla6[Nemotécnico],COSTO_OPORTUNIDAD!D$16,Tabla6[Fecha Cumplimiento y/ liquidacion],COSTO_OPORTUNIDAD!$C180)/+SUMIFS(Tabla6[Nominal COP],Tabla6[Concepto],COSTO_OPORTUNIDAD!$B$18,Tabla6[Fecha Cumplimiento y/ liquidacion],COSTO_OPORTUNIDAD!$C180)</f>
        <v>#DIV/0!</v>
      </c>
      <c r="E180" s="263" t="e">
        <f>+SUMIFS(Tabla6[Nominal COP],Tabla6[Concepto],COSTO_OPORTUNIDAD!$B$18,Tabla6[Nemotécnico],COSTO_OPORTUNIDAD!E$16,Tabla6[Fecha Cumplimiento y/ liquidacion],COSTO_OPORTUNIDAD!$C180)/+SUMIFS(Tabla6[Nominal COP],Tabla6[Concepto],COSTO_OPORTUNIDAD!$B$18,Tabla6[Fecha Cumplimiento y/ liquidacion],COSTO_OPORTUNIDAD!$C180)</f>
        <v>#DIV/0!</v>
      </c>
      <c r="F180" s="263"/>
      <c r="G180" s="263"/>
      <c r="H180" s="263">
        <v>0</v>
      </c>
      <c r="I180" s="263"/>
      <c r="J180" s="263">
        <v>0</v>
      </c>
      <c r="K180" s="263">
        <v>0</v>
      </c>
      <c r="L180" s="263"/>
      <c r="M180" s="263">
        <v>0.48976926425772749</v>
      </c>
      <c r="N180" s="263"/>
      <c r="O180" s="263"/>
      <c r="P180" s="263">
        <v>0</v>
      </c>
      <c r="Q180" s="263"/>
      <c r="R180" s="263">
        <v>0.50790886663764334</v>
      </c>
      <c r="S180" s="263"/>
      <c r="T180" s="263">
        <v>0</v>
      </c>
      <c r="U180" s="263"/>
      <c r="V180" s="263">
        <v>0</v>
      </c>
      <c r="W180" s="263">
        <v>0</v>
      </c>
      <c r="X180" s="263">
        <v>1.9227978522710783E-3</v>
      </c>
      <c r="Y180" s="263"/>
      <c r="Z180" s="263">
        <v>0</v>
      </c>
      <c r="AA180" s="263">
        <v>0</v>
      </c>
      <c r="AB180" s="263">
        <v>3.990712523581483E-4</v>
      </c>
      <c r="AC180" s="263"/>
      <c r="AD180" s="263">
        <v>0</v>
      </c>
      <c r="AE180" s="263"/>
      <c r="AF180" s="263"/>
      <c r="AG180" s="262"/>
      <c r="AH180" s="274">
        <f t="shared" si="130"/>
        <v>888</v>
      </c>
      <c r="AI180" s="274">
        <f t="shared" si="131"/>
        <v>1322</v>
      </c>
      <c r="AJ180" s="274">
        <f t="shared" si="132"/>
        <v>1499</v>
      </c>
      <c r="AK180" s="274">
        <f t="shared" si="127"/>
        <v>1980</v>
      </c>
      <c r="AL180" s="274">
        <f t="shared" si="133"/>
        <v>2372</v>
      </c>
      <c r="AM180" s="274">
        <f t="shared" si="134"/>
        <v>2561</v>
      </c>
      <c r="AN180" s="274">
        <f t="shared" si="135"/>
        <v>3023</v>
      </c>
      <c r="AO180" s="274">
        <f t="shared" si="168"/>
        <v>3247</v>
      </c>
      <c r="AP180" s="274">
        <f t="shared" si="136"/>
        <v>3863</v>
      </c>
      <c r="AQ180" s="274"/>
      <c r="AR180" s="274">
        <f t="shared" si="137"/>
        <v>4493</v>
      </c>
      <c r="AS180" s="274">
        <f t="shared" si="128"/>
        <v>6096</v>
      </c>
      <c r="AT180" s="274">
        <f t="shared" si="138"/>
        <v>6642</v>
      </c>
      <c r="AU180" s="274"/>
      <c r="AV180" s="274">
        <f t="shared" si="139"/>
        <v>9715</v>
      </c>
      <c r="AW180" s="274"/>
      <c r="AX180" s="274">
        <f t="shared" si="140"/>
        <v>412</v>
      </c>
      <c r="AY180" s="274">
        <f t="shared" si="141"/>
        <v>1091</v>
      </c>
      <c r="AZ180" s="274">
        <f t="shared" si="142"/>
        <v>1854</v>
      </c>
      <c r="BA180" s="274"/>
      <c r="BB180" s="274">
        <f t="shared" si="143"/>
        <v>3291</v>
      </c>
      <c r="BC180" s="274">
        <f t="shared" si="144"/>
        <v>4031</v>
      </c>
      <c r="BD180" s="274">
        <f t="shared" si="145"/>
        <v>4724</v>
      </c>
      <c r="BE180" s="274"/>
      <c r="BF180" s="274">
        <f t="shared" si="146"/>
        <v>9218</v>
      </c>
      <c r="BG180" s="274"/>
      <c r="BH180" s="274"/>
      <c r="BI180" s="266">
        <f t="shared" si="147"/>
        <v>2.3218691046292266E-3</v>
      </c>
      <c r="BJ180" s="266" t="e">
        <f t="shared" si="148"/>
        <v>#DIV/0!</v>
      </c>
      <c r="BK180" s="263" t="str">
        <f t="shared" si="149"/>
        <v/>
      </c>
      <c r="BL180" s="263" t="str">
        <f t="shared" si="150"/>
        <v/>
      </c>
      <c r="BM180" s="263" t="str">
        <f t="shared" si="151"/>
        <v/>
      </c>
      <c r="BN180" s="263"/>
      <c r="BO180" s="263" t="str">
        <f t="shared" si="152"/>
        <v/>
      </c>
      <c r="BP180" s="263" t="str">
        <f t="shared" si="153"/>
        <v/>
      </c>
      <c r="BQ180" s="263" t="str">
        <f t="shared" si="154"/>
        <v/>
      </c>
      <c r="BR180" s="263" t="str">
        <f t="shared" si="155"/>
        <v/>
      </c>
      <c r="BS180" s="263" t="str">
        <f t="shared" si="156"/>
        <v/>
      </c>
      <c r="BT180" s="263" t="str">
        <f t="shared" si="157"/>
        <v/>
      </c>
      <c r="BU180" s="263" t="str">
        <f t="shared" si="158"/>
        <v/>
      </c>
      <c r="BV180" s="263"/>
      <c r="BW180" s="263" t="str">
        <f t="shared" si="159"/>
        <v/>
      </c>
      <c r="BX180" s="263"/>
      <c r="BY180" s="263" t="str">
        <f t="shared" si="160"/>
        <v/>
      </c>
      <c r="BZ180" s="263"/>
      <c r="CA180" s="263">
        <f t="shared" si="182"/>
        <v>0</v>
      </c>
      <c r="CB180" s="263">
        <f t="shared" si="161"/>
        <v>0</v>
      </c>
      <c r="CC180" s="263">
        <f t="shared" si="183"/>
        <v>0.828125</v>
      </c>
      <c r="CD180" s="263">
        <f t="shared" si="162"/>
        <v>0</v>
      </c>
      <c r="CE180" s="263">
        <f t="shared" si="167"/>
        <v>0</v>
      </c>
      <c r="CF180" s="263">
        <f t="shared" si="184"/>
        <v>0</v>
      </c>
      <c r="CG180" s="263">
        <f t="shared" si="185"/>
        <v>0.171875</v>
      </c>
      <c r="CH180" s="263"/>
      <c r="CI180" s="263">
        <f t="shared" si="163"/>
        <v>0</v>
      </c>
      <c r="CJ180" s="263"/>
      <c r="CK180" s="263">
        <f t="shared" si="164"/>
        <v>0</v>
      </c>
      <c r="CL180" s="264">
        <f t="shared" si="169"/>
        <v>0</v>
      </c>
      <c r="CM180" s="264">
        <f t="shared" si="165"/>
        <v>1715</v>
      </c>
      <c r="CO180" s="265">
        <v>9.0630000000000002E-2</v>
      </c>
      <c r="CP180" s="265">
        <v>9.2600000000000002E-2</v>
      </c>
      <c r="CQ180" s="265">
        <v>9.3170000000000003E-2</v>
      </c>
      <c r="CS180" s="265">
        <v>9.5420000000000005E-2</v>
      </c>
      <c r="CT180" s="265">
        <v>9.5690000000000011E-2</v>
      </c>
      <c r="CU180" s="265">
        <v>9.8780000000000007E-2</v>
      </c>
      <c r="CV180" s="265">
        <v>0.10034999999999999</v>
      </c>
      <c r="CW180" s="265">
        <v>0.10095000000000001</v>
      </c>
      <c r="CY180" s="265">
        <v>0.10300000000000001</v>
      </c>
      <c r="DA180" s="265">
        <v>0.1061</v>
      </c>
      <c r="DC180" s="265">
        <v>0.10475</v>
      </c>
      <c r="DE180" s="265">
        <v>4.2859999999999995E-2</v>
      </c>
      <c r="DF180" s="265">
        <v>4.5190000000000001E-2</v>
      </c>
      <c r="DH180" s="265">
        <v>4.5899999999999996E-2</v>
      </c>
      <c r="DI180" s="265">
        <v>4.6799999999999994E-2</v>
      </c>
      <c r="DJ180" s="265">
        <v>4.8399999999999999E-2</v>
      </c>
      <c r="DL180" s="265">
        <v>4.6449999999999998E-2</v>
      </c>
      <c r="DO180" s="264" t="e">
        <f t="shared" si="170"/>
        <v>#N/A</v>
      </c>
      <c r="DP180" s="264" t="e" cm="1">
        <f t="array" ref="DP180">+INDEX(AH180:AV180,MATCH(DO180,AH180:AV180,1)+1)</f>
        <v>#N/A</v>
      </c>
      <c r="DQ180" s="265" t="e">
        <f t="shared" si="171"/>
        <v>#N/A</v>
      </c>
      <c r="DR180" s="267" t="e">
        <f t="shared" si="172"/>
        <v>#N/A</v>
      </c>
      <c r="DS180" s="267" t="e">
        <f t="shared" si="173"/>
        <v>#N/A</v>
      </c>
      <c r="DT180" s="268">
        <f t="shared" si="174"/>
        <v>1091</v>
      </c>
      <c r="DU180" s="268" cm="1">
        <f t="array" ref="DU180">+INDEX(AX180:BF180,MATCH(DT180,AX180:BF180,1)+1)</f>
        <v>1854</v>
      </c>
      <c r="DV180" s="267">
        <f t="shared" si="175"/>
        <v>4.5190000000000001E-2</v>
      </c>
      <c r="DW180" s="267">
        <f t="shared" si="176"/>
        <v>0</v>
      </c>
      <c r="DX180" s="267">
        <f t="shared" si="177"/>
        <v>8.2299999999999995E-3</v>
      </c>
      <c r="DY180" s="267">
        <f t="shared" si="181"/>
        <v>7.7399999999999997E-2</v>
      </c>
      <c r="DZ180" s="205">
        <f t="shared" si="179"/>
        <v>8.6267001999999815E-2</v>
      </c>
      <c r="EA180" s="205">
        <f t="shared" si="180"/>
        <v>2.0030068669278726E-4</v>
      </c>
    </row>
    <row r="181" spans="2:131">
      <c r="B181" s="272">
        <v>45373</v>
      </c>
      <c r="C181" s="271">
        <v>45373</v>
      </c>
      <c r="D181" s="263" t="e">
        <f>+SUMIFS(Tabla6[Nominal COP],Tabla6[Concepto],COSTO_OPORTUNIDAD!$B$18,Tabla6[Nemotécnico],COSTO_OPORTUNIDAD!D$16,Tabla6[Fecha Cumplimiento y/ liquidacion],COSTO_OPORTUNIDAD!$C181)/+SUMIFS(Tabla6[Nominal COP],Tabla6[Concepto],COSTO_OPORTUNIDAD!$B$18,Tabla6[Fecha Cumplimiento y/ liquidacion],COSTO_OPORTUNIDAD!$C181)</f>
        <v>#DIV/0!</v>
      </c>
      <c r="E181" s="263" t="e">
        <f>+SUMIFS(Tabla6[Nominal COP],Tabla6[Concepto],COSTO_OPORTUNIDAD!$B$18,Tabla6[Nemotécnico],COSTO_OPORTUNIDAD!E$16,Tabla6[Fecha Cumplimiento y/ liquidacion],COSTO_OPORTUNIDAD!$C181)/+SUMIFS(Tabla6[Nominal COP],Tabla6[Concepto],COSTO_OPORTUNIDAD!$B$18,Tabla6[Fecha Cumplimiento y/ liquidacion],COSTO_OPORTUNIDAD!$C181)</f>
        <v>#DIV/0!</v>
      </c>
      <c r="F181" s="263"/>
      <c r="G181" s="263"/>
      <c r="H181" s="263">
        <v>0</v>
      </c>
      <c r="I181" s="263"/>
      <c r="J181" s="263">
        <v>0</v>
      </c>
      <c r="K181" s="263">
        <v>0</v>
      </c>
      <c r="L181" s="263"/>
      <c r="M181" s="263">
        <v>0.70828054819762754</v>
      </c>
      <c r="N181" s="263"/>
      <c r="O181" s="263"/>
      <c r="P181" s="263">
        <v>0</v>
      </c>
      <c r="Q181" s="263"/>
      <c r="R181" s="263">
        <v>0.28791892203155589</v>
      </c>
      <c r="S181" s="263"/>
      <c r="T181" s="263">
        <v>0</v>
      </c>
      <c r="U181" s="263"/>
      <c r="V181" s="263">
        <v>0</v>
      </c>
      <c r="W181" s="263">
        <v>0</v>
      </c>
      <c r="X181" s="263">
        <v>3.6853622020039155E-3</v>
      </c>
      <c r="Y181" s="263"/>
      <c r="Z181" s="263">
        <v>0</v>
      </c>
      <c r="AA181" s="263">
        <v>0</v>
      </c>
      <c r="AB181" s="263">
        <v>1.1516756881262236E-4</v>
      </c>
      <c r="AC181" s="263"/>
      <c r="AD181" s="263">
        <v>0</v>
      </c>
      <c r="AE181" s="263"/>
      <c r="AF181" s="263"/>
      <c r="AG181" s="262"/>
      <c r="AH181" s="274">
        <f t="shared" si="130"/>
        <v>887</v>
      </c>
      <c r="AI181" s="274">
        <f t="shared" si="131"/>
        <v>1321</v>
      </c>
      <c r="AJ181" s="274">
        <f t="shared" si="132"/>
        <v>1498</v>
      </c>
      <c r="AK181" s="274">
        <f t="shared" si="127"/>
        <v>1979</v>
      </c>
      <c r="AL181" s="274">
        <f t="shared" si="133"/>
        <v>2371</v>
      </c>
      <c r="AM181" s="274">
        <f t="shared" si="134"/>
        <v>2560</v>
      </c>
      <c r="AN181" s="274">
        <f t="shared" si="135"/>
        <v>3022</v>
      </c>
      <c r="AO181" s="274">
        <f t="shared" si="168"/>
        <v>3246</v>
      </c>
      <c r="AP181" s="274">
        <f t="shared" si="136"/>
        <v>3862</v>
      </c>
      <c r="AQ181" s="274"/>
      <c r="AR181" s="274">
        <f t="shared" si="137"/>
        <v>4492</v>
      </c>
      <c r="AS181" s="274">
        <f t="shared" si="128"/>
        <v>6095</v>
      </c>
      <c r="AT181" s="274">
        <f t="shared" si="138"/>
        <v>6641</v>
      </c>
      <c r="AU181" s="274"/>
      <c r="AV181" s="274">
        <f t="shared" si="139"/>
        <v>9714</v>
      </c>
      <c r="AW181" s="274"/>
      <c r="AX181" s="274">
        <f t="shared" si="140"/>
        <v>411</v>
      </c>
      <c r="AY181" s="274">
        <f t="shared" si="141"/>
        <v>1090</v>
      </c>
      <c r="AZ181" s="274">
        <f t="shared" si="142"/>
        <v>1853</v>
      </c>
      <c r="BA181" s="274"/>
      <c r="BB181" s="274">
        <f t="shared" si="143"/>
        <v>3290</v>
      </c>
      <c r="BC181" s="274">
        <f t="shared" si="144"/>
        <v>4030</v>
      </c>
      <c r="BD181" s="274">
        <f t="shared" si="145"/>
        <v>4723</v>
      </c>
      <c r="BE181" s="274"/>
      <c r="BF181" s="274">
        <f t="shared" si="146"/>
        <v>9217</v>
      </c>
      <c r="BG181" s="274"/>
      <c r="BH181" s="274"/>
      <c r="BI181" s="266">
        <f t="shared" si="147"/>
        <v>3.8005297708165377E-3</v>
      </c>
      <c r="BJ181" s="266" t="e">
        <f t="shared" si="148"/>
        <v>#DIV/0!</v>
      </c>
      <c r="BK181" s="263" t="str">
        <f t="shared" si="149"/>
        <v/>
      </c>
      <c r="BL181" s="263" t="str">
        <f t="shared" si="150"/>
        <v/>
      </c>
      <c r="BM181" s="263" t="str">
        <f t="shared" si="151"/>
        <v/>
      </c>
      <c r="BN181" s="263"/>
      <c r="BO181" s="263" t="str">
        <f t="shared" si="152"/>
        <v/>
      </c>
      <c r="BP181" s="263" t="str">
        <f t="shared" si="153"/>
        <v/>
      </c>
      <c r="BQ181" s="263" t="str">
        <f t="shared" si="154"/>
        <v/>
      </c>
      <c r="BR181" s="263" t="str">
        <f t="shared" si="155"/>
        <v/>
      </c>
      <c r="BS181" s="263" t="str">
        <f t="shared" si="156"/>
        <v/>
      </c>
      <c r="BT181" s="263" t="str">
        <f t="shared" si="157"/>
        <v/>
      </c>
      <c r="BU181" s="263" t="str">
        <f t="shared" si="158"/>
        <v/>
      </c>
      <c r="BV181" s="263"/>
      <c r="BW181" s="263" t="str">
        <f t="shared" si="159"/>
        <v/>
      </c>
      <c r="BX181" s="263"/>
      <c r="BY181" s="263" t="str">
        <f t="shared" si="160"/>
        <v/>
      </c>
      <c r="BZ181" s="263"/>
      <c r="CA181" s="263">
        <f t="shared" si="182"/>
        <v>0</v>
      </c>
      <c r="CB181" s="263">
        <f t="shared" si="161"/>
        <v>0</v>
      </c>
      <c r="CC181" s="263">
        <f t="shared" si="183"/>
        <v>0.96969696969696972</v>
      </c>
      <c r="CD181" s="263">
        <f t="shared" si="162"/>
        <v>0</v>
      </c>
      <c r="CE181" s="263">
        <f t="shared" si="167"/>
        <v>0</v>
      </c>
      <c r="CF181" s="263">
        <f t="shared" si="184"/>
        <v>0</v>
      </c>
      <c r="CG181" s="263">
        <f t="shared" si="185"/>
        <v>3.0303030303030304E-2</v>
      </c>
      <c r="CH181" s="263"/>
      <c r="CI181" s="263">
        <f t="shared" si="163"/>
        <v>0</v>
      </c>
      <c r="CJ181" s="263"/>
      <c r="CK181" s="263">
        <f t="shared" si="164"/>
        <v>0</v>
      </c>
      <c r="CL181" s="264">
        <f t="shared" si="169"/>
        <v>0</v>
      </c>
      <c r="CM181" s="264">
        <f t="shared" si="165"/>
        <v>1200</v>
      </c>
      <c r="CO181" s="265">
        <v>9.0639999999999998E-2</v>
      </c>
      <c r="CP181" s="265">
        <v>9.2630000000000004E-2</v>
      </c>
      <c r="CQ181" s="265">
        <v>9.2840000000000006E-2</v>
      </c>
      <c r="CS181" s="265">
        <v>9.5549999999999996E-2</v>
      </c>
      <c r="CT181" s="265">
        <v>9.5690000000000011E-2</v>
      </c>
      <c r="CU181" s="265">
        <v>9.894E-2</v>
      </c>
      <c r="CV181" s="265">
        <v>0.10054</v>
      </c>
      <c r="CW181" s="265">
        <v>0.10089000000000001</v>
      </c>
      <c r="CY181" s="265">
        <v>0.10321999999999999</v>
      </c>
      <c r="DA181" s="265">
        <v>0.106</v>
      </c>
      <c r="DC181" s="265">
        <v>0.10492000000000001</v>
      </c>
      <c r="DE181" s="265">
        <v>4.3899999999999995E-2</v>
      </c>
      <c r="DF181" s="265">
        <v>4.5940000000000002E-2</v>
      </c>
      <c r="DH181" s="265">
        <v>4.6699999999999998E-2</v>
      </c>
      <c r="DI181" s="265">
        <v>4.7800000000000002E-2</v>
      </c>
      <c r="DJ181" s="265">
        <v>4.9119999999999997E-2</v>
      </c>
      <c r="DL181" s="265">
        <v>4.6879999999999998E-2</v>
      </c>
      <c r="DO181" s="264" t="e">
        <f t="shared" si="170"/>
        <v>#N/A</v>
      </c>
      <c r="DP181" s="264" t="e" cm="1">
        <f t="array" ref="DP181">+INDEX(AH181:AV181,MATCH(DO181,AH181:AV181,1)+1)</f>
        <v>#N/A</v>
      </c>
      <c r="DQ181" s="265" t="e">
        <f t="shared" si="171"/>
        <v>#N/A</v>
      </c>
      <c r="DR181" s="267" t="e">
        <f t="shared" si="172"/>
        <v>#N/A</v>
      </c>
      <c r="DS181" s="267" t="e">
        <f t="shared" si="173"/>
        <v>#N/A</v>
      </c>
      <c r="DT181" s="268">
        <f t="shared" si="174"/>
        <v>1090</v>
      </c>
      <c r="DU181" s="268" cm="1">
        <f t="array" ref="DU181">+INDEX(AX181:BF181,MATCH(DT181,AX181:BF181,1)+1)</f>
        <v>1853</v>
      </c>
      <c r="DV181" s="267">
        <f t="shared" si="175"/>
        <v>4.5940000000000002E-2</v>
      </c>
      <c r="DW181" s="267">
        <f t="shared" si="176"/>
        <v>0</v>
      </c>
      <c r="DX181" s="267">
        <f t="shared" si="177"/>
        <v>3.9320000000000001E-2</v>
      </c>
      <c r="DY181" s="267">
        <f t="shared" si="181"/>
        <v>7.7399999999999997E-2</v>
      </c>
      <c r="DZ181" s="205">
        <f t="shared" si="179"/>
        <v>0.11976336799999987</v>
      </c>
      <c r="EA181" s="205">
        <f t="shared" si="180"/>
        <v>4.551642455372562E-4</v>
      </c>
    </row>
    <row r="182" spans="2:131">
      <c r="B182" s="272">
        <v>45383</v>
      </c>
      <c r="C182" s="271">
        <v>45383</v>
      </c>
      <c r="D182" s="263" t="e">
        <f>+SUMIFS(Tabla6[Nominal COP],Tabla6[Concepto],COSTO_OPORTUNIDAD!$B$18,Tabla6[Nemotécnico],COSTO_OPORTUNIDAD!D$16,Tabla6[Fecha Cumplimiento y/ liquidacion],COSTO_OPORTUNIDAD!$C182)/+SUMIFS(Tabla6[Nominal COP],Tabla6[Concepto],COSTO_OPORTUNIDAD!$B$18,Tabla6[Fecha Cumplimiento y/ liquidacion],COSTO_OPORTUNIDAD!$C182)</f>
        <v>#DIV/0!</v>
      </c>
      <c r="E182" s="263" t="e">
        <f>+SUMIFS(Tabla6[Nominal COP],Tabla6[Concepto],COSTO_OPORTUNIDAD!$B$18,Tabla6[Nemotécnico],COSTO_OPORTUNIDAD!E$16,Tabla6[Fecha Cumplimiento y/ liquidacion],COSTO_OPORTUNIDAD!$C182)/+SUMIFS(Tabla6[Nominal COP],Tabla6[Concepto],COSTO_OPORTUNIDAD!$B$18,Tabla6[Fecha Cumplimiento y/ liquidacion],COSTO_OPORTUNIDAD!$C182)</f>
        <v>#DIV/0!</v>
      </c>
      <c r="F182" s="263"/>
      <c r="G182" s="263"/>
      <c r="H182" s="263">
        <v>0</v>
      </c>
      <c r="I182" s="263"/>
      <c r="J182" s="263">
        <v>0</v>
      </c>
      <c r="K182" s="263">
        <v>0</v>
      </c>
      <c r="L182" s="263"/>
      <c r="M182" s="263">
        <v>0.6621420294653203</v>
      </c>
      <c r="N182" s="263"/>
      <c r="O182" s="263"/>
      <c r="P182" s="263">
        <v>0</v>
      </c>
      <c r="Q182" s="263"/>
      <c r="R182" s="263">
        <v>0.28141036252276114</v>
      </c>
      <c r="S182" s="263"/>
      <c r="T182" s="263">
        <v>5.5178502455443361E-2</v>
      </c>
      <c r="U182" s="263"/>
      <c r="V182" s="263">
        <v>0</v>
      </c>
      <c r="W182" s="263">
        <v>0</v>
      </c>
      <c r="X182" s="263">
        <v>1.213927054019754E-3</v>
      </c>
      <c r="Y182" s="263"/>
      <c r="Z182" s="263">
        <v>0</v>
      </c>
      <c r="AA182" s="263">
        <v>0</v>
      </c>
      <c r="AB182" s="263">
        <v>5.517850245544336E-5</v>
      </c>
      <c r="AC182" s="263"/>
      <c r="AD182" s="263">
        <v>0</v>
      </c>
      <c r="AE182" s="263"/>
      <c r="AF182" s="263"/>
      <c r="AG182" s="262"/>
      <c r="AH182" s="274">
        <f t="shared" si="130"/>
        <v>877</v>
      </c>
      <c r="AI182" s="274">
        <f t="shared" si="131"/>
        <v>1311</v>
      </c>
      <c r="AJ182" s="274">
        <f t="shared" si="132"/>
        <v>1488</v>
      </c>
      <c r="AK182" s="274">
        <f t="shared" si="127"/>
        <v>1969</v>
      </c>
      <c r="AL182" s="274">
        <f t="shared" si="133"/>
        <v>2361</v>
      </c>
      <c r="AM182" s="274">
        <f t="shared" si="134"/>
        <v>2550</v>
      </c>
      <c r="AN182" s="274">
        <f t="shared" si="135"/>
        <v>3012</v>
      </c>
      <c r="AO182" s="274">
        <f t="shared" si="168"/>
        <v>3236</v>
      </c>
      <c r="AP182" s="274">
        <f t="shared" si="136"/>
        <v>3852</v>
      </c>
      <c r="AQ182" s="274"/>
      <c r="AR182" s="274">
        <f t="shared" si="137"/>
        <v>4482</v>
      </c>
      <c r="AS182" s="274">
        <f t="shared" si="128"/>
        <v>6085</v>
      </c>
      <c r="AT182" s="274">
        <f t="shared" si="138"/>
        <v>6631</v>
      </c>
      <c r="AU182" s="274"/>
      <c r="AV182" s="274">
        <f t="shared" si="139"/>
        <v>9704</v>
      </c>
      <c r="AW182" s="274"/>
      <c r="AX182" s="274">
        <f t="shared" si="140"/>
        <v>401</v>
      </c>
      <c r="AY182" s="274">
        <f t="shared" si="141"/>
        <v>1080</v>
      </c>
      <c r="AZ182" s="274">
        <f t="shared" si="142"/>
        <v>1843</v>
      </c>
      <c r="BA182" s="274"/>
      <c r="BB182" s="274">
        <f t="shared" si="143"/>
        <v>3280</v>
      </c>
      <c r="BC182" s="274">
        <f t="shared" si="144"/>
        <v>4020</v>
      </c>
      <c r="BD182" s="274">
        <f t="shared" si="145"/>
        <v>4713</v>
      </c>
      <c r="BE182" s="274"/>
      <c r="BF182" s="274">
        <f t="shared" si="146"/>
        <v>9207</v>
      </c>
      <c r="BG182" s="274"/>
      <c r="BH182" s="274"/>
      <c r="BI182" s="266">
        <f t="shared" si="147"/>
        <v>1.2691055564751973E-3</v>
      </c>
      <c r="BJ182" s="266" t="e">
        <f t="shared" si="148"/>
        <v>#DIV/0!</v>
      </c>
      <c r="BK182" s="263" t="str">
        <f t="shared" si="149"/>
        <v/>
      </c>
      <c r="BL182" s="263" t="str">
        <f t="shared" si="150"/>
        <v/>
      </c>
      <c r="BM182" s="263" t="str">
        <f t="shared" si="151"/>
        <v/>
      </c>
      <c r="BN182" s="263"/>
      <c r="BO182" s="263" t="str">
        <f t="shared" si="152"/>
        <v/>
      </c>
      <c r="BP182" s="263" t="str">
        <f t="shared" si="153"/>
        <v/>
      </c>
      <c r="BQ182" s="263" t="str">
        <f t="shared" si="154"/>
        <v/>
      </c>
      <c r="BR182" s="263" t="str">
        <f t="shared" si="155"/>
        <v/>
      </c>
      <c r="BS182" s="263" t="str">
        <f t="shared" si="156"/>
        <v/>
      </c>
      <c r="BT182" s="263" t="str">
        <f t="shared" si="157"/>
        <v/>
      </c>
      <c r="BU182" s="263" t="str">
        <f t="shared" si="158"/>
        <v/>
      </c>
      <c r="BV182" s="263"/>
      <c r="BW182" s="263" t="str">
        <f t="shared" si="159"/>
        <v/>
      </c>
      <c r="BX182" s="263"/>
      <c r="BY182" s="263" t="str">
        <f t="shared" si="160"/>
        <v/>
      </c>
      <c r="BZ182" s="263"/>
      <c r="CA182" s="263">
        <f t="shared" si="182"/>
        <v>0</v>
      </c>
      <c r="CB182" s="263">
        <f t="shared" si="161"/>
        <v>0</v>
      </c>
      <c r="CC182" s="263">
        <f t="shared" si="183"/>
        <v>0.95652173913043481</v>
      </c>
      <c r="CD182" s="263">
        <f t="shared" si="162"/>
        <v>0</v>
      </c>
      <c r="CE182" s="263">
        <f t="shared" si="167"/>
        <v>0</v>
      </c>
      <c r="CF182" s="263">
        <f t="shared" si="184"/>
        <v>0</v>
      </c>
      <c r="CG182" s="263">
        <f t="shared" si="185"/>
        <v>4.3478260869565216E-2</v>
      </c>
      <c r="CH182" s="263"/>
      <c r="CI182" s="263">
        <f t="shared" si="163"/>
        <v>0</v>
      </c>
      <c r="CJ182" s="263"/>
      <c r="CK182" s="263">
        <f t="shared" si="164"/>
        <v>0</v>
      </c>
      <c r="CL182" s="264">
        <f t="shared" si="169"/>
        <v>0</v>
      </c>
      <c r="CM182" s="264">
        <f t="shared" si="165"/>
        <v>1238</v>
      </c>
      <c r="CO182" s="265">
        <v>9.2600000000000002E-2</v>
      </c>
      <c r="CP182" s="265">
        <v>9.493E-2</v>
      </c>
      <c r="CQ182" s="265">
        <v>9.5399999999999985E-2</v>
      </c>
      <c r="CS182" s="265">
        <v>9.7379999999999994E-2</v>
      </c>
      <c r="CT182" s="265">
        <v>9.6000000000000002E-2</v>
      </c>
      <c r="CU182" s="265">
        <v>0.10149</v>
      </c>
      <c r="CV182" s="265">
        <v>0.1033</v>
      </c>
      <c r="CW182" s="265">
        <v>0.10412</v>
      </c>
      <c r="CY182" s="265">
        <v>0.10639</v>
      </c>
      <c r="DA182" s="265">
        <v>0.10915</v>
      </c>
      <c r="DC182" s="265">
        <v>0.1082</v>
      </c>
      <c r="DE182" s="265">
        <v>4.5899999999999996E-2</v>
      </c>
      <c r="DF182" s="265">
        <v>4.8550000000000003E-2</v>
      </c>
      <c r="DH182" s="265">
        <v>4.6900000000000004E-2</v>
      </c>
      <c r="DI182" s="265">
        <v>4.9800000000000004E-2</v>
      </c>
      <c r="DJ182" s="265">
        <v>5.1029999999999999E-2</v>
      </c>
      <c r="DL182" s="265">
        <v>4.922E-2</v>
      </c>
      <c r="DO182" s="264" t="e">
        <f t="shared" si="170"/>
        <v>#N/A</v>
      </c>
      <c r="DP182" s="264" t="e" cm="1">
        <f t="array" ref="DP182">+INDEX(AH182:AV182,MATCH(DO182,AH182:AV182,1)+1)</f>
        <v>#N/A</v>
      </c>
      <c r="DQ182" s="265" t="e">
        <f t="shared" si="171"/>
        <v>#N/A</v>
      </c>
      <c r="DR182" s="267" t="e">
        <f t="shared" si="172"/>
        <v>#N/A</v>
      </c>
      <c r="DS182" s="267" t="e">
        <f t="shared" si="173"/>
        <v>#N/A</v>
      </c>
      <c r="DT182" s="268">
        <f t="shared" si="174"/>
        <v>1080</v>
      </c>
      <c r="DU182" s="268" cm="1">
        <f t="array" ref="DU182">+INDEX(AX182:BF182,MATCH(DT182,AX182:BF182,1)+1)</f>
        <v>1843</v>
      </c>
      <c r="DV182" s="267">
        <f t="shared" si="175"/>
        <v>4.8550000000000003E-2</v>
      </c>
      <c r="DW182" s="267">
        <f t="shared" si="176"/>
        <v>0</v>
      </c>
      <c r="DX182" s="267">
        <f t="shared" si="177"/>
        <v>3.85E-2</v>
      </c>
      <c r="DY182" s="267">
        <f t="shared" si="181"/>
        <v>7.7399999999999997E-2</v>
      </c>
      <c r="DZ182" s="205">
        <f t="shared" si="179"/>
        <v>0.11887989999999982</v>
      </c>
      <c r="EA182" s="205">
        <f t="shared" si="180"/>
        <v>1.5087114164321556E-4</v>
      </c>
    </row>
    <row r="183" spans="2:131">
      <c r="B183" s="272">
        <v>45384</v>
      </c>
      <c r="C183" s="271">
        <v>45384</v>
      </c>
      <c r="D183" s="263" t="e">
        <f>+SUMIFS(Tabla6[Nominal COP],Tabla6[Concepto],COSTO_OPORTUNIDAD!$B$18,Tabla6[Nemotécnico],COSTO_OPORTUNIDAD!D$16,Tabla6[Fecha Cumplimiento y/ liquidacion],COSTO_OPORTUNIDAD!$C183)/+SUMIFS(Tabla6[Nominal COP],Tabla6[Concepto],COSTO_OPORTUNIDAD!$B$18,Tabla6[Fecha Cumplimiento y/ liquidacion],COSTO_OPORTUNIDAD!$C183)</f>
        <v>#DIV/0!</v>
      </c>
      <c r="E183" s="263" t="e">
        <f>+SUMIFS(Tabla6[Nominal COP],Tabla6[Concepto],COSTO_OPORTUNIDAD!$B$18,Tabla6[Nemotécnico],COSTO_OPORTUNIDAD!E$16,Tabla6[Fecha Cumplimiento y/ liquidacion],COSTO_OPORTUNIDAD!$C183)/+SUMIFS(Tabla6[Nominal COP],Tabla6[Concepto],COSTO_OPORTUNIDAD!$B$18,Tabla6[Fecha Cumplimiento y/ liquidacion],COSTO_OPORTUNIDAD!$C183)</f>
        <v>#DIV/0!</v>
      </c>
      <c r="F183" s="263"/>
      <c r="G183" s="263"/>
      <c r="H183" s="263">
        <v>0</v>
      </c>
      <c r="I183" s="263"/>
      <c r="J183" s="263">
        <v>0</v>
      </c>
      <c r="K183" s="263">
        <v>0</v>
      </c>
      <c r="L183" s="263"/>
      <c r="M183" s="263">
        <v>0.69590475181918576</v>
      </c>
      <c r="N183" s="263"/>
      <c r="O183" s="263"/>
      <c r="P183" s="263">
        <v>0</v>
      </c>
      <c r="Q183" s="263"/>
      <c r="R183" s="263">
        <v>0.12102691335985839</v>
      </c>
      <c r="S183" s="263"/>
      <c r="T183" s="263">
        <v>0.1815403700397876</v>
      </c>
      <c r="U183" s="263"/>
      <c r="V183" s="263">
        <v>0</v>
      </c>
      <c r="W183" s="263">
        <v>0</v>
      </c>
      <c r="X183" s="263">
        <v>1.3766811394683891E-3</v>
      </c>
      <c r="Y183" s="263"/>
      <c r="Z183" s="263">
        <v>0</v>
      </c>
      <c r="AA183" s="263">
        <v>0</v>
      </c>
      <c r="AB183" s="263">
        <v>1.5128364169982297E-4</v>
      </c>
      <c r="AC183" s="263"/>
      <c r="AD183" s="263">
        <v>0</v>
      </c>
      <c r="AE183" s="263"/>
      <c r="AF183" s="263"/>
      <c r="AG183" s="262"/>
      <c r="AH183" s="274">
        <f t="shared" si="130"/>
        <v>876</v>
      </c>
      <c r="AI183" s="274">
        <f t="shared" si="131"/>
        <v>1310</v>
      </c>
      <c r="AJ183" s="274">
        <f t="shared" si="132"/>
        <v>1487</v>
      </c>
      <c r="AK183" s="274">
        <f t="shared" si="127"/>
        <v>1968</v>
      </c>
      <c r="AL183" s="274">
        <f t="shared" si="133"/>
        <v>2360</v>
      </c>
      <c r="AM183" s="274">
        <f t="shared" si="134"/>
        <v>2549</v>
      </c>
      <c r="AN183" s="274">
        <f t="shared" si="135"/>
        <v>3011</v>
      </c>
      <c r="AO183" s="274">
        <f t="shared" si="168"/>
        <v>3235</v>
      </c>
      <c r="AP183" s="274">
        <f t="shared" si="136"/>
        <v>3851</v>
      </c>
      <c r="AQ183" s="274"/>
      <c r="AR183" s="274">
        <f t="shared" si="137"/>
        <v>4481</v>
      </c>
      <c r="AS183" s="274">
        <f t="shared" si="128"/>
        <v>6084</v>
      </c>
      <c r="AT183" s="274">
        <f t="shared" si="138"/>
        <v>6630</v>
      </c>
      <c r="AU183" s="274"/>
      <c r="AV183" s="274">
        <f t="shared" si="139"/>
        <v>9703</v>
      </c>
      <c r="AW183" s="274"/>
      <c r="AX183" s="274">
        <f t="shared" si="140"/>
        <v>400</v>
      </c>
      <c r="AY183" s="274">
        <f t="shared" si="141"/>
        <v>1079</v>
      </c>
      <c r="AZ183" s="274">
        <f t="shared" si="142"/>
        <v>1842</v>
      </c>
      <c r="BA183" s="274"/>
      <c r="BB183" s="274">
        <f t="shared" si="143"/>
        <v>3279</v>
      </c>
      <c r="BC183" s="274">
        <f t="shared" si="144"/>
        <v>4019</v>
      </c>
      <c r="BD183" s="274">
        <f t="shared" si="145"/>
        <v>4712</v>
      </c>
      <c r="BE183" s="274"/>
      <c r="BF183" s="274">
        <f t="shared" si="146"/>
        <v>9206</v>
      </c>
      <c r="BG183" s="274"/>
      <c r="BH183" s="274"/>
      <c r="BI183" s="266">
        <f t="shared" si="147"/>
        <v>1.5279647811682121E-3</v>
      </c>
      <c r="BJ183" s="266" t="e">
        <f t="shared" si="148"/>
        <v>#DIV/0!</v>
      </c>
      <c r="BK183" s="263" t="str">
        <f t="shared" si="149"/>
        <v/>
      </c>
      <c r="BL183" s="263" t="str">
        <f t="shared" si="150"/>
        <v/>
      </c>
      <c r="BM183" s="263" t="str">
        <f t="shared" si="151"/>
        <v/>
      </c>
      <c r="BN183" s="263"/>
      <c r="BO183" s="263" t="str">
        <f t="shared" si="152"/>
        <v/>
      </c>
      <c r="BP183" s="263" t="str">
        <f t="shared" si="153"/>
        <v/>
      </c>
      <c r="BQ183" s="263" t="str">
        <f t="shared" si="154"/>
        <v/>
      </c>
      <c r="BR183" s="263" t="str">
        <f t="shared" si="155"/>
        <v/>
      </c>
      <c r="BS183" s="263" t="str">
        <f t="shared" si="156"/>
        <v/>
      </c>
      <c r="BT183" s="263" t="str">
        <f t="shared" si="157"/>
        <v/>
      </c>
      <c r="BU183" s="263" t="str">
        <f t="shared" si="158"/>
        <v/>
      </c>
      <c r="BV183" s="263"/>
      <c r="BW183" s="263" t="str">
        <f t="shared" si="159"/>
        <v/>
      </c>
      <c r="BX183" s="263"/>
      <c r="BY183" s="263" t="str">
        <f t="shared" si="160"/>
        <v/>
      </c>
      <c r="BZ183" s="263"/>
      <c r="CA183" s="263">
        <f t="shared" si="182"/>
        <v>0</v>
      </c>
      <c r="CB183" s="263">
        <f t="shared" si="161"/>
        <v>0</v>
      </c>
      <c r="CC183" s="263">
        <f t="shared" si="183"/>
        <v>0.90099009900990101</v>
      </c>
      <c r="CD183" s="263">
        <f t="shared" si="162"/>
        <v>0</v>
      </c>
      <c r="CE183" s="263">
        <f t="shared" si="167"/>
        <v>0</v>
      </c>
      <c r="CF183" s="263">
        <f t="shared" si="184"/>
        <v>0</v>
      </c>
      <c r="CG183" s="263">
        <f t="shared" si="185"/>
        <v>9.9009900990099001E-2</v>
      </c>
      <c r="CH183" s="263"/>
      <c r="CI183" s="263">
        <f t="shared" si="163"/>
        <v>0</v>
      </c>
      <c r="CJ183" s="263"/>
      <c r="CK183" s="263">
        <f t="shared" si="164"/>
        <v>0</v>
      </c>
      <c r="CL183" s="264">
        <f t="shared" si="169"/>
        <v>0</v>
      </c>
      <c r="CM183" s="264">
        <f t="shared" si="165"/>
        <v>1439</v>
      </c>
      <c r="CO183" s="265">
        <v>9.3649999999999997E-2</v>
      </c>
      <c r="CP183" s="265">
        <v>9.6129999999999993E-2</v>
      </c>
      <c r="CQ183" s="265">
        <v>9.6489999999999992E-2</v>
      </c>
      <c r="CS183" s="265">
        <v>9.849999999999999E-2</v>
      </c>
      <c r="CT183" s="265">
        <v>9.6000000000000002E-2</v>
      </c>
      <c r="CU183" s="265">
        <v>0.10276</v>
      </c>
      <c r="CV183" s="265">
        <v>0.1041</v>
      </c>
      <c r="CW183" s="265">
        <v>0.10529999999999999</v>
      </c>
      <c r="CY183" s="265">
        <v>0.1067</v>
      </c>
      <c r="DA183" s="265">
        <v>0.10981999999999999</v>
      </c>
      <c r="DC183" s="265">
        <v>0.10865</v>
      </c>
      <c r="DE183" s="265">
        <v>4.7400000000000005E-2</v>
      </c>
      <c r="DF183" s="265">
        <v>4.9299999999999997E-2</v>
      </c>
      <c r="DH183" s="265">
        <v>4.9500000000000002E-2</v>
      </c>
      <c r="DI183" s="265">
        <v>0.05</v>
      </c>
      <c r="DJ183" s="265">
        <v>5.176E-2</v>
      </c>
      <c r="DL183" s="265">
        <v>5.0179999999999995E-2</v>
      </c>
      <c r="DO183" s="264" t="e">
        <f t="shared" si="170"/>
        <v>#N/A</v>
      </c>
      <c r="DP183" s="264" t="e" cm="1">
        <f t="array" ref="DP183">+INDEX(AH183:AV183,MATCH(DO183,AH183:AV183,1)+1)</f>
        <v>#N/A</v>
      </c>
      <c r="DQ183" s="265" t="e">
        <f t="shared" si="171"/>
        <v>#N/A</v>
      </c>
      <c r="DR183" s="267" t="e">
        <f t="shared" si="172"/>
        <v>#N/A</v>
      </c>
      <c r="DS183" s="267" t="e">
        <f t="shared" si="173"/>
        <v>#N/A</v>
      </c>
      <c r="DT183" s="268">
        <f t="shared" si="174"/>
        <v>1079</v>
      </c>
      <c r="DU183" s="268" cm="1">
        <f t="array" ref="DU183">+INDEX(AX183:BF183,MATCH(DT183,AX183:BF183,1)+1)</f>
        <v>1842</v>
      </c>
      <c r="DV183" s="267">
        <f t="shared" si="175"/>
        <v>4.9299999999999997E-2</v>
      </c>
      <c r="DW183" s="267">
        <f t="shared" si="176"/>
        <v>0</v>
      </c>
      <c r="DX183" s="267">
        <f t="shared" si="177"/>
        <v>2.6040000000000001E-2</v>
      </c>
      <c r="DY183" s="267">
        <f>+$EE$78</f>
        <v>7.7399999999999997E-2</v>
      </c>
      <c r="DZ183" s="205">
        <f t="shared" si="179"/>
        <v>0.10545549600000004</v>
      </c>
      <c r="EA183" s="205">
        <f t="shared" si="180"/>
        <v>1.6113228386862533E-4</v>
      </c>
    </row>
    <row r="184" spans="2:131">
      <c r="B184" s="272">
        <v>45394</v>
      </c>
      <c r="C184" s="271">
        <v>45394</v>
      </c>
      <c r="D184" s="263" t="e">
        <f>+SUMIFS(Tabla6[Nominal COP],Tabla6[Concepto],COSTO_OPORTUNIDAD!$B$18,Tabla6[Nemotécnico],COSTO_OPORTUNIDAD!D$16,Tabla6[Fecha Cumplimiento y/ liquidacion],COSTO_OPORTUNIDAD!$C184)/+SUMIFS(Tabla6[Nominal COP],Tabla6[Concepto],COSTO_OPORTUNIDAD!$B$18,Tabla6[Fecha Cumplimiento y/ liquidacion],COSTO_OPORTUNIDAD!$C184)</f>
        <v>#DIV/0!</v>
      </c>
      <c r="E184" s="263" t="e">
        <f>+SUMIFS(Tabla6[Nominal COP],Tabla6[Concepto],COSTO_OPORTUNIDAD!$B$18,Tabla6[Nemotécnico],COSTO_OPORTUNIDAD!E$16,Tabla6[Fecha Cumplimiento y/ liquidacion],COSTO_OPORTUNIDAD!$C184)/+SUMIFS(Tabla6[Nominal COP],Tabla6[Concepto],COSTO_OPORTUNIDAD!$B$18,Tabla6[Fecha Cumplimiento y/ liquidacion],COSTO_OPORTUNIDAD!$C184)</f>
        <v>#DIV/0!</v>
      </c>
      <c r="F184" s="263"/>
      <c r="G184" s="263"/>
      <c r="H184" s="263">
        <v>0</v>
      </c>
      <c r="I184" s="263"/>
      <c r="J184" s="263">
        <v>0</v>
      </c>
      <c r="K184" s="263">
        <v>0</v>
      </c>
      <c r="L184" s="263"/>
      <c r="M184" s="263">
        <v>0</v>
      </c>
      <c r="N184" s="263"/>
      <c r="O184" s="263"/>
      <c r="P184" s="263">
        <v>0</v>
      </c>
      <c r="Q184" s="263"/>
      <c r="R184" s="263">
        <v>0</v>
      </c>
      <c r="S184" s="263"/>
      <c r="T184" s="263">
        <v>0</v>
      </c>
      <c r="U184" s="263"/>
      <c r="V184" s="263">
        <v>0</v>
      </c>
      <c r="W184" s="263">
        <v>0</v>
      </c>
      <c r="X184" s="263">
        <v>0.85</v>
      </c>
      <c r="Y184" s="263"/>
      <c r="Z184" s="263">
        <v>0</v>
      </c>
      <c r="AA184" s="263">
        <v>0</v>
      </c>
      <c r="AB184" s="263">
        <v>0.15</v>
      </c>
      <c r="AC184" s="263"/>
      <c r="AD184" s="263">
        <v>0</v>
      </c>
      <c r="AE184" s="263"/>
      <c r="AF184" s="263"/>
      <c r="AG184" s="262"/>
      <c r="AH184" s="274">
        <f t="shared" si="130"/>
        <v>866</v>
      </c>
      <c r="AI184" s="274">
        <f t="shared" si="131"/>
        <v>1300</v>
      </c>
      <c r="AJ184" s="274">
        <f t="shared" si="132"/>
        <v>1477</v>
      </c>
      <c r="AK184" s="274">
        <f t="shared" si="127"/>
        <v>1958</v>
      </c>
      <c r="AL184" s="274">
        <f t="shared" si="133"/>
        <v>2350</v>
      </c>
      <c r="AM184" s="274">
        <f t="shared" si="134"/>
        <v>2539</v>
      </c>
      <c r="AN184" s="274">
        <f t="shared" si="135"/>
        <v>3001</v>
      </c>
      <c r="AO184" s="274">
        <f t="shared" si="168"/>
        <v>3225</v>
      </c>
      <c r="AP184" s="274">
        <f t="shared" si="136"/>
        <v>3841</v>
      </c>
      <c r="AQ184" s="274"/>
      <c r="AR184" s="274">
        <f t="shared" si="137"/>
        <v>4471</v>
      </c>
      <c r="AS184" s="274">
        <f t="shared" si="128"/>
        <v>6074</v>
      </c>
      <c r="AT184" s="274">
        <f t="shared" si="138"/>
        <v>6620</v>
      </c>
      <c r="AU184" s="274"/>
      <c r="AV184" s="274">
        <f t="shared" si="139"/>
        <v>9693</v>
      </c>
      <c r="AW184" s="274"/>
      <c r="AX184" s="274">
        <f t="shared" si="140"/>
        <v>390</v>
      </c>
      <c r="AY184" s="274">
        <f t="shared" si="141"/>
        <v>1069</v>
      </c>
      <c r="AZ184" s="274">
        <f t="shared" si="142"/>
        <v>1832</v>
      </c>
      <c r="BA184" s="274"/>
      <c r="BB184" s="274">
        <f t="shared" si="143"/>
        <v>3269</v>
      </c>
      <c r="BC184" s="274">
        <f t="shared" si="144"/>
        <v>4009</v>
      </c>
      <c r="BD184" s="274">
        <f t="shared" si="145"/>
        <v>4702</v>
      </c>
      <c r="BE184" s="274"/>
      <c r="BF184" s="274">
        <f t="shared" si="146"/>
        <v>9196</v>
      </c>
      <c r="BG184" s="274"/>
      <c r="BH184" s="274"/>
      <c r="BI184" s="266">
        <f t="shared" si="147"/>
        <v>1</v>
      </c>
      <c r="BJ184" s="266" t="e">
        <f t="shared" si="148"/>
        <v>#DIV/0!</v>
      </c>
      <c r="BK184" s="263" t="str">
        <f t="shared" si="149"/>
        <v/>
      </c>
      <c r="BL184" s="263" t="str">
        <f t="shared" si="150"/>
        <v/>
      </c>
      <c r="BM184" s="263" t="str">
        <f t="shared" si="151"/>
        <v/>
      </c>
      <c r="BN184" s="263"/>
      <c r="BO184" s="263" t="str">
        <f t="shared" si="152"/>
        <v/>
      </c>
      <c r="BP184" s="263" t="str">
        <f t="shared" si="153"/>
        <v/>
      </c>
      <c r="BQ184" s="263" t="str">
        <f t="shared" si="154"/>
        <v/>
      </c>
      <c r="BR184" s="263" t="str">
        <f t="shared" si="155"/>
        <v/>
      </c>
      <c r="BS184" s="263" t="str">
        <f t="shared" si="156"/>
        <v/>
      </c>
      <c r="BT184" s="263" t="str">
        <f t="shared" si="157"/>
        <v/>
      </c>
      <c r="BU184" s="263" t="str">
        <f t="shared" si="158"/>
        <v/>
      </c>
      <c r="BV184" s="263"/>
      <c r="BW184" s="263" t="str">
        <f t="shared" si="159"/>
        <v/>
      </c>
      <c r="BX184" s="263"/>
      <c r="BY184" s="263" t="str">
        <f t="shared" si="160"/>
        <v/>
      </c>
      <c r="BZ184" s="263"/>
      <c r="CA184" s="263">
        <f t="shared" si="182"/>
        <v>0</v>
      </c>
      <c r="CB184" s="263">
        <f t="shared" si="161"/>
        <v>0</v>
      </c>
      <c r="CC184" s="263">
        <f t="shared" si="183"/>
        <v>0.85</v>
      </c>
      <c r="CD184" s="263">
        <f t="shared" si="162"/>
        <v>0</v>
      </c>
      <c r="CE184" s="263">
        <f t="shared" si="167"/>
        <v>0</v>
      </c>
      <c r="CF184" s="263">
        <f t="shared" si="184"/>
        <v>0</v>
      </c>
      <c r="CG184" s="263">
        <f t="shared" si="185"/>
        <v>0.15</v>
      </c>
      <c r="CH184" s="263"/>
      <c r="CI184" s="263">
        <f t="shared" si="163"/>
        <v>0</v>
      </c>
      <c r="CJ184" s="263"/>
      <c r="CK184" s="263">
        <f t="shared" si="164"/>
        <v>0</v>
      </c>
      <c r="CL184" s="264">
        <f t="shared" si="169"/>
        <v>0</v>
      </c>
      <c r="CM184" s="264">
        <f t="shared" si="165"/>
        <v>1614</v>
      </c>
      <c r="CO184" s="265">
        <v>9.9350000000000008E-2</v>
      </c>
      <c r="CP184" s="265">
        <v>0.10160999999999999</v>
      </c>
      <c r="CQ184" s="265">
        <v>0.10150000000000001</v>
      </c>
      <c r="CS184" s="265">
        <v>0.10332000000000001</v>
      </c>
      <c r="CT184" s="265">
        <v>0.10485</v>
      </c>
      <c r="CU184" s="265">
        <v>0.10705000000000001</v>
      </c>
      <c r="CV184" s="265">
        <v>0.1082</v>
      </c>
      <c r="CW184" s="265">
        <v>0.10848000000000001</v>
      </c>
      <c r="CY184" s="265">
        <v>0.10994</v>
      </c>
      <c r="DA184" s="265">
        <v>0.1133</v>
      </c>
      <c r="DC184" s="265">
        <v>0.11199999999999999</v>
      </c>
      <c r="DE184" s="265">
        <v>4.836E-2</v>
      </c>
      <c r="DF184" s="265">
        <v>4.9530000000000005E-2</v>
      </c>
      <c r="DH184" s="265">
        <v>4.9889999999999997E-2</v>
      </c>
      <c r="DI184" s="265">
        <v>5.2979999999999999E-2</v>
      </c>
      <c r="DJ184" s="265">
        <v>5.4050000000000001E-2</v>
      </c>
      <c r="DL184" s="265">
        <v>5.0799999999999998E-2</v>
      </c>
      <c r="DO184" s="264" t="e">
        <f t="shared" si="170"/>
        <v>#N/A</v>
      </c>
      <c r="DP184" s="264" t="e" cm="1">
        <f t="array" ref="DP184">+INDEX(AH184:AV184,MATCH(DO184,AH184:AV184,1)+1)</f>
        <v>#N/A</v>
      </c>
      <c r="DQ184" s="265" t="e">
        <f t="shared" si="171"/>
        <v>#N/A</v>
      </c>
      <c r="DR184" s="267" t="e">
        <f t="shared" si="172"/>
        <v>#N/A</v>
      </c>
      <c r="DS184" s="267" t="e">
        <f t="shared" si="173"/>
        <v>#N/A</v>
      </c>
      <c r="DT184" s="268">
        <f t="shared" si="174"/>
        <v>1069</v>
      </c>
      <c r="DU184" s="268" cm="1">
        <f t="array" ref="DU184">+INDEX(AX184:BF184,MATCH(DT184,AX184:BF184,1)+1)</f>
        <v>1832</v>
      </c>
      <c r="DV184" s="267">
        <f t="shared" si="175"/>
        <v>4.9530000000000005E-2</v>
      </c>
      <c r="DW184" s="267">
        <f t="shared" si="176"/>
        <v>0</v>
      </c>
      <c r="DX184" s="267">
        <f t="shared" si="177"/>
        <v>1.4149999999999999E-2</v>
      </c>
      <c r="DY184" s="267">
        <f t="shared" ref="DY184:DY189" si="186">+$EE$79</f>
        <v>7.3599999999999999E-2</v>
      </c>
      <c r="DZ184" s="205">
        <f t="shared" si="179"/>
        <v>8.8791440000000055E-2</v>
      </c>
      <c r="EA184" s="205">
        <f t="shared" si="180"/>
        <v>8.8791440000000055E-2</v>
      </c>
    </row>
    <row r="185" spans="2:131">
      <c r="B185" s="272">
        <v>45411</v>
      </c>
      <c r="C185" s="271">
        <v>45411</v>
      </c>
      <c r="D185" s="263" t="e">
        <f>+SUMIFS(Tabla6[Nominal COP],Tabla6[Concepto],COSTO_OPORTUNIDAD!$B$18,Tabla6[Nemotécnico],COSTO_OPORTUNIDAD!D$16,Tabla6[Fecha Cumplimiento y/ liquidacion],COSTO_OPORTUNIDAD!$C185)/+SUMIFS(Tabla6[Nominal COP],Tabla6[Concepto],COSTO_OPORTUNIDAD!$B$18,Tabla6[Fecha Cumplimiento y/ liquidacion],COSTO_OPORTUNIDAD!$C185)</f>
        <v>#DIV/0!</v>
      </c>
      <c r="E185" s="263" t="e">
        <f>+SUMIFS(Tabla6[Nominal COP],Tabla6[Concepto],COSTO_OPORTUNIDAD!$B$18,Tabla6[Nemotécnico],COSTO_OPORTUNIDAD!E$16,Tabla6[Fecha Cumplimiento y/ liquidacion],COSTO_OPORTUNIDAD!$C185)/+SUMIFS(Tabla6[Nominal COP],Tabla6[Concepto],COSTO_OPORTUNIDAD!$B$18,Tabla6[Fecha Cumplimiento y/ liquidacion],COSTO_OPORTUNIDAD!$C185)</f>
        <v>#DIV/0!</v>
      </c>
      <c r="F185" s="263"/>
      <c r="G185" s="263"/>
      <c r="H185" s="263">
        <v>0.85116279069767442</v>
      </c>
      <c r="I185" s="263"/>
      <c r="J185" s="263">
        <v>0</v>
      </c>
      <c r="K185" s="263">
        <v>0.14883720930232558</v>
      </c>
      <c r="L185" s="263"/>
      <c r="M185" s="263">
        <v>0</v>
      </c>
      <c r="N185" s="263"/>
      <c r="O185" s="263"/>
      <c r="P185" s="263">
        <v>0</v>
      </c>
      <c r="Q185" s="263"/>
      <c r="R185" s="263">
        <v>0</v>
      </c>
      <c r="S185" s="263"/>
      <c r="T185" s="263">
        <v>0</v>
      </c>
      <c r="U185" s="263"/>
      <c r="V185" s="263">
        <v>0</v>
      </c>
      <c r="W185" s="263">
        <v>0</v>
      </c>
      <c r="X185" s="263">
        <v>0</v>
      </c>
      <c r="Y185" s="263"/>
      <c r="Z185" s="263">
        <v>0</v>
      </c>
      <c r="AA185" s="263">
        <v>0</v>
      </c>
      <c r="AB185" s="263">
        <v>0</v>
      </c>
      <c r="AC185" s="263"/>
      <c r="AD185" s="263">
        <v>0</v>
      </c>
      <c r="AE185" s="263"/>
      <c r="AF185" s="263"/>
      <c r="AG185" s="262"/>
      <c r="AH185" s="274">
        <f t="shared" si="130"/>
        <v>849</v>
      </c>
      <c r="AI185" s="274">
        <f t="shared" si="131"/>
        <v>1283</v>
      </c>
      <c r="AJ185" s="274">
        <f t="shared" si="132"/>
        <v>1460</v>
      </c>
      <c r="AK185" s="274">
        <f t="shared" si="127"/>
        <v>1941</v>
      </c>
      <c r="AL185" s="274">
        <f t="shared" si="133"/>
        <v>2333</v>
      </c>
      <c r="AM185" s="274">
        <f t="shared" si="134"/>
        <v>2522</v>
      </c>
      <c r="AN185" s="274">
        <f t="shared" si="135"/>
        <v>2984</v>
      </c>
      <c r="AO185" s="274">
        <f t="shared" si="168"/>
        <v>3208</v>
      </c>
      <c r="AP185" s="274">
        <f t="shared" si="136"/>
        <v>3824</v>
      </c>
      <c r="AQ185" s="274"/>
      <c r="AR185" s="274">
        <f t="shared" si="137"/>
        <v>4454</v>
      </c>
      <c r="AS185" s="274">
        <f t="shared" si="128"/>
        <v>6057</v>
      </c>
      <c r="AT185" s="274">
        <f t="shared" si="138"/>
        <v>6603</v>
      </c>
      <c r="AU185" s="274"/>
      <c r="AV185" s="274">
        <f t="shared" si="139"/>
        <v>9676</v>
      </c>
      <c r="AW185" s="274"/>
      <c r="AX185" s="274">
        <f t="shared" si="140"/>
        <v>373</v>
      </c>
      <c r="AY185" s="274">
        <f t="shared" si="141"/>
        <v>1052</v>
      </c>
      <c r="AZ185" s="274">
        <f t="shared" si="142"/>
        <v>1815</v>
      </c>
      <c r="BA185" s="274"/>
      <c r="BB185" s="274">
        <f t="shared" si="143"/>
        <v>3252</v>
      </c>
      <c r="BC185" s="274">
        <f t="shared" si="144"/>
        <v>3992</v>
      </c>
      <c r="BD185" s="274">
        <f t="shared" si="145"/>
        <v>4685</v>
      </c>
      <c r="BE185" s="274"/>
      <c r="BF185" s="274">
        <f t="shared" si="146"/>
        <v>9179</v>
      </c>
      <c r="BG185" s="274"/>
      <c r="BH185" s="274"/>
      <c r="BI185" s="266">
        <f t="shared" si="147"/>
        <v>0</v>
      </c>
      <c r="BJ185" s="266" t="e">
        <f t="shared" si="148"/>
        <v>#DIV/0!</v>
      </c>
      <c r="BK185" s="263" t="str">
        <f t="shared" si="149"/>
        <v/>
      </c>
      <c r="BL185" s="263" t="str">
        <f t="shared" si="150"/>
        <v/>
      </c>
      <c r="BM185" s="263" t="str">
        <f t="shared" si="151"/>
        <v/>
      </c>
      <c r="BN185" s="263"/>
      <c r="BO185" s="263" t="str">
        <f t="shared" si="152"/>
        <v/>
      </c>
      <c r="BP185" s="263" t="str">
        <f t="shared" si="153"/>
        <v/>
      </c>
      <c r="BQ185" s="263" t="str">
        <f t="shared" si="154"/>
        <v/>
      </c>
      <c r="BR185" s="263" t="str">
        <f t="shared" si="155"/>
        <v/>
      </c>
      <c r="BS185" s="263" t="str">
        <f t="shared" si="156"/>
        <v/>
      </c>
      <c r="BT185" s="263" t="str">
        <f t="shared" si="157"/>
        <v/>
      </c>
      <c r="BU185" s="263" t="str">
        <f t="shared" si="158"/>
        <v/>
      </c>
      <c r="BV185" s="263"/>
      <c r="BW185" s="263" t="str">
        <f t="shared" si="159"/>
        <v/>
      </c>
      <c r="BX185" s="263"/>
      <c r="BY185" s="263" t="str">
        <f t="shared" si="160"/>
        <v/>
      </c>
      <c r="BZ185" s="263"/>
      <c r="CA185" s="263" t="str">
        <f t="shared" si="182"/>
        <v/>
      </c>
      <c r="CB185" s="263" t="str">
        <f t="shared" si="161"/>
        <v/>
      </c>
      <c r="CC185" s="263" t="str">
        <f t="shared" si="183"/>
        <v/>
      </c>
      <c r="CD185" s="263" t="str">
        <f t="shared" si="162"/>
        <v/>
      </c>
      <c r="CE185" s="263" t="str">
        <f t="shared" si="167"/>
        <v/>
      </c>
      <c r="CF185" s="263" t="str">
        <f t="shared" si="184"/>
        <v/>
      </c>
      <c r="CG185" s="263" t="str">
        <f t="shared" si="185"/>
        <v/>
      </c>
      <c r="CH185" s="263"/>
      <c r="CI185" s="263" t="str">
        <f t="shared" si="163"/>
        <v/>
      </c>
      <c r="CJ185" s="263"/>
      <c r="CK185" s="263" t="str">
        <f t="shared" si="164"/>
        <v/>
      </c>
      <c r="CL185" s="264">
        <f t="shared" si="169"/>
        <v>0</v>
      </c>
      <c r="CM185" s="264">
        <f t="shared" si="165"/>
        <v>0</v>
      </c>
      <c r="CO185" s="265">
        <v>9.7899999999999987E-2</v>
      </c>
      <c r="CP185" s="265">
        <v>0.1</v>
      </c>
      <c r="CQ185" s="265">
        <v>0.1</v>
      </c>
      <c r="CS185" s="265">
        <v>0.10150000000000001</v>
      </c>
      <c r="CT185" s="265">
        <v>0.10201</v>
      </c>
      <c r="CU185" s="265">
        <v>0.10362</v>
      </c>
      <c r="CV185" s="265">
        <v>0.10521000000000001</v>
      </c>
      <c r="CW185" s="265">
        <v>0.10539999999999999</v>
      </c>
      <c r="CY185" s="265">
        <v>0.1084</v>
      </c>
      <c r="DA185" s="265">
        <v>0.11129</v>
      </c>
      <c r="DC185" s="265">
        <v>0.11012000000000001</v>
      </c>
      <c r="DE185" s="265">
        <v>4.9790000000000001E-2</v>
      </c>
      <c r="DF185" s="265">
        <v>5.1470000000000002E-2</v>
      </c>
      <c r="DH185" s="265">
        <v>5.2819999999999999E-2</v>
      </c>
      <c r="DI185" s="265">
        <v>5.3949999999999998E-2</v>
      </c>
      <c r="DJ185" s="265">
        <v>5.5540000000000006E-2</v>
      </c>
      <c r="DL185" s="265">
        <v>5.271E-2</v>
      </c>
      <c r="DO185" s="264" t="e">
        <f t="shared" si="170"/>
        <v>#N/A</v>
      </c>
      <c r="DP185" s="264" t="e" cm="1">
        <f t="array" ref="DP185">+INDEX(AH185:AV185,MATCH(DO185,AH185:AV185,1)+1)</f>
        <v>#N/A</v>
      </c>
      <c r="DQ185" s="265" t="e">
        <f t="shared" si="171"/>
        <v>#N/A</v>
      </c>
      <c r="DR185" s="267" t="e">
        <f t="shared" si="172"/>
        <v>#N/A</v>
      </c>
      <c r="DS185" s="267" t="e">
        <f t="shared" si="173"/>
        <v>#N/A</v>
      </c>
      <c r="DT185" s="268" t="e">
        <f t="shared" si="174"/>
        <v>#N/A</v>
      </c>
      <c r="DU185" s="268" t="e" cm="1">
        <f t="array" ref="DU185">+INDEX(AX185:BF185,MATCH(DT185,AX185:BF185,1)+1)</f>
        <v>#N/A</v>
      </c>
      <c r="DV185" s="267" t="e">
        <f t="shared" si="175"/>
        <v>#N/A</v>
      </c>
      <c r="DW185" s="267" t="e">
        <f t="shared" si="176"/>
        <v>#N/A</v>
      </c>
      <c r="DX185" s="267" t="e">
        <f t="shared" si="177"/>
        <v>#N/A</v>
      </c>
      <c r="DY185" s="267">
        <f t="shared" si="186"/>
        <v>7.3599999999999999E-2</v>
      </c>
      <c r="DZ185" s="205" t="e">
        <f t="shared" si="179"/>
        <v>#N/A</v>
      </c>
      <c r="EA185" s="205">
        <f t="shared" si="180"/>
        <v>0</v>
      </c>
    </row>
    <row r="186" spans="2:131">
      <c r="B186" s="272">
        <v>45412</v>
      </c>
      <c r="C186" s="271">
        <v>45412</v>
      </c>
      <c r="D186" s="263" t="e">
        <f>+SUMIFS(Tabla6[Nominal COP],Tabla6[Concepto],COSTO_OPORTUNIDAD!$B$18,Tabla6[Nemotécnico],COSTO_OPORTUNIDAD!D$16,Tabla6[Fecha Cumplimiento y/ liquidacion],COSTO_OPORTUNIDAD!$C186)/+SUMIFS(Tabla6[Nominal COP],Tabla6[Concepto],COSTO_OPORTUNIDAD!$B$18,Tabla6[Fecha Cumplimiento y/ liquidacion],COSTO_OPORTUNIDAD!$C186)</f>
        <v>#DIV/0!</v>
      </c>
      <c r="E186" s="263" t="e">
        <f>+SUMIFS(Tabla6[Nominal COP],Tabla6[Concepto],COSTO_OPORTUNIDAD!$B$18,Tabla6[Nemotécnico],COSTO_OPORTUNIDAD!E$16,Tabla6[Fecha Cumplimiento y/ liquidacion],COSTO_OPORTUNIDAD!$C186)/+SUMIFS(Tabla6[Nominal COP],Tabla6[Concepto],COSTO_OPORTUNIDAD!$B$18,Tabla6[Fecha Cumplimiento y/ liquidacion],COSTO_OPORTUNIDAD!$C186)</f>
        <v>#DIV/0!</v>
      </c>
      <c r="F186" s="263"/>
      <c r="G186" s="263"/>
      <c r="H186" s="263">
        <v>0</v>
      </c>
      <c r="I186" s="263"/>
      <c r="J186" s="263">
        <v>0</v>
      </c>
      <c r="K186" s="263">
        <v>0</v>
      </c>
      <c r="L186" s="263"/>
      <c r="M186" s="263">
        <v>0</v>
      </c>
      <c r="N186" s="263"/>
      <c r="O186" s="263"/>
      <c r="P186" s="263">
        <v>0</v>
      </c>
      <c r="Q186" s="263"/>
      <c r="R186" s="263">
        <v>0</v>
      </c>
      <c r="S186" s="263"/>
      <c r="T186" s="263">
        <v>0</v>
      </c>
      <c r="U186" s="263"/>
      <c r="V186" s="263">
        <v>0</v>
      </c>
      <c r="W186" s="263">
        <v>0</v>
      </c>
      <c r="X186" s="263">
        <v>0.84905660377358494</v>
      </c>
      <c r="Y186" s="263"/>
      <c r="Z186" s="263">
        <v>0</v>
      </c>
      <c r="AA186" s="263">
        <v>0</v>
      </c>
      <c r="AB186" s="263">
        <v>0.15094339622641509</v>
      </c>
      <c r="AC186" s="263"/>
      <c r="AD186" s="263">
        <v>0</v>
      </c>
      <c r="AE186" s="263"/>
      <c r="AF186" s="263"/>
      <c r="AG186" s="262"/>
      <c r="AH186" s="274">
        <f t="shared" si="130"/>
        <v>848</v>
      </c>
      <c r="AI186" s="274">
        <f t="shared" si="131"/>
        <v>1282</v>
      </c>
      <c r="AJ186" s="274">
        <f t="shared" si="132"/>
        <v>1459</v>
      </c>
      <c r="AK186" s="274">
        <f t="shared" si="127"/>
        <v>1940</v>
      </c>
      <c r="AL186" s="274">
        <f t="shared" si="133"/>
        <v>2332</v>
      </c>
      <c r="AM186" s="274">
        <f t="shared" si="134"/>
        <v>2521</v>
      </c>
      <c r="AN186" s="274">
        <f t="shared" si="135"/>
        <v>2983</v>
      </c>
      <c r="AO186" s="274">
        <f t="shared" ref="AO186:AO217" si="187">(M$17-$B186)</f>
        <v>3207</v>
      </c>
      <c r="AP186" s="274">
        <f t="shared" si="136"/>
        <v>3823</v>
      </c>
      <c r="AQ186" s="274"/>
      <c r="AR186" s="274">
        <f t="shared" si="137"/>
        <v>4453</v>
      </c>
      <c r="AS186" s="274">
        <f t="shared" si="128"/>
        <v>6056</v>
      </c>
      <c r="AT186" s="274">
        <f t="shared" si="138"/>
        <v>6602</v>
      </c>
      <c r="AU186" s="274"/>
      <c r="AV186" s="274">
        <f t="shared" si="139"/>
        <v>9675</v>
      </c>
      <c r="AW186" s="274"/>
      <c r="AX186" s="274">
        <f t="shared" si="140"/>
        <v>372</v>
      </c>
      <c r="AY186" s="274">
        <f t="shared" si="141"/>
        <v>1051</v>
      </c>
      <c r="AZ186" s="274">
        <f t="shared" si="142"/>
        <v>1814</v>
      </c>
      <c r="BA186" s="274"/>
      <c r="BB186" s="274">
        <f t="shared" si="143"/>
        <v>3251</v>
      </c>
      <c r="BC186" s="274">
        <f t="shared" si="144"/>
        <v>3991</v>
      </c>
      <c r="BD186" s="274">
        <f t="shared" si="145"/>
        <v>4684</v>
      </c>
      <c r="BE186" s="274"/>
      <c r="BF186" s="274">
        <f t="shared" si="146"/>
        <v>9178</v>
      </c>
      <c r="BG186" s="274"/>
      <c r="BH186" s="274"/>
      <c r="BI186" s="266">
        <f t="shared" si="147"/>
        <v>1</v>
      </c>
      <c r="BJ186" s="266" t="e">
        <f t="shared" si="148"/>
        <v>#DIV/0!</v>
      </c>
      <c r="BK186" s="263" t="str">
        <f t="shared" si="149"/>
        <v/>
      </c>
      <c r="BL186" s="263" t="str">
        <f t="shared" si="150"/>
        <v/>
      </c>
      <c r="BM186" s="263" t="str">
        <f t="shared" si="151"/>
        <v/>
      </c>
      <c r="BN186" s="263"/>
      <c r="BO186" s="263" t="str">
        <f t="shared" si="152"/>
        <v/>
      </c>
      <c r="BP186" s="263" t="str">
        <f t="shared" si="153"/>
        <v/>
      </c>
      <c r="BQ186" s="263" t="str">
        <f t="shared" si="154"/>
        <v/>
      </c>
      <c r="BR186" s="263" t="str">
        <f t="shared" si="155"/>
        <v/>
      </c>
      <c r="BS186" s="263" t="str">
        <f t="shared" si="156"/>
        <v/>
      </c>
      <c r="BT186" s="263" t="str">
        <f t="shared" si="157"/>
        <v/>
      </c>
      <c r="BU186" s="263" t="str">
        <f t="shared" si="158"/>
        <v/>
      </c>
      <c r="BV186" s="263"/>
      <c r="BW186" s="263" t="str">
        <f t="shared" si="159"/>
        <v/>
      </c>
      <c r="BX186" s="263"/>
      <c r="BY186" s="263" t="str">
        <f t="shared" si="160"/>
        <v/>
      </c>
      <c r="BZ186" s="263"/>
      <c r="CA186" s="263">
        <f t="shared" si="182"/>
        <v>0</v>
      </c>
      <c r="CB186" s="263">
        <f t="shared" si="161"/>
        <v>0</v>
      </c>
      <c r="CC186" s="263">
        <f t="shared" si="183"/>
        <v>0.84905660377358494</v>
      </c>
      <c r="CD186" s="263">
        <f t="shared" si="162"/>
        <v>0</v>
      </c>
      <c r="CE186" s="263">
        <f t="shared" si="167"/>
        <v>0</v>
      </c>
      <c r="CF186" s="263">
        <f t="shared" si="184"/>
        <v>0</v>
      </c>
      <c r="CG186" s="263">
        <f t="shared" si="185"/>
        <v>0.15094339622641509</v>
      </c>
      <c r="CH186" s="263"/>
      <c r="CI186" s="263">
        <f t="shared" si="163"/>
        <v>0</v>
      </c>
      <c r="CJ186" s="263"/>
      <c r="CK186" s="263">
        <f t="shared" si="164"/>
        <v>0</v>
      </c>
      <c r="CL186" s="264">
        <f t="shared" ref="CL186:CL211" si="188">ROUND(IFERROR((_xlfn.DAYS($F$17,B186)*BK186),0)+IFERROR((_xlfn.DAYS($G$17,B186)*BL186),0)+IFERROR((_xlfn.DAYS($H$17,B186)*BM186),0)+IFERROR((_xlfn.DAYS($J$17,B186)*BO186),0)+IFERROR((_xlfn.DAYS($K$17,B186)*BP186),0)+IFERROR((_xlfn.DAYS($L$17,B186)*BQ186),0)+IFERROR((_xlfn.DAYS($M$17,B186)*BR186),0)+IFERROR((_xlfn.DAYS($N$17,B186)*BS186),0)+IFERROR((_xlfn.DAYS($P$17,B186)*BU186),0)+IFERROR((_xlfn.DAYS($R$17,B186)*BW186),0)+IFERROR((_xlfn.DAYS($T$17,B186)*BY186),0),0)</f>
        <v>0</v>
      </c>
      <c r="CM186" s="264">
        <f t="shared" si="165"/>
        <v>1599</v>
      </c>
      <c r="CO186" s="265">
        <v>9.7799999999999998E-2</v>
      </c>
      <c r="CP186" s="265">
        <v>9.9990000000000009E-2</v>
      </c>
      <c r="CQ186" s="265">
        <v>0.10019</v>
      </c>
      <c r="CS186" s="265">
        <v>0.1014</v>
      </c>
      <c r="CT186" s="265">
        <v>0.10201</v>
      </c>
      <c r="CU186" s="265">
        <v>0.10460000000000001</v>
      </c>
      <c r="CV186" s="265">
        <v>0.10586999999999999</v>
      </c>
      <c r="CW186" s="265">
        <v>0.10589</v>
      </c>
      <c r="CY186" s="265">
        <v>0.10888</v>
      </c>
      <c r="DA186" s="265">
        <v>0.11182</v>
      </c>
      <c r="DC186" s="265">
        <v>0.1105</v>
      </c>
      <c r="DE186" s="265">
        <v>5.0499999999999996E-2</v>
      </c>
      <c r="DF186" s="265">
        <v>5.2549999999999999E-2</v>
      </c>
      <c r="DH186" s="265">
        <v>5.2999999999999999E-2</v>
      </c>
      <c r="DI186" s="265">
        <v>5.4339999999999999E-2</v>
      </c>
      <c r="DJ186" s="265">
        <v>5.6509999999999998E-2</v>
      </c>
      <c r="DL186" s="265">
        <v>5.3499999999999999E-2</v>
      </c>
      <c r="DO186" s="264" t="e">
        <f t="shared" si="170"/>
        <v>#N/A</v>
      </c>
      <c r="DP186" s="264" t="e" cm="1">
        <f t="array" ref="DP186">+INDEX(AH186:AV186,MATCH(DO186,AH186:AV186,1)+1)</f>
        <v>#N/A</v>
      </c>
      <c r="DQ186" s="265" t="e">
        <f t="shared" si="171"/>
        <v>#N/A</v>
      </c>
      <c r="DR186" s="267" t="e">
        <f t="shared" si="172"/>
        <v>#N/A</v>
      </c>
      <c r="DS186" s="267" t="e">
        <f t="shared" si="173"/>
        <v>#N/A</v>
      </c>
      <c r="DT186" s="268">
        <f t="shared" si="174"/>
        <v>1051</v>
      </c>
      <c r="DU186" s="268" cm="1">
        <f t="array" ref="DU186">+INDEX(AX186:BF186,MATCH(DT186,AX186:BF186,1)+1)</f>
        <v>1814</v>
      </c>
      <c r="DV186" s="267">
        <f t="shared" si="175"/>
        <v>5.2549999999999999E-2</v>
      </c>
      <c r="DW186" s="267">
        <f t="shared" si="176"/>
        <v>0</v>
      </c>
      <c r="DX186" s="267">
        <f t="shared" si="177"/>
        <v>1.481E-2</v>
      </c>
      <c r="DY186" s="267">
        <f t="shared" si="186"/>
        <v>7.3599999999999999E-2</v>
      </c>
      <c r="DZ186" s="205">
        <f t="shared" si="179"/>
        <v>8.9500015999999905E-2</v>
      </c>
      <c r="EA186" s="205">
        <f t="shared" si="180"/>
        <v>8.9500015999999905E-2</v>
      </c>
    </row>
    <row r="187" spans="2:131">
      <c r="B187" s="272">
        <v>45414</v>
      </c>
      <c r="C187" s="271">
        <v>45414</v>
      </c>
      <c r="D187" s="263" t="e">
        <f>+SUMIFS(Tabla6[Nominal COP],Tabla6[Concepto],COSTO_OPORTUNIDAD!$B$18,Tabla6[Nemotécnico],COSTO_OPORTUNIDAD!D$16,Tabla6[Fecha Cumplimiento y/ liquidacion],COSTO_OPORTUNIDAD!$C187)/+SUMIFS(Tabla6[Nominal COP],Tabla6[Concepto],COSTO_OPORTUNIDAD!$B$18,Tabla6[Fecha Cumplimiento y/ liquidacion],COSTO_OPORTUNIDAD!$C187)</f>
        <v>#DIV/0!</v>
      </c>
      <c r="E187" s="263" t="e">
        <f>+SUMIFS(Tabla6[Nominal COP],Tabla6[Concepto],COSTO_OPORTUNIDAD!$B$18,Tabla6[Nemotécnico],COSTO_OPORTUNIDAD!E$16,Tabla6[Fecha Cumplimiento y/ liquidacion],COSTO_OPORTUNIDAD!$C187)/+SUMIFS(Tabla6[Nominal COP],Tabla6[Concepto],COSTO_OPORTUNIDAD!$B$18,Tabla6[Fecha Cumplimiento y/ liquidacion],COSTO_OPORTUNIDAD!$C187)</f>
        <v>#DIV/0!</v>
      </c>
      <c r="F187" s="263"/>
      <c r="G187" s="263"/>
      <c r="H187" s="263">
        <v>0</v>
      </c>
      <c r="I187" s="263"/>
      <c r="J187" s="263">
        <v>0</v>
      </c>
      <c r="K187" s="263">
        <v>0</v>
      </c>
      <c r="L187" s="263"/>
      <c r="M187" s="263">
        <v>0</v>
      </c>
      <c r="N187" s="263"/>
      <c r="O187" s="263"/>
      <c r="P187" s="263">
        <v>0</v>
      </c>
      <c r="Q187" s="263"/>
      <c r="R187" s="263">
        <v>0</v>
      </c>
      <c r="S187" s="263"/>
      <c r="T187" s="263">
        <v>0</v>
      </c>
      <c r="U187" s="263"/>
      <c r="V187" s="263">
        <v>0</v>
      </c>
      <c r="W187" s="263">
        <v>0</v>
      </c>
      <c r="X187" s="263">
        <v>1</v>
      </c>
      <c r="Y187" s="263"/>
      <c r="Z187" s="263">
        <v>0</v>
      </c>
      <c r="AA187" s="263">
        <v>0</v>
      </c>
      <c r="AB187" s="263">
        <v>0</v>
      </c>
      <c r="AC187" s="263"/>
      <c r="AD187" s="263">
        <v>0</v>
      </c>
      <c r="AE187" s="263"/>
      <c r="AF187" s="263"/>
      <c r="AG187" s="262"/>
      <c r="AH187" s="274">
        <f t="shared" si="130"/>
        <v>846</v>
      </c>
      <c r="AI187" s="274">
        <f t="shared" si="131"/>
        <v>1280</v>
      </c>
      <c r="AJ187" s="274">
        <f t="shared" si="132"/>
        <v>1457</v>
      </c>
      <c r="AK187" s="274">
        <f t="shared" si="127"/>
        <v>1938</v>
      </c>
      <c r="AL187" s="274">
        <f t="shared" si="133"/>
        <v>2330</v>
      </c>
      <c r="AM187" s="274">
        <f t="shared" si="134"/>
        <v>2519</v>
      </c>
      <c r="AN187" s="274">
        <f t="shared" si="135"/>
        <v>2981</v>
      </c>
      <c r="AO187" s="274">
        <f t="shared" si="187"/>
        <v>3205</v>
      </c>
      <c r="AP187" s="274">
        <f t="shared" si="136"/>
        <v>3821</v>
      </c>
      <c r="AQ187" s="274"/>
      <c r="AR187" s="274">
        <f t="shared" si="137"/>
        <v>4451</v>
      </c>
      <c r="AS187" s="274">
        <f t="shared" si="128"/>
        <v>6054</v>
      </c>
      <c r="AT187" s="274">
        <f t="shared" si="138"/>
        <v>6600</v>
      </c>
      <c r="AU187" s="274"/>
      <c r="AV187" s="274">
        <f t="shared" si="139"/>
        <v>9673</v>
      </c>
      <c r="AW187" s="274"/>
      <c r="AX187" s="274">
        <f t="shared" si="140"/>
        <v>370</v>
      </c>
      <c r="AY187" s="274">
        <f t="shared" si="141"/>
        <v>1049</v>
      </c>
      <c r="AZ187" s="274">
        <f t="shared" si="142"/>
        <v>1812</v>
      </c>
      <c r="BA187" s="274"/>
      <c r="BB187" s="274">
        <f t="shared" si="143"/>
        <v>3249</v>
      </c>
      <c r="BC187" s="274">
        <f t="shared" si="144"/>
        <v>3989</v>
      </c>
      <c r="BD187" s="274">
        <f t="shared" si="145"/>
        <v>4682</v>
      </c>
      <c r="BE187" s="274"/>
      <c r="BF187" s="274">
        <f t="shared" si="146"/>
        <v>9176</v>
      </c>
      <c r="BG187" s="274"/>
      <c r="BH187" s="274"/>
      <c r="BI187" s="266">
        <f t="shared" si="147"/>
        <v>1</v>
      </c>
      <c r="BJ187" s="266" t="e">
        <f t="shared" si="148"/>
        <v>#DIV/0!</v>
      </c>
      <c r="BK187" s="263" t="str">
        <f t="shared" si="149"/>
        <v/>
      </c>
      <c r="BL187" s="263" t="str">
        <f t="shared" si="150"/>
        <v/>
      </c>
      <c r="BM187" s="263" t="str">
        <f t="shared" si="151"/>
        <v/>
      </c>
      <c r="BN187" s="263"/>
      <c r="BO187" s="263" t="str">
        <f t="shared" si="152"/>
        <v/>
      </c>
      <c r="BP187" s="263" t="str">
        <f t="shared" si="153"/>
        <v/>
      </c>
      <c r="BQ187" s="263" t="str">
        <f t="shared" si="154"/>
        <v/>
      </c>
      <c r="BR187" s="263" t="str">
        <f t="shared" si="155"/>
        <v/>
      </c>
      <c r="BS187" s="263" t="str">
        <f t="shared" si="156"/>
        <v/>
      </c>
      <c r="BT187" s="263" t="str">
        <f t="shared" si="157"/>
        <v/>
      </c>
      <c r="BU187" s="263" t="str">
        <f t="shared" si="158"/>
        <v/>
      </c>
      <c r="BV187" s="263"/>
      <c r="BW187" s="263" t="str">
        <f t="shared" si="159"/>
        <v/>
      </c>
      <c r="BX187" s="263"/>
      <c r="BY187" s="263" t="str">
        <f t="shared" si="160"/>
        <v/>
      </c>
      <c r="BZ187" s="263"/>
      <c r="CA187" s="263">
        <f t="shared" si="182"/>
        <v>0</v>
      </c>
      <c r="CB187" s="263">
        <f t="shared" si="161"/>
        <v>0</v>
      </c>
      <c r="CC187" s="263">
        <f t="shared" si="183"/>
        <v>1</v>
      </c>
      <c r="CD187" s="263">
        <f t="shared" si="162"/>
        <v>0</v>
      </c>
      <c r="CE187" s="263">
        <f t="shared" si="167"/>
        <v>0</v>
      </c>
      <c r="CF187" s="263">
        <f t="shared" si="184"/>
        <v>0</v>
      </c>
      <c r="CG187" s="263">
        <f t="shared" si="185"/>
        <v>0</v>
      </c>
      <c r="CH187" s="263"/>
      <c r="CI187" s="263">
        <f t="shared" si="163"/>
        <v>0</v>
      </c>
      <c r="CJ187" s="263"/>
      <c r="CK187" s="263">
        <f t="shared" si="164"/>
        <v>0</v>
      </c>
      <c r="CL187" s="264">
        <f t="shared" si="188"/>
        <v>0</v>
      </c>
      <c r="CM187" s="264">
        <f t="shared" si="165"/>
        <v>1049</v>
      </c>
      <c r="CO187" s="265">
        <v>9.8800000000000013E-2</v>
      </c>
      <c r="CP187" s="265">
        <v>0.10050000000000001</v>
      </c>
      <c r="CQ187" s="265">
        <v>0.10066000000000001</v>
      </c>
      <c r="CS187" s="265">
        <v>0.1018</v>
      </c>
      <c r="CT187" s="265">
        <v>0.10208</v>
      </c>
      <c r="CU187" s="265">
        <v>0.10439999999999999</v>
      </c>
      <c r="CV187" s="265">
        <v>0.10564999999999999</v>
      </c>
      <c r="CW187" s="265">
        <v>0.10618999999999999</v>
      </c>
      <c r="CY187" s="265">
        <v>0.10890000000000001</v>
      </c>
      <c r="DA187" s="265">
        <v>0.11169999999999999</v>
      </c>
      <c r="DC187" s="265">
        <v>0.111</v>
      </c>
      <c r="DE187" s="265">
        <v>5.1249999999999997E-2</v>
      </c>
      <c r="DF187" s="265">
        <v>5.2600000000000001E-2</v>
      </c>
      <c r="DH187" s="265">
        <v>5.2999999999999999E-2</v>
      </c>
      <c r="DI187" s="265">
        <v>5.3010000000000002E-2</v>
      </c>
      <c r="DJ187" s="265">
        <v>5.6799999999999996E-2</v>
      </c>
      <c r="DL187" s="265">
        <v>5.3699999999999998E-2</v>
      </c>
      <c r="DO187" s="264" t="e">
        <f t="shared" si="170"/>
        <v>#N/A</v>
      </c>
      <c r="DP187" s="264" t="e" cm="1">
        <f t="array" ref="DP187">+INDEX(AH187:AV187,MATCH(DO187,AH187:AV187,1)+1)</f>
        <v>#N/A</v>
      </c>
      <c r="DQ187" s="265" t="e">
        <f t="shared" si="171"/>
        <v>#N/A</v>
      </c>
      <c r="DR187" s="267" t="e">
        <f t="shared" si="172"/>
        <v>#N/A</v>
      </c>
      <c r="DS187" s="267" t="e">
        <f t="shared" si="173"/>
        <v>#N/A</v>
      </c>
      <c r="DT187" s="268">
        <f t="shared" si="174"/>
        <v>1049</v>
      </c>
      <c r="DU187" s="268" cm="1">
        <f t="array" ref="DU187">+INDEX(AX187:BF187,MATCH(DT187,AX187:BF187,1)+1)</f>
        <v>1812</v>
      </c>
      <c r="DV187" s="267">
        <f t="shared" si="175"/>
        <v>5.2600000000000001E-2</v>
      </c>
      <c r="DW187" s="267">
        <f t="shared" si="176"/>
        <v>0</v>
      </c>
      <c r="DX187" s="267">
        <f t="shared" si="177"/>
        <v>5.2600000000000001E-2</v>
      </c>
      <c r="DY187" s="267">
        <f t="shared" si="186"/>
        <v>7.3599999999999999E-2</v>
      </c>
      <c r="DZ187" s="205">
        <f t="shared" si="179"/>
        <v>0.13007135999999986</v>
      </c>
      <c r="EA187" s="205">
        <f t="shared" si="180"/>
        <v>0.13007135999999986</v>
      </c>
    </row>
    <row r="188" spans="2:131">
      <c r="B188" s="272">
        <v>45415</v>
      </c>
      <c r="C188" s="271">
        <v>45415</v>
      </c>
      <c r="D188" s="263" t="e">
        <f>+SUMIFS(Tabla6[Nominal COP],Tabla6[Concepto],COSTO_OPORTUNIDAD!$B$18,Tabla6[Nemotécnico],COSTO_OPORTUNIDAD!D$16,Tabla6[Fecha Cumplimiento y/ liquidacion],COSTO_OPORTUNIDAD!$C188)/+SUMIFS(Tabla6[Nominal COP],Tabla6[Concepto],COSTO_OPORTUNIDAD!$B$18,Tabla6[Fecha Cumplimiento y/ liquidacion],COSTO_OPORTUNIDAD!$C188)</f>
        <v>#DIV/0!</v>
      </c>
      <c r="E188" s="263" t="e">
        <f>+SUMIFS(Tabla6[Nominal COP],Tabla6[Concepto],COSTO_OPORTUNIDAD!$B$18,Tabla6[Nemotécnico],COSTO_OPORTUNIDAD!E$16,Tabla6[Fecha Cumplimiento y/ liquidacion],COSTO_OPORTUNIDAD!$C188)/+SUMIFS(Tabla6[Nominal COP],Tabla6[Concepto],COSTO_OPORTUNIDAD!$B$18,Tabla6[Fecha Cumplimiento y/ liquidacion],COSTO_OPORTUNIDAD!$C188)</f>
        <v>#DIV/0!</v>
      </c>
      <c r="F188" s="263"/>
      <c r="G188" s="263"/>
      <c r="H188" s="263">
        <v>0</v>
      </c>
      <c r="I188" s="263"/>
      <c r="J188" s="263">
        <v>0</v>
      </c>
      <c r="K188" s="263">
        <v>0</v>
      </c>
      <c r="L188" s="263"/>
      <c r="M188" s="263">
        <v>0</v>
      </c>
      <c r="N188" s="263"/>
      <c r="O188" s="263"/>
      <c r="P188" s="263">
        <v>0</v>
      </c>
      <c r="Q188" s="263"/>
      <c r="R188" s="263">
        <v>0</v>
      </c>
      <c r="S188" s="263"/>
      <c r="T188" s="263">
        <v>0</v>
      </c>
      <c r="U188" s="263"/>
      <c r="V188" s="263">
        <v>0</v>
      </c>
      <c r="W188" s="263">
        <v>0</v>
      </c>
      <c r="X188" s="263">
        <v>1</v>
      </c>
      <c r="Y188" s="263"/>
      <c r="Z188" s="263">
        <v>0</v>
      </c>
      <c r="AA188" s="263">
        <v>0</v>
      </c>
      <c r="AB188" s="263">
        <v>0</v>
      </c>
      <c r="AC188" s="263"/>
      <c r="AD188" s="263">
        <v>0</v>
      </c>
      <c r="AE188" s="263"/>
      <c r="AF188" s="263"/>
      <c r="AG188" s="262"/>
      <c r="AH188" s="274">
        <f t="shared" si="130"/>
        <v>845</v>
      </c>
      <c r="AI188" s="274">
        <f t="shared" si="131"/>
        <v>1279</v>
      </c>
      <c r="AJ188" s="274">
        <f t="shared" si="132"/>
        <v>1456</v>
      </c>
      <c r="AK188" s="274">
        <f t="shared" si="127"/>
        <v>1937</v>
      </c>
      <c r="AL188" s="274">
        <f t="shared" si="133"/>
        <v>2329</v>
      </c>
      <c r="AM188" s="274">
        <f t="shared" si="134"/>
        <v>2518</v>
      </c>
      <c r="AN188" s="274">
        <f t="shared" si="135"/>
        <v>2980</v>
      </c>
      <c r="AO188" s="274">
        <f t="shared" si="187"/>
        <v>3204</v>
      </c>
      <c r="AP188" s="274">
        <f t="shared" si="136"/>
        <v>3820</v>
      </c>
      <c r="AQ188" s="274"/>
      <c r="AR188" s="274">
        <f t="shared" si="137"/>
        <v>4450</v>
      </c>
      <c r="AS188" s="274">
        <f t="shared" si="128"/>
        <v>6053</v>
      </c>
      <c r="AT188" s="274">
        <f t="shared" si="138"/>
        <v>6599</v>
      </c>
      <c r="AU188" s="274"/>
      <c r="AV188" s="274">
        <f t="shared" si="139"/>
        <v>9672</v>
      </c>
      <c r="AW188" s="274"/>
      <c r="AX188" s="274">
        <f t="shared" si="140"/>
        <v>369</v>
      </c>
      <c r="AY188" s="274">
        <f t="shared" si="141"/>
        <v>1048</v>
      </c>
      <c r="AZ188" s="274">
        <f t="shared" si="142"/>
        <v>1811</v>
      </c>
      <c r="BA188" s="274"/>
      <c r="BB188" s="274">
        <f t="shared" si="143"/>
        <v>3248</v>
      </c>
      <c r="BC188" s="274">
        <f t="shared" si="144"/>
        <v>3988</v>
      </c>
      <c r="BD188" s="274">
        <f t="shared" si="145"/>
        <v>4681</v>
      </c>
      <c r="BE188" s="274"/>
      <c r="BF188" s="274">
        <f t="shared" si="146"/>
        <v>9175</v>
      </c>
      <c r="BG188" s="274"/>
      <c r="BH188" s="274"/>
      <c r="BI188" s="266">
        <f t="shared" si="147"/>
        <v>1</v>
      </c>
      <c r="BJ188" s="266" t="e">
        <f t="shared" si="148"/>
        <v>#DIV/0!</v>
      </c>
      <c r="BK188" s="263" t="str">
        <f t="shared" si="149"/>
        <v/>
      </c>
      <c r="BL188" s="263" t="str">
        <f t="shared" si="150"/>
        <v/>
      </c>
      <c r="BM188" s="263" t="str">
        <f t="shared" si="151"/>
        <v/>
      </c>
      <c r="BN188" s="263"/>
      <c r="BO188" s="263" t="str">
        <f t="shared" si="152"/>
        <v/>
      </c>
      <c r="BP188" s="263" t="str">
        <f t="shared" si="153"/>
        <v/>
      </c>
      <c r="BQ188" s="263" t="str">
        <f t="shared" si="154"/>
        <v/>
      </c>
      <c r="BR188" s="263" t="str">
        <f t="shared" si="155"/>
        <v/>
      </c>
      <c r="BS188" s="263" t="str">
        <f t="shared" si="156"/>
        <v/>
      </c>
      <c r="BT188" s="263" t="str">
        <f t="shared" si="157"/>
        <v/>
      </c>
      <c r="BU188" s="263" t="str">
        <f t="shared" si="158"/>
        <v/>
      </c>
      <c r="BV188" s="263"/>
      <c r="BW188" s="263" t="str">
        <f t="shared" si="159"/>
        <v/>
      </c>
      <c r="BX188" s="263"/>
      <c r="BY188" s="263" t="str">
        <f t="shared" si="160"/>
        <v/>
      </c>
      <c r="BZ188" s="263"/>
      <c r="CA188" s="263">
        <f t="shared" si="182"/>
        <v>0</v>
      </c>
      <c r="CB188" s="263">
        <f t="shared" si="161"/>
        <v>0</v>
      </c>
      <c r="CC188" s="263">
        <f t="shared" si="183"/>
        <v>1</v>
      </c>
      <c r="CD188" s="263">
        <f t="shared" si="162"/>
        <v>0</v>
      </c>
      <c r="CE188" s="263">
        <f t="shared" si="167"/>
        <v>0</v>
      </c>
      <c r="CF188" s="263">
        <f t="shared" si="184"/>
        <v>0</v>
      </c>
      <c r="CG188" s="263">
        <f t="shared" si="185"/>
        <v>0</v>
      </c>
      <c r="CH188" s="263"/>
      <c r="CI188" s="263">
        <f t="shared" si="163"/>
        <v>0</v>
      </c>
      <c r="CJ188" s="263"/>
      <c r="CK188" s="263">
        <f t="shared" si="164"/>
        <v>0</v>
      </c>
      <c r="CL188" s="264">
        <f t="shared" si="188"/>
        <v>0</v>
      </c>
      <c r="CM188" s="264">
        <f t="shared" si="165"/>
        <v>1048</v>
      </c>
      <c r="CO188" s="265">
        <v>9.7949999999999995E-2</v>
      </c>
      <c r="CP188" s="265">
        <v>9.9890000000000007E-2</v>
      </c>
      <c r="CQ188" s="265">
        <v>0.1</v>
      </c>
      <c r="CS188" s="265">
        <v>0.10154999999999999</v>
      </c>
      <c r="CT188" s="265">
        <v>0.10208</v>
      </c>
      <c r="CU188" s="265">
        <v>0.1041</v>
      </c>
      <c r="CV188" s="265">
        <v>0.1052</v>
      </c>
      <c r="CW188" s="265">
        <v>0.10586999999999999</v>
      </c>
      <c r="CY188" s="265">
        <v>0.10836</v>
      </c>
      <c r="DA188" s="265">
        <v>0.1115</v>
      </c>
      <c r="DC188" s="265">
        <v>0.1105</v>
      </c>
      <c r="DE188" s="265">
        <v>5.0610000000000002E-2</v>
      </c>
      <c r="DF188" s="265">
        <v>5.2489999999999995E-2</v>
      </c>
      <c r="DH188" s="265">
        <v>5.3499999999999999E-2</v>
      </c>
      <c r="DI188" s="265">
        <v>5.3010000000000002E-2</v>
      </c>
      <c r="DJ188" s="265">
        <v>5.6399999999999999E-2</v>
      </c>
      <c r="DL188" s="265">
        <v>5.3550000000000007E-2</v>
      </c>
      <c r="DO188" s="264" t="e">
        <f t="shared" si="170"/>
        <v>#N/A</v>
      </c>
      <c r="DP188" s="264" t="e" cm="1">
        <f t="array" ref="DP188">+INDEX(AH188:AV188,MATCH(DO188,AH188:AV188,1)+1)</f>
        <v>#N/A</v>
      </c>
      <c r="DQ188" s="265" t="e">
        <f t="shared" si="171"/>
        <v>#N/A</v>
      </c>
      <c r="DR188" s="267" t="e">
        <f t="shared" si="172"/>
        <v>#N/A</v>
      </c>
      <c r="DS188" s="267" t="e">
        <f t="shared" si="173"/>
        <v>#N/A</v>
      </c>
      <c r="DT188" s="268">
        <f t="shared" si="174"/>
        <v>1048</v>
      </c>
      <c r="DU188" s="268" cm="1">
        <f t="array" ref="DU188">+INDEX(AX188:BF188,MATCH(DT188,AX188:BF188,1)+1)</f>
        <v>1811</v>
      </c>
      <c r="DV188" s="267">
        <f t="shared" si="175"/>
        <v>5.2489999999999995E-2</v>
      </c>
      <c r="DW188" s="267">
        <f t="shared" si="176"/>
        <v>0</v>
      </c>
      <c r="DX188" s="267">
        <f t="shared" si="177"/>
        <v>5.2490000000000002E-2</v>
      </c>
      <c r="DY188" s="267">
        <f t="shared" si="186"/>
        <v>7.3599999999999999E-2</v>
      </c>
      <c r="DZ188" s="205">
        <f t="shared" si="179"/>
        <v>0.12995326399999985</v>
      </c>
      <c r="EA188" s="205">
        <f t="shared" si="180"/>
        <v>0.12995326399999985</v>
      </c>
    </row>
    <row r="189" spans="2:131">
      <c r="B189" s="272">
        <v>45418</v>
      </c>
      <c r="C189" s="271">
        <v>45418</v>
      </c>
      <c r="D189" s="263" t="e">
        <f>+SUMIFS(Tabla6[Nominal COP],Tabla6[Concepto],COSTO_OPORTUNIDAD!$B$18,Tabla6[Nemotécnico],COSTO_OPORTUNIDAD!D$16,Tabla6[Fecha Cumplimiento y/ liquidacion],COSTO_OPORTUNIDAD!$C189)/+SUMIFS(Tabla6[Nominal COP],Tabla6[Concepto],COSTO_OPORTUNIDAD!$B$18,Tabla6[Fecha Cumplimiento y/ liquidacion],COSTO_OPORTUNIDAD!$C189)</f>
        <v>#DIV/0!</v>
      </c>
      <c r="E189" s="263" t="e">
        <f>+SUMIFS(Tabla6[Nominal COP],Tabla6[Concepto],COSTO_OPORTUNIDAD!$B$18,Tabla6[Nemotécnico],COSTO_OPORTUNIDAD!E$16,Tabla6[Fecha Cumplimiento y/ liquidacion],COSTO_OPORTUNIDAD!$C189)/+SUMIFS(Tabla6[Nominal COP],Tabla6[Concepto],COSTO_OPORTUNIDAD!$B$18,Tabla6[Fecha Cumplimiento y/ liquidacion],COSTO_OPORTUNIDAD!$C189)</f>
        <v>#DIV/0!</v>
      </c>
      <c r="F189" s="263"/>
      <c r="G189" s="263"/>
      <c r="H189" s="263">
        <v>0</v>
      </c>
      <c r="I189" s="263"/>
      <c r="J189" s="263">
        <v>0</v>
      </c>
      <c r="K189" s="263">
        <v>0</v>
      </c>
      <c r="L189" s="263"/>
      <c r="M189" s="263">
        <v>0</v>
      </c>
      <c r="N189" s="263"/>
      <c r="O189" s="263"/>
      <c r="P189" s="263">
        <v>0</v>
      </c>
      <c r="Q189" s="263"/>
      <c r="R189" s="263">
        <v>0.99926882768705827</v>
      </c>
      <c r="S189" s="263"/>
      <c r="T189" s="263">
        <v>0</v>
      </c>
      <c r="U189" s="263"/>
      <c r="V189" s="263">
        <v>0</v>
      </c>
      <c r="W189" s="263">
        <v>0</v>
      </c>
      <c r="X189" s="263">
        <v>7.3117231294174997E-4</v>
      </c>
      <c r="Y189" s="263"/>
      <c r="Z189" s="263">
        <v>0</v>
      </c>
      <c r="AA189" s="263">
        <v>0</v>
      </c>
      <c r="AB189" s="263">
        <v>0</v>
      </c>
      <c r="AC189" s="263"/>
      <c r="AD189" s="263">
        <v>0</v>
      </c>
      <c r="AE189" s="263"/>
      <c r="AF189" s="263"/>
      <c r="AG189" s="262"/>
      <c r="AH189" s="274">
        <f t="shared" si="130"/>
        <v>842</v>
      </c>
      <c r="AI189" s="274">
        <f t="shared" si="131"/>
        <v>1276</v>
      </c>
      <c r="AJ189" s="274">
        <f t="shared" si="132"/>
        <v>1453</v>
      </c>
      <c r="AK189" s="274">
        <f t="shared" si="127"/>
        <v>1934</v>
      </c>
      <c r="AL189" s="274">
        <f t="shared" si="133"/>
        <v>2326</v>
      </c>
      <c r="AM189" s="274">
        <f t="shared" si="134"/>
        <v>2515</v>
      </c>
      <c r="AN189" s="274">
        <f t="shared" si="135"/>
        <v>2977</v>
      </c>
      <c r="AO189" s="274">
        <f t="shared" si="187"/>
        <v>3201</v>
      </c>
      <c r="AP189" s="274">
        <f t="shared" si="136"/>
        <v>3817</v>
      </c>
      <c r="AQ189" s="274"/>
      <c r="AR189" s="274">
        <f t="shared" si="137"/>
        <v>4447</v>
      </c>
      <c r="AS189" s="274">
        <f t="shared" si="128"/>
        <v>6050</v>
      </c>
      <c r="AT189" s="274">
        <f t="shared" si="138"/>
        <v>6596</v>
      </c>
      <c r="AU189" s="274">
        <f t="shared" ref="AU189:AU220" si="189">(S$17-$B189)</f>
        <v>8115</v>
      </c>
      <c r="AV189" s="274">
        <f t="shared" si="139"/>
        <v>9669</v>
      </c>
      <c r="AW189" s="274"/>
      <c r="AX189" s="274">
        <f t="shared" si="140"/>
        <v>366</v>
      </c>
      <c r="AY189" s="274">
        <f t="shared" si="141"/>
        <v>1045</v>
      </c>
      <c r="AZ189" s="274">
        <f t="shared" si="142"/>
        <v>1808</v>
      </c>
      <c r="BA189" s="274"/>
      <c r="BB189" s="274">
        <f t="shared" si="143"/>
        <v>3245</v>
      </c>
      <c r="BC189" s="274">
        <f t="shared" si="144"/>
        <v>3985</v>
      </c>
      <c r="BD189" s="274">
        <f t="shared" si="145"/>
        <v>4678</v>
      </c>
      <c r="BE189" s="274"/>
      <c r="BF189" s="274">
        <f t="shared" si="146"/>
        <v>9172</v>
      </c>
      <c r="BG189" s="274"/>
      <c r="BH189" s="274"/>
      <c r="BI189" s="266">
        <f t="shared" si="147"/>
        <v>7.3117231294174997E-4</v>
      </c>
      <c r="BJ189" s="266" t="e">
        <f t="shared" si="148"/>
        <v>#DIV/0!</v>
      </c>
      <c r="BK189" s="263" t="str">
        <f t="shared" si="149"/>
        <v/>
      </c>
      <c r="BL189" s="263" t="str">
        <f t="shared" si="150"/>
        <v/>
      </c>
      <c r="BM189" s="263" t="str">
        <f t="shared" si="151"/>
        <v/>
      </c>
      <c r="BN189" s="263"/>
      <c r="BO189" s="263" t="str">
        <f t="shared" si="152"/>
        <v/>
      </c>
      <c r="BP189" s="263" t="str">
        <f t="shared" si="153"/>
        <v/>
      </c>
      <c r="BQ189" s="263" t="str">
        <f t="shared" si="154"/>
        <v/>
      </c>
      <c r="BR189" s="263" t="str">
        <f t="shared" si="155"/>
        <v/>
      </c>
      <c r="BS189" s="263" t="str">
        <f t="shared" si="156"/>
        <v/>
      </c>
      <c r="BT189" s="263" t="str">
        <f t="shared" si="157"/>
        <v/>
      </c>
      <c r="BU189" s="263" t="str">
        <f t="shared" si="158"/>
        <v/>
      </c>
      <c r="BV189" s="263"/>
      <c r="BW189" s="263" t="str">
        <f t="shared" si="159"/>
        <v/>
      </c>
      <c r="BX189" s="263"/>
      <c r="BY189" s="263" t="str">
        <f t="shared" si="160"/>
        <v/>
      </c>
      <c r="BZ189" s="263"/>
      <c r="CA189" s="263">
        <f t="shared" si="182"/>
        <v>0</v>
      </c>
      <c r="CB189" s="263">
        <f t="shared" si="161"/>
        <v>0</v>
      </c>
      <c r="CC189" s="263">
        <f t="shared" si="183"/>
        <v>1</v>
      </c>
      <c r="CD189" s="263">
        <f t="shared" si="162"/>
        <v>0</v>
      </c>
      <c r="CE189" s="263">
        <f t="shared" si="167"/>
        <v>0</v>
      </c>
      <c r="CF189" s="263">
        <f t="shared" si="184"/>
        <v>0</v>
      </c>
      <c r="CG189" s="263">
        <f t="shared" si="185"/>
        <v>0</v>
      </c>
      <c r="CH189" s="263"/>
      <c r="CI189" s="263">
        <f t="shared" si="163"/>
        <v>0</v>
      </c>
      <c r="CJ189" s="263"/>
      <c r="CK189" s="263">
        <f t="shared" si="164"/>
        <v>0</v>
      </c>
      <c r="CL189" s="264">
        <f t="shared" si="188"/>
        <v>0</v>
      </c>
      <c r="CM189" s="264">
        <f t="shared" si="165"/>
        <v>1045</v>
      </c>
      <c r="CO189" s="265">
        <v>9.7250000000000003E-2</v>
      </c>
      <c r="CP189" s="265">
        <v>9.9670000000000009E-2</v>
      </c>
      <c r="CQ189" s="265">
        <v>9.98E-2</v>
      </c>
      <c r="CS189" s="265">
        <v>0.1018</v>
      </c>
      <c r="CT189" s="265">
        <v>0.10208</v>
      </c>
      <c r="CU189" s="265">
        <v>0.10439999999999999</v>
      </c>
      <c r="CV189" s="265">
        <v>0.10605000000000001</v>
      </c>
      <c r="CW189" s="265">
        <v>0.10667</v>
      </c>
      <c r="CY189" s="265">
        <v>0.10881</v>
      </c>
      <c r="DA189" s="265">
        <v>0.11254</v>
      </c>
      <c r="DC189" s="265">
        <v>0.11109999999999999</v>
      </c>
      <c r="DE189" s="265">
        <v>5.1060000000000001E-2</v>
      </c>
      <c r="DF189" s="265">
        <v>5.3399999999999996E-2</v>
      </c>
      <c r="DH189" s="265">
        <v>5.3499999999999999E-2</v>
      </c>
      <c r="DI189" s="265">
        <v>5.3010000000000002E-2</v>
      </c>
      <c r="DJ189" s="265">
        <v>5.7110000000000001E-2</v>
      </c>
      <c r="DL189" s="265">
        <v>5.4400000000000004E-2</v>
      </c>
      <c r="DO189" s="264" t="e">
        <f t="shared" si="170"/>
        <v>#N/A</v>
      </c>
      <c r="DP189" s="264" t="e" cm="1">
        <f t="array" ref="DP189">+INDEX(AH189:AV189,MATCH(DO189,AH189:AV189,1)+1)</f>
        <v>#N/A</v>
      </c>
      <c r="DQ189" s="265" t="e">
        <f t="shared" si="171"/>
        <v>#N/A</v>
      </c>
      <c r="DR189" s="267" t="e">
        <f t="shared" si="172"/>
        <v>#N/A</v>
      </c>
      <c r="DS189" s="267" t="e">
        <f t="shared" si="173"/>
        <v>#N/A</v>
      </c>
      <c r="DT189" s="268">
        <f t="shared" si="174"/>
        <v>1045</v>
      </c>
      <c r="DU189" s="268" cm="1">
        <f t="array" ref="DU189">+INDEX(AX189:BF189,MATCH(DT189,AX189:BF189,1)+1)</f>
        <v>1808</v>
      </c>
      <c r="DV189" s="267">
        <f t="shared" si="175"/>
        <v>5.3399999999999996E-2</v>
      </c>
      <c r="DW189" s="267">
        <f t="shared" si="176"/>
        <v>0</v>
      </c>
      <c r="DX189" s="267">
        <f t="shared" si="177"/>
        <v>5.3400000000000003E-2</v>
      </c>
      <c r="DY189" s="267">
        <f t="shared" si="186"/>
        <v>7.3599999999999999E-2</v>
      </c>
      <c r="DZ189" s="205">
        <f t="shared" si="179"/>
        <v>0.13093023999999986</v>
      </c>
      <c r="EA189" s="205">
        <f t="shared" si="180"/>
        <v>9.5732566414818325E-5</v>
      </c>
    </row>
    <row r="190" spans="2:131">
      <c r="B190" s="272">
        <v>45419</v>
      </c>
      <c r="C190" s="271">
        <v>45419</v>
      </c>
      <c r="D190" s="263" t="e">
        <f>+SUMIFS(Tabla6[Nominal COP],Tabla6[Concepto],COSTO_OPORTUNIDAD!$B$18,Tabla6[Nemotécnico],COSTO_OPORTUNIDAD!D$16,Tabla6[Fecha Cumplimiento y/ liquidacion],COSTO_OPORTUNIDAD!$C190)/+SUMIFS(Tabla6[Nominal COP],Tabla6[Concepto],COSTO_OPORTUNIDAD!$B$18,Tabla6[Fecha Cumplimiento y/ liquidacion],COSTO_OPORTUNIDAD!$C190)</f>
        <v>#DIV/0!</v>
      </c>
      <c r="E190" s="263" t="e">
        <f>+SUMIFS(Tabla6[Nominal COP],Tabla6[Concepto],COSTO_OPORTUNIDAD!$B$18,Tabla6[Nemotécnico],COSTO_OPORTUNIDAD!E$16,Tabla6[Fecha Cumplimiento y/ liquidacion],COSTO_OPORTUNIDAD!$C190)/+SUMIFS(Tabla6[Nominal COP],Tabla6[Concepto],COSTO_OPORTUNIDAD!$B$18,Tabla6[Fecha Cumplimiento y/ liquidacion],COSTO_OPORTUNIDAD!$C190)</f>
        <v>#DIV/0!</v>
      </c>
      <c r="F190" s="263"/>
      <c r="G190" s="263"/>
      <c r="H190" s="263">
        <v>0</v>
      </c>
      <c r="I190" s="263"/>
      <c r="J190" s="263">
        <v>0</v>
      </c>
      <c r="K190" s="263">
        <v>0</v>
      </c>
      <c r="L190" s="263"/>
      <c r="M190" s="263">
        <v>0</v>
      </c>
      <c r="N190" s="263"/>
      <c r="O190" s="263"/>
      <c r="P190" s="263">
        <v>0</v>
      </c>
      <c r="Q190" s="263"/>
      <c r="R190" s="263">
        <v>0.99763062726025686</v>
      </c>
      <c r="S190" s="263"/>
      <c r="T190" s="263">
        <v>0</v>
      </c>
      <c r="U190" s="263"/>
      <c r="V190" s="263">
        <v>0</v>
      </c>
      <c r="W190" s="263">
        <v>0</v>
      </c>
      <c r="X190" s="263">
        <v>2.3693727397431103E-3</v>
      </c>
      <c r="Y190" s="263"/>
      <c r="Z190" s="263">
        <v>0</v>
      </c>
      <c r="AA190" s="263">
        <v>0</v>
      </c>
      <c r="AB190" s="263">
        <v>0</v>
      </c>
      <c r="AC190" s="263"/>
      <c r="AD190" s="263">
        <v>0</v>
      </c>
      <c r="AE190" s="263"/>
      <c r="AF190" s="263"/>
      <c r="AG190" s="262"/>
      <c r="AH190" s="274">
        <f t="shared" si="130"/>
        <v>841</v>
      </c>
      <c r="AI190" s="274">
        <f t="shared" si="131"/>
        <v>1275</v>
      </c>
      <c r="AJ190" s="274">
        <f t="shared" si="132"/>
        <v>1452</v>
      </c>
      <c r="AK190" s="274">
        <f t="shared" si="127"/>
        <v>1933</v>
      </c>
      <c r="AL190" s="274">
        <f t="shared" si="133"/>
        <v>2325</v>
      </c>
      <c r="AM190" s="274">
        <f t="shared" si="134"/>
        <v>2514</v>
      </c>
      <c r="AN190" s="274">
        <f t="shared" si="135"/>
        <v>2976</v>
      </c>
      <c r="AO190" s="274">
        <f t="shared" si="187"/>
        <v>3200</v>
      </c>
      <c r="AP190" s="274">
        <f t="shared" si="136"/>
        <v>3816</v>
      </c>
      <c r="AQ190" s="274"/>
      <c r="AR190" s="274">
        <f t="shared" si="137"/>
        <v>4446</v>
      </c>
      <c r="AS190" s="274">
        <f t="shared" si="128"/>
        <v>6049</v>
      </c>
      <c r="AT190" s="274">
        <f t="shared" si="138"/>
        <v>6595</v>
      </c>
      <c r="AU190" s="274">
        <f t="shared" si="189"/>
        <v>8114</v>
      </c>
      <c r="AV190" s="274">
        <f t="shared" si="139"/>
        <v>9668</v>
      </c>
      <c r="AW190" s="274"/>
      <c r="AX190" s="274">
        <f t="shared" si="140"/>
        <v>365</v>
      </c>
      <c r="AY190" s="274">
        <f t="shared" si="141"/>
        <v>1044</v>
      </c>
      <c r="AZ190" s="274">
        <f t="shared" si="142"/>
        <v>1807</v>
      </c>
      <c r="BA190" s="274"/>
      <c r="BB190" s="274">
        <f t="shared" si="143"/>
        <v>3244</v>
      </c>
      <c r="BC190" s="274">
        <f t="shared" si="144"/>
        <v>3984</v>
      </c>
      <c r="BD190" s="274">
        <f t="shared" si="145"/>
        <v>4677</v>
      </c>
      <c r="BE190" s="274"/>
      <c r="BF190" s="274">
        <f t="shared" si="146"/>
        <v>9171</v>
      </c>
      <c r="BG190" s="274"/>
      <c r="BH190" s="274"/>
      <c r="BI190" s="266">
        <f t="shared" si="147"/>
        <v>2.3693727397431103E-3</v>
      </c>
      <c r="BJ190" s="266" t="e">
        <f t="shared" si="148"/>
        <v>#DIV/0!</v>
      </c>
      <c r="BK190" s="263" t="str">
        <f t="shared" si="149"/>
        <v/>
      </c>
      <c r="BL190" s="263" t="str">
        <f t="shared" si="150"/>
        <v/>
      </c>
      <c r="BM190" s="263" t="str">
        <f t="shared" si="151"/>
        <v/>
      </c>
      <c r="BN190" s="263"/>
      <c r="BO190" s="263" t="str">
        <f t="shared" si="152"/>
        <v/>
      </c>
      <c r="BP190" s="263" t="str">
        <f t="shared" si="153"/>
        <v/>
      </c>
      <c r="BQ190" s="263" t="str">
        <f t="shared" si="154"/>
        <v/>
      </c>
      <c r="BR190" s="263" t="str">
        <f t="shared" si="155"/>
        <v/>
      </c>
      <c r="BS190" s="263" t="str">
        <f t="shared" si="156"/>
        <v/>
      </c>
      <c r="BT190" s="263" t="str">
        <f t="shared" si="157"/>
        <v/>
      </c>
      <c r="BU190" s="263" t="str">
        <f t="shared" si="158"/>
        <v/>
      </c>
      <c r="BV190" s="263"/>
      <c r="BW190" s="263" t="str">
        <f t="shared" si="159"/>
        <v/>
      </c>
      <c r="BX190" s="263"/>
      <c r="BY190" s="263" t="str">
        <f t="shared" si="160"/>
        <v/>
      </c>
      <c r="BZ190" s="263"/>
      <c r="CA190" s="263">
        <f t="shared" si="182"/>
        <v>0</v>
      </c>
      <c r="CB190" s="263">
        <f t="shared" si="161"/>
        <v>0</v>
      </c>
      <c r="CC190" s="263">
        <f t="shared" si="183"/>
        <v>1</v>
      </c>
      <c r="CD190" s="263">
        <f t="shared" si="162"/>
        <v>0</v>
      </c>
      <c r="CE190" s="263">
        <f t="shared" si="167"/>
        <v>0</v>
      </c>
      <c r="CF190" s="263">
        <f t="shared" si="184"/>
        <v>0</v>
      </c>
      <c r="CG190" s="263">
        <f t="shared" si="185"/>
        <v>0</v>
      </c>
      <c r="CH190" s="263"/>
      <c r="CI190" s="263">
        <f t="shared" si="163"/>
        <v>0</v>
      </c>
      <c r="CJ190" s="263"/>
      <c r="CK190" s="263">
        <f t="shared" si="164"/>
        <v>0</v>
      </c>
      <c r="CL190" s="264">
        <f t="shared" si="188"/>
        <v>0</v>
      </c>
      <c r="CM190" s="264">
        <f t="shared" si="165"/>
        <v>1044</v>
      </c>
      <c r="CO190" s="265">
        <v>9.5890000000000003E-2</v>
      </c>
      <c r="CP190" s="265">
        <v>9.820000000000001E-2</v>
      </c>
      <c r="CQ190" s="265">
        <v>9.8110000000000003E-2</v>
      </c>
      <c r="CS190" s="265">
        <v>0.10009999999999999</v>
      </c>
      <c r="CT190" s="265">
        <v>0.10208</v>
      </c>
      <c r="CU190" s="265">
        <v>0.10287</v>
      </c>
      <c r="CV190" s="265">
        <v>0.10391</v>
      </c>
      <c r="CW190" s="265">
        <v>0.10490000000000001</v>
      </c>
      <c r="CY190" s="265">
        <v>0.107</v>
      </c>
      <c r="DA190" s="265">
        <v>0.1105</v>
      </c>
      <c r="DC190" s="265">
        <v>0.10961</v>
      </c>
      <c r="DE190" s="265">
        <v>5.0900000000000001E-2</v>
      </c>
      <c r="DF190" s="265">
        <v>5.33E-2</v>
      </c>
      <c r="DH190" s="265">
        <v>5.3499999999999999E-2</v>
      </c>
      <c r="DI190" s="265">
        <v>5.5220000000000005E-2</v>
      </c>
      <c r="DJ190" s="265">
        <v>5.638E-2</v>
      </c>
      <c r="DL190" s="265">
        <v>5.4100000000000002E-2</v>
      </c>
      <c r="DO190" s="264" t="e">
        <f t="shared" si="170"/>
        <v>#N/A</v>
      </c>
      <c r="DP190" s="264" t="e" cm="1">
        <f t="array" ref="DP190">+INDEX(AH190:AV190,MATCH(DO190,AH190:AV190,1)+1)</f>
        <v>#N/A</v>
      </c>
      <c r="DQ190" s="265" t="e">
        <f t="shared" si="171"/>
        <v>#N/A</v>
      </c>
      <c r="DR190" s="267" t="e">
        <f t="shared" si="172"/>
        <v>#N/A</v>
      </c>
      <c r="DS190" s="267" t="e">
        <f t="shared" si="173"/>
        <v>#N/A</v>
      </c>
      <c r="DT190" s="268">
        <f t="shared" si="174"/>
        <v>1044</v>
      </c>
      <c r="DU190" s="268" cm="1">
        <f t="array" ref="DU190">+INDEX(AX190:BF190,MATCH(DT190,AX190:BF190,1)+1)</f>
        <v>1807</v>
      </c>
      <c r="DV190" s="267">
        <f t="shared" si="175"/>
        <v>5.33E-2</v>
      </c>
      <c r="DW190" s="267">
        <f t="shared" si="176"/>
        <v>0</v>
      </c>
      <c r="DX190" s="267">
        <f t="shared" si="177"/>
        <v>5.33E-2</v>
      </c>
      <c r="DY190" s="267">
        <f>+$EE$79</f>
        <v>7.3599999999999999E-2</v>
      </c>
      <c r="DZ190" s="205">
        <f t="shared" si="179"/>
        <v>0.13082287999999975</v>
      </c>
      <c r="EA190" s="205">
        <f t="shared" si="180"/>
        <v>3.0996816560668357E-4</v>
      </c>
    </row>
    <row r="191" spans="2:131">
      <c r="B191" s="272">
        <v>45421</v>
      </c>
      <c r="C191" s="271">
        <v>45421</v>
      </c>
      <c r="D191" s="263" t="e">
        <f>+SUMIFS(Tabla6[Nominal COP],Tabla6[Concepto],COSTO_OPORTUNIDAD!$B$18,Tabla6[Nemotécnico],COSTO_OPORTUNIDAD!D$16,Tabla6[Fecha Cumplimiento y/ liquidacion],COSTO_OPORTUNIDAD!$C191)/+SUMIFS(Tabla6[Nominal COP],Tabla6[Concepto],COSTO_OPORTUNIDAD!$B$18,Tabla6[Fecha Cumplimiento y/ liquidacion],COSTO_OPORTUNIDAD!$C191)</f>
        <v>#DIV/0!</v>
      </c>
      <c r="E191" s="263" t="e">
        <f>+SUMIFS(Tabla6[Nominal COP],Tabla6[Concepto],COSTO_OPORTUNIDAD!$B$18,Tabla6[Nemotécnico],COSTO_OPORTUNIDAD!E$16,Tabla6[Fecha Cumplimiento y/ liquidacion],COSTO_OPORTUNIDAD!$C191)/+SUMIFS(Tabla6[Nominal COP],Tabla6[Concepto],COSTO_OPORTUNIDAD!$B$18,Tabla6[Fecha Cumplimiento y/ liquidacion],COSTO_OPORTUNIDAD!$C191)</f>
        <v>#DIV/0!</v>
      </c>
      <c r="F191" s="263"/>
      <c r="G191" s="263"/>
      <c r="H191" s="263">
        <v>0</v>
      </c>
      <c r="I191" s="263"/>
      <c r="J191" s="263">
        <v>0</v>
      </c>
      <c r="K191" s="263">
        <v>0</v>
      </c>
      <c r="L191" s="263"/>
      <c r="M191" s="263">
        <v>0</v>
      </c>
      <c r="N191" s="263"/>
      <c r="O191" s="263"/>
      <c r="P191" s="263">
        <v>0</v>
      </c>
      <c r="Q191" s="263"/>
      <c r="R191" s="263">
        <v>0.99961681355480403</v>
      </c>
      <c r="S191" s="263"/>
      <c r="T191" s="263">
        <v>0</v>
      </c>
      <c r="U191" s="263"/>
      <c r="V191" s="263">
        <v>0</v>
      </c>
      <c r="W191" s="263">
        <v>0</v>
      </c>
      <c r="X191" s="263">
        <v>3.8318644519600819E-4</v>
      </c>
      <c r="Y191" s="263"/>
      <c r="Z191" s="263">
        <v>0</v>
      </c>
      <c r="AA191" s="263">
        <v>0</v>
      </c>
      <c r="AB191" s="263">
        <v>0</v>
      </c>
      <c r="AC191" s="263"/>
      <c r="AD191" s="263">
        <v>0</v>
      </c>
      <c r="AE191" s="263"/>
      <c r="AF191" s="263"/>
      <c r="AG191" s="262"/>
      <c r="AH191" s="274">
        <f t="shared" si="130"/>
        <v>839</v>
      </c>
      <c r="AI191" s="274">
        <f t="shared" si="131"/>
        <v>1273</v>
      </c>
      <c r="AJ191" s="274">
        <f t="shared" si="132"/>
        <v>1450</v>
      </c>
      <c r="AK191" s="274">
        <f t="shared" si="127"/>
        <v>1931</v>
      </c>
      <c r="AL191" s="274">
        <f t="shared" si="133"/>
        <v>2323</v>
      </c>
      <c r="AM191" s="274">
        <f t="shared" si="134"/>
        <v>2512</v>
      </c>
      <c r="AN191" s="274">
        <f t="shared" si="135"/>
        <v>2974</v>
      </c>
      <c r="AO191" s="274">
        <f t="shared" si="187"/>
        <v>3198</v>
      </c>
      <c r="AP191" s="274">
        <f t="shared" si="136"/>
        <v>3814</v>
      </c>
      <c r="AQ191" s="274"/>
      <c r="AR191" s="274">
        <f t="shared" si="137"/>
        <v>4444</v>
      </c>
      <c r="AS191" s="274">
        <f t="shared" si="128"/>
        <v>6047</v>
      </c>
      <c r="AT191" s="274">
        <f t="shared" si="138"/>
        <v>6593</v>
      </c>
      <c r="AU191" s="274">
        <f t="shared" si="189"/>
        <v>8112</v>
      </c>
      <c r="AV191" s="274">
        <f t="shared" si="139"/>
        <v>9666</v>
      </c>
      <c r="AW191" s="274"/>
      <c r="AX191" s="274">
        <f t="shared" si="140"/>
        <v>363</v>
      </c>
      <c r="AY191" s="274">
        <f t="shared" si="141"/>
        <v>1042</v>
      </c>
      <c r="AZ191" s="274">
        <f t="shared" si="142"/>
        <v>1805</v>
      </c>
      <c r="BA191" s="274"/>
      <c r="BB191" s="274">
        <f t="shared" si="143"/>
        <v>3242</v>
      </c>
      <c r="BC191" s="274">
        <f t="shared" si="144"/>
        <v>3982</v>
      </c>
      <c r="BD191" s="274">
        <f t="shared" si="145"/>
        <v>4675</v>
      </c>
      <c r="BE191" s="274"/>
      <c r="BF191" s="274">
        <f t="shared" si="146"/>
        <v>9169</v>
      </c>
      <c r="BG191" s="274"/>
      <c r="BH191" s="274"/>
      <c r="BI191" s="266">
        <f t="shared" si="147"/>
        <v>3.8318644519600819E-4</v>
      </c>
      <c r="BJ191" s="266" t="e">
        <f t="shared" si="148"/>
        <v>#DIV/0!</v>
      </c>
      <c r="BK191" s="263" t="str">
        <f t="shared" si="149"/>
        <v/>
      </c>
      <c r="BL191" s="263" t="str">
        <f t="shared" si="150"/>
        <v/>
      </c>
      <c r="BM191" s="263" t="str">
        <f t="shared" si="151"/>
        <v/>
      </c>
      <c r="BN191" s="263"/>
      <c r="BO191" s="263" t="str">
        <f t="shared" si="152"/>
        <v/>
      </c>
      <c r="BP191" s="263" t="str">
        <f t="shared" si="153"/>
        <v/>
      </c>
      <c r="BQ191" s="263" t="str">
        <f t="shared" si="154"/>
        <v/>
      </c>
      <c r="BR191" s="263" t="str">
        <f t="shared" si="155"/>
        <v/>
      </c>
      <c r="BS191" s="263" t="str">
        <f t="shared" si="156"/>
        <v/>
      </c>
      <c r="BT191" s="263" t="str">
        <f t="shared" si="157"/>
        <v/>
      </c>
      <c r="BU191" s="263" t="str">
        <f t="shared" si="158"/>
        <v/>
      </c>
      <c r="BV191" s="263"/>
      <c r="BW191" s="263" t="str">
        <f t="shared" si="159"/>
        <v/>
      </c>
      <c r="BX191" s="263"/>
      <c r="BY191" s="263" t="str">
        <f t="shared" si="160"/>
        <v/>
      </c>
      <c r="BZ191" s="263"/>
      <c r="CA191" s="263">
        <f t="shared" si="182"/>
        <v>0</v>
      </c>
      <c r="CB191" s="263">
        <f t="shared" si="161"/>
        <v>0</v>
      </c>
      <c r="CC191" s="263">
        <f t="shared" si="183"/>
        <v>1</v>
      </c>
      <c r="CD191" s="263">
        <f t="shared" si="162"/>
        <v>0</v>
      </c>
      <c r="CE191" s="263">
        <f t="shared" si="167"/>
        <v>0</v>
      </c>
      <c r="CF191" s="263">
        <f t="shared" si="184"/>
        <v>0</v>
      </c>
      <c r="CG191" s="263">
        <f t="shared" si="185"/>
        <v>0</v>
      </c>
      <c r="CH191" s="263"/>
      <c r="CI191" s="263">
        <f t="shared" si="163"/>
        <v>0</v>
      </c>
      <c r="CJ191" s="263"/>
      <c r="CK191" s="263">
        <f t="shared" si="164"/>
        <v>0</v>
      </c>
      <c r="CL191" s="264">
        <f t="shared" si="188"/>
        <v>0</v>
      </c>
      <c r="CM191" s="264">
        <f t="shared" si="165"/>
        <v>1042</v>
      </c>
      <c r="CO191" s="265">
        <v>9.6769999999999995E-2</v>
      </c>
      <c r="CP191" s="265">
        <v>0.1</v>
      </c>
      <c r="CQ191" s="265">
        <v>9.9970000000000003E-2</v>
      </c>
      <c r="CS191" s="265">
        <v>0.1016</v>
      </c>
      <c r="CT191" s="265">
        <v>0.10099999999999999</v>
      </c>
      <c r="CU191" s="265">
        <v>0.1045</v>
      </c>
      <c r="CV191" s="265">
        <v>0.10639</v>
      </c>
      <c r="CW191" s="265">
        <v>0.1065</v>
      </c>
      <c r="CY191" s="265">
        <v>0.11022</v>
      </c>
      <c r="DA191" s="265">
        <v>0.114</v>
      </c>
      <c r="DC191" s="265">
        <v>0.11269999999999999</v>
      </c>
      <c r="DE191" s="265">
        <v>5.2499999999999998E-2</v>
      </c>
      <c r="DF191" s="265">
        <v>5.5500000000000001E-2</v>
      </c>
      <c r="DH191" s="265">
        <v>5.5800000000000002E-2</v>
      </c>
      <c r="DI191" s="265">
        <v>5.6449999999999993E-2</v>
      </c>
      <c r="DJ191" s="265">
        <v>5.8840000000000003E-2</v>
      </c>
      <c r="DL191" s="265">
        <v>5.5599999999999997E-2</v>
      </c>
      <c r="DO191" s="264" t="e">
        <f t="shared" si="170"/>
        <v>#N/A</v>
      </c>
      <c r="DP191" s="264" t="e" cm="1">
        <f t="array" ref="DP191">+INDEX(AH191:AV191,MATCH(DO191,AH191:AV191,1)+1)</f>
        <v>#N/A</v>
      </c>
      <c r="DQ191" s="265" t="e">
        <f t="shared" si="171"/>
        <v>#N/A</v>
      </c>
      <c r="DR191" s="267" t="e">
        <f t="shared" si="172"/>
        <v>#N/A</v>
      </c>
      <c r="DS191" s="267" t="e">
        <f t="shared" si="173"/>
        <v>#N/A</v>
      </c>
      <c r="DT191" s="268">
        <f t="shared" si="174"/>
        <v>1042</v>
      </c>
      <c r="DU191" s="268" cm="1">
        <f t="array" ref="DU191">+INDEX(AX191:BF191,MATCH(DT191,AX191:BF191,1)+1)</f>
        <v>1805</v>
      </c>
      <c r="DV191" s="267">
        <f t="shared" si="175"/>
        <v>5.5500000000000001E-2</v>
      </c>
      <c r="DW191" s="267">
        <f t="shared" si="176"/>
        <v>0</v>
      </c>
      <c r="DX191" s="267">
        <f t="shared" si="177"/>
        <v>5.5500000000000001E-2</v>
      </c>
      <c r="DY191" s="267">
        <f t="shared" ref="DY191:DY206" si="190">+$EE$80</f>
        <v>7.1599999999999997E-2</v>
      </c>
      <c r="DZ191" s="205">
        <f t="shared" si="179"/>
        <v>0.13107380000000024</v>
      </c>
      <c r="EA191" s="205">
        <f t="shared" si="180"/>
        <v>5.0225703480332629E-5</v>
      </c>
    </row>
    <row r="192" spans="2:131">
      <c r="B192" s="272">
        <v>45427</v>
      </c>
      <c r="C192" s="271">
        <v>45427</v>
      </c>
      <c r="D192" s="263" t="e">
        <f>+SUMIFS(Tabla6[Nominal COP],Tabla6[Concepto],COSTO_OPORTUNIDAD!$B$18,Tabla6[Nemotécnico],COSTO_OPORTUNIDAD!D$16,Tabla6[Fecha Cumplimiento y/ liquidacion],COSTO_OPORTUNIDAD!$C192)/+SUMIFS(Tabla6[Nominal COP],Tabla6[Concepto],COSTO_OPORTUNIDAD!$B$18,Tabla6[Fecha Cumplimiento y/ liquidacion],COSTO_OPORTUNIDAD!$C192)</f>
        <v>#DIV/0!</v>
      </c>
      <c r="E192" s="263" t="e">
        <f>+SUMIFS(Tabla6[Nominal COP],Tabla6[Concepto],COSTO_OPORTUNIDAD!$B$18,Tabla6[Nemotécnico],COSTO_OPORTUNIDAD!E$16,Tabla6[Fecha Cumplimiento y/ liquidacion],COSTO_OPORTUNIDAD!$C192)/+SUMIFS(Tabla6[Nominal COP],Tabla6[Concepto],COSTO_OPORTUNIDAD!$B$18,Tabla6[Fecha Cumplimiento y/ liquidacion],COSTO_OPORTUNIDAD!$C192)</f>
        <v>#DIV/0!</v>
      </c>
      <c r="F192" s="263"/>
      <c r="G192" s="263"/>
      <c r="H192" s="263">
        <v>0.76687116564417179</v>
      </c>
      <c r="I192" s="263"/>
      <c r="J192" s="263">
        <v>0</v>
      </c>
      <c r="K192" s="263">
        <v>0</v>
      </c>
      <c r="L192" s="263"/>
      <c r="M192" s="263">
        <v>0</v>
      </c>
      <c r="N192" s="263"/>
      <c r="O192" s="263"/>
      <c r="P192" s="263">
        <v>0</v>
      </c>
      <c r="Q192" s="263"/>
      <c r="R192" s="263">
        <v>0.23006134969325154</v>
      </c>
      <c r="S192" s="263"/>
      <c r="T192" s="263">
        <v>0</v>
      </c>
      <c r="U192" s="263"/>
      <c r="V192" s="263">
        <v>0</v>
      </c>
      <c r="W192" s="263">
        <v>0</v>
      </c>
      <c r="X192" s="263">
        <v>3.0674846625766872E-3</v>
      </c>
      <c r="Y192" s="263"/>
      <c r="Z192" s="263">
        <v>0</v>
      </c>
      <c r="AA192" s="263">
        <v>0</v>
      </c>
      <c r="AB192" s="263">
        <v>0</v>
      </c>
      <c r="AC192" s="263"/>
      <c r="AD192" s="263">
        <v>0</v>
      </c>
      <c r="AE192" s="263"/>
      <c r="AF192" s="263"/>
      <c r="AG192" s="262"/>
      <c r="AH192" s="274">
        <f t="shared" si="130"/>
        <v>833</v>
      </c>
      <c r="AI192" s="274">
        <f t="shared" si="131"/>
        <v>1267</v>
      </c>
      <c r="AJ192" s="274">
        <f t="shared" si="132"/>
        <v>1444</v>
      </c>
      <c r="AK192" s="274">
        <f t="shared" si="127"/>
        <v>1925</v>
      </c>
      <c r="AL192" s="274">
        <f t="shared" si="133"/>
        <v>2317</v>
      </c>
      <c r="AM192" s="274">
        <f t="shared" si="134"/>
        <v>2506</v>
      </c>
      <c r="AN192" s="274">
        <f t="shared" si="135"/>
        <v>2968</v>
      </c>
      <c r="AO192" s="274">
        <f t="shared" si="187"/>
        <v>3192</v>
      </c>
      <c r="AP192" s="274">
        <f t="shared" si="136"/>
        <v>3808</v>
      </c>
      <c r="AQ192" s="274"/>
      <c r="AR192" s="274">
        <f t="shared" si="137"/>
        <v>4438</v>
      </c>
      <c r="AS192" s="274">
        <f t="shared" si="128"/>
        <v>6041</v>
      </c>
      <c r="AT192" s="274">
        <f t="shared" si="138"/>
        <v>6587</v>
      </c>
      <c r="AU192" s="274">
        <f t="shared" si="189"/>
        <v>8106</v>
      </c>
      <c r="AV192" s="274">
        <f t="shared" si="139"/>
        <v>9660</v>
      </c>
      <c r="AW192" s="274"/>
      <c r="AX192" s="274">
        <f t="shared" si="140"/>
        <v>357</v>
      </c>
      <c r="AY192" s="274">
        <f t="shared" si="141"/>
        <v>1036</v>
      </c>
      <c r="AZ192" s="274">
        <f t="shared" si="142"/>
        <v>1799</v>
      </c>
      <c r="BA192" s="274"/>
      <c r="BB192" s="274">
        <f t="shared" si="143"/>
        <v>3236</v>
      </c>
      <c r="BC192" s="274">
        <f t="shared" si="144"/>
        <v>3976</v>
      </c>
      <c r="BD192" s="274">
        <f t="shared" si="145"/>
        <v>4669</v>
      </c>
      <c r="BE192" s="274"/>
      <c r="BF192" s="274">
        <f t="shared" si="146"/>
        <v>9163</v>
      </c>
      <c r="BG192" s="274"/>
      <c r="BH192" s="274"/>
      <c r="BI192" s="266">
        <f t="shared" si="147"/>
        <v>3.0674846625766872E-3</v>
      </c>
      <c r="BJ192" s="266" t="e">
        <f t="shared" si="148"/>
        <v>#DIV/0!</v>
      </c>
      <c r="BK192" s="263" t="str">
        <f t="shared" si="149"/>
        <v/>
      </c>
      <c r="BL192" s="263" t="str">
        <f t="shared" si="150"/>
        <v/>
      </c>
      <c r="BM192" s="263" t="str">
        <f t="shared" si="151"/>
        <v/>
      </c>
      <c r="BN192" s="263"/>
      <c r="BO192" s="263" t="str">
        <f t="shared" si="152"/>
        <v/>
      </c>
      <c r="BP192" s="263" t="str">
        <f t="shared" si="153"/>
        <v/>
      </c>
      <c r="BQ192" s="263" t="str">
        <f t="shared" si="154"/>
        <v/>
      </c>
      <c r="BR192" s="263" t="str">
        <f t="shared" si="155"/>
        <v/>
      </c>
      <c r="BS192" s="263" t="str">
        <f t="shared" si="156"/>
        <v/>
      </c>
      <c r="BT192" s="263" t="str">
        <f t="shared" si="157"/>
        <v/>
      </c>
      <c r="BU192" s="263" t="str">
        <f t="shared" si="158"/>
        <v/>
      </c>
      <c r="BV192" s="263"/>
      <c r="BW192" s="263" t="str">
        <f t="shared" si="159"/>
        <v/>
      </c>
      <c r="BX192" s="263"/>
      <c r="BY192" s="263" t="str">
        <f t="shared" si="160"/>
        <v/>
      </c>
      <c r="BZ192" s="263"/>
      <c r="CA192" s="263">
        <f t="shared" si="182"/>
        <v>0</v>
      </c>
      <c r="CB192" s="263">
        <f t="shared" si="161"/>
        <v>0</v>
      </c>
      <c r="CC192" s="263">
        <f t="shared" si="183"/>
        <v>1</v>
      </c>
      <c r="CD192" s="263">
        <f t="shared" si="162"/>
        <v>0</v>
      </c>
      <c r="CE192" s="263">
        <f t="shared" si="167"/>
        <v>0</v>
      </c>
      <c r="CF192" s="263">
        <f t="shared" si="184"/>
        <v>0</v>
      </c>
      <c r="CG192" s="263">
        <f t="shared" si="185"/>
        <v>0</v>
      </c>
      <c r="CH192" s="263"/>
      <c r="CI192" s="263">
        <f t="shared" si="163"/>
        <v>0</v>
      </c>
      <c r="CJ192" s="263"/>
      <c r="CK192" s="263">
        <f t="shared" si="164"/>
        <v>0</v>
      </c>
      <c r="CL192" s="264">
        <f t="shared" si="188"/>
        <v>0</v>
      </c>
      <c r="CM192" s="264">
        <f t="shared" si="165"/>
        <v>1036</v>
      </c>
      <c r="CO192" s="265">
        <v>9.5009999999999997E-2</v>
      </c>
      <c r="CP192" s="265">
        <v>9.8919999999999994E-2</v>
      </c>
      <c r="CQ192" s="265">
        <v>9.9100000000000008E-2</v>
      </c>
      <c r="CS192" s="265">
        <v>0.10049</v>
      </c>
      <c r="CT192" s="265">
        <v>0.10099999999999999</v>
      </c>
      <c r="CU192" s="265">
        <v>0.10349</v>
      </c>
      <c r="CV192" s="265">
        <v>0.1048</v>
      </c>
      <c r="CW192" s="265">
        <v>0.10589999999999999</v>
      </c>
      <c r="CY192" s="265">
        <v>0.10853</v>
      </c>
      <c r="DA192" s="265">
        <v>0.11176999999999999</v>
      </c>
      <c r="DC192" s="265">
        <v>0.1104</v>
      </c>
      <c r="DE192" s="265">
        <v>5.2999999999999999E-2</v>
      </c>
      <c r="DF192" s="265">
        <v>5.5149999999999998E-2</v>
      </c>
      <c r="DH192" s="265">
        <v>5.5199999999999999E-2</v>
      </c>
      <c r="DI192" s="265">
        <v>5.5999999999999994E-2</v>
      </c>
      <c r="DJ192" s="265">
        <v>5.7599999999999998E-2</v>
      </c>
      <c r="DL192" s="265">
        <v>5.5300000000000002E-2</v>
      </c>
      <c r="DO192" s="264" t="e">
        <f t="shared" ref="DO192:DO223" si="191">+INDEX(AH192:AV192,MATCH(CL192,AH192:AV192,1))</f>
        <v>#N/A</v>
      </c>
      <c r="DP192" s="264" t="e" cm="1">
        <f t="array" ref="DP192">+INDEX(AH192:AV192,MATCH(DO192,AH192:AV192,1)+1)</f>
        <v>#N/A</v>
      </c>
      <c r="DQ192" s="265" t="e">
        <f t="shared" ref="DQ192:DQ223" si="192">+INDEX(CO192:DC192,MATCH(DO192,AH192:AV192,1))</f>
        <v>#N/A</v>
      </c>
      <c r="DR192" s="267" t="e">
        <f t="shared" ref="DR192:DR223" si="193">+INDEX(CO192:DC192,MATCH(DP192,AH192:AV192,1))</f>
        <v>#N/A</v>
      </c>
      <c r="DS192" s="267" t="e">
        <f t="shared" ref="DS192:DS223" si="194">ROUND(DQ192+((CL192-DO192)/(DP192-DO192))*(DR192-DQ192),5)</f>
        <v>#N/A</v>
      </c>
      <c r="DT192" s="268">
        <f t="shared" ref="DT192:DT223" si="195">+INDEX(AX192:BF192,MATCH(CM192,AX192:BF192,1))</f>
        <v>1036</v>
      </c>
      <c r="DU192" s="268" cm="1">
        <f t="array" ref="DU192">+INDEX(AX192:BF192,MATCH(DT192,AX192:BF192,1)+1)</f>
        <v>1799</v>
      </c>
      <c r="DV192" s="267">
        <f t="shared" si="175"/>
        <v>5.5149999999999998E-2</v>
      </c>
      <c r="DW192" s="267">
        <f t="shared" ref="DW192:DW223" si="196">+INDEX(DE192:DL192,MATCH(DU192,AX192:BF192,1))</f>
        <v>0</v>
      </c>
      <c r="DX192" s="267">
        <f t="shared" ref="DX192:DX223" si="197">ROUND(DV192+((CM192-DT192)/(DU192-DT192))*(DW192-DV192),5)</f>
        <v>5.5149999999999998E-2</v>
      </c>
      <c r="DY192" s="267">
        <f t="shared" si="190"/>
        <v>7.1599999999999997E-2</v>
      </c>
      <c r="DZ192" s="205">
        <f t="shared" si="179"/>
        <v>0.13069874000000015</v>
      </c>
      <c r="EA192" s="205">
        <f t="shared" si="180"/>
        <v>4.0091638036809864E-4</v>
      </c>
    </row>
    <row r="193" spans="2:131">
      <c r="B193" s="272">
        <v>45428</v>
      </c>
      <c r="C193" s="271">
        <v>45428</v>
      </c>
      <c r="D193" s="263" t="e">
        <f>+SUMIFS(Tabla6[Nominal COP],Tabla6[Concepto],COSTO_OPORTUNIDAD!$B$18,Tabla6[Nemotécnico],COSTO_OPORTUNIDAD!D$16,Tabla6[Fecha Cumplimiento y/ liquidacion],COSTO_OPORTUNIDAD!$C193)/+SUMIFS(Tabla6[Nominal COP],Tabla6[Concepto],COSTO_OPORTUNIDAD!$B$18,Tabla6[Fecha Cumplimiento y/ liquidacion],COSTO_OPORTUNIDAD!$C193)</f>
        <v>#DIV/0!</v>
      </c>
      <c r="E193" s="263" t="e">
        <f>+SUMIFS(Tabla6[Nominal COP],Tabla6[Concepto],COSTO_OPORTUNIDAD!$B$18,Tabla6[Nemotécnico],COSTO_OPORTUNIDAD!E$16,Tabla6[Fecha Cumplimiento y/ liquidacion],COSTO_OPORTUNIDAD!$C193)/+SUMIFS(Tabla6[Nominal COP],Tabla6[Concepto],COSTO_OPORTUNIDAD!$B$18,Tabla6[Fecha Cumplimiento y/ liquidacion],COSTO_OPORTUNIDAD!$C193)</f>
        <v>#DIV/0!</v>
      </c>
      <c r="F193" s="263"/>
      <c r="G193" s="263"/>
      <c r="H193" s="263">
        <v>0.14553584611166184</v>
      </c>
      <c r="I193" s="263"/>
      <c r="J193" s="263">
        <v>0</v>
      </c>
      <c r="K193" s="263">
        <v>0</v>
      </c>
      <c r="L193" s="263"/>
      <c r="M193" s="263">
        <v>0</v>
      </c>
      <c r="N193" s="263"/>
      <c r="O193" s="263"/>
      <c r="P193" s="263">
        <v>0</v>
      </c>
      <c r="Q193" s="263"/>
      <c r="R193" s="263">
        <v>0.85423214022062388</v>
      </c>
      <c r="S193" s="263"/>
      <c r="T193" s="263">
        <v>0</v>
      </c>
      <c r="U193" s="263"/>
      <c r="V193" s="263">
        <v>0</v>
      </c>
      <c r="W193" s="263">
        <v>0</v>
      </c>
      <c r="X193" s="263">
        <v>2.3201366771424353E-4</v>
      </c>
      <c r="Y193" s="263"/>
      <c r="Z193" s="263">
        <v>0</v>
      </c>
      <c r="AA193" s="263">
        <v>0</v>
      </c>
      <c r="AB193" s="263">
        <v>0</v>
      </c>
      <c r="AC193" s="263"/>
      <c r="AD193" s="263">
        <v>0</v>
      </c>
      <c r="AE193" s="263"/>
      <c r="AF193" s="263"/>
      <c r="AG193" s="262"/>
      <c r="AH193" s="274">
        <f t="shared" si="130"/>
        <v>832</v>
      </c>
      <c r="AI193" s="274">
        <f t="shared" si="131"/>
        <v>1266</v>
      </c>
      <c r="AJ193" s="274">
        <f t="shared" si="132"/>
        <v>1443</v>
      </c>
      <c r="AK193" s="274">
        <f t="shared" si="127"/>
        <v>1924</v>
      </c>
      <c r="AL193" s="274">
        <f t="shared" si="133"/>
        <v>2316</v>
      </c>
      <c r="AM193" s="274">
        <f t="shared" si="134"/>
        <v>2505</v>
      </c>
      <c r="AN193" s="274">
        <f t="shared" si="135"/>
        <v>2967</v>
      </c>
      <c r="AO193" s="274">
        <f t="shared" si="187"/>
        <v>3191</v>
      </c>
      <c r="AP193" s="274">
        <f t="shared" si="136"/>
        <v>3807</v>
      </c>
      <c r="AQ193" s="274"/>
      <c r="AR193" s="274">
        <f t="shared" si="137"/>
        <v>4437</v>
      </c>
      <c r="AS193" s="274">
        <f t="shared" si="128"/>
        <v>6040</v>
      </c>
      <c r="AT193" s="274">
        <f t="shared" si="138"/>
        <v>6586</v>
      </c>
      <c r="AU193" s="274">
        <f t="shared" si="189"/>
        <v>8105</v>
      </c>
      <c r="AV193" s="274">
        <f t="shared" si="139"/>
        <v>9659</v>
      </c>
      <c r="AW193" s="274"/>
      <c r="AX193" s="274">
        <f t="shared" si="140"/>
        <v>356</v>
      </c>
      <c r="AY193" s="274">
        <f t="shared" si="141"/>
        <v>1035</v>
      </c>
      <c r="AZ193" s="274">
        <f t="shared" si="142"/>
        <v>1798</v>
      </c>
      <c r="BA193" s="274"/>
      <c r="BB193" s="274">
        <f t="shared" si="143"/>
        <v>3235</v>
      </c>
      <c r="BC193" s="274">
        <f t="shared" si="144"/>
        <v>3975</v>
      </c>
      <c r="BD193" s="274">
        <f t="shared" si="145"/>
        <v>4668</v>
      </c>
      <c r="BE193" s="274"/>
      <c r="BF193" s="274">
        <f t="shared" si="146"/>
        <v>9162</v>
      </c>
      <c r="BG193" s="274"/>
      <c r="BH193" s="274"/>
      <c r="BI193" s="266">
        <f t="shared" si="147"/>
        <v>2.3201366771424353E-4</v>
      </c>
      <c r="BJ193" s="266" t="e">
        <f t="shared" si="148"/>
        <v>#DIV/0!</v>
      </c>
      <c r="BK193" s="263" t="str">
        <f t="shared" si="149"/>
        <v/>
      </c>
      <c r="BL193" s="263" t="str">
        <f t="shared" si="150"/>
        <v/>
      </c>
      <c r="BM193" s="263" t="str">
        <f t="shared" si="151"/>
        <v/>
      </c>
      <c r="BN193" s="263"/>
      <c r="BO193" s="263" t="str">
        <f t="shared" si="152"/>
        <v/>
      </c>
      <c r="BP193" s="263" t="str">
        <f t="shared" si="153"/>
        <v/>
      </c>
      <c r="BQ193" s="263" t="str">
        <f t="shared" si="154"/>
        <v/>
      </c>
      <c r="BR193" s="263" t="str">
        <f t="shared" si="155"/>
        <v/>
      </c>
      <c r="BS193" s="263" t="str">
        <f t="shared" si="156"/>
        <v/>
      </c>
      <c r="BT193" s="263" t="str">
        <f t="shared" si="157"/>
        <v/>
      </c>
      <c r="BU193" s="263" t="str">
        <f t="shared" si="158"/>
        <v/>
      </c>
      <c r="BV193" s="263"/>
      <c r="BW193" s="263" t="str">
        <f t="shared" si="159"/>
        <v/>
      </c>
      <c r="BX193" s="263"/>
      <c r="BY193" s="263" t="str">
        <f t="shared" si="160"/>
        <v/>
      </c>
      <c r="BZ193" s="263"/>
      <c r="CA193" s="263">
        <f t="shared" si="182"/>
        <v>0</v>
      </c>
      <c r="CB193" s="263">
        <f t="shared" si="161"/>
        <v>0</v>
      </c>
      <c r="CC193" s="263">
        <f t="shared" si="183"/>
        <v>1</v>
      </c>
      <c r="CD193" s="263">
        <f t="shared" si="162"/>
        <v>0</v>
      </c>
      <c r="CE193" s="263">
        <f t="shared" si="167"/>
        <v>0</v>
      </c>
      <c r="CF193" s="263">
        <f t="shared" si="184"/>
        <v>0</v>
      </c>
      <c r="CG193" s="263">
        <f t="shared" si="185"/>
        <v>0</v>
      </c>
      <c r="CH193" s="263"/>
      <c r="CI193" s="263">
        <f t="shared" si="163"/>
        <v>0</v>
      </c>
      <c r="CJ193" s="263"/>
      <c r="CK193" s="263">
        <f t="shared" si="164"/>
        <v>0</v>
      </c>
      <c r="CL193" s="264">
        <f t="shared" si="188"/>
        <v>0</v>
      </c>
      <c r="CM193" s="264">
        <f t="shared" si="165"/>
        <v>1035</v>
      </c>
      <c r="CO193" s="265">
        <v>9.4600000000000004E-2</v>
      </c>
      <c r="CP193" s="265">
        <v>9.8019999999999996E-2</v>
      </c>
      <c r="CQ193" s="265">
        <v>9.844E-2</v>
      </c>
      <c r="CS193" s="265">
        <v>9.9960000000000007E-2</v>
      </c>
      <c r="CT193" s="265">
        <v>9.9519999999999997E-2</v>
      </c>
      <c r="CU193" s="265">
        <v>0.10300000000000001</v>
      </c>
      <c r="CV193" s="265">
        <v>0.10410999999999999</v>
      </c>
      <c r="CW193" s="265">
        <v>0.10497999999999999</v>
      </c>
      <c r="CY193" s="265">
        <v>0.10804</v>
      </c>
      <c r="DA193" s="265">
        <v>0.11138999999999999</v>
      </c>
      <c r="DC193" s="265">
        <v>0.11037000000000001</v>
      </c>
      <c r="DE193" s="265">
        <v>5.2670000000000002E-2</v>
      </c>
      <c r="DF193" s="265">
        <v>5.4469999999999998E-2</v>
      </c>
      <c r="DH193" s="265">
        <v>5.5E-2</v>
      </c>
      <c r="DI193" s="265">
        <v>5.5999999999999994E-2</v>
      </c>
      <c r="DJ193" s="265">
        <v>5.6840000000000002E-2</v>
      </c>
      <c r="DL193" s="265">
        <v>5.4960000000000002E-2</v>
      </c>
      <c r="DO193" s="264" t="e">
        <f t="shared" si="191"/>
        <v>#N/A</v>
      </c>
      <c r="DP193" s="264" t="e" cm="1">
        <f t="array" ref="DP193">+INDEX(AH193:AV193,MATCH(DO193,AH193:AV193,1)+1)</f>
        <v>#N/A</v>
      </c>
      <c r="DQ193" s="265" t="e">
        <f t="shared" si="192"/>
        <v>#N/A</v>
      </c>
      <c r="DR193" s="267" t="e">
        <f t="shared" si="193"/>
        <v>#N/A</v>
      </c>
      <c r="DS193" s="267" t="e">
        <f t="shared" si="194"/>
        <v>#N/A</v>
      </c>
      <c r="DT193" s="268">
        <f t="shared" si="195"/>
        <v>1035</v>
      </c>
      <c r="DU193" s="268" cm="1">
        <f t="array" ref="DU193">+INDEX(AX193:BF193,MATCH(DT193,AX193:BF193,1)+1)</f>
        <v>1798</v>
      </c>
      <c r="DV193" s="267">
        <f t="shared" si="175"/>
        <v>5.4469999999999998E-2</v>
      </c>
      <c r="DW193" s="267">
        <f t="shared" si="196"/>
        <v>0</v>
      </c>
      <c r="DX193" s="267">
        <f t="shared" si="197"/>
        <v>5.4469999999999998E-2</v>
      </c>
      <c r="DY193" s="267">
        <f t="shared" si="190"/>
        <v>7.1599999999999997E-2</v>
      </c>
      <c r="DZ193" s="205">
        <f t="shared" si="179"/>
        <v>0.12997005200000022</v>
      </c>
      <c r="EA193" s="205">
        <f t="shared" si="180"/>
        <v>3.0154828457531004E-5</v>
      </c>
    </row>
    <row r="194" spans="2:131">
      <c r="B194" s="272">
        <v>45429</v>
      </c>
      <c r="C194" s="271">
        <v>45429</v>
      </c>
      <c r="D194" s="263" t="e">
        <f>+SUMIFS(Tabla6[Nominal COP],Tabla6[Concepto],COSTO_OPORTUNIDAD!$B$18,Tabla6[Nemotécnico],COSTO_OPORTUNIDAD!D$16,Tabla6[Fecha Cumplimiento y/ liquidacion],COSTO_OPORTUNIDAD!$C194)/+SUMIFS(Tabla6[Nominal COP],Tabla6[Concepto],COSTO_OPORTUNIDAD!$B$18,Tabla6[Fecha Cumplimiento y/ liquidacion],COSTO_OPORTUNIDAD!$C194)</f>
        <v>#DIV/0!</v>
      </c>
      <c r="E194" s="263" t="e">
        <f>+SUMIFS(Tabla6[Nominal COP],Tabla6[Concepto],COSTO_OPORTUNIDAD!$B$18,Tabla6[Nemotécnico],COSTO_OPORTUNIDAD!E$16,Tabla6[Fecha Cumplimiento y/ liquidacion],COSTO_OPORTUNIDAD!$C194)/+SUMIFS(Tabla6[Nominal COP],Tabla6[Concepto],COSTO_OPORTUNIDAD!$B$18,Tabla6[Fecha Cumplimiento y/ liquidacion],COSTO_OPORTUNIDAD!$C194)</f>
        <v>#DIV/0!</v>
      </c>
      <c r="F194" s="263"/>
      <c r="G194" s="263"/>
      <c r="H194" s="263">
        <v>0.70569267022200177</v>
      </c>
      <c r="I194" s="263"/>
      <c r="J194" s="263">
        <v>0</v>
      </c>
      <c r="K194" s="263">
        <v>0</v>
      </c>
      <c r="L194" s="263"/>
      <c r="M194" s="263">
        <v>0</v>
      </c>
      <c r="N194" s="263"/>
      <c r="O194" s="263"/>
      <c r="P194" s="263">
        <v>0</v>
      </c>
      <c r="Q194" s="263"/>
      <c r="R194" s="263">
        <v>0.29393525982884783</v>
      </c>
      <c r="S194" s="263"/>
      <c r="T194" s="263">
        <v>0</v>
      </c>
      <c r="U194" s="263"/>
      <c r="V194" s="263">
        <v>0</v>
      </c>
      <c r="W194" s="263">
        <v>0</v>
      </c>
      <c r="X194" s="263">
        <v>3.7206994915044031E-4</v>
      </c>
      <c r="Y194" s="263"/>
      <c r="Z194" s="263">
        <v>0</v>
      </c>
      <c r="AA194" s="263">
        <v>0</v>
      </c>
      <c r="AB194" s="263">
        <v>0</v>
      </c>
      <c r="AC194" s="263"/>
      <c r="AD194" s="263">
        <v>0</v>
      </c>
      <c r="AE194" s="263"/>
      <c r="AF194" s="263"/>
      <c r="AG194" s="262"/>
      <c r="AH194" s="274">
        <f t="shared" si="130"/>
        <v>831</v>
      </c>
      <c r="AI194" s="274">
        <f t="shared" si="131"/>
        <v>1265</v>
      </c>
      <c r="AJ194" s="274">
        <f t="shared" si="132"/>
        <v>1442</v>
      </c>
      <c r="AK194" s="274">
        <f t="shared" si="127"/>
        <v>1923</v>
      </c>
      <c r="AL194" s="274">
        <f t="shared" si="133"/>
        <v>2315</v>
      </c>
      <c r="AM194" s="274">
        <f t="shared" si="134"/>
        <v>2504</v>
      </c>
      <c r="AN194" s="274">
        <f t="shared" si="135"/>
        <v>2966</v>
      </c>
      <c r="AO194" s="274">
        <f t="shared" si="187"/>
        <v>3190</v>
      </c>
      <c r="AP194" s="274">
        <f t="shared" si="136"/>
        <v>3806</v>
      </c>
      <c r="AQ194" s="274"/>
      <c r="AR194" s="274">
        <f t="shared" si="137"/>
        <v>4436</v>
      </c>
      <c r="AS194" s="274">
        <f t="shared" si="128"/>
        <v>6039</v>
      </c>
      <c r="AT194" s="274">
        <f t="shared" si="138"/>
        <v>6585</v>
      </c>
      <c r="AU194" s="274">
        <f t="shared" si="189"/>
        <v>8104</v>
      </c>
      <c r="AV194" s="274">
        <f t="shared" si="139"/>
        <v>9658</v>
      </c>
      <c r="AW194" s="274"/>
      <c r="AX194" s="274">
        <f t="shared" si="140"/>
        <v>355</v>
      </c>
      <c r="AY194" s="274">
        <f t="shared" si="141"/>
        <v>1034</v>
      </c>
      <c r="AZ194" s="274">
        <f t="shared" si="142"/>
        <v>1797</v>
      </c>
      <c r="BA194" s="274"/>
      <c r="BB194" s="274">
        <f t="shared" si="143"/>
        <v>3234</v>
      </c>
      <c r="BC194" s="274">
        <f t="shared" si="144"/>
        <v>3974</v>
      </c>
      <c r="BD194" s="274">
        <f t="shared" si="145"/>
        <v>4667</v>
      </c>
      <c r="BE194" s="274"/>
      <c r="BF194" s="274">
        <f t="shared" si="146"/>
        <v>9161</v>
      </c>
      <c r="BG194" s="274"/>
      <c r="BH194" s="274"/>
      <c r="BI194" s="266">
        <f t="shared" si="147"/>
        <v>3.7206994915044031E-4</v>
      </c>
      <c r="BJ194" s="266" t="e">
        <f t="shared" si="148"/>
        <v>#DIV/0!</v>
      </c>
      <c r="BK194" s="263" t="str">
        <f t="shared" si="149"/>
        <v/>
      </c>
      <c r="BL194" s="263" t="str">
        <f t="shared" si="150"/>
        <v/>
      </c>
      <c r="BM194" s="263" t="str">
        <f t="shared" si="151"/>
        <v/>
      </c>
      <c r="BN194" s="263"/>
      <c r="BO194" s="263" t="str">
        <f t="shared" si="152"/>
        <v/>
      </c>
      <c r="BP194" s="263" t="str">
        <f t="shared" si="153"/>
        <v/>
      </c>
      <c r="BQ194" s="263" t="str">
        <f t="shared" si="154"/>
        <v/>
      </c>
      <c r="BR194" s="263" t="str">
        <f t="shared" si="155"/>
        <v/>
      </c>
      <c r="BS194" s="263" t="str">
        <f t="shared" si="156"/>
        <v/>
      </c>
      <c r="BT194" s="263" t="str">
        <f t="shared" si="157"/>
        <v/>
      </c>
      <c r="BU194" s="263" t="str">
        <f t="shared" si="158"/>
        <v/>
      </c>
      <c r="BV194" s="263"/>
      <c r="BW194" s="263" t="str">
        <f t="shared" si="159"/>
        <v/>
      </c>
      <c r="BX194" s="263"/>
      <c r="BY194" s="263" t="str">
        <f t="shared" si="160"/>
        <v/>
      </c>
      <c r="BZ194" s="263"/>
      <c r="CA194" s="263">
        <f t="shared" si="182"/>
        <v>0</v>
      </c>
      <c r="CB194" s="263">
        <f t="shared" si="161"/>
        <v>0</v>
      </c>
      <c r="CC194" s="263">
        <f t="shared" si="183"/>
        <v>1</v>
      </c>
      <c r="CD194" s="263">
        <f t="shared" si="162"/>
        <v>0</v>
      </c>
      <c r="CE194" s="263">
        <f t="shared" si="167"/>
        <v>0</v>
      </c>
      <c r="CF194" s="263">
        <f t="shared" si="184"/>
        <v>0</v>
      </c>
      <c r="CG194" s="263">
        <f t="shared" si="185"/>
        <v>0</v>
      </c>
      <c r="CH194" s="263"/>
      <c r="CI194" s="263">
        <f t="shared" si="163"/>
        <v>0</v>
      </c>
      <c r="CJ194" s="263"/>
      <c r="CK194" s="263">
        <f t="shared" si="164"/>
        <v>0</v>
      </c>
      <c r="CL194" s="264">
        <f t="shared" si="188"/>
        <v>0</v>
      </c>
      <c r="CM194" s="264">
        <f t="shared" si="165"/>
        <v>1034</v>
      </c>
      <c r="CO194" s="265">
        <v>9.4299999999999995E-2</v>
      </c>
      <c r="CP194" s="265">
        <v>9.8059999999999994E-2</v>
      </c>
      <c r="CQ194" s="265">
        <v>9.9000000000000005E-2</v>
      </c>
      <c r="CS194" s="265">
        <v>0.1007</v>
      </c>
      <c r="CT194" s="265">
        <v>9.9519999999999997E-2</v>
      </c>
      <c r="CU194" s="265">
        <v>0.10327</v>
      </c>
      <c r="CV194" s="265">
        <v>0.10435</v>
      </c>
      <c r="CW194" s="265">
        <v>0.1056</v>
      </c>
      <c r="CY194" s="265">
        <v>0.10832000000000001</v>
      </c>
      <c r="DA194" s="265">
        <v>0.11161</v>
      </c>
      <c r="DC194" s="265">
        <v>0.1109</v>
      </c>
      <c r="DE194" s="265">
        <v>5.2699999999999997E-2</v>
      </c>
      <c r="DF194" s="265">
        <v>5.4150000000000004E-2</v>
      </c>
      <c r="DH194" s="265">
        <v>5.4600000000000003E-2</v>
      </c>
      <c r="DI194" s="265">
        <v>5.5800000000000002E-2</v>
      </c>
      <c r="DJ194" s="265">
        <v>5.6420000000000005E-2</v>
      </c>
      <c r="DL194" s="265">
        <v>5.5069999999999994E-2</v>
      </c>
      <c r="DO194" s="264" t="e">
        <f t="shared" si="191"/>
        <v>#N/A</v>
      </c>
      <c r="DP194" s="264" t="e" cm="1">
        <f t="array" ref="DP194">+INDEX(AH194:AV194,MATCH(DO194,AH194:AV194,1)+1)</f>
        <v>#N/A</v>
      </c>
      <c r="DQ194" s="265" t="e">
        <f t="shared" si="192"/>
        <v>#N/A</v>
      </c>
      <c r="DR194" s="267" t="e">
        <f t="shared" si="193"/>
        <v>#N/A</v>
      </c>
      <c r="DS194" s="267" t="e">
        <f t="shared" si="194"/>
        <v>#N/A</v>
      </c>
      <c r="DT194" s="268">
        <f t="shared" si="195"/>
        <v>1034</v>
      </c>
      <c r="DU194" s="268" cm="1">
        <f t="array" ref="DU194">+INDEX(AX194:BF194,MATCH(DT194,AX194:BF194,1)+1)</f>
        <v>1797</v>
      </c>
      <c r="DV194" s="267">
        <f t="shared" si="175"/>
        <v>5.4150000000000004E-2</v>
      </c>
      <c r="DW194" s="267">
        <f t="shared" si="196"/>
        <v>0</v>
      </c>
      <c r="DX194" s="267">
        <f t="shared" si="197"/>
        <v>5.4149999999999997E-2</v>
      </c>
      <c r="DY194" s="267">
        <f t="shared" si="190"/>
        <v>7.1599999999999997E-2</v>
      </c>
      <c r="DZ194" s="205">
        <f t="shared" si="179"/>
        <v>0.12962713999999997</v>
      </c>
      <c r="EA194" s="205">
        <f t="shared" si="180"/>
        <v>4.8230363388317E-5</v>
      </c>
    </row>
    <row r="195" spans="2:131">
      <c r="B195" s="272">
        <v>45432</v>
      </c>
      <c r="C195" s="271">
        <v>45432</v>
      </c>
      <c r="D195" s="263" t="e">
        <f>+SUMIFS(Tabla6[Nominal COP],Tabla6[Concepto],COSTO_OPORTUNIDAD!$B$18,Tabla6[Nemotécnico],COSTO_OPORTUNIDAD!D$16,Tabla6[Fecha Cumplimiento y/ liquidacion],COSTO_OPORTUNIDAD!$C195)/+SUMIFS(Tabla6[Nominal COP],Tabla6[Concepto],COSTO_OPORTUNIDAD!$B$18,Tabla6[Fecha Cumplimiento y/ liquidacion],COSTO_OPORTUNIDAD!$C195)</f>
        <v>#DIV/0!</v>
      </c>
      <c r="E195" s="263" t="e">
        <f>+SUMIFS(Tabla6[Nominal COP],Tabla6[Concepto],COSTO_OPORTUNIDAD!$B$18,Tabla6[Nemotécnico],COSTO_OPORTUNIDAD!E$16,Tabla6[Fecha Cumplimiento y/ liquidacion],COSTO_OPORTUNIDAD!$C195)/+SUMIFS(Tabla6[Nominal COP],Tabla6[Concepto],COSTO_OPORTUNIDAD!$B$18,Tabla6[Fecha Cumplimiento y/ liquidacion],COSTO_OPORTUNIDAD!$C195)</f>
        <v>#DIV/0!</v>
      </c>
      <c r="F195" s="263"/>
      <c r="G195" s="263"/>
      <c r="H195" s="263">
        <v>0.53084719895157684</v>
      </c>
      <c r="I195" s="263"/>
      <c r="J195" s="263">
        <v>0</v>
      </c>
      <c r="K195" s="263">
        <v>0</v>
      </c>
      <c r="L195" s="263"/>
      <c r="M195" s="263">
        <v>0</v>
      </c>
      <c r="N195" s="263"/>
      <c r="O195" s="263"/>
      <c r="P195" s="263">
        <v>0</v>
      </c>
      <c r="Q195" s="263"/>
      <c r="R195" s="263">
        <v>0.46780909407607701</v>
      </c>
      <c r="S195" s="263"/>
      <c r="T195" s="263">
        <v>0</v>
      </c>
      <c r="U195" s="263"/>
      <c r="V195" s="263">
        <v>0</v>
      </c>
      <c r="W195" s="263">
        <v>0</v>
      </c>
      <c r="X195" s="263">
        <v>1.3437069723461787E-3</v>
      </c>
      <c r="Y195" s="263"/>
      <c r="Z195" s="263">
        <v>0</v>
      </c>
      <c r="AA195" s="263">
        <v>0</v>
      </c>
      <c r="AB195" s="263">
        <v>0</v>
      </c>
      <c r="AC195" s="263"/>
      <c r="AD195" s="263">
        <v>0</v>
      </c>
      <c r="AE195" s="263"/>
      <c r="AF195" s="263"/>
      <c r="AG195" s="262"/>
      <c r="AH195" s="274">
        <f t="shared" si="130"/>
        <v>828</v>
      </c>
      <c r="AI195" s="274">
        <f t="shared" si="131"/>
        <v>1262</v>
      </c>
      <c r="AJ195" s="274">
        <f t="shared" si="132"/>
        <v>1439</v>
      </c>
      <c r="AK195" s="274">
        <f t="shared" si="127"/>
        <v>1920</v>
      </c>
      <c r="AL195" s="274">
        <f t="shared" si="133"/>
        <v>2312</v>
      </c>
      <c r="AM195" s="274">
        <f t="shared" si="134"/>
        <v>2501</v>
      </c>
      <c r="AN195" s="274">
        <f t="shared" si="135"/>
        <v>2963</v>
      </c>
      <c r="AO195" s="274">
        <f t="shared" si="187"/>
        <v>3187</v>
      </c>
      <c r="AP195" s="274">
        <f t="shared" si="136"/>
        <v>3803</v>
      </c>
      <c r="AQ195" s="274"/>
      <c r="AR195" s="274">
        <f t="shared" si="137"/>
        <v>4433</v>
      </c>
      <c r="AS195" s="274">
        <f t="shared" si="128"/>
        <v>6036</v>
      </c>
      <c r="AT195" s="274">
        <f t="shared" si="138"/>
        <v>6582</v>
      </c>
      <c r="AU195" s="274">
        <f t="shared" si="189"/>
        <v>8101</v>
      </c>
      <c r="AV195" s="274">
        <f t="shared" si="139"/>
        <v>9655</v>
      </c>
      <c r="AW195" s="274"/>
      <c r="AX195" s="274">
        <f t="shared" si="140"/>
        <v>352</v>
      </c>
      <c r="AY195" s="274">
        <f t="shared" si="141"/>
        <v>1031</v>
      </c>
      <c r="AZ195" s="274">
        <f t="shared" si="142"/>
        <v>1794</v>
      </c>
      <c r="BA195" s="274"/>
      <c r="BB195" s="274">
        <f t="shared" si="143"/>
        <v>3231</v>
      </c>
      <c r="BC195" s="274">
        <f t="shared" si="144"/>
        <v>3971</v>
      </c>
      <c r="BD195" s="274">
        <f t="shared" si="145"/>
        <v>4664</v>
      </c>
      <c r="BE195" s="274"/>
      <c r="BF195" s="274">
        <f t="shared" si="146"/>
        <v>9158</v>
      </c>
      <c r="BG195" s="274"/>
      <c r="BH195" s="274"/>
      <c r="BI195" s="266">
        <f t="shared" si="147"/>
        <v>1.3437069723461787E-3</v>
      </c>
      <c r="BJ195" s="266" t="e">
        <f t="shared" si="148"/>
        <v>#DIV/0!</v>
      </c>
      <c r="BK195" s="263" t="str">
        <f t="shared" si="149"/>
        <v/>
      </c>
      <c r="BL195" s="263" t="str">
        <f t="shared" si="150"/>
        <v/>
      </c>
      <c r="BM195" s="263" t="str">
        <f t="shared" si="151"/>
        <v/>
      </c>
      <c r="BN195" s="263"/>
      <c r="BO195" s="263" t="str">
        <f t="shared" si="152"/>
        <v/>
      </c>
      <c r="BP195" s="263" t="str">
        <f t="shared" si="153"/>
        <v/>
      </c>
      <c r="BQ195" s="263" t="str">
        <f t="shared" si="154"/>
        <v/>
      </c>
      <c r="BR195" s="263" t="str">
        <f t="shared" si="155"/>
        <v/>
      </c>
      <c r="BS195" s="263" t="str">
        <f t="shared" si="156"/>
        <v/>
      </c>
      <c r="BT195" s="263" t="str">
        <f t="shared" si="157"/>
        <v/>
      </c>
      <c r="BU195" s="263" t="str">
        <f t="shared" si="158"/>
        <v/>
      </c>
      <c r="BV195" s="263"/>
      <c r="BW195" s="263" t="str">
        <f t="shared" si="159"/>
        <v/>
      </c>
      <c r="BX195" s="263"/>
      <c r="BY195" s="263" t="str">
        <f t="shared" si="160"/>
        <v/>
      </c>
      <c r="BZ195" s="263"/>
      <c r="CA195" s="263">
        <f t="shared" si="182"/>
        <v>0</v>
      </c>
      <c r="CB195" s="263">
        <f t="shared" si="161"/>
        <v>0</v>
      </c>
      <c r="CC195" s="263">
        <f t="shared" si="183"/>
        <v>1</v>
      </c>
      <c r="CD195" s="263">
        <f t="shared" si="162"/>
        <v>0</v>
      </c>
      <c r="CE195" s="263">
        <f t="shared" si="167"/>
        <v>0</v>
      </c>
      <c r="CF195" s="263">
        <f t="shared" si="184"/>
        <v>0</v>
      </c>
      <c r="CG195" s="263">
        <f t="shared" si="185"/>
        <v>0</v>
      </c>
      <c r="CH195" s="263"/>
      <c r="CI195" s="263">
        <f t="shared" si="163"/>
        <v>0</v>
      </c>
      <c r="CJ195" s="263"/>
      <c r="CK195" s="263">
        <f t="shared" si="164"/>
        <v>0</v>
      </c>
      <c r="CL195" s="264">
        <f t="shared" si="188"/>
        <v>0</v>
      </c>
      <c r="CM195" s="264">
        <f t="shared" si="165"/>
        <v>1031</v>
      </c>
      <c r="CO195" s="265">
        <v>9.5030000000000003E-2</v>
      </c>
      <c r="CP195" s="265">
        <v>9.8800000000000013E-2</v>
      </c>
      <c r="CQ195" s="265">
        <v>9.9309999999999996E-2</v>
      </c>
      <c r="CS195" s="265">
        <v>0.1007</v>
      </c>
      <c r="CT195" s="265">
        <v>9.9519999999999997E-2</v>
      </c>
      <c r="CU195" s="265">
        <v>0.10468</v>
      </c>
      <c r="CV195" s="265">
        <v>0.10589999999999999</v>
      </c>
      <c r="CW195" s="265">
        <v>0.10730000000000001</v>
      </c>
      <c r="CY195" s="265">
        <v>0.10945000000000001</v>
      </c>
      <c r="DA195" s="265">
        <v>0.11319000000000001</v>
      </c>
      <c r="DC195" s="265">
        <v>0.11188000000000001</v>
      </c>
      <c r="DE195" s="265">
        <v>5.2560000000000003E-2</v>
      </c>
      <c r="DF195" s="265">
        <v>5.5E-2</v>
      </c>
      <c r="DH195" s="265">
        <v>5.5500000000000001E-2</v>
      </c>
      <c r="DI195" s="265">
        <v>5.5800000000000002E-2</v>
      </c>
      <c r="DJ195" s="265">
        <v>5.7320000000000003E-2</v>
      </c>
      <c r="DL195" s="265">
        <v>5.5899999999999998E-2</v>
      </c>
      <c r="DO195" s="264" t="e">
        <f t="shared" si="191"/>
        <v>#N/A</v>
      </c>
      <c r="DP195" s="264" t="e" cm="1">
        <f t="array" ref="DP195">+INDEX(AH195:AV195,MATCH(DO195,AH195:AV195,1)+1)</f>
        <v>#N/A</v>
      </c>
      <c r="DQ195" s="265" t="e">
        <f t="shared" si="192"/>
        <v>#N/A</v>
      </c>
      <c r="DR195" s="267" t="e">
        <f t="shared" si="193"/>
        <v>#N/A</v>
      </c>
      <c r="DS195" s="267" t="e">
        <f t="shared" si="194"/>
        <v>#N/A</v>
      </c>
      <c r="DT195" s="268">
        <f t="shared" si="195"/>
        <v>1031</v>
      </c>
      <c r="DU195" s="268" cm="1">
        <f t="array" ref="DU195">+INDEX(AX195:BF195,MATCH(DT195,AX195:BF195,1)+1)</f>
        <v>1794</v>
      </c>
      <c r="DV195" s="267">
        <f t="shared" si="175"/>
        <v>5.5E-2</v>
      </c>
      <c r="DW195" s="267">
        <f t="shared" si="196"/>
        <v>0</v>
      </c>
      <c r="DX195" s="267">
        <f t="shared" si="197"/>
        <v>5.5E-2</v>
      </c>
      <c r="DY195" s="267">
        <f t="shared" si="190"/>
        <v>7.1599999999999997E-2</v>
      </c>
      <c r="DZ195" s="205">
        <f t="shared" si="179"/>
        <v>0.13053800000000004</v>
      </c>
      <c r="EA195" s="205">
        <f t="shared" si="180"/>
        <v>1.7540482075612554E-4</v>
      </c>
    </row>
    <row r="196" spans="2:131">
      <c r="B196" s="272">
        <v>45433</v>
      </c>
      <c r="C196" s="271">
        <v>45433</v>
      </c>
      <c r="D196" s="263" t="e">
        <f>+SUMIFS(Tabla6[Nominal COP],Tabla6[Concepto],COSTO_OPORTUNIDAD!$B$18,Tabla6[Nemotécnico],COSTO_OPORTUNIDAD!D$16,Tabla6[Fecha Cumplimiento y/ liquidacion],COSTO_OPORTUNIDAD!$C196)/+SUMIFS(Tabla6[Nominal COP],Tabla6[Concepto],COSTO_OPORTUNIDAD!$B$18,Tabla6[Fecha Cumplimiento y/ liquidacion],COSTO_OPORTUNIDAD!$C196)</f>
        <v>#DIV/0!</v>
      </c>
      <c r="E196" s="263" t="e">
        <f>+SUMIFS(Tabla6[Nominal COP],Tabla6[Concepto],COSTO_OPORTUNIDAD!$B$18,Tabla6[Nemotécnico],COSTO_OPORTUNIDAD!E$16,Tabla6[Fecha Cumplimiento y/ liquidacion],COSTO_OPORTUNIDAD!$C196)/+SUMIFS(Tabla6[Nominal COP],Tabla6[Concepto],COSTO_OPORTUNIDAD!$B$18,Tabla6[Fecha Cumplimiento y/ liquidacion],COSTO_OPORTUNIDAD!$C196)</f>
        <v>#DIV/0!</v>
      </c>
      <c r="F196" s="263"/>
      <c r="G196" s="263"/>
      <c r="H196" s="263">
        <v>8.7113787650673707E-2</v>
      </c>
      <c r="I196" s="263"/>
      <c r="J196" s="263">
        <v>0</v>
      </c>
      <c r="K196" s="263">
        <v>0</v>
      </c>
      <c r="L196" s="263"/>
      <c r="M196" s="263">
        <v>0</v>
      </c>
      <c r="N196" s="263"/>
      <c r="O196" s="263"/>
      <c r="P196" s="263">
        <v>0</v>
      </c>
      <c r="Q196" s="263"/>
      <c r="R196" s="263">
        <v>0.91280099233966805</v>
      </c>
      <c r="S196" s="263"/>
      <c r="T196" s="263">
        <v>0</v>
      </c>
      <c r="U196" s="263"/>
      <c r="V196" s="263">
        <v>0</v>
      </c>
      <c r="W196" s="263">
        <v>0</v>
      </c>
      <c r="X196" s="263">
        <v>8.5220009658267757E-5</v>
      </c>
      <c r="Y196" s="263"/>
      <c r="Z196" s="263">
        <v>0</v>
      </c>
      <c r="AA196" s="263">
        <v>0</v>
      </c>
      <c r="AB196" s="263">
        <v>0</v>
      </c>
      <c r="AC196" s="263"/>
      <c r="AD196" s="263">
        <v>0</v>
      </c>
      <c r="AE196" s="263"/>
      <c r="AF196" s="263"/>
      <c r="AG196" s="262"/>
      <c r="AH196" s="274">
        <f t="shared" si="130"/>
        <v>827</v>
      </c>
      <c r="AI196" s="274">
        <f t="shared" si="131"/>
        <v>1261</v>
      </c>
      <c r="AJ196" s="274">
        <f t="shared" si="132"/>
        <v>1438</v>
      </c>
      <c r="AK196" s="274">
        <f t="shared" si="127"/>
        <v>1919</v>
      </c>
      <c r="AL196" s="274">
        <f t="shared" si="133"/>
        <v>2311</v>
      </c>
      <c r="AM196" s="274">
        <f t="shared" si="134"/>
        <v>2500</v>
      </c>
      <c r="AN196" s="274">
        <f t="shared" si="135"/>
        <v>2962</v>
      </c>
      <c r="AO196" s="274">
        <f t="shared" si="187"/>
        <v>3186</v>
      </c>
      <c r="AP196" s="274">
        <f t="shared" si="136"/>
        <v>3802</v>
      </c>
      <c r="AQ196" s="274"/>
      <c r="AR196" s="274">
        <f t="shared" si="137"/>
        <v>4432</v>
      </c>
      <c r="AS196" s="274">
        <f t="shared" si="128"/>
        <v>6035</v>
      </c>
      <c r="AT196" s="274">
        <f t="shared" si="138"/>
        <v>6581</v>
      </c>
      <c r="AU196" s="274">
        <f t="shared" si="189"/>
        <v>8100</v>
      </c>
      <c r="AV196" s="274">
        <f t="shared" si="139"/>
        <v>9654</v>
      </c>
      <c r="AW196" s="274"/>
      <c r="AX196" s="274">
        <f t="shared" si="140"/>
        <v>351</v>
      </c>
      <c r="AY196" s="274">
        <f t="shared" si="141"/>
        <v>1030</v>
      </c>
      <c r="AZ196" s="274">
        <f t="shared" si="142"/>
        <v>1793</v>
      </c>
      <c r="BA196" s="274"/>
      <c r="BB196" s="274">
        <f t="shared" si="143"/>
        <v>3230</v>
      </c>
      <c r="BC196" s="274">
        <f t="shared" si="144"/>
        <v>3970</v>
      </c>
      <c r="BD196" s="274">
        <f t="shared" si="145"/>
        <v>4663</v>
      </c>
      <c r="BE196" s="274"/>
      <c r="BF196" s="274">
        <f t="shared" si="146"/>
        <v>9157</v>
      </c>
      <c r="BG196" s="274"/>
      <c r="BH196" s="274"/>
      <c r="BI196" s="266">
        <f t="shared" si="147"/>
        <v>8.5220009658267757E-5</v>
      </c>
      <c r="BJ196" s="266" t="e">
        <f t="shared" si="148"/>
        <v>#DIV/0!</v>
      </c>
      <c r="BK196" s="263" t="str">
        <f t="shared" si="149"/>
        <v/>
      </c>
      <c r="BL196" s="263" t="str">
        <f t="shared" si="150"/>
        <v/>
      </c>
      <c r="BM196" s="263" t="str">
        <f t="shared" si="151"/>
        <v/>
      </c>
      <c r="BN196" s="263"/>
      <c r="BO196" s="263" t="str">
        <f t="shared" si="152"/>
        <v/>
      </c>
      <c r="BP196" s="263" t="str">
        <f t="shared" si="153"/>
        <v/>
      </c>
      <c r="BQ196" s="263" t="str">
        <f t="shared" si="154"/>
        <v/>
      </c>
      <c r="BR196" s="263" t="str">
        <f t="shared" si="155"/>
        <v/>
      </c>
      <c r="BS196" s="263" t="str">
        <f t="shared" si="156"/>
        <v/>
      </c>
      <c r="BT196" s="263" t="str">
        <f t="shared" si="157"/>
        <v/>
      </c>
      <c r="BU196" s="263" t="str">
        <f t="shared" si="158"/>
        <v/>
      </c>
      <c r="BV196" s="263"/>
      <c r="BW196" s="263" t="str">
        <f t="shared" si="159"/>
        <v/>
      </c>
      <c r="BX196" s="263"/>
      <c r="BY196" s="263" t="str">
        <f t="shared" si="160"/>
        <v/>
      </c>
      <c r="BZ196" s="263"/>
      <c r="CA196" s="263">
        <f t="shared" si="182"/>
        <v>0</v>
      </c>
      <c r="CB196" s="263">
        <f t="shared" si="161"/>
        <v>0</v>
      </c>
      <c r="CC196" s="263">
        <f t="shared" si="183"/>
        <v>1</v>
      </c>
      <c r="CD196" s="263">
        <f t="shared" si="162"/>
        <v>0</v>
      </c>
      <c r="CE196" s="263">
        <f t="shared" si="167"/>
        <v>0</v>
      </c>
      <c r="CF196" s="263">
        <f t="shared" si="184"/>
        <v>0</v>
      </c>
      <c r="CG196" s="263">
        <f t="shared" si="185"/>
        <v>0</v>
      </c>
      <c r="CH196" s="263"/>
      <c r="CI196" s="263">
        <f t="shared" si="163"/>
        <v>0</v>
      </c>
      <c r="CJ196" s="263"/>
      <c r="CK196" s="263">
        <f t="shared" si="164"/>
        <v>0</v>
      </c>
      <c r="CL196" s="264">
        <f t="shared" si="188"/>
        <v>0</v>
      </c>
      <c r="CM196" s="264">
        <f t="shared" si="165"/>
        <v>1030</v>
      </c>
      <c r="CO196" s="265">
        <v>9.5479999999999995E-2</v>
      </c>
      <c r="CP196" s="265">
        <v>9.8309999999999995E-2</v>
      </c>
      <c r="CQ196" s="265">
        <v>9.8800000000000013E-2</v>
      </c>
      <c r="CS196" s="265">
        <v>0.10061999999999999</v>
      </c>
      <c r="CT196" s="265">
        <v>9.9519999999999997E-2</v>
      </c>
      <c r="CU196" s="265">
        <v>0.10464000000000001</v>
      </c>
      <c r="CV196" s="265">
        <v>0.10583000000000001</v>
      </c>
      <c r="CW196" s="265">
        <v>0.10730000000000001</v>
      </c>
      <c r="CY196" s="265">
        <v>0.10936999999999999</v>
      </c>
      <c r="DA196" s="265">
        <v>0.11337</v>
      </c>
      <c r="DC196" s="265">
        <v>0.11230000000000001</v>
      </c>
      <c r="DE196" s="265">
        <v>5.2469999999999996E-2</v>
      </c>
      <c r="DF196" s="265">
        <v>5.4800000000000001E-2</v>
      </c>
      <c r="DH196" s="265">
        <v>5.5500000000000001E-2</v>
      </c>
      <c r="DI196" s="265">
        <v>5.5999999999999994E-2</v>
      </c>
      <c r="DJ196" s="265">
        <v>5.7000000000000002E-2</v>
      </c>
      <c r="DL196" s="265">
        <v>5.57E-2</v>
      </c>
      <c r="DO196" s="264" t="e">
        <f t="shared" si="191"/>
        <v>#N/A</v>
      </c>
      <c r="DP196" s="264" t="e" cm="1">
        <f t="array" ref="DP196">+INDEX(AH196:AV196,MATCH(DO196,AH196:AV196,1)+1)</f>
        <v>#N/A</v>
      </c>
      <c r="DQ196" s="265" t="e">
        <f t="shared" si="192"/>
        <v>#N/A</v>
      </c>
      <c r="DR196" s="267" t="e">
        <f t="shared" si="193"/>
        <v>#N/A</v>
      </c>
      <c r="DS196" s="267" t="e">
        <f t="shared" si="194"/>
        <v>#N/A</v>
      </c>
      <c r="DT196" s="268">
        <f t="shared" si="195"/>
        <v>1030</v>
      </c>
      <c r="DU196" s="268" cm="1">
        <f t="array" ref="DU196">+INDEX(AX196:BF196,MATCH(DT196,AX196:BF196,1)+1)</f>
        <v>1793</v>
      </c>
      <c r="DV196" s="267">
        <f t="shared" si="175"/>
        <v>5.4800000000000001E-2</v>
      </c>
      <c r="DW196" s="267">
        <f t="shared" si="196"/>
        <v>0</v>
      </c>
      <c r="DX196" s="267">
        <f t="shared" si="197"/>
        <v>5.4800000000000001E-2</v>
      </c>
      <c r="DY196" s="267">
        <f t="shared" si="190"/>
        <v>7.1599999999999997E-2</v>
      </c>
      <c r="DZ196" s="205">
        <f t="shared" si="179"/>
        <v>0.13032368000000005</v>
      </c>
      <c r="EA196" s="205">
        <f t="shared" si="180"/>
        <v>1.1106185268301001E-5</v>
      </c>
    </row>
    <row r="197" spans="2:131">
      <c r="B197" s="272">
        <v>45434</v>
      </c>
      <c r="C197" s="271">
        <v>45434</v>
      </c>
      <c r="D197" s="263" t="e">
        <f>+SUMIFS(Tabla6[Nominal COP],Tabla6[Concepto],COSTO_OPORTUNIDAD!$B$18,Tabla6[Nemotécnico],COSTO_OPORTUNIDAD!D$16,Tabla6[Fecha Cumplimiento y/ liquidacion],COSTO_OPORTUNIDAD!$C197)/+SUMIFS(Tabla6[Nominal COP],Tabla6[Concepto],COSTO_OPORTUNIDAD!$B$18,Tabla6[Fecha Cumplimiento y/ liquidacion],COSTO_OPORTUNIDAD!$C197)</f>
        <v>#DIV/0!</v>
      </c>
      <c r="E197" s="263" t="e">
        <f>+SUMIFS(Tabla6[Nominal COP],Tabla6[Concepto],COSTO_OPORTUNIDAD!$B$18,Tabla6[Nemotécnico],COSTO_OPORTUNIDAD!E$16,Tabla6[Fecha Cumplimiento y/ liquidacion],COSTO_OPORTUNIDAD!$C197)/+SUMIFS(Tabla6[Nominal COP],Tabla6[Concepto],COSTO_OPORTUNIDAD!$B$18,Tabla6[Fecha Cumplimiento y/ liquidacion],COSTO_OPORTUNIDAD!$C197)</f>
        <v>#DIV/0!</v>
      </c>
      <c r="F197" s="263"/>
      <c r="G197" s="263"/>
      <c r="H197" s="263">
        <v>0.3637919965760753</v>
      </c>
      <c r="I197" s="263"/>
      <c r="J197" s="263">
        <v>0</v>
      </c>
      <c r="K197" s="263">
        <v>0</v>
      </c>
      <c r="L197" s="263"/>
      <c r="M197" s="263">
        <v>0</v>
      </c>
      <c r="N197" s="263"/>
      <c r="O197" s="263"/>
      <c r="P197" s="263">
        <v>0</v>
      </c>
      <c r="Q197" s="263"/>
      <c r="R197" s="263">
        <v>0.63556601754761399</v>
      </c>
      <c r="S197" s="263"/>
      <c r="T197" s="263">
        <v>0</v>
      </c>
      <c r="U197" s="263"/>
      <c r="V197" s="263">
        <v>0</v>
      </c>
      <c r="W197" s="263">
        <v>0</v>
      </c>
      <c r="X197" s="263">
        <v>6.4198587631072112E-4</v>
      </c>
      <c r="Y197" s="263"/>
      <c r="Z197" s="263">
        <v>0</v>
      </c>
      <c r="AA197" s="263">
        <v>0</v>
      </c>
      <c r="AB197" s="263">
        <v>0</v>
      </c>
      <c r="AC197" s="263"/>
      <c r="AD197" s="263">
        <v>0</v>
      </c>
      <c r="AE197" s="263"/>
      <c r="AF197" s="263"/>
      <c r="AG197" s="262"/>
      <c r="AH197" s="274">
        <f t="shared" si="130"/>
        <v>826</v>
      </c>
      <c r="AI197" s="274">
        <f t="shared" si="131"/>
        <v>1260</v>
      </c>
      <c r="AJ197" s="274">
        <f t="shared" si="132"/>
        <v>1437</v>
      </c>
      <c r="AK197" s="274">
        <f t="shared" si="127"/>
        <v>1918</v>
      </c>
      <c r="AL197" s="274">
        <f t="shared" si="133"/>
        <v>2310</v>
      </c>
      <c r="AM197" s="274">
        <f t="shared" si="134"/>
        <v>2499</v>
      </c>
      <c r="AN197" s="274">
        <f t="shared" si="135"/>
        <v>2961</v>
      </c>
      <c r="AO197" s="274">
        <f t="shared" si="187"/>
        <v>3185</v>
      </c>
      <c r="AP197" s="274">
        <f t="shared" si="136"/>
        <v>3801</v>
      </c>
      <c r="AQ197" s="274"/>
      <c r="AR197" s="274">
        <f t="shared" si="137"/>
        <v>4431</v>
      </c>
      <c r="AS197" s="274">
        <f t="shared" si="128"/>
        <v>6034</v>
      </c>
      <c r="AT197" s="274">
        <f t="shared" si="138"/>
        <v>6580</v>
      </c>
      <c r="AU197" s="274">
        <f t="shared" si="189"/>
        <v>8099</v>
      </c>
      <c r="AV197" s="274">
        <f t="shared" si="139"/>
        <v>9653</v>
      </c>
      <c r="AW197" s="274"/>
      <c r="AX197" s="274">
        <f t="shared" si="140"/>
        <v>350</v>
      </c>
      <c r="AY197" s="274">
        <f t="shared" si="141"/>
        <v>1029</v>
      </c>
      <c r="AZ197" s="274">
        <f t="shared" si="142"/>
        <v>1792</v>
      </c>
      <c r="BA197" s="274"/>
      <c r="BB197" s="274">
        <f t="shared" si="143"/>
        <v>3229</v>
      </c>
      <c r="BC197" s="274">
        <f t="shared" si="144"/>
        <v>3969</v>
      </c>
      <c r="BD197" s="274">
        <f t="shared" si="145"/>
        <v>4662</v>
      </c>
      <c r="BE197" s="274"/>
      <c r="BF197" s="274">
        <f t="shared" si="146"/>
        <v>9156</v>
      </c>
      <c r="BG197" s="274"/>
      <c r="BH197" s="274"/>
      <c r="BI197" s="266">
        <f t="shared" si="147"/>
        <v>6.4198587631072112E-4</v>
      </c>
      <c r="BJ197" s="266" t="e">
        <f t="shared" si="148"/>
        <v>#DIV/0!</v>
      </c>
      <c r="BK197" s="263" t="str">
        <f t="shared" si="149"/>
        <v/>
      </c>
      <c r="BL197" s="263" t="str">
        <f t="shared" si="150"/>
        <v/>
      </c>
      <c r="BM197" s="263" t="str">
        <f t="shared" si="151"/>
        <v/>
      </c>
      <c r="BN197" s="263"/>
      <c r="BO197" s="263" t="str">
        <f t="shared" si="152"/>
        <v/>
      </c>
      <c r="BP197" s="263" t="str">
        <f t="shared" si="153"/>
        <v/>
      </c>
      <c r="BQ197" s="263" t="str">
        <f t="shared" si="154"/>
        <v/>
      </c>
      <c r="BR197" s="263" t="str">
        <f t="shared" si="155"/>
        <v/>
      </c>
      <c r="BS197" s="263" t="str">
        <f t="shared" si="156"/>
        <v/>
      </c>
      <c r="BT197" s="263" t="str">
        <f t="shared" si="157"/>
        <v/>
      </c>
      <c r="BU197" s="263" t="str">
        <f t="shared" si="158"/>
        <v/>
      </c>
      <c r="BV197" s="263"/>
      <c r="BW197" s="263" t="str">
        <f t="shared" si="159"/>
        <v/>
      </c>
      <c r="BX197" s="263"/>
      <c r="BY197" s="263" t="str">
        <f t="shared" si="160"/>
        <v/>
      </c>
      <c r="BZ197" s="263"/>
      <c r="CA197" s="263">
        <f t="shared" si="182"/>
        <v>0</v>
      </c>
      <c r="CB197" s="263">
        <f t="shared" si="161"/>
        <v>0</v>
      </c>
      <c r="CC197" s="263">
        <f t="shared" si="183"/>
        <v>1</v>
      </c>
      <c r="CD197" s="263">
        <f t="shared" si="162"/>
        <v>0</v>
      </c>
      <c r="CE197" s="263">
        <f t="shared" si="167"/>
        <v>0</v>
      </c>
      <c r="CF197" s="263">
        <f t="shared" si="184"/>
        <v>0</v>
      </c>
      <c r="CG197" s="263">
        <f t="shared" si="185"/>
        <v>0</v>
      </c>
      <c r="CH197" s="263"/>
      <c r="CI197" s="263">
        <f t="shared" si="163"/>
        <v>0</v>
      </c>
      <c r="CJ197" s="263"/>
      <c r="CK197" s="263">
        <f t="shared" si="164"/>
        <v>0</v>
      </c>
      <c r="CL197" s="264">
        <f t="shared" si="188"/>
        <v>0</v>
      </c>
      <c r="CM197" s="264">
        <f t="shared" si="165"/>
        <v>1029</v>
      </c>
      <c r="CO197" s="265">
        <v>9.5199999999999993E-2</v>
      </c>
      <c r="CP197" s="265">
        <v>9.8599999999999993E-2</v>
      </c>
      <c r="CQ197" s="265">
        <v>9.9010000000000001E-2</v>
      </c>
      <c r="CS197" s="265">
        <v>0.10102</v>
      </c>
      <c r="CT197" s="265">
        <v>9.9519999999999997E-2</v>
      </c>
      <c r="CU197" s="265">
        <v>0.10525999999999999</v>
      </c>
      <c r="CV197" s="265">
        <v>0.10615000000000001</v>
      </c>
      <c r="CW197" s="265">
        <v>0.10775</v>
      </c>
      <c r="CY197" s="265">
        <v>0.10949</v>
      </c>
      <c r="DA197" s="265">
        <v>0.11381000000000001</v>
      </c>
      <c r="DC197" s="265">
        <v>0.11265</v>
      </c>
      <c r="DE197" s="265">
        <v>5.2350000000000001E-2</v>
      </c>
      <c r="DF197" s="265">
        <v>5.4390000000000001E-2</v>
      </c>
      <c r="DH197" s="265">
        <v>5.5500000000000001E-2</v>
      </c>
      <c r="DI197" s="265">
        <v>5.6399999999999999E-2</v>
      </c>
      <c r="DJ197" s="265">
        <v>5.67E-2</v>
      </c>
      <c r="DL197" s="265">
        <v>5.5800000000000002E-2</v>
      </c>
      <c r="DO197" s="264" t="e">
        <f t="shared" si="191"/>
        <v>#N/A</v>
      </c>
      <c r="DP197" s="264" t="e" cm="1">
        <f t="array" ref="DP197">+INDEX(AH197:AV197,MATCH(DO197,AH197:AV197,1)+1)</f>
        <v>#N/A</v>
      </c>
      <c r="DQ197" s="265" t="e">
        <f t="shared" si="192"/>
        <v>#N/A</v>
      </c>
      <c r="DR197" s="267" t="e">
        <f t="shared" si="193"/>
        <v>#N/A</v>
      </c>
      <c r="DS197" s="267" t="e">
        <f t="shared" si="194"/>
        <v>#N/A</v>
      </c>
      <c r="DT197" s="268">
        <f t="shared" si="195"/>
        <v>1029</v>
      </c>
      <c r="DU197" s="268" cm="1">
        <f t="array" ref="DU197">+INDEX(AX197:BF197,MATCH(DT197,AX197:BF197,1)+1)</f>
        <v>1792</v>
      </c>
      <c r="DV197" s="267">
        <f t="shared" si="175"/>
        <v>5.4390000000000001E-2</v>
      </c>
      <c r="DW197" s="267">
        <f t="shared" si="196"/>
        <v>0</v>
      </c>
      <c r="DX197" s="267">
        <f t="shared" si="197"/>
        <v>5.4390000000000001E-2</v>
      </c>
      <c r="DY197" s="267">
        <f t="shared" si="190"/>
        <v>7.1599999999999997E-2</v>
      </c>
      <c r="DZ197" s="205">
        <f t="shared" si="179"/>
        <v>0.12988432400000005</v>
      </c>
      <c r="EA197" s="205">
        <f t="shared" si="180"/>
        <v>8.3383901562165659E-5</v>
      </c>
    </row>
    <row r="198" spans="2:131">
      <c r="B198" s="272">
        <v>45435</v>
      </c>
      <c r="C198" s="271">
        <v>45435</v>
      </c>
      <c r="D198" s="263" t="e">
        <f>+SUMIFS(Tabla6[Nominal COP],Tabla6[Concepto],COSTO_OPORTUNIDAD!$B$18,Tabla6[Nemotécnico],COSTO_OPORTUNIDAD!D$16,Tabla6[Fecha Cumplimiento y/ liquidacion],COSTO_OPORTUNIDAD!$C198)/+SUMIFS(Tabla6[Nominal COP],Tabla6[Concepto],COSTO_OPORTUNIDAD!$B$18,Tabla6[Fecha Cumplimiento y/ liquidacion],COSTO_OPORTUNIDAD!$C198)</f>
        <v>#DIV/0!</v>
      </c>
      <c r="E198" s="263" t="e">
        <f>+SUMIFS(Tabla6[Nominal COP],Tabla6[Concepto],COSTO_OPORTUNIDAD!$B$18,Tabla6[Nemotécnico],COSTO_OPORTUNIDAD!E$16,Tabla6[Fecha Cumplimiento y/ liquidacion],COSTO_OPORTUNIDAD!$C198)/+SUMIFS(Tabla6[Nominal COP],Tabla6[Concepto],COSTO_OPORTUNIDAD!$B$18,Tabla6[Fecha Cumplimiento y/ liquidacion],COSTO_OPORTUNIDAD!$C198)</f>
        <v>#DIV/0!</v>
      </c>
      <c r="F198" s="263"/>
      <c r="G198" s="263"/>
      <c r="H198" s="263">
        <v>0.49472295514511871</v>
      </c>
      <c r="I198" s="263"/>
      <c r="J198" s="263">
        <v>0</v>
      </c>
      <c r="K198" s="263">
        <v>0</v>
      </c>
      <c r="L198" s="263"/>
      <c r="M198" s="263">
        <v>0</v>
      </c>
      <c r="N198" s="263"/>
      <c r="O198" s="263"/>
      <c r="P198" s="263">
        <v>0</v>
      </c>
      <c r="Q198" s="263"/>
      <c r="R198" s="263">
        <v>0.50461741424802109</v>
      </c>
      <c r="S198" s="263"/>
      <c r="T198" s="263">
        <v>0</v>
      </c>
      <c r="U198" s="263"/>
      <c r="V198" s="263">
        <v>0</v>
      </c>
      <c r="W198" s="263">
        <v>0</v>
      </c>
      <c r="X198" s="263">
        <v>6.5963060686015829E-4</v>
      </c>
      <c r="Y198" s="263"/>
      <c r="Z198" s="263">
        <v>0</v>
      </c>
      <c r="AA198" s="263">
        <v>0</v>
      </c>
      <c r="AB198" s="263">
        <v>0</v>
      </c>
      <c r="AC198" s="263"/>
      <c r="AD198" s="263">
        <v>0</v>
      </c>
      <c r="AE198" s="263"/>
      <c r="AF198" s="263"/>
      <c r="AG198" s="262"/>
      <c r="AH198" s="274">
        <f t="shared" si="130"/>
        <v>825</v>
      </c>
      <c r="AI198" s="274">
        <f t="shared" si="131"/>
        <v>1259</v>
      </c>
      <c r="AJ198" s="274">
        <f t="shared" si="132"/>
        <v>1436</v>
      </c>
      <c r="AK198" s="274">
        <f t="shared" si="127"/>
        <v>1917</v>
      </c>
      <c r="AL198" s="274">
        <f t="shared" si="133"/>
        <v>2309</v>
      </c>
      <c r="AM198" s="274">
        <f t="shared" si="134"/>
        <v>2498</v>
      </c>
      <c r="AN198" s="274">
        <f t="shared" si="135"/>
        <v>2960</v>
      </c>
      <c r="AO198" s="274">
        <f t="shared" si="187"/>
        <v>3184</v>
      </c>
      <c r="AP198" s="274">
        <f t="shared" si="136"/>
        <v>3800</v>
      </c>
      <c r="AQ198" s="274"/>
      <c r="AR198" s="274">
        <f t="shared" si="137"/>
        <v>4430</v>
      </c>
      <c r="AS198" s="274">
        <f t="shared" si="128"/>
        <v>6033</v>
      </c>
      <c r="AT198" s="274">
        <f t="shared" si="138"/>
        <v>6579</v>
      </c>
      <c r="AU198" s="274">
        <f t="shared" si="189"/>
        <v>8098</v>
      </c>
      <c r="AV198" s="274">
        <f t="shared" si="139"/>
        <v>9652</v>
      </c>
      <c r="AW198" s="274"/>
      <c r="AX198" s="274">
        <f t="shared" si="140"/>
        <v>349</v>
      </c>
      <c r="AY198" s="274">
        <f t="shared" si="141"/>
        <v>1028</v>
      </c>
      <c r="AZ198" s="274">
        <f t="shared" si="142"/>
        <v>1791</v>
      </c>
      <c r="BA198" s="274"/>
      <c r="BB198" s="274">
        <f t="shared" si="143"/>
        <v>3228</v>
      </c>
      <c r="BC198" s="274">
        <f t="shared" si="144"/>
        <v>3968</v>
      </c>
      <c r="BD198" s="274">
        <f t="shared" si="145"/>
        <v>4661</v>
      </c>
      <c r="BE198" s="274"/>
      <c r="BF198" s="274">
        <f t="shared" si="146"/>
        <v>9155</v>
      </c>
      <c r="BG198" s="274"/>
      <c r="BH198" s="274"/>
      <c r="BI198" s="266">
        <f t="shared" si="147"/>
        <v>6.5963060686015829E-4</v>
      </c>
      <c r="BJ198" s="266" t="e">
        <f t="shared" si="148"/>
        <v>#DIV/0!</v>
      </c>
      <c r="BK198" s="263" t="str">
        <f t="shared" si="149"/>
        <v/>
      </c>
      <c r="BL198" s="263" t="str">
        <f t="shared" si="150"/>
        <v/>
      </c>
      <c r="BM198" s="263" t="str">
        <f t="shared" si="151"/>
        <v/>
      </c>
      <c r="BN198" s="263"/>
      <c r="BO198" s="263" t="str">
        <f t="shared" si="152"/>
        <v/>
      </c>
      <c r="BP198" s="263" t="str">
        <f t="shared" si="153"/>
        <v/>
      </c>
      <c r="BQ198" s="263" t="str">
        <f t="shared" si="154"/>
        <v/>
      </c>
      <c r="BR198" s="263" t="str">
        <f t="shared" si="155"/>
        <v/>
      </c>
      <c r="BS198" s="263" t="str">
        <f t="shared" si="156"/>
        <v/>
      </c>
      <c r="BT198" s="263" t="str">
        <f t="shared" si="157"/>
        <v/>
      </c>
      <c r="BU198" s="263" t="str">
        <f t="shared" si="158"/>
        <v/>
      </c>
      <c r="BV198" s="263"/>
      <c r="BW198" s="263" t="str">
        <f t="shared" si="159"/>
        <v/>
      </c>
      <c r="BX198" s="263"/>
      <c r="BY198" s="263" t="str">
        <f t="shared" si="160"/>
        <v/>
      </c>
      <c r="BZ198" s="263"/>
      <c r="CA198" s="263">
        <f t="shared" si="182"/>
        <v>0</v>
      </c>
      <c r="CB198" s="263">
        <f t="shared" si="161"/>
        <v>0</v>
      </c>
      <c r="CC198" s="263">
        <f t="shared" si="183"/>
        <v>1</v>
      </c>
      <c r="CD198" s="263">
        <f t="shared" si="162"/>
        <v>0</v>
      </c>
      <c r="CE198" s="263">
        <f t="shared" si="167"/>
        <v>0</v>
      </c>
      <c r="CF198" s="263">
        <f t="shared" si="184"/>
        <v>0</v>
      </c>
      <c r="CG198" s="263">
        <f t="shared" si="185"/>
        <v>0</v>
      </c>
      <c r="CH198" s="263"/>
      <c r="CI198" s="263">
        <f t="shared" si="163"/>
        <v>0</v>
      </c>
      <c r="CJ198" s="263"/>
      <c r="CK198" s="263">
        <f t="shared" si="164"/>
        <v>0</v>
      </c>
      <c r="CL198" s="264">
        <f t="shared" si="188"/>
        <v>0</v>
      </c>
      <c r="CM198" s="264">
        <f t="shared" si="165"/>
        <v>1028</v>
      </c>
      <c r="CO198" s="265">
        <v>9.6999999999999989E-2</v>
      </c>
      <c r="CP198" s="265">
        <v>0.10039999999999999</v>
      </c>
      <c r="CQ198" s="265">
        <v>0.1009</v>
      </c>
      <c r="CS198" s="265">
        <v>0.10345</v>
      </c>
      <c r="CT198" s="265">
        <v>0.10339999999999999</v>
      </c>
      <c r="CU198" s="265">
        <v>0.1067</v>
      </c>
      <c r="CV198" s="265">
        <v>0.10830000000000001</v>
      </c>
      <c r="CW198" s="265">
        <v>0.10872</v>
      </c>
      <c r="CY198" s="265">
        <v>0.11137000000000001</v>
      </c>
      <c r="DA198" s="265">
        <v>0.1152</v>
      </c>
      <c r="DC198" s="265">
        <v>0.1144</v>
      </c>
      <c r="DE198" s="265">
        <v>5.2789999999999997E-2</v>
      </c>
      <c r="DF198" s="265">
        <v>5.5359999999999993E-2</v>
      </c>
      <c r="DH198" s="265">
        <v>5.5350000000000003E-2</v>
      </c>
      <c r="DI198" s="265">
        <v>5.6489999999999999E-2</v>
      </c>
      <c r="DJ198" s="265">
        <v>5.7000000000000002E-2</v>
      </c>
      <c r="DL198" s="265">
        <v>5.6009999999999997E-2</v>
      </c>
      <c r="DO198" s="264" t="e">
        <f t="shared" si="191"/>
        <v>#N/A</v>
      </c>
      <c r="DP198" s="264" t="e" cm="1">
        <f t="array" ref="DP198">+INDEX(AH198:AV198,MATCH(DO198,AH198:AV198,1)+1)</f>
        <v>#N/A</v>
      </c>
      <c r="DQ198" s="265" t="e">
        <f t="shared" si="192"/>
        <v>#N/A</v>
      </c>
      <c r="DR198" s="267" t="e">
        <f t="shared" si="193"/>
        <v>#N/A</v>
      </c>
      <c r="DS198" s="267" t="e">
        <f t="shared" si="194"/>
        <v>#N/A</v>
      </c>
      <c r="DT198" s="268">
        <f t="shared" si="195"/>
        <v>1028</v>
      </c>
      <c r="DU198" s="268" cm="1">
        <f t="array" ref="DU198">+INDEX(AX198:BF198,MATCH(DT198,AX198:BF198,1)+1)</f>
        <v>1791</v>
      </c>
      <c r="DV198" s="267">
        <f t="shared" si="175"/>
        <v>5.5359999999999993E-2</v>
      </c>
      <c r="DW198" s="267">
        <f t="shared" si="196"/>
        <v>0</v>
      </c>
      <c r="DX198" s="267">
        <f t="shared" si="197"/>
        <v>5.5359999999999999E-2</v>
      </c>
      <c r="DY198" s="267">
        <f t="shared" si="190"/>
        <v>7.1599999999999997E-2</v>
      </c>
      <c r="DZ198" s="205">
        <f t="shared" si="179"/>
        <v>0.13092377600000016</v>
      </c>
      <c r="EA198" s="205">
        <f t="shared" si="180"/>
        <v>8.6361329815303536E-5</v>
      </c>
    </row>
    <row r="199" spans="2:131">
      <c r="B199" s="272">
        <v>45440</v>
      </c>
      <c r="C199" s="271">
        <v>45440</v>
      </c>
      <c r="D199" s="263" t="e">
        <f>+SUMIFS(Tabla6[Nominal COP],Tabla6[Concepto],COSTO_OPORTUNIDAD!$B$18,Tabla6[Nemotécnico],COSTO_OPORTUNIDAD!D$16,Tabla6[Fecha Cumplimiento y/ liquidacion],COSTO_OPORTUNIDAD!$C199)/+SUMIFS(Tabla6[Nominal COP],Tabla6[Concepto],COSTO_OPORTUNIDAD!$B$18,Tabla6[Fecha Cumplimiento y/ liquidacion],COSTO_OPORTUNIDAD!$C199)</f>
        <v>#DIV/0!</v>
      </c>
      <c r="E199" s="263" t="e">
        <f>+SUMIFS(Tabla6[Nominal COP],Tabla6[Concepto],COSTO_OPORTUNIDAD!$B$18,Tabla6[Nemotécnico],COSTO_OPORTUNIDAD!E$16,Tabla6[Fecha Cumplimiento y/ liquidacion],COSTO_OPORTUNIDAD!$C199)/+SUMIFS(Tabla6[Nominal COP],Tabla6[Concepto],COSTO_OPORTUNIDAD!$B$18,Tabla6[Fecha Cumplimiento y/ liquidacion],COSTO_OPORTUNIDAD!$C199)</f>
        <v>#DIV/0!</v>
      </c>
      <c r="F199" s="263"/>
      <c r="G199" s="263"/>
      <c r="H199" s="263">
        <v>0.99009900990099009</v>
      </c>
      <c r="I199" s="263"/>
      <c r="J199" s="263">
        <v>0</v>
      </c>
      <c r="K199" s="263">
        <v>0</v>
      </c>
      <c r="L199" s="263"/>
      <c r="M199" s="263">
        <v>0</v>
      </c>
      <c r="N199" s="263"/>
      <c r="O199" s="263"/>
      <c r="P199" s="263">
        <v>0</v>
      </c>
      <c r="Q199" s="263"/>
      <c r="R199" s="263">
        <v>0</v>
      </c>
      <c r="S199" s="263"/>
      <c r="T199" s="263">
        <v>0</v>
      </c>
      <c r="U199" s="263"/>
      <c r="V199" s="263">
        <v>0</v>
      </c>
      <c r="W199" s="263">
        <v>0</v>
      </c>
      <c r="X199" s="263">
        <v>9.9009900990099011E-3</v>
      </c>
      <c r="Y199" s="263"/>
      <c r="Z199" s="263">
        <v>0</v>
      </c>
      <c r="AA199" s="263">
        <v>0</v>
      </c>
      <c r="AB199" s="263">
        <v>0</v>
      </c>
      <c r="AC199" s="263"/>
      <c r="AD199" s="263">
        <v>0</v>
      </c>
      <c r="AE199" s="263"/>
      <c r="AF199" s="263"/>
      <c r="AG199" s="262"/>
      <c r="AH199" s="274">
        <f t="shared" si="130"/>
        <v>820</v>
      </c>
      <c r="AI199" s="274">
        <f t="shared" si="131"/>
        <v>1254</v>
      </c>
      <c r="AJ199" s="274">
        <f t="shared" si="132"/>
        <v>1431</v>
      </c>
      <c r="AK199" s="274">
        <f t="shared" si="127"/>
        <v>1912</v>
      </c>
      <c r="AL199" s="274">
        <f t="shared" si="133"/>
        <v>2304</v>
      </c>
      <c r="AM199" s="274">
        <f t="shared" si="134"/>
        <v>2493</v>
      </c>
      <c r="AN199" s="274">
        <f t="shared" si="135"/>
        <v>2955</v>
      </c>
      <c r="AO199" s="274">
        <f t="shared" si="187"/>
        <v>3179</v>
      </c>
      <c r="AP199" s="274">
        <f t="shared" si="136"/>
        <v>3795</v>
      </c>
      <c r="AQ199" s="274"/>
      <c r="AR199" s="274">
        <f t="shared" si="137"/>
        <v>4425</v>
      </c>
      <c r="AS199" s="274">
        <f t="shared" si="128"/>
        <v>6028</v>
      </c>
      <c r="AT199" s="274">
        <f t="shared" si="138"/>
        <v>6574</v>
      </c>
      <c r="AU199" s="274">
        <f t="shared" si="189"/>
        <v>8093</v>
      </c>
      <c r="AV199" s="274">
        <f t="shared" si="139"/>
        <v>9647</v>
      </c>
      <c r="AW199" s="274"/>
      <c r="AX199" s="274">
        <f t="shared" si="140"/>
        <v>344</v>
      </c>
      <c r="AY199" s="274">
        <f t="shared" si="141"/>
        <v>1023</v>
      </c>
      <c r="AZ199" s="274">
        <f t="shared" si="142"/>
        <v>1786</v>
      </c>
      <c r="BA199" s="274"/>
      <c r="BB199" s="274">
        <f t="shared" si="143"/>
        <v>3223</v>
      </c>
      <c r="BC199" s="274">
        <f t="shared" si="144"/>
        <v>3963</v>
      </c>
      <c r="BD199" s="274">
        <f t="shared" si="145"/>
        <v>4656</v>
      </c>
      <c r="BE199" s="274"/>
      <c r="BF199" s="274">
        <f t="shared" si="146"/>
        <v>9150</v>
      </c>
      <c r="BG199" s="274"/>
      <c r="BH199" s="274"/>
      <c r="BI199" s="266">
        <f t="shared" si="147"/>
        <v>9.9009900990099011E-3</v>
      </c>
      <c r="BJ199" s="266" t="e">
        <f t="shared" si="148"/>
        <v>#DIV/0!</v>
      </c>
      <c r="BK199" s="263" t="str">
        <f t="shared" si="149"/>
        <v/>
      </c>
      <c r="BL199" s="263" t="str">
        <f t="shared" si="150"/>
        <v/>
      </c>
      <c r="BM199" s="263" t="str">
        <f t="shared" si="151"/>
        <v/>
      </c>
      <c r="BN199" s="263"/>
      <c r="BO199" s="263" t="str">
        <f t="shared" si="152"/>
        <v/>
      </c>
      <c r="BP199" s="263" t="str">
        <f t="shared" si="153"/>
        <v/>
      </c>
      <c r="BQ199" s="263" t="str">
        <f t="shared" si="154"/>
        <v/>
      </c>
      <c r="BR199" s="263" t="str">
        <f t="shared" si="155"/>
        <v/>
      </c>
      <c r="BS199" s="263" t="str">
        <f t="shared" si="156"/>
        <v/>
      </c>
      <c r="BT199" s="263" t="str">
        <f t="shared" si="157"/>
        <v/>
      </c>
      <c r="BU199" s="263" t="str">
        <f t="shared" si="158"/>
        <v/>
      </c>
      <c r="BV199" s="263"/>
      <c r="BW199" s="263" t="str">
        <f t="shared" si="159"/>
        <v/>
      </c>
      <c r="BX199" s="263"/>
      <c r="BY199" s="263" t="str">
        <f t="shared" si="160"/>
        <v/>
      </c>
      <c r="BZ199" s="263"/>
      <c r="CA199" s="263">
        <f t="shared" si="182"/>
        <v>0</v>
      </c>
      <c r="CB199" s="263">
        <f t="shared" si="161"/>
        <v>0</v>
      </c>
      <c r="CC199" s="263">
        <f t="shared" si="183"/>
        <v>1</v>
      </c>
      <c r="CD199" s="263">
        <f t="shared" si="162"/>
        <v>0</v>
      </c>
      <c r="CE199" s="263">
        <f t="shared" si="167"/>
        <v>0</v>
      </c>
      <c r="CF199" s="263">
        <f t="shared" si="184"/>
        <v>0</v>
      </c>
      <c r="CG199" s="263">
        <f t="shared" si="185"/>
        <v>0</v>
      </c>
      <c r="CH199" s="263"/>
      <c r="CI199" s="263">
        <f t="shared" si="163"/>
        <v>0</v>
      </c>
      <c r="CJ199" s="263"/>
      <c r="CK199" s="263">
        <f t="shared" si="164"/>
        <v>0</v>
      </c>
      <c r="CL199" s="264">
        <f t="shared" si="188"/>
        <v>0</v>
      </c>
      <c r="CM199" s="264">
        <f t="shared" si="165"/>
        <v>1023</v>
      </c>
      <c r="CO199" s="265">
        <v>9.8619999999999999E-2</v>
      </c>
      <c r="CP199" s="265">
        <v>0.10127000000000001</v>
      </c>
      <c r="CQ199" s="265">
        <v>0.1012</v>
      </c>
      <c r="CS199" s="265">
        <v>0.10356</v>
      </c>
      <c r="CT199" s="265">
        <v>0.1045</v>
      </c>
      <c r="CU199" s="265">
        <v>0.10750999999999999</v>
      </c>
      <c r="CV199" s="265">
        <v>0.10880000000000001</v>
      </c>
      <c r="CW199" s="265">
        <v>0.11023999999999999</v>
      </c>
      <c r="CY199" s="265">
        <v>0.11130000000000001</v>
      </c>
      <c r="DA199" s="265">
        <v>0.1162</v>
      </c>
      <c r="DC199" s="265">
        <v>0.11564000000000001</v>
      </c>
      <c r="DE199" s="265">
        <v>5.4019999999999999E-2</v>
      </c>
      <c r="DF199" s="265">
        <v>5.5469999999999998E-2</v>
      </c>
      <c r="DH199" s="265">
        <v>5.6050000000000003E-2</v>
      </c>
      <c r="DI199" s="265">
        <v>5.6399999999999999E-2</v>
      </c>
      <c r="DJ199" s="265">
        <v>5.6730000000000003E-2</v>
      </c>
      <c r="DL199" s="265">
        <v>5.5999999999999994E-2</v>
      </c>
      <c r="DO199" s="264" t="e">
        <f t="shared" si="191"/>
        <v>#N/A</v>
      </c>
      <c r="DP199" s="264" t="e" cm="1">
        <f t="array" ref="DP199">+INDEX(AH199:AV199,MATCH(DO199,AH199:AV199,1)+1)</f>
        <v>#N/A</v>
      </c>
      <c r="DQ199" s="265" t="e">
        <f t="shared" si="192"/>
        <v>#N/A</v>
      </c>
      <c r="DR199" s="267" t="e">
        <f t="shared" si="193"/>
        <v>#N/A</v>
      </c>
      <c r="DS199" s="267" t="e">
        <f t="shared" si="194"/>
        <v>#N/A</v>
      </c>
      <c r="DT199" s="268">
        <f t="shared" si="195"/>
        <v>1023</v>
      </c>
      <c r="DU199" s="268" cm="1">
        <f t="array" ref="DU199">+INDEX(AX199:BF199,MATCH(DT199,AX199:BF199,1)+1)</f>
        <v>1786</v>
      </c>
      <c r="DV199" s="267">
        <f t="shared" si="175"/>
        <v>5.5469999999999998E-2</v>
      </c>
      <c r="DW199" s="267">
        <f t="shared" si="196"/>
        <v>0</v>
      </c>
      <c r="DX199" s="267">
        <f t="shared" si="197"/>
        <v>5.5469999999999998E-2</v>
      </c>
      <c r="DY199" s="267">
        <f t="shared" si="190"/>
        <v>7.1599999999999997E-2</v>
      </c>
      <c r="DZ199" s="205">
        <f t="shared" si="179"/>
        <v>0.13104165199999995</v>
      </c>
      <c r="EA199" s="205">
        <f t="shared" si="180"/>
        <v>1.2974420990099005E-3</v>
      </c>
    </row>
    <row r="200" spans="2:131">
      <c r="B200" s="272">
        <v>45441</v>
      </c>
      <c r="C200" s="271">
        <v>45441</v>
      </c>
      <c r="D200" s="263" t="e">
        <f>+SUMIFS(Tabla6[Nominal COP],Tabla6[Concepto],COSTO_OPORTUNIDAD!$B$18,Tabla6[Nemotécnico],COSTO_OPORTUNIDAD!D$16,Tabla6[Fecha Cumplimiento y/ liquidacion],COSTO_OPORTUNIDAD!$C200)/+SUMIFS(Tabla6[Nominal COP],Tabla6[Concepto],COSTO_OPORTUNIDAD!$B$18,Tabla6[Fecha Cumplimiento y/ liquidacion],COSTO_OPORTUNIDAD!$C200)</f>
        <v>#DIV/0!</v>
      </c>
      <c r="E200" s="263" t="e">
        <f>+SUMIFS(Tabla6[Nominal COP],Tabla6[Concepto],COSTO_OPORTUNIDAD!$B$18,Tabla6[Nemotécnico],COSTO_OPORTUNIDAD!E$16,Tabla6[Fecha Cumplimiento y/ liquidacion],COSTO_OPORTUNIDAD!$C200)/+SUMIFS(Tabla6[Nominal COP],Tabla6[Concepto],COSTO_OPORTUNIDAD!$B$18,Tabla6[Fecha Cumplimiento y/ liquidacion],COSTO_OPORTUNIDAD!$C200)</f>
        <v>#DIV/0!</v>
      </c>
      <c r="F200" s="263"/>
      <c r="G200" s="263"/>
      <c r="H200" s="263">
        <v>0.41291133934185703</v>
      </c>
      <c r="I200" s="263"/>
      <c r="J200" s="263">
        <v>0</v>
      </c>
      <c r="K200" s="263">
        <v>0</v>
      </c>
      <c r="L200" s="263"/>
      <c r="M200" s="263">
        <v>0</v>
      </c>
      <c r="N200" s="263"/>
      <c r="O200" s="263"/>
      <c r="P200" s="263">
        <v>0</v>
      </c>
      <c r="Q200" s="263"/>
      <c r="R200" s="263">
        <v>0.5868790609935024</v>
      </c>
      <c r="S200" s="263"/>
      <c r="T200" s="263">
        <v>0</v>
      </c>
      <c r="U200" s="263"/>
      <c r="V200" s="263">
        <v>0</v>
      </c>
      <c r="W200" s="263">
        <v>0</v>
      </c>
      <c r="X200" s="263">
        <v>2.0959966464053657E-4</v>
      </c>
      <c r="Y200" s="263"/>
      <c r="Z200" s="263">
        <v>0</v>
      </c>
      <c r="AA200" s="263">
        <v>0</v>
      </c>
      <c r="AB200" s="263">
        <v>0</v>
      </c>
      <c r="AC200" s="263"/>
      <c r="AD200" s="263">
        <v>0</v>
      </c>
      <c r="AE200" s="263"/>
      <c r="AF200" s="263"/>
      <c r="AG200" s="262"/>
      <c r="AH200" s="274">
        <f t="shared" si="130"/>
        <v>819</v>
      </c>
      <c r="AI200" s="274">
        <f t="shared" si="131"/>
        <v>1253</v>
      </c>
      <c r="AJ200" s="274">
        <f t="shared" si="132"/>
        <v>1430</v>
      </c>
      <c r="AK200" s="274">
        <f t="shared" si="127"/>
        <v>1911</v>
      </c>
      <c r="AL200" s="274">
        <f t="shared" si="133"/>
        <v>2303</v>
      </c>
      <c r="AM200" s="274">
        <f t="shared" si="134"/>
        <v>2492</v>
      </c>
      <c r="AN200" s="274">
        <f t="shared" si="135"/>
        <v>2954</v>
      </c>
      <c r="AO200" s="274">
        <f t="shared" si="187"/>
        <v>3178</v>
      </c>
      <c r="AP200" s="274">
        <f t="shared" si="136"/>
        <v>3794</v>
      </c>
      <c r="AQ200" s="274"/>
      <c r="AR200" s="274">
        <f t="shared" si="137"/>
        <v>4424</v>
      </c>
      <c r="AS200" s="274">
        <f t="shared" si="128"/>
        <v>6027</v>
      </c>
      <c r="AT200" s="274">
        <f t="shared" si="138"/>
        <v>6573</v>
      </c>
      <c r="AU200" s="274">
        <f t="shared" si="189"/>
        <v>8092</v>
      </c>
      <c r="AV200" s="274">
        <f t="shared" si="139"/>
        <v>9646</v>
      </c>
      <c r="AW200" s="274"/>
      <c r="AX200" s="274">
        <f t="shared" si="140"/>
        <v>343</v>
      </c>
      <c r="AY200" s="274">
        <f t="shared" si="141"/>
        <v>1022</v>
      </c>
      <c r="AZ200" s="274">
        <f t="shared" si="142"/>
        <v>1785</v>
      </c>
      <c r="BA200" s="274"/>
      <c r="BB200" s="274">
        <f t="shared" si="143"/>
        <v>3222</v>
      </c>
      <c r="BC200" s="274">
        <f t="shared" si="144"/>
        <v>3962</v>
      </c>
      <c r="BD200" s="274">
        <f t="shared" si="145"/>
        <v>4655</v>
      </c>
      <c r="BE200" s="274"/>
      <c r="BF200" s="274">
        <f t="shared" si="146"/>
        <v>9149</v>
      </c>
      <c r="BG200" s="274"/>
      <c r="BH200" s="274"/>
      <c r="BI200" s="266">
        <f t="shared" si="147"/>
        <v>2.0959966464053657E-4</v>
      </c>
      <c r="BJ200" s="266" t="e">
        <f t="shared" si="148"/>
        <v>#DIV/0!</v>
      </c>
      <c r="BK200" s="263" t="str">
        <f t="shared" si="149"/>
        <v/>
      </c>
      <c r="BL200" s="263" t="str">
        <f t="shared" si="150"/>
        <v/>
      </c>
      <c r="BM200" s="263" t="str">
        <f t="shared" si="151"/>
        <v/>
      </c>
      <c r="BN200" s="263"/>
      <c r="BO200" s="263" t="str">
        <f t="shared" si="152"/>
        <v/>
      </c>
      <c r="BP200" s="263" t="str">
        <f t="shared" si="153"/>
        <v/>
      </c>
      <c r="BQ200" s="263" t="str">
        <f t="shared" si="154"/>
        <v/>
      </c>
      <c r="BR200" s="263" t="str">
        <f t="shared" si="155"/>
        <v/>
      </c>
      <c r="BS200" s="263" t="str">
        <f t="shared" si="156"/>
        <v/>
      </c>
      <c r="BT200" s="263" t="str">
        <f t="shared" si="157"/>
        <v/>
      </c>
      <c r="BU200" s="263" t="str">
        <f t="shared" si="158"/>
        <v/>
      </c>
      <c r="BV200" s="263"/>
      <c r="BW200" s="263" t="str">
        <f t="shared" si="159"/>
        <v/>
      </c>
      <c r="BX200" s="263"/>
      <c r="BY200" s="263" t="str">
        <f t="shared" si="160"/>
        <v/>
      </c>
      <c r="BZ200" s="263"/>
      <c r="CA200" s="263">
        <f t="shared" si="182"/>
        <v>0</v>
      </c>
      <c r="CB200" s="263">
        <f t="shared" si="161"/>
        <v>0</v>
      </c>
      <c r="CC200" s="263">
        <f t="shared" si="183"/>
        <v>1</v>
      </c>
      <c r="CD200" s="263">
        <f t="shared" si="162"/>
        <v>0</v>
      </c>
      <c r="CE200" s="263">
        <f t="shared" si="167"/>
        <v>0</v>
      </c>
      <c r="CF200" s="263">
        <f t="shared" si="184"/>
        <v>0</v>
      </c>
      <c r="CG200" s="263">
        <f t="shared" si="185"/>
        <v>0</v>
      </c>
      <c r="CH200" s="263"/>
      <c r="CI200" s="263">
        <f t="shared" si="163"/>
        <v>0</v>
      </c>
      <c r="CJ200" s="263"/>
      <c r="CK200" s="263">
        <f t="shared" si="164"/>
        <v>0</v>
      </c>
      <c r="CL200" s="264">
        <f t="shared" si="188"/>
        <v>0</v>
      </c>
      <c r="CM200" s="264">
        <f t="shared" si="165"/>
        <v>1022</v>
      </c>
      <c r="CO200" s="265">
        <v>9.9000000000000005E-2</v>
      </c>
      <c r="CP200" s="265">
        <v>0.10199999999999999</v>
      </c>
      <c r="CQ200" s="265">
        <v>0.1026</v>
      </c>
      <c r="CS200" s="265">
        <v>0.10375999999999999</v>
      </c>
      <c r="CT200" s="265">
        <v>0.1045</v>
      </c>
      <c r="CU200" s="265">
        <v>0.10836999999999999</v>
      </c>
      <c r="CV200" s="265">
        <v>0.1094</v>
      </c>
      <c r="CW200" s="265">
        <v>0.1103</v>
      </c>
      <c r="CY200" s="265">
        <v>0.11291999999999999</v>
      </c>
      <c r="DA200" s="265">
        <v>0.11711000000000001</v>
      </c>
      <c r="DC200" s="265">
        <v>0.11609999999999999</v>
      </c>
      <c r="DE200" s="265">
        <v>5.3600000000000002E-2</v>
      </c>
      <c r="DF200" s="265">
        <v>5.4610000000000006E-2</v>
      </c>
      <c r="DH200" s="265">
        <v>5.6050000000000003E-2</v>
      </c>
      <c r="DI200" s="265">
        <v>5.5800000000000002E-2</v>
      </c>
      <c r="DJ200" s="265">
        <v>5.6600000000000004E-2</v>
      </c>
      <c r="DL200" s="265">
        <v>5.5899999999999998E-2</v>
      </c>
      <c r="DO200" s="264" t="e">
        <f t="shared" si="191"/>
        <v>#N/A</v>
      </c>
      <c r="DP200" s="264" t="e" cm="1">
        <f t="array" ref="DP200">+INDEX(AH200:AV200,MATCH(DO200,AH200:AV200,1)+1)</f>
        <v>#N/A</v>
      </c>
      <c r="DQ200" s="265" t="e">
        <f t="shared" si="192"/>
        <v>#N/A</v>
      </c>
      <c r="DR200" s="267" t="e">
        <f t="shared" si="193"/>
        <v>#N/A</v>
      </c>
      <c r="DS200" s="267" t="e">
        <f t="shared" si="194"/>
        <v>#N/A</v>
      </c>
      <c r="DT200" s="268">
        <f t="shared" si="195"/>
        <v>1022</v>
      </c>
      <c r="DU200" s="268" cm="1">
        <f t="array" ref="DU200">+INDEX(AX200:BF200,MATCH(DT200,AX200:BF200,1)+1)</f>
        <v>1785</v>
      </c>
      <c r="DV200" s="267">
        <f t="shared" si="175"/>
        <v>5.4610000000000006E-2</v>
      </c>
      <c r="DW200" s="267">
        <f t="shared" si="196"/>
        <v>0</v>
      </c>
      <c r="DX200" s="267">
        <f t="shared" si="197"/>
        <v>5.4609999999999999E-2</v>
      </c>
      <c r="DY200" s="267">
        <f t="shared" si="190"/>
        <v>7.1599999999999997E-2</v>
      </c>
      <c r="DZ200" s="205">
        <f t="shared" si="179"/>
        <v>0.13012007600000008</v>
      </c>
      <c r="EA200" s="205">
        <f t="shared" si="180"/>
        <v>2.7273124292601149E-5</v>
      </c>
    </row>
    <row r="201" spans="2:131">
      <c r="B201" s="272">
        <v>45442</v>
      </c>
      <c r="C201" s="271">
        <v>45442</v>
      </c>
      <c r="D201" s="263" t="e">
        <f>+SUMIFS(Tabla6[Nominal COP],Tabla6[Concepto],COSTO_OPORTUNIDAD!$B$18,Tabla6[Nemotécnico],COSTO_OPORTUNIDAD!D$16,Tabla6[Fecha Cumplimiento y/ liquidacion],COSTO_OPORTUNIDAD!$C201)/+SUMIFS(Tabla6[Nominal COP],Tabla6[Concepto],COSTO_OPORTUNIDAD!$B$18,Tabla6[Fecha Cumplimiento y/ liquidacion],COSTO_OPORTUNIDAD!$C201)</f>
        <v>#DIV/0!</v>
      </c>
      <c r="E201" s="263" t="e">
        <f>+SUMIFS(Tabla6[Nominal COP],Tabla6[Concepto],COSTO_OPORTUNIDAD!$B$18,Tabla6[Nemotécnico],COSTO_OPORTUNIDAD!E$16,Tabla6[Fecha Cumplimiento y/ liquidacion],COSTO_OPORTUNIDAD!$C201)/+SUMIFS(Tabla6[Nominal COP],Tabla6[Concepto],COSTO_OPORTUNIDAD!$B$18,Tabla6[Fecha Cumplimiento y/ liquidacion],COSTO_OPORTUNIDAD!$C201)</f>
        <v>#DIV/0!</v>
      </c>
      <c r="F201" s="263"/>
      <c r="G201" s="263"/>
      <c r="H201" s="263">
        <v>0.3664717348927875</v>
      </c>
      <c r="I201" s="263"/>
      <c r="J201" s="263">
        <v>0</v>
      </c>
      <c r="K201" s="263">
        <v>0</v>
      </c>
      <c r="L201" s="263"/>
      <c r="M201" s="263">
        <v>0</v>
      </c>
      <c r="N201" s="263"/>
      <c r="O201" s="263"/>
      <c r="P201" s="263">
        <v>0</v>
      </c>
      <c r="Q201" s="263"/>
      <c r="R201" s="263">
        <v>0.6335282651072125</v>
      </c>
      <c r="S201" s="263"/>
      <c r="T201" s="263">
        <v>0</v>
      </c>
      <c r="U201" s="263"/>
      <c r="V201" s="263">
        <v>0</v>
      </c>
      <c r="W201" s="263">
        <v>0</v>
      </c>
      <c r="X201" s="263">
        <v>0</v>
      </c>
      <c r="Y201" s="263"/>
      <c r="Z201" s="263">
        <v>0</v>
      </c>
      <c r="AA201" s="263">
        <v>0</v>
      </c>
      <c r="AB201" s="263">
        <v>0</v>
      </c>
      <c r="AC201" s="263"/>
      <c r="AD201" s="263">
        <v>0</v>
      </c>
      <c r="AE201" s="263"/>
      <c r="AF201" s="263"/>
      <c r="AG201" s="262"/>
      <c r="AH201" s="274">
        <f t="shared" si="130"/>
        <v>818</v>
      </c>
      <c r="AI201" s="274">
        <f t="shared" si="131"/>
        <v>1252</v>
      </c>
      <c r="AJ201" s="274">
        <f t="shared" si="132"/>
        <v>1429</v>
      </c>
      <c r="AK201" s="274">
        <f t="shared" ref="AK201:AK264" si="198">(I$17-$B201)</f>
        <v>1910</v>
      </c>
      <c r="AL201" s="274">
        <f t="shared" si="133"/>
        <v>2302</v>
      </c>
      <c r="AM201" s="274">
        <f t="shared" si="134"/>
        <v>2491</v>
      </c>
      <c r="AN201" s="274">
        <f t="shared" si="135"/>
        <v>2953</v>
      </c>
      <c r="AO201" s="274">
        <f t="shared" si="187"/>
        <v>3177</v>
      </c>
      <c r="AP201" s="274">
        <f t="shared" si="136"/>
        <v>3793</v>
      </c>
      <c r="AQ201" s="274"/>
      <c r="AR201" s="274">
        <f t="shared" si="137"/>
        <v>4423</v>
      </c>
      <c r="AS201" s="274">
        <f t="shared" ref="AS201:AS264" si="199">(Q$17-$B201)</f>
        <v>6026</v>
      </c>
      <c r="AT201" s="274">
        <f t="shared" si="138"/>
        <v>6572</v>
      </c>
      <c r="AU201" s="274">
        <f t="shared" si="189"/>
        <v>8091</v>
      </c>
      <c r="AV201" s="274">
        <f t="shared" si="139"/>
        <v>9645</v>
      </c>
      <c r="AW201" s="274"/>
      <c r="AX201" s="274">
        <f t="shared" si="140"/>
        <v>342</v>
      </c>
      <c r="AY201" s="274">
        <f t="shared" si="141"/>
        <v>1021</v>
      </c>
      <c r="AZ201" s="274">
        <f t="shared" si="142"/>
        <v>1784</v>
      </c>
      <c r="BA201" s="274"/>
      <c r="BB201" s="274">
        <f t="shared" si="143"/>
        <v>3221</v>
      </c>
      <c r="BC201" s="274">
        <f t="shared" si="144"/>
        <v>3961</v>
      </c>
      <c r="BD201" s="274">
        <f t="shared" si="145"/>
        <v>4654</v>
      </c>
      <c r="BE201" s="274"/>
      <c r="BF201" s="274">
        <f t="shared" si="146"/>
        <v>9148</v>
      </c>
      <c r="BG201" s="274"/>
      <c r="BH201" s="274"/>
      <c r="BI201" s="266">
        <f t="shared" si="147"/>
        <v>0</v>
      </c>
      <c r="BJ201" s="266" t="e">
        <f t="shared" si="148"/>
        <v>#DIV/0!</v>
      </c>
      <c r="BK201" s="263" t="str">
        <f t="shared" si="149"/>
        <v/>
      </c>
      <c r="BL201" s="263" t="str">
        <f t="shared" si="150"/>
        <v/>
      </c>
      <c r="BM201" s="263" t="str">
        <f t="shared" si="151"/>
        <v/>
      </c>
      <c r="BN201" s="263"/>
      <c r="BO201" s="263" t="str">
        <f t="shared" si="152"/>
        <v/>
      </c>
      <c r="BP201" s="263" t="str">
        <f t="shared" si="153"/>
        <v/>
      </c>
      <c r="BQ201" s="263" t="str">
        <f t="shared" si="154"/>
        <v/>
      </c>
      <c r="BR201" s="263" t="str">
        <f t="shared" si="155"/>
        <v/>
      </c>
      <c r="BS201" s="263" t="str">
        <f t="shared" si="156"/>
        <v/>
      </c>
      <c r="BT201" s="263" t="str">
        <f t="shared" si="157"/>
        <v/>
      </c>
      <c r="BU201" s="263" t="str">
        <f t="shared" si="158"/>
        <v/>
      </c>
      <c r="BV201" s="263"/>
      <c r="BW201" s="263" t="str">
        <f t="shared" si="159"/>
        <v/>
      </c>
      <c r="BX201" s="263"/>
      <c r="BY201" s="263" t="str">
        <f t="shared" si="160"/>
        <v/>
      </c>
      <c r="BZ201" s="263"/>
      <c r="CA201" s="263" t="str">
        <f t="shared" si="182"/>
        <v/>
      </c>
      <c r="CB201" s="263" t="str">
        <f t="shared" si="161"/>
        <v/>
      </c>
      <c r="CC201" s="263" t="str">
        <f t="shared" si="183"/>
        <v/>
      </c>
      <c r="CD201" s="263" t="str">
        <f t="shared" si="162"/>
        <v/>
      </c>
      <c r="CE201" s="263" t="str">
        <f t="shared" si="167"/>
        <v/>
      </c>
      <c r="CF201" s="263" t="str">
        <f t="shared" si="184"/>
        <v/>
      </c>
      <c r="CG201" s="263" t="str">
        <f t="shared" si="185"/>
        <v/>
      </c>
      <c r="CH201" s="263"/>
      <c r="CI201" s="263" t="str">
        <f t="shared" si="163"/>
        <v/>
      </c>
      <c r="CJ201" s="263"/>
      <c r="CK201" s="263" t="str">
        <f t="shared" si="164"/>
        <v/>
      </c>
      <c r="CL201" s="264">
        <f t="shared" si="188"/>
        <v>0</v>
      </c>
      <c r="CM201" s="264">
        <f t="shared" si="165"/>
        <v>0</v>
      </c>
      <c r="CO201" s="265">
        <v>9.8800000000000013E-2</v>
      </c>
      <c r="CP201" s="265">
        <v>0.1018</v>
      </c>
      <c r="CQ201" s="265">
        <v>0.10249999999999999</v>
      </c>
      <c r="CS201" s="265">
        <v>0.1047</v>
      </c>
      <c r="CT201" s="265">
        <v>0.1045</v>
      </c>
      <c r="CU201" s="265">
        <v>0.1081</v>
      </c>
      <c r="CV201" s="265">
        <v>0.10920000000000001</v>
      </c>
      <c r="CW201" s="265">
        <v>0.11019999999999999</v>
      </c>
      <c r="CY201" s="265">
        <v>0.11269999999999999</v>
      </c>
      <c r="DA201" s="265">
        <v>0.1174</v>
      </c>
      <c r="DC201" s="265">
        <v>0.11686999999999999</v>
      </c>
      <c r="DE201" s="265">
        <v>5.3040000000000004E-2</v>
      </c>
      <c r="DF201" s="265">
        <v>5.45E-2</v>
      </c>
      <c r="DH201" s="265">
        <v>5.6050000000000003E-2</v>
      </c>
      <c r="DI201" s="265">
        <v>5.5739999999999998E-2</v>
      </c>
      <c r="DJ201" s="265">
        <v>5.6500000000000002E-2</v>
      </c>
      <c r="DL201" s="265">
        <v>5.5519999999999993E-2</v>
      </c>
      <c r="DO201" s="264" t="e">
        <f t="shared" si="191"/>
        <v>#N/A</v>
      </c>
      <c r="DP201" s="264" t="e" cm="1">
        <f t="array" ref="DP201">+INDEX(AH201:AV201,MATCH(DO201,AH201:AV201,1)+1)</f>
        <v>#N/A</v>
      </c>
      <c r="DQ201" s="265" t="e">
        <f t="shared" si="192"/>
        <v>#N/A</v>
      </c>
      <c r="DR201" s="267" t="e">
        <f t="shared" si="193"/>
        <v>#N/A</v>
      </c>
      <c r="DS201" s="267" t="e">
        <f t="shared" si="194"/>
        <v>#N/A</v>
      </c>
      <c r="DT201" s="268" t="e">
        <f t="shared" si="195"/>
        <v>#N/A</v>
      </c>
      <c r="DU201" s="268" t="e" cm="1">
        <f t="array" ref="DU201">+INDEX(AX201:BF201,MATCH(DT201,AX201:BF201,1)+1)</f>
        <v>#N/A</v>
      </c>
      <c r="DV201" s="267" t="e">
        <f t="shared" si="175"/>
        <v>#N/A</v>
      </c>
      <c r="DW201" s="267" t="e">
        <f t="shared" si="196"/>
        <v>#N/A</v>
      </c>
      <c r="DX201" s="267" t="e">
        <f t="shared" si="197"/>
        <v>#N/A</v>
      </c>
      <c r="DY201" s="267">
        <f t="shared" si="190"/>
        <v>7.1599999999999997E-2</v>
      </c>
      <c r="DZ201" s="205" t="e">
        <f t="shared" si="179"/>
        <v>#N/A</v>
      </c>
      <c r="EA201" s="205">
        <f t="shared" si="180"/>
        <v>0</v>
      </c>
    </row>
    <row r="202" spans="2:131">
      <c r="B202" s="272">
        <v>45443</v>
      </c>
      <c r="C202" s="271">
        <v>45443</v>
      </c>
      <c r="D202" s="263" t="e">
        <f>+SUMIFS(Tabla6[Nominal COP],Tabla6[Concepto],COSTO_OPORTUNIDAD!$B$18,Tabla6[Nemotécnico],COSTO_OPORTUNIDAD!D$16,Tabla6[Fecha Cumplimiento y/ liquidacion],COSTO_OPORTUNIDAD!$C202)/+SUMIFS(Tabla6[Nominal COP],Tabla6[Concepto],COSTO_OPORTUNIDAD!$B$18,Tabla6[Fecha Cumplimiento y/ liquidacion],COSTO_OPORTUNIDAD!$C202)</f>
        <v>#DIV/0!</v>
      </c>
      <c r="E202" s="263" t="e">
        <f>+SUMIFS(Tabla6[Nominal COP],Tabla6[Concepto],COSTO_OPORTUNIDAD!$B$18,Tabla6[Nemotécnico],COSTO_OPORTUNIDAD!E$16,Tabla6[Fecha Cumplimiento y/ liquidacion],COSTO_OPORTUNIDAD!$C202)/+SUMIFS(Tabla6[Nominal COP],Tabla6[Concepto],COSTO_OPORTUNIDAD!$B$18,Tabla6[Fecha Cumplimiento y/ liquidacion],COSTO_OPORTUNIDAD!$C202)</f>
        <v>#DIV/0!</v>
      </c>
      <c r="F202" s="263"/>
      <c r="G202" s="263"/>
      <c r="H202" s="263">
        <v>0.61538461538461542</v>
      </c>
      <c r="I202" s="263"/>
      <c r="J202" s="263">
        <v>0</v>
      </c>
      <c r="K202" s="263">
        <v>0</v>
      </c>
      <c r="L202" s="263"/>
      <c r="M202" s="263">
        <v>0</v>
      </c>
      <c r="N202" s="263"/>
      <c r="O202" s="263"/>
      <c r="P202" s="263">
        <v>0</v>
      </c>
      <c r="Q202" s="263"/>
      <c r="R202" s="263">
        <v>0.38461538461538464</v>
      </c>
      <c r="S202" s="263"/>
      <c r="T202" s="263">
        <v>0</v>
      </c>
      <c r="U202" s="263"/>
      <c r="V202" s="263">
        <v>0</v>
      </c>
      <c r="W202" s="263">
        <v>0</v>
      </c>
      <c r="X202" s="263">
        <v>0</v>
      </c>
      <c r="Y202" s="263"/>
      <c r="Z202" s="263">
        <v>0</v>
      </c>
      <c r="AA202" s="263">
        <v>0</v>
      </c>
      <c r="AB202" s="263">
        <v>0</v>
      </c>
      <c r="AC202" s="263"/>
      <c r="AD202" s="263">
        <v>0</v>
      </c>
      <c r="AE202" s="263"/>
      <c r="AF202" s="263"/>
      <c r="AG202" s="262"/>
      <c r="AH202" s="274">
        <f t="shared" si="130"/>
        <v>817</v>
      </c>
      <c r="AI202" s="274">
        <f t="shared" si="131"/>
        <v>1251</v>
      </c>
      <c r="AJ202" s="274">
        <f t="shared" si="132"/>
        <v>1428</v>
      </c>
      <c r="AK202" s="274">
        <f t="shared" si="198"/>
        <v>1909</v>
      </c>
      <c r="AL202" s="274">
        <f t="shared" si="133"/>
        <v>2301</v>
      </c>
      <c r="AM202" s="274">
        <f t="shared" si="134"/>
        <v>2490</v>
      </c>
      <c r="AN202" s="274">
        <f t="shared" si="135"/>
        <v>2952</v>
      </c>
      <c r="AO202" s="274">
        <f t="shared" si="187"/>
        <v>3176</v>
      </c>
      <c r="AP202" s="274">
        <f t="shared" si="136"/>
        <v>3792</v>
      </c>
      <c r="AQ202" s="274"/>
      <c r="AR202" s="274">
        <f t="shared" si="137"/>
        <v>4422</v>
      </c>
      <c r="AS202" s="274">
        <f t="shared" si="199"/>
        <v>6025</v>
      </c>
      <c r="AT202" s="274">
        <f t="shared" si="138"/>
        <v>6571</v>
      </c>
      <c r="AU202" s="274">
        <f t="shared" si="189"/>
        <v>8090</v>
      </c>
      <c r="AV202" s="274">
        <f t="shared" si="139"/>
        <v>9644</v>
      </c>
      <c r="AW202" s="274"/>
      <c r="AX202" s="274">
        <f t="shared" si="140"/>
        <v>341</v>
      </c>
      <c r="AY202" s="274">
        <f t="shared" si="141"/>
        <v>1020</v>
      </c>
      <c r="AZ202" s="274">
        <f t="shared" si="142"/>
        <v>1783</v>
      </c>
      <c r="BA202" s="274"/>
      <c r="BB202" s="274">
        <f t="shared" si="143"/>
        <v>3220</v>
      </c>
      <c r="BC202" s="274">
        <f t="shared" si="144"/>
        <v>3960</v>
      </c>
      <c r="BD202" s="274">
        <f t="shared" si="145"/>
        <v>4653</v>
      </c>
      <c r="BE202" s="274"/>
      <c r="BF202" s="274">
        <f t="shared" si="146"/>
        <v>9147</v>
      </c>
      <c r="BG202" s="274"/>
      <c r="BH202" s="274"/>
      <c r="BI202" s="266">
        <f t="shared" si="147"/>
        <v>0</v>
      </c>
      <c r="BJ202" s="266" t="e">
        <f t="shared" si="148"/>
        <v>#DIV/0!</v>
      </c>
      <c r="BK202" s="263" t="str">
        <f t="shared" si="149"/>
        <v/>
      </c>
      <c r="BL202" s="263" t="str">
        <f t="shared" si="150"/>
        <v/>
      </c>
      <c r="BM202" s="263" t="str">
        <f t="shared" si="151"/>
        <v/>
      </c>
      <c r="BN202" s="263"/>
      <c r="BO202" s="263" t="str">
        <f t="shared" si="152"/>
        <v/>
      </c>
      <c r="BP202" s="263" t="str">
        <f t="shared" si="153"/>
        <v/>
      </c>
      <c r="BQ202" s="263" t="str">
        <f t="shared" si="154"/>
        <v/>
      </c>
      <c r="BR202" s="263" t="str">
        <f t="shared" si="155"/>
        <v/>
      </c>
      <c r="BS202" s="263" t="str">
        <f t="shared" si="156"/>
        <v/>
      </c>
      <c r="BT202" s="263" t="str">
        <f t="shared" si="157"/>
        <v/>
      </c>
      <c r="BU202" s="263" t="str">
        <f t="shared" si="158"/>
        <v/>
      </c>
      <c r="BV202" s="263"/>
      <c r="BW202" s="263" t="str">
        <f t="shared" si="159"/>
        <v/>
      </c>
      <c r="BX202" s="263"/>
      <c r="BY202" s="263" t="str">
        <f t="shared" si="160"/>
        <v/>
      </c>
      <c r="BZ202" s="263"/>
      <c r="CA202" s="263" t="str">
        <f t="shared" si="182"/>
        <v/>
      </c>
      <c r="CB202" s="263" t="str">
        <f t="shared" si="161"/>
        <v/>
      </c>
      <c r="CC202" s="263" t="str">
        <f t="shared" si="183"/>
        <v/>
      </c>
      <c r="CD202" s="263" t="str">
        <f t="shared" si="162"/>
        <v/>
      </c>
      <c r="CE202" s="263" t="str">
        <f t="shared" si="167"/>
        <v/>
      </c>
      <c r="CF202" s="263" t="str">
        <f t="shared" si="184"/>
        <v/>
      </c>
      <c r="CG202" s="263" t="str">
        <f t="shared" si="185"/>
        <v/>
      </c>
      <c r="CH202" s="263"/>
      <c r="CI202" s="263" t="str">
        <f t="shared" si="163"/>
        <v/>
      </c>
      <c r="CJ202" s="263"/>
      <c r="CK202" s="263" t="str">
        <f t="shared" si="164"/>
        <v/>
      </c>
      <c r="CL202" s="264">
        <f t="shared" si="188"/>
        <v>0</v>
      </c>
      <c r="CM202" s="264">
        <f t="shared" si="165"/>
        <v>0</v>
      </c>
      <c r="CO202" s="265">
        <v>9.8000000000000004E-2</v>
      </c>
      <c r="CP202" s="265">
        <v>0.10138999999999999</v>
      </c>
      <c r="CQ202" s="265">
        <v>0.10199999999999999</v>
      </c>
      <c r="CS202" s="265">
        <v>0.10400000000000001</v>
      </c>
      <c r="CT202" s="265">
        <v>0.1045</v>
      </c>
      <c r="CU202" s="265">
        <v>0.107</v>
      </c>
      <c r="CV202" s="265">
        <v>0.10859999999999999</v>
      </c>
      <c r="CW202" s="265">
        <v>0.10920000000000001</v>
      </c>
      <c r="CY202" s="265">
        <v>0.11230000000000001</v>
      </c>
      <c r="DA202" s="265">
        <v>0.11699999999999999</v>
      </c>
      <c r="DC202" s="265">
        <v>0.11588</v>
      </c>
      <c r="DE202" s="265">
        <v>5.28E-2</v>
      </c>
      <c r="DF202" s="265">
        <v>5.4199999999999998E-2</v>
      </c>
      <c r="DH202" s="265">
        <v>5.6050000000000003E-2</v>
      </c>
      <c r="DI202" s="265">
        <v>5.5E-2</v>
      </c>
      <c r="DJ202" s="265">
        <v>5.6420000000000005E-2</v>
      </c>
      <c r="DL202" s="265">
        <v>5.5300000000000002E-2</v>
      </c>
      <c r="DO202" s="264" t="e">
        <f t="shared" si="191"/>
        <v>#N/A</v>
      </c>
      <c r="DP202" s="264" t="e" cm="1">
        <f t="array" ref="DP202">+INDEX(AH202:AV202,MATCH(DO202,AH202:AV202,1)+1)</f>
        <v>#N/A</v>
      </c>
      <c r="DQ202" s="265" t="e">
        <f t="shared" si="192"/>
        <v>#N/A</v>
      </c>
      <c r="DR202" s="267" t="e">
        <f t="shared" si="193"/>
        <v>#N/A</v>
      </c>
      <c r="DS202" s="267" t="e">
        <f t="shared" si="194"/>
        <v>#N/A</v>
      </c>
      <c r="DT202" s="268" t="e">
        <f t="shared" si="195"/>
        <v>#N/A</v>
      </c>
      <c r="DU202" s="268" t="e" cm="1">
        <f t="array" ref="DU202">+INDEX(AX202:BF202,MATCH(DT202,AX202:BF202,1)+1)</f>
        <v>#N/A</v>
      </c>
      <c r="DV202" s="267" t="e">
        <f t="shared" si="175"/>
        <v>#N/A</v>
      </c>
      <c r="DW202" s="267" t="e">
        <f t="shared" si="196"/>
        <v>#N/A</v>
      </c>
      <c r="DX202" s="267" t="e">
        <f t="shared" si="197"/>
        <v>#N/A</v>
      </c>
      <c r="DY202" s="267">
        <f t="shared" si="190"/>
        <v>7.1599999999999997E-2</v>
      </c>
      <c r="DZ202" s="205" t="e">
        <f t="shared" si="179"/>
        <v>#N/A</v>
      </c>
      <c r="EA202" s="205">
        <f t="shared" si="180"/>
        <v>0</v>
      </c>
    </row>
    <row r="203" spans="2:131">
      <c r="B203" s="272">
        <v>45447</v>
      </c>
      <c r="C203" s="271">
        <v>45447</v>
      </c>
      <c r="D203" s="263" t="e">
        <f>+SUMIFS(Tabla6[Nominal COP],Tabla6[Concepto],COSTO_OPORTUNIDAD!$B$18,Tabla6[Nemotécnico],COSTO_OPORTUNIDAD!D$16,Tabla6[Fecha Cumplimiento y/ liquidacion],COSTO_OPORTUNIDAD!$C203)/+SUMIFS(Tabla6[Nominal COP],Tabla6[Concepto],COSTO_OPORTUNIDAD!$B$18,Tabla6[Fecha Cumplimiento y/ liquidacion],COSTO_OPORTUNIDAD!$C203)</f>
        <v>#DIV/0!</v>
      </c>
      <c r="E203" s="263" t="e">
        <f>+SUMIFS(Tabla6[Nominal COP],Tabla6[Concepto],COSTO_OPORTUNIDAD!$B$18,Tabla6[Nemotécnico],COSTO_OPORTUNIDAD!E$16,Tabla6[Fecha Cumplimiento y/ liquidacion],COSTO_OPORTUNIDAD!$C203)/+SUMIFS(Tabla6[Nominal COP],Tabla6[Concepto],COSTO_OPORTUNIDAD!$B$18,Tabla6[Fecha Cumplimiento y/ liquidacion],COSTO_OPORTUNIDAD!$C203)</f>
        <v>#DIV/0!</v>
      </c>
      <c r="F203" s="263"/>
      <c r="G203" s="263"/>
      <c r="H203" s="263">
        <v>0.85</v>
      </c>
      <c r="I203" s="263"/>
      <c r="J203" s="263">
        <v>0</v>
      </c>
      <c r="K203" s="263">
        <v>0</v>
      </c>
      <c r="L203" s="263"/>
      <c r="M203" s="263">
        <v>0</v>
      </c>
      <c r="N203" s="263"/>
      <c r="O203" s="263"/>
      <c r="P203" s="263">
        <v>0</v>
      </c>
      <c r="Q203" s="263"/>
      <c r="R203" s="263">
        <v>0.15</v>
      </c>
      <c r="S203" s="263"/>
      <c r="T203" s="263">
        <v>0</v>
      </c>
      <c r="U203" s="263"/>
      <c r="V203" s="263">
        <v>0</v>
      </c>
      <c r="W203" s="263">
        <v>0</v>
      </c>
      <c r="X203" s="263">
        <v>0</v>
      </c>
      <c r="Y203" s="263"/>
      <c r="Z203" s="263">
        <v>0</v>
      </c>
      <c r="AA203" s="263">
        <v>0</v>
      </c>
      <c r="AB203" s="263">
        <v>0</v>
      </c>
      <c r="AC203" s="263"/>
      <c r="AD203" s="263">
        <v>0</v>
      </c>
      <c r="AE203" s="263"/>
      <c r="AF203" s="263"/>
      <c r="AG203" s="262"/>
      <c r="AH203" s="274">
        <f t="shared" si="130"/>
        <v>813</v>
      </c>
      <c r="AI203" s="274">
        <f t="shared" si="131"/>
        <v>1247</v>
      </c>
      <c r="AJ203" s="274">
        <f t="shared" si="132"/>
        <v>1424</v>
      </c>
      <c r="AK203" s="274">
        <f t="shared" si="198"/>
        <v>1905</v>
      </c>
      <c r="AL203" s="274">
        <f t="shared" si="133"/>
        <v>2297</v>
      </c>
      <c r="AM203" s="274">
        <f t="shared" si="134"/>
        <v>2486</v>
      </c>
      <c r="AN203" s="274">
        <f t="shared" si="135"/>
        <v>2948</v>
      </c>
      <c r="AO203" s="274">
        <f t="shared" si="187"/>
        <v>3172</v>
      </c>
      <c r="AP203" s="274">
        <f t="shared" si="136"/>
        <v>3788</v>
      </c>
      <c r="AQ203" s="274"/>
      <c r="AR203" s="274">
        <f t="shared" si="137"/>
        <v>4418</v>
      </c>
      <c r="AS203" s="274">
        <f t="shared" si="199"/>
        <v>6021</v>
      </c>
      <c r="AT203" s="274">
        <f t="shared" si="138"/>
        <v>6567</v>
      </c>
      <c r="AU203" s="274">
        <f t="shared" si="189"/>
        <v>8086</v>
      </c>
      <c r="AV203" s="274">
        <f t="shared" si="139"/>
        <v>9640</v>
      </c>
      <c r="AW203" s="274"/>
      <c r="AX203" s="274">
        <f t="shared" si="140"/>
        <v>337</v>
      </c>
      <c r="AY203" s="274">
        <f t="shared" si="141"/>
        <v>1016</v>
      </c>
      <c r="AZ203" s="274">
        <f t="shared" si="142"/>
        <v>1779</v>
      </c>
      <c r="BA203" s="274"/>
      <c r="BB203" s="274">
        <f t="shared" si="143"/>
        <v>3216</v>
      </c>
      <c r="BC203" s="274">
        <f t="shared" si="144"/>
        <v>3956</v>
      </c>
      <c r="BD203" s="274">
        <f t="shared" si="145"/>
        <v>4649</v>
      </c>
      <c r="BE203" s="274"/>
      <c r="BF203" s="274">
        <f t="shared" si="146"/>
        <v>9143</v>
      </c>
      <c r="BG203" s="274"/>
      <c r="BH203" s="274"/>
      <c r="BI203" s="266">
        <f t="shared" si="147"/>
        <v>0</v>
      </c>
      <c r="BJ203" s="266" t="e">
        <f t="shared" si="148"/>
        <v>#DIV/0!</v>
      </c>
      <c r="BK203" s="263" t="str">
        <f t="shared" si="149"/>
        <v/>
      </c>
      <c r="BL203" s="263" t="str">
        <f t="shared" si="150"/>
        <v/>
      </c>
      <c r="BM203" s="263" t="str">
        <f t="shared" si="151"/>
        <v/>
      </c>
      <c r="BN203" s="263"/>
      <c r="BO203" s="263" t="str">
        <f t="shared" si="152"/>
        <v/>
      </c>
      <c r="BP203" s="263" t="str">
        <f t="shared" si="153"/>
        <v/>
      </c>
      <c r="BQ203" s="263" t="str">
        <f t="shared" si="154"/>
        <v/>
      </c>
      <c r="BR203" s="263" t="str">
        <f t="shared" si="155"/>
        <v/>
      </c>
      <c r="BS203" s="263" t="str">
        <f t="shared" si="156"/>
        <v/>
      </c>
      <c r="BT203" s="263" t="str">
        <f t="shared" si="157"/>
        <v/>
      </c>
      <c r="BU203" s="263" t="str">
        <f t="shared" si="158"/>
        <v/>
      </c>
      <c r="BV203" s="263"/>
      <c r="BW203" s="263" t="str">
        <f t="shared" si="159"/>
        <v/>
      </c>
      <c r="BX203" s="263"/>
      <c r="BY203" s="263" t="str">
        <f t="shared" si="160"/>
        <v/>
      </c>
      <c r="BZ203" s="263"/>
      <c r="CA203" s="263" t="str">
        <f t="shared" si="182"/>
        <v/>
      </c>
      <c r="CB203" s="263" t="str">
        <f t="shared" si="161"/>
        <v/>
      </c>
      <c r="CC203" s="263" t="str">
        <f t="shared" si="183"/>
        <v/>
      </c>
      <c r="CD203" s="263" t="str">
        <f t="shared" si="162"/>
        <v/>
      </c>
      <c r="CE203" s="263" t="str">
        <f t="shared" si="167"/>
        <v/>
      </c>
      <c r="CF203" s="263" t="str">
        <f t="shared" si="184"/>
        <v/>
      </c>
      <c r="CG203" s="263" t="str">
        <f t="shared" si="185"/>
        <v/>
      </c>
      <c r="CH203" s="263"/>
      <c r="CI203" s="263" t="str">
        <f t="shared" si="163"/>
        <v/>
      </c>
      <c r="CJ203" s="263"/>
      <c r="CK203" s="263" t="str">
        <f t="shared" si="164"/>
        <v/>
      </c>
      <c r="CL203" s="264">
        <f t="shared" si="188"/>
        <v>0</v>
      </c>
      <c r="CM203" s="264">
        <f t="shared" si="165"/>
        <v>0</v>
      </c>
      <c r="CO203" s="265">
        <v>9.74E-2</v>
      </c>
      <c r="CP203" s="265">
        <v>0.10050000000000001</v>
      </c>
      <c r="CQ203" s="265">
        <v>0.10134</v>
      </c>
      <c r="CS203" s="265">
        <v>0.1032</v>
      </c>
      <c r="CT203" s="265">
        <v>0.10335000000000001</v>
      </c>
      <c r="CU203" s="265">
        <v>0.10644999999999999</v>
      </c>
      <c r="CV203" s="265">
        <v>0.10775</v>
      </c>
      <c r="CW203" s="265">
        <v>0.10903</v>
      </c>
      <c r="CY203" s="265">
        <v>0.11112</v>
      </c>
      <c r="DA203" s="265">
        <v>0.11619</v>
      </c>
      <c r="DC203" s="265">
        <v>0.11512</v>
      </c>
      <c r="DE203" s="265">
        <v>5.21E-2</v>
      </c>
      <c r="DF203" s="265">
        <v>5.3499999999999999E-2</v>
      </c>
      <c r="DH203" s="265">
        <v>5.4299999999999994E-2</v>
      </c>
      <c r="DI203" s="265">
        <v>5.4530000000000002E-2</v>
      </c>
      <c r="DJ203" s="265">
        <v>5.5890000000000002E-2</v>
      </c>
      <c r="DL203" s="265">
        <v>5.4770000000000006E-2</v>
      </c>
      <c r="DO203" s="264" t="e">
        <f t="shared" si="191"/>
        <v>#N/A</v>
      </c>
      <c r="DP203" s="264" t="e" cm="1">
        <f t="array" ref="DP203">+INDEX(AH203:AV203,MATCH(DO203,AH203:AV203,1)+1)</f>
        <v>#N/A</v>
      </c>
      <c r="DQ203" s="265" t="e">
        <f t="shared" si="192"/>
        <v>#N/A</v>
      </c>
      <c r="DR203" s="267" t="e">
        <f t="shared" si="193"/>
        <v>#N/A</v>
      </c>
      <c r="DS203" s="267" t="e">
        <f t="shared" si="194"/>
        <v>#N/A</v>
      </c>
      <c r="DT203" s="268" t="e">
        <f t="shared" si="195"/>
        <v>#N/A</v>
      </c>
      <c r="DU203" s="268" t="e" cm="1">
        <f t="array" ref="DU203">+INDEX(AX203:BF203,MATCH(DT203,AX203:BF203,1)+1)</f>
        <v>#N/A</v>
      </c>
      <c r="DV203" s="267" t="e">
        <f t="shared" si="175"/>
        <v>#N/A</v>
      </c>
      <c r="DW203" s="267" t="e">
        <f t="shared" si="196"/>
        <v>#N/A</v>
      </c>
      <c r="DX203" s="267" t="e">
        <f t="shared" si="197"/>
        <v>#N/A</v>
      </c>
      <c r="DY203" s="267">
        <f t="shared" si="190"/>
        <v>7.1599999999999997E-2</v>
      </c>
      <c r="DZ203" s="205" t="e">
        <f t="shared" si="179"/>
        <v>#N/A</v>
      </c>
      <c r="EA203" s="205">
        <f t="shared" si="180"/>
        <v>0</v>
      </c>
    </row>
    <row r="204" spans="2:131">
      <c r="B204" s="272">
        <v>45448</v>
      </c>
      <c r="C204" s="271">
        <v>45448</v>
      </c>
      <c r="D204" s="263" t="e">
        <f>+SUMIFS(Tabla6[Nominal COP],Tabla6[Concepto],COSTO_OPORTUNIDAD!$B$18,Tabla6[Nemotécnico],COSTO_OPORTUNIDAD!D$16,Tabla6[Fecha Cumplimiento y/ liquidacion],COSTO_OPORTUNIDAD!$C204)/+SUMIFS(Tabla6[Nominal COP],Tabla6[Concepto],COSTO_OPORTUNIDAD!$B$18,Tabla6[Fecha Cumplimiento y/ liquidacion],COSTO_OPORTUNIDAD!$C204)</f>
        <v>#DIV/0!</v>
      </c>
      <c r="E204" s="263" t="e">
        <f>+SUMIFS(Tabla6[Nominal COP],Tabla6[Concepto],COSTO_OPORTUNIDAD!$B$18,Tabla6[Nemotécnico],COSTO_OPORTUNIDAD!E$16,Tabla6[Fecha Cumplimiento y/ liquidacion],COSTO_OPORTUNIDAD!$C204)/+SUMIFS(Tabla6[Nominal COP],Tabla6[Concepto],COSTO_OPORTUNIDAD!$B$18,Tabla6[Fecha Cumplimiento y/ liquidacion],COSTO_OPORTUNIDAD!$C204)</f>
        <v>#DIV/0!</v>
      </c>
      <c r="F204" s="263"/>
      <c r="G204" s="263"/>
      <c r="H204" s="263">
        <v>0.87215909090909094</v>
      </c>
      <c r="I204" s="263"/>
      <c r="J204" s="263">
        <v>0</v>
      </c>
      <c r="K204" s="263">
        <v>0</v>
      </c>
      <c r="L204" s="263"/>
      <c r="M204" s="263">
        <v>0</v>
      </c>
      <c r="N204" s="263"/>
      <c r="O204" s="263"/>
      <c r="P204" s="263">
        <v>0</v>
      </c>
      <c r="Q204" s="263"/>
      <c r="R204" s="263">
        <v>0.12784090909090909</v>
      </c>
      <c r="S204" s="263"/>
      <c r="T204" s="263">
        <v>0</v>
      </c>
      <c r="U204" s="263"/>
      <c r="V204" s="263">
        <v>0</v>
      </c>
      <c r="W204" s="263">
        <v>0</v>
      </c>
      <c r="X204" s="263">
        <v>0</v>
      </c>
      <c r="Y204" s="263"/>
      <c r="Z204" s="263">
        <v>0</v>
      </c>
      <c r="AA204" s="263">
        <v>0</v>
      </c>
      <c r="AB204" s="263">
        <v>0</v>
      </c>
      <c r="AC204" s="263"/>
      <c r="AD204" s="263">
        <v>0</v>
      </c>
      <c r="AE204" s="263"/>
      <c r="AF204" s="263"/>
      <c r="AG204" s="262"/>
      <c r="AH204" s="274">
        <f t="shared" si="130"/>
        <v>812</v>
      </c>
      <c r="AI204" s="274">
        <f t="shared" si="131"/>
        <v>1246</v>
      </c>
      <c r="AJ204" s="274">
        <f t="shared" si="132"/>
        <v>1423</v>
      </c>
      <c r="AK204" s="274">
        <f t="shared" si="198"/>
        <v>1904</v>
      </c>
      <c r="AL204" s="274">
        <f t="shared" si="133"/>
        <v>2296</v>
      </c>
      <c r="AM204" s="274">
        <f t="shared" si="134"/>
        <v>2485</v>
      </c>
      <c r="AN204" s="274">
        <f t="shared" si="135"/>
        <v>2947</v>
      </c>
      <c r="AO204" s="274">
        <f t="shared" si="187"/>
        <v>3171</v>
      </c>
      <c r="AP204" s="274">
        <f t="shared" si="136"/>
        <v>3787</v>
      </c>
      <c r="AQ204" s="274"/>
      <c r="AR204" s="274">
        <f t="shared" si="137"/>
        <v>4417</v>
      </c>
      <c r="AS204" s="274">
        <f t="shared" si="199"/>
        <v>6020</v>
      </c>
      <c r="AT204" s="274">
        <f t="shared" si="138"/>
        <v>6566</v>
      </c>
      <c r="AU204" s="274">
        <f t="shared" si="189"/>
        <v>8085</v>
      </c>
      <c r="AV204" s="274">
        <f t="shared" si="139"/>
        <v>9639</v>
      </c>
      <c r="AW204" s="274"/>
      <c r="AX204" s="274">
        <f t="shared" si="140"/>
        <v>336</v>
      </c>
      <c r="AY204" s="274">
        <f t="shared" si="141"/>
        <v>1015</v>
      </c>
      <c r="AZ204" s="274">
        <f t="shared" si="142"/>
        <v>1778</v>
      </c>
      <c r="BA204" s="274"/>
      <c r="BB204" s="274">
        <f t="shared" si="143"/>
        <v>3215</v>
      </c>
      <c r="BC204" s="274">
        <f t="shared" si="144"/>
        <v>3955</v>
      </c>
      <c r="BD204" s="274">
        <f t="shared" si="145"/>
        <v>4648</v>
      </c>
      <c r="BE204" s="274"/>
      <c r="BF204" s="274">
        <f t="shared" si="146"/>
        <v>9142</v>
      </c>
      <c r="BG204" s="274"/>
      <c r="BH204" s="274"/>
      <c r="BI204" s="266">
        <f t="shared" si="147"/>
        <v>0</v>
      </c>
      <c r="BJ204" s="266" t="e">
        <f t="shared" si="148"/>
        <v>#DIV/0!</v>
      </c>
      <c r="BK204" s="263" t="str">
        <f t="shared" si="149"/>
        <v/>
      </c>
      <c r="BL204" s="263" t="str">
        <f t="shared" si="150"/>
        <v/>
      </c>
      <c r="BM204" s="263" t="str">
        <f t="shared" si="151"/>
        <v/>
      </c>
      <c r="BN204" s="263"/>
      <c r="BO204" s="263" t="str">
        <f t="shared" si="152"/>
        <v/>
      </c>
      <c r="BP204" s="263" t="str">
        <f t="shared" si="153"/>
        <v/>
      </c>
      <c r="BQ204" s="263" t="str">
        <f t="shared" si="154"/>
        <v/>
      </c>
      <c r="BR204" s="263" t="str">
        <f t="shared" si="155"/>
        <v/>
      </c>
      <c r="BS204" s="263" t="str">
        <f t="shared" si="156"/>
        <v/>
      </c>
      <c r="BT204" s="263" t="str">
        <f t="shared" si="157"/>
        <v/>
      </c>
      <c r="BU204" s="263" t="str">
        <f t="shared" si="158"/>
        <v/>
      </c>
      <c r="BV204" s="263"/>
      <c r="BW204" s="263" t="str">
        <f t="shared" si="159"/>
        <v/>
      </c>
      <c r="BX204" s="263"/>
      <c r="BY204" s="263" t="str">
        <f t="shared" si="160"/>
        <v/>
      </c>
      <c r="BZ204" s="263"/>
      <c r="CA204" s="263" t="str">
        <f t="shared" si="182"/>
        <v/>
      </c>
      <c r="CB204" s="263" t="str">
        <f t="shared" si="161"/>
        <v/>
      </c>
      <c r="CC204" s="263" t="str">
        <f t="shared" si="183"/>
        <v/>
      </c>
      <c r="CD204" s="263" t="str">
        <f t="shared" si="162"/>
        <v/>
      </c>
      <c r="CE204" s="263" t="str">
        <f t="shared" si="167"/>
        <v/>
      </c>
      <c r="CF204" s="263" t="str">
        <f t="shared" si="184"/>
        <v/>
      </c>
      <c r="CG204" s="263" t="str">
        <f t="shared" si="185"/>
        <v/>
      </c>
      <c r="CH204" s="263"/>
      <c r="CI204" s="263" t="str">
        <f t="shared" si="163"/>
        <v/>
      </c>
      <c r="CJ204" s="263"/>
      <c r="CK204" s="263" t="str">
        <f t="shared" si="164"/>
        <v/>
      </c>
      <c r="CL204" s="264">
        <f t="shared" si="188"/>
        <v>0</v>
      </c>
      <c r="CM204" s="264">
        <f t="shared" si="165"/>
        <v>0</v>
      </c>
      <c r="CO204" s="265">
        <v>9.7110000000000002E-2</v>
      </c>
      <c r="CP204" s="265">
        <v>0.10009999999999999</v>
      </c>
      <c r="CQ204" s="265">
        <v>0.1014</v>
      </c>
      <c r="CS204" s="265">
        <v>0.10304000000000001</v>
      </c>
      <c r="CT204" s="265">
        <v>0.10335000000000001</v>
      </c>
      <c r="CU204" s="265">
        <v>0.10636</v>
      </c>
      <c r="CV204" s="265">
        <v>0.10775</v>
      </c>
      <c r="CW204" s="265">
        <v>0.10894999999999999</v>
      </c>
      <c r="CY204" s="265">
        <v>0.11109999999999999</v>
      </c>
      <c r="DA204" s="265">
        <v>0.11595000000000001</v>
      </c>
      <c r="DC204" s="265">
        <v>0.1153</v>
      </c>
      <c r="DE204" s="265">
        <v>5.33E-2</v>
      </c>
      <c r="DF204" s="265">
        <v>5.4309999999999997E-2</v>
      </c>
      <c r="DH204" s="265">
        <v>5.4699999999999999E-2</v>
      </c>
      <c r="DI204" s="265">
        <v>5.4530000000000002E-2</v>
      </c>
      <c r="DJ204" s="265">
        <v>5.6939999999999998E-2</v>
      </c>
      <c r="DL204" s="265">
        <v>5.5500000000000001E-2</v>
      </c>
      <c r="DO204" s="264" t="e">
        <f t="shared" si="191"/>
        <v>#N/A</v>
      </c>
      <c r="DP204" s="264" t="e" cm="1">
        <f t="array" ref="DP204">+INDEX(AH204:AV204,MATCH(DO204,AH204:AV204,1)+1)</f>
        <v>#N/A</v>
      </c>
      <c r="DQ204" s="265" t="e">
        <f t="shared" si="192"/>
        <v>#N/A</v>
      </c>
      <c r="DR204" s="267" t="e">
        <f t="shared" si="193"/>
        <v>#N/A</v>
      </c>
      <c r="DS204" s="267" t="e">
        <f t="shared" si="194"/>
        <v>#N/A</v>
      </c>
      <c r="DT204" s="268" t="e">
        <f t="shared" si="195"/>
        <v>#N/A</v>
      </c>
      <c r="DU204" s="268" t="e" cm="1">
        <f t="array" ref="DU204">+INDEX(AX204:BF204,MATCH(DT204,AX204:BF204,1)+1)</f>
        <v>#N/A</v>
      </c>
      <c r="DV204" s="267" t="e">
        <f t="shared" si="175"/>
        <v>#N/A</v>
      </c>
      <c r="DW204" s="267" t="e">
        <f t="shared" si="196"/>
        <v>#N/A</v>
      </c>
      <c r="DX204" s="267" t="e">
        <f t="shared" si="197"/>
        <v>#N/A</v>
      </c>
      <c r="DY204" s="267">
        <f t="shared" si="190"/>
        <v>7.1599999999999997E-2</v>
      </c>
      <c r="DZ204" s="205" t="e">
        <f t="shared" si="179"/>
        <v>#N/A</v>
      </c>
      <c r="EA204" s="205">
        <f t="shared" si="180"/>
        <v>0</v>
      </c>
    </row>
    <row r="205" spans="2:131">
      <c r="B205" s="272">
        <v>45449</v>
      </c>
      <c r="C205" s="271">
        <v>45449</v>
      </c>
      <c r="D205" s="263" t="e">
        <f>+SUMIFS(Tabla6[Nominal COP],Tabla6[Concepto],COSTO_OPORTUNIDAD!$B$18,Tabla6[Nemotécnico],COSTO_OPORTUNIDAD!D$16,Tabla6[Fecha Cumplimiento y/ liquidacion],COSTO_OPORTUNIDAD!$C205)/+SUMIFS(Tabla6[Nominal COP],Tabla6[Concepto],COSTO_OPORTUNIDAD!$B$18,Tabla6[Fecha Cumplimiento y/ liquidacion],COSTO_OPORTUNIDAD!$C205)</f>
        <v>#DIV/0!</v>
      </c>
      <c r="E205" s="263" t="e">
        <f>+SUMIFS(Tabla6[Nominal COP],Tabla6[Concepto],COSTO_OPORTUNIDAD!$B$18,Tabla6[Nemotécnico],COSTO_OPORTUNIDAD!E$16,Tabla6[Fecha Cumplimiento y/ liquidacion],COSTO_OPORTUNIDAD!$C205)/+SUMIFS(Tabla6[Nominal COP],Tabla6[Concepto],COSTO_OPORTUNIDAD!$B$18,Tabla6[Fecha Cumplimiento y/ liquidacion],COSTO_OPORTUNIDAD!$C205)</f>
        <v>#DIV/0!</v>
      </c>
      <c r="F205" s="263"/>
      <c r="G205" s="263"/>
      <c r="H205" s="263">
        <v>0.85185185185185186</v>
      </c>
      <c r="I205" s="263"/>
      <c r="J205" s="263">
        <v>0</v>
      </c>
      <c r="K205" s="263">
        <v>0</v>
      </c>
      <c r="L205" s="263"/>
      <c r="M205" s="263">
        <v>0</v>
      </c>
      <c r="N205" s="263"/>
      <c r="O205" s="263"/>
      <c r="P205" s="263">
        <v>0</v>
      </c>
      <c r="Q205" s="263"/>
      <c r="R205" s="263">
        <v>0.14814814814814814</v>
      </c>
      <c r="S205" s="263"/>
      <c r="T205" s="263">
        <v>0</v>
      </c>
      <c r="U205" s="263"/>
      <c r="V205" s="263">
        <v>0</v>
      </c>
      <c r="W205" s="263">
        <v>0</v>
      </c>
      <c r="X205" s="263">
        <v>0</v>
      </c>
      <c r="Y205" s="263"/>
      <c r="Z205" s="263">
        <v>0</v>
      </c>
      <c r="AA205" s="263">
        <v>0</v>
      </c>
      <c r="AB205" s="263">
        <v>0</v>
      </c>
      <c r="AC205" s="263"/>
      <c r="AD205" s="263">
        <v>0</v>
      </c>
      <c r="AE205" s="263"/>
      <c r="AF205" s="263"/>
      <c r="AG205" s="262"/>
      <c r="AH205" s="274">
        <f t="shared" si="130"/>
        <v>811</v>
      </c>
      <c r="AI205" s="274">
        <f t="shared" si="131"/>
        <v>1245</v>
      </c>
      <c r="AJ205" s="274">
        <f t="shared" si="132"/>
        <v>1422</v>
      </c>
      <c r="AK205" s="274">
        <f t="shared" si="198"/>
        <v>1903</v>
      </c>
      <c r="AL205" s="274">
        <f t="shared" si="133"/>
        <v>2295</v>
      </c>
      <c r="AM205" s="274">
        <f t="shared" si="134"/>
        <v>2484</v>
      </c>
      <c r="AN205" s="274">
        <f t="shared" si="135"/>
        <v>2946</v>
      </c>
      <c r="AO205" s="274">
        <f t="shared" si="187"/>
        <v>3170</v>
      </c>
      <c r="AP205" s="274">
        <f t="shared" si="136"/>
        <v>3786</v>
      </c>
      <c r="AQ205" s="274"/>
      <c r="AR205" s="274">
        <f t="shared" si="137"/>
        <v>4416</v>
      </c>
      <c r="AS205" s="274">
        <f t="shared" si="199"/>
        <v>6019</v>
      </c>
      <c r="AT205" s="274">
        <f t="shared" si="138"/>
        <v>6565</v>
      </c>
      <c r="AU205" s="274">
        <f t="shared" si="189"/>
        <v>8084</v>
      </c>
      <c r="AV205" s="274">
        <f t="shared" si="139"/>
        <v>9638</v>
      </c>
      <c r="AW205" s="274"/>
      <c r="AX205" s="274">
        <f t="shared" si="140"/>
        <v>335</v>
      </c>
      <c r="AY205" s="274">
        <f t="shared" si="141"/>
        <v>1014</v>
      </c>
      <c r="AZ205" s="274">
        <f t="shared" si="142"/>
        <v>1777</v>
      </c>
      <c r="BA205" s="274"/>
      <c r="BB205" s="274">
        <f t="shared" si="143"/>
        <v>3214</v>
      </c>
      <c r="BC205" s="274">
        <f t="shared" si="144"/>
        <v>3954</v>
      </c>
      <c r="BD205" s="274">
        <f t="shared" si="145"/>
        <v>4647</v>
      </c>
      <c r="BE205" s="274"/>
      <c r="BF205" s="274">
        <f t="shared" si="146"/>
        <v>9141</v>
      </c>
      <c r="BG205" s="274"/>
      <c r="BH205" s="274"/>
      <c r="BI205" s="266">
        <f t="shared" si="147"/>
        <v>0</v>
      </c>
      <c r="BJ205" s="266" t="e">
        <f t="shared" si="148"/>
        <v>#DIV/0!</v>
      </c>
      <c r="BK205" s="263" t="str">
        <f t="shared" si="149"/>
        <v/>
      </c>
      <c r="BL205" s="263" t="str">
        <f t="shared" si="150"/>
        <v/>
      </c>
      <c r="BM205" s="263" t="str">
        <f t="shared" si="151"/>
        <v/>
      </c>
      <c r="BN205" s="263"/>
      <c r="BO205" s="263" t="str">
        <f t="shared" si="152"/>
        <v/>
      </c>
      <c r="BP205" s="263" t="str">
        <f t="shared" si="153"/>
        <v/>
      </c>
      <c r="BQ205" s="263" t="str">
        <f t="shared" si="154"/>
        <v/>
      </c>
      <c r="BR205" s="263" t="str">
        <f t="shared" si="155"/>
        <v/>
      </c>
      <c r="BS205" s="263" t="str">
        <f t="shared" si="156"/>
        <v/>
      </c>
      <c r="BT205" s="263" t="str">
        <f t="shared" si="157"/>
        <v/>
      </c>
      <c r="BU205" s="263" t="str">
        <f t="shared" si="158"/>
        <v/>
      </c>
      <c r="BV205" s="263"/>
      <c r="BW205" s="263" t="str">
        <f t="shared" si="159"/>
        <v/>
      </c>
      <c r="BX205" s="263"/>
      <c r="BY205" s="263" t="str">
        <f t="shared" si="160"/>
        <v/>
      </c>
      <c r="BZ205" s="263"/>
      <c r="CA205" s="263" t="str">
        <f t="shared" si="182"/>
        <v/>
      </c>
      <c r="CB205" s="263" t="str">
        <f t="shared" si="161"/>
        <v/>
      </c>
      <c r="CC205" s="263" t="str">
        <f t="shared" si="183"/>
        <v/>
      </c>
      <c r="CD205" s="263" t="str">
        <f t="shared" si="162"/>
        <v/>
      </c>
      <c r="CE205" s="263" t="str">
        <f t="shared" si="167"/>
        <v/>
      </c>
      <c r="CF205" s="263" t="str">
        <f t="shared" si="184"/>
        <v/>
      </c>
      <c r="CG205" s="263" t="str">
        <f t="shared" si="185"/>
        <v/>
      </c>
      <c r="CH205" s="263"/>
      <c r="CI205" s="263" t="str">
        <f t="shared" si="163"/>
        <v/>
      </c>
      <c r="CJ205" s="263"/>
      <c r="CK205" s="263" t="str">
        <f t="shared" si="164"/>
        <v/>
      </c>
      <c r="CL205" s="264">
        <f t="shared" si="188"/>
        <v>0</v>
      </c>
      <c r="CM205" s="264">
        <f t="shared" si="165"/>
        <v>0</v>
      </c>
      <c r="CO205" s="265">
        <v>9.5700000000000007E-2</v>
      </c>
      <c r="CP205" s="265">
        <v>9.9260000000000001E-2</v>
      </c>
      <c r="CQ205" s="265">
        <v>0.10000999999999999</v>
      </c>
      <c r="CS205" s="265">
        <v>0.10199999999999999</v>
      </c>
      <c r="CT205" s="265">
        <v>0.10217000000000001</v>
      </c>
      <c r="CU205" s="265">
        <v>0.10535</v>
      </c>
      <c r="CV205" s="265">
        <v>0.10711999999999999</v>
      </c>
      <c r="CW205" s="265">
        <v>0.1082</v>
      </c>
      <c r="CY205" s="265">
        <v>0.11051</v>
      </c>
      <c r="DA205" s="265">
        <v>0.11550000000000001</v>
      </c>
      <c r="DC205" s="265">
        <v>0.11439000000000001</v>
      </c>
      <c r="DE205" s="265">
        <v>5.3099999999999994E-2</v>
      </c>
      <c r="DF205" s="265">
        <v>5.389E-2</v>
      </c>
      <c r="DH205" s="265">
        <v>5.4699999999999999E-2</v>
      </c>
      <c r="DI205" s="265">
        <v>5.5380000000000006E-2</v>
      </c>
      <c r="DJ205" s="265">
        <v>5.6340000000000001E-2</v>
      </c>
      <c r="DL205" s="265">
        <v>5.5010000000000003E-2</v>
      </c>
      <c r="DO205" s="264" t="e">
        <f t="shared" si="191"/>
        <v>#N/A</v>
      </c>
      <c r="DP205" s="264" t="e" cm="1">
        <f t="array" ref="DP205">+INDEX(AH205:AV205,MATCH(DO205,AH205:AV205,1)+1)</f>
        <v>#N/A</v>
      </c>
      <c r="DQ205" s="265" t="e">
        <f t="shared" si="192"/>
        <v>#N/A</v>
      </c>
      <c r="DR205" s="267" t="e">
        <f t="shared" si="193"/>
        <v>#N/A</v>
      </c>
      <c r="DS205" s="267" t="e">
        <f t="shared" si="194"/>
        <v>#N/A</v>
      </c>
      <c r="DT205" s="268" t="e">
        <f t="shared" si="195"/>
        <v>#N/A</v>
      </c>
      <c r="DU205" s="268" t="e" cm="1">
        <f t="array" ref="DU205">+INDEX(AX205:BF205,MATCH(DT205,AX205:BF205,1)+1)</f>
        <v>#N/A</v>
      </c>
      <c r="DV205" s="267" t="e">
        <f t="shared" si="175"/>
        <v>#N/A</v>
      </c>
      <c r="DW205" s="267" t="e">
        <f t="shared" si="196"/>
        <v>#N/A</v>
      </c>
      <c r="DX205" s="267" t="e">
        <f t="shared" si="197"/>
        <v>#N/A</v>
      </c>
      <c r="DY205" s="267">
        <f t="shared" si="190"/>
        <v>7.1599999999999997E-2</v>
      </c>
      <c r="DZ205" s="205" t="e">
        <f t="shared" si="179"/>
        <v>#N/A</v>
      </c>
      <c r="EA205" s="205">
        <f t="shared" si="180"/>
        <v>0</v>
      </c>
    </row>
    <row r="206" spans="2:131">
      <c r="B206" s="272">
        <v>45450</v>
      </c>
      <c r="C206" s="271">
        <v>45450</v>
      </c>
      <c r="D206" s="263" t="e">
        <f>+SUMIFS(Tabla6[Nominal COP],Tabla6[Concepto],COSTO_OPORTUNIDAD!$B$18,Tabla6[Nemotécnico],COSTO_OPORTUNIDAD!D$16,Tabla6[Fecha Cumplimiento y/ liquidacion],COSTO_OPORTUNIDAD!$C206)/+SUMIFS(Tabla6[Nominal COP],Tabla6[Concepto],COSTO_OPORTUNIDAD!$B$18,Tabla6[Fecha Cumplimiento y/ liquidacion],COSTO_OPORTUNIDAD!$C206)</f>
        <v>#DIV/0!</v>
      </c>
      <c r="E206" s="263" t="e">
        <f>+SUMIFS(Tabla6[Nominal COP],Tabla6[Concepto],COSTO_OPORTUNIDAD!$B$18,Tabla6[Nemotécnico],COSTO_OPORTUNIDAD!E$16,Tabla6[Fecha Cumplimiento y/ liquidacion],COSTO_OPORTUNIDAD!$C206)/+SUMIFS(Tabla6[Nominal COP],Tabla6[Concepto],COSTO_OPORTUNIDAD!$B$18,Tabla6[Fecha Cumplimiento y/ liquidacion],COSTO_OPORTUNIDAD!$C206)</f>
        <v>#DIV/0!</v>
      </c>
      <c r="F206" s="263"/>
      <c r="G206" s="263"/>
      <c r="H206" s="263">
        <v>0.80741953082378615</v>
      </c>
      <c r="I206" s="263"/>
      <c r="J206" s="263">
        <v>0</v>
      </c>
      <c r="K206" s="263">
        <v>0</v>
      </c>
      <c r="L206" s="263"/>
      <c r="M206" s="263">
        <v>0</v>
      </c>
      <c r="N206" s="263"/>
      <c r="O206" s="263"/>
      <c r="P206" s="263">
        <v>0</v>
      </c>
      <c r="Q206" s="263"/>
      <c r="R206" s="263">
        <v>0.19094380796508456</v>
      </c>
      <c r="S206" s="263"/>
      <c r="T206" s="263">
        <v>0</v>
      </c>
      <c r="U206" s="263"/>
      <c r="V206" s="263">
        <v>0</v>
      </c>
      <c r="W206" s="263">
        <v>0</v>
      </c>
      <c r="X206" s="263">
        <v>1.6366612111292963E-3</v>
      </c>
      <c r="Y206" s="263"/>
      <c r="Z206" s="263">
        <v>0</v>
      </c>
      <c r="AA206" s="263">
        <v>0</v>
      </c>
      <c r="AB206" s="263">
        <v>0</v>
      </c>
      <c r="AC206" s="263"/>
      <c r="AD206" s="263">
        <v>0</v>
      </c>
      <c r="AE206" s="263"/>
      <c r="AF206" s="263"/>
      <c r="AG206" s="262"/>
      <c r="AH206" s="274">
        <f t="shared" si="130"/>
        <v>810</v>
      </c>
      <c r="AI206" s="274">
        <f t="shared" si="131"/>
        <v>1244</v>
      </c>
      <c r="AJ206" s="274">
        <f t="shared" si="132"/>
        <v>1421</v>
      </c>
      <c r="AK206" s="274">
        <f t="shared" si="198"/>
        <v>1902</v>
      </c>
      <c r="AL206" s="274">
        <f t="shared" si="133"/>
        <v>2294</v>
      </c>
      <c r="AM206" s="274">
        <f t="shared" si="134"/>
        <v>2483</v>
      </c>
      <c r="AN206" s="274">
        <f t="shared" si="135"/>
        <v>2945</v>
      </c>
      <c r="AO206" s="274">
        <f t="shared" si="187"/>
        <v>3169</v>
      </c>
      <c r="AP206" s="274">
        <f t="shared" si="136"/>
        <v>3785</v>
      </c>
      <c r="AQ206" s="274"/>
      <c r="AR206" s="274">
        <f t="shared" si="137"/>
        <v>4415</v>
      </c>
      <c r="AS206" s="274">
        <f t="shared" si="199"/>
        <v>6018</v>
      </c>
      <c r="AT206" s="274">
        <f t="shared" si="138"/>
        <v>6564</v>
      </c>
      <c r="AU206" s="274">
        <f t="shared" si="189"/>
        <v>8083</v>
      </c>
      <c r="AV206" s="274">
        <f t="shared" si="139"/>
        <v>9637</v>
      </c>
      <c r="AW206" s="274"/>
      <c r="AX206" s="274">
        <f t="shared" si="140"/>
        <v>334</v>
      </c>
      <c r="AY206" s="274">
        <f t="shared" si="141"/>
        <v>1013</v>
      </c>
      <c r="AZ206" s="274">
        <f t="shared" si="142"/>
        <v>1776</v>
      </c>
      <c r="BA206" s="274"/>
      <c r="BB206" s="274">
        <f t="shared" si="143"/>
        <v>3213</v>
      </c>
      <c r="BC206" s="274">
        <f t="shared" si="144"/>
        <v>3953</v>
      </c>
      <c r="BD206" s="274">
        <f t="shared" si="145"/>
        <v>4646</v>
      </c>
      <c r="BE206" s="274"/>
      <c r="BF206" s="274">
        <f t="shared" si="146"/>
        <v>9140</v>
      </c>
      <c r="BG206" s="274"/>
      <c r="BH206" s="274"/>
      <c r="BI206" s="266">
        <f t="shared" si="147"/>
        <v>1.6366612111292963E-3</v>
      </c>
      <c r="BJ206" s="266" t="e">
        <f t="shared" si="148"/>
        <v>#DIV/0!</v>
      </c>
      <c r="BK206" s="263" t="str">
        <f t="shared" si="149"/>
        <v/>
      </c>
      <c r="BL206" s="263" t="str">
        <f t="shared" si="150"/>
        <v/>
      </c>
      <c r="BM206" s="263" t="str">
        <f t="shared" si="151"/>
        <v/>
      </c>
      <c r="BN206" s="263"/>
      <c r="BO206" s="263" t="str">
        <f t="shared" si="152"/>
        <v/>
      </c>
      <c r="BP206" s="263" t="str">
        <f t="shared" si="153"/>
        <v/>
      </c>
      <c r="BQ206" s="263" t="str">
        <f t="shared" si="154"/>
        <v/>
      </c>
      <c r="BR206" s="263" t="str">
        <f t="shared" si="155"/>
        <v/>
      </c>
      <c r="BS206" s="263" t="str">
        <f t="shared" si="156"/>
        <v/>
      </c>
      <c r="BT206" s="263" t="str">
        <f t="shared" si="157"/>
        <v/>
      </c>
      <c r="BU206" s="263" t="str">
        <f t="shared" si="158"/>
        <v/>
      </c>
      <c r="BV206" s="263"/>
      <c r="BW206" s="263" t="str">
        <f t="shared" si="159"/>
        <v/>
      </c>
      <c r="BX206" s="263"/>
      <c r="BY206" s="263" t="str">
        <f t="shared" si="160"/>
        <v/>
      </c>
      <c r="BZ206" s="263"/>
      <c r="CA206" s="263">
        <f t="shared" si="182"/>
        <v>0</v>
      </c>
      <c r="CB206" s="263">
        <f t="shared" si="161"/>
        <v>0</v>
      </c>
      <c r="CC206" s="263">
        <f t="shared" si="183"/>
        <v>1</v>
      </c>
      <c r="CD206" s="263">
        <f t="shared" si="162"/>
        <v>0</v>
      </c>
      <c r="CE206" s="263">
        <f t="shared" si="167"/>
        <v>0</v>
      </c>
      <c r="CF206" s="263">
        <f t="shared" si="184"/>
        <v>0</v>
      </c>
      <c r="CG206" s="263">
        <f t="shared" si="185"/>
        <v>0</v>
      </c>
      <c r="CH206" s="263"/>
      <c r="CI206" s="263">
        <f t="shared" si="163"/>
        <v>0</v>
      </c>
      <c r="CJ206" s="263"/>
      <c r="CK206" s="263">
        <f t="shared" si="164"/>
        <v>0</v>
      </c>
      <c r="CL206" s="264">
        <f t="shared" si="188"/>
        <v>0</v>
      </c>
      <c r="CM206" s="264">
        <f t="shared" si="165"/>
        <v>1013</v>
      </c>
      <c r="CO206" s="265">
        <v>9.5519999999999994E-2</v>
      </c>
      <c r="CP206" s="265">
        <v>9.8320000000000005E-2</v>
      </c>
      <c r="CQ206" s="265">
        <v>9.9489999999999995E-2</v>
      </c>
      <c r="CS206" s="265">
        <v>0.10173</v>
      </c>
      <c r="CT206" s="265">
        <v>0.10163</v>
      </c>
      <c r="CU206" s="265">
        <v>0.1045</v>
      </c>
      <c r="CV206" s="265">
        <v>0.10667</v>
      </c>
      <c r="CW206" s="265">
        <v>0.107</v>
      </c>
      <c r="CY206" s="265">
        <v>0.11025</v>
      </c>
      <c r="DA206" s="265">
        <v>0.11554</v>
      </c>
      <c r="DC206" s="265">
        <v>0.11410000000000001</v>
      </c>
      <c r="DE206" s="265">
        <v>5.2949999999999997E-2</v>
      </c>
      <c r="DF206" s="265">
        <v>5.3600000000000002E-2</v>
      </c>
      <c r="DH206" s="265">
        <v>5.4199999999999998E-2</v>
      </c>
      <c r="DI206" s="265">
        <v>5.5050000000000002E-2</v>
      </c>
      <c r="DJ206" s="265">
        <v>5.5899999999999998E-2</v>
      </c>
      <c r="DL206" s="265">
        <v>5.4699999999999999E-2</v>
      </c>
      <c r="DO206" s="264" t="e">
        <f t="shared" si="191"/>
        <v>#N/A</v>
      </c>
      <c r="DP206" s="264" t="e" cm="1">
        <f t="array" ref="DP206">+INDEX(AH206:AV206,MATCH(DO206,AH206:AV206,1)+1)</f>
        <v>#N/A</v>
      </c>
      <c r="DQ206" s="265" t="e">
        <f t="shared" si="192"/>
        <v>#N/A</v>
      </c>
      <c r="DR206" s="267" t="e">
        <f t="shared" si="193"/>
        <v>#N/A</v>
      </c>
      <c r="DS206" s="267" t="e">
        <f t="shared" si="194"/>
        <v>#N/A</v>
      </c>
      <c r="DT206" s="268">
        <f t="shared" si="195"/>
        <v>1013</v>
      </c>
      <c r="DU206" s="268" cm="1">
        <f t="array" ref="DU206">+INDEX(AX206:BF206,MATCH(DT206,AX206:BF206,1)+1)</f>
        <v>1776</v>
      </c>
      <c r="DV206" s="267">
        <f t="shared" si="175"/>
        <v>5.3600000000000002E-2</v>
      </c>
      <c r="DW206" s="267">
        <f t="shared" si="196"/>
        <v>0</v>
      </c>
      <c r="DX206" s="267">
        <f t="shared" si="197"/>
        <v>5.3600000000000002E-2</v>
      </c>
      <c r="DY206" s="267">
        <f t="shared" si="190"/>
        <v>7.1599999999999997E-2</v>
      </c>
      <c r="DZ206" s="205">
        <f t="shared" si="179"/>
        <v>0.12903776000000011</v>
      </c>
      <c r="EA206" s="205">
        <f t="shared" si="180"/>
        <v>2.1119109656301166E-4</v>
      </c>
    </row>
    <row r="207" spans="2:131">
      <c r="B207" s="272">
        <v>45454</v>
      </c>
      <c r="C207" s="271">
        <v>45454</v>
      </c>
      <c r="D207" s="263" t="e">
        <f>+SUMIFS(Tabla6[Nominal COP],Tabla6[Concepto],COSTO_OPORTUNIDAD!$B$18,Tabla6[Nemotécnico],COSTO_OPORTUNIDAD!D$16,Tabla6[Fecha Cumplimiento y/ liquidacion],COSTO_OPORTUNIDAD!$C207)/+SUMIFS(Tabla6[Nominal COP],Tabla6[Concepto],COSTO_OPORTUNIDAD!$B$18,Tabla6[Fecha Cumplimiento y/ liquidacion],COSTO_OPORTUNIDAD!$C207)</f>
        <v>#DIV/0!</v>
      </c>
      <c r="E207" s="263" t="e">
        <f>+SUMIFS(Tabla6[Nominal COP],Tabla6[Concepto],COSTO_OPORTUNIDAD!$B$18,Tabla6[Nemotécnico],COSTO_OPORTUNIDAD!E$16,Tabla6[Fecha Cumplimiento y/ liquidacion],COSTO_OPORTUNIDAD!$C207)/+SUMIFS(Tabla6[Nominal COP],Tabla6[Concepto],COSTO_OPORTUNIDAD!$B$18,Tabla6[Fecha Cumplimiento y/ liquidacion],COSTO_OPORTUNIDAD!$C207)</f>
        <v>#DIV/0!</v>
      </c>
      <c r="F207" s="263"/>
      <c r="G207" s="263"/>
      <c r="H207" s="263">
        <v>0.34278438861955829</v>
      </c>
      <c r="I207" s="263"/>
      <c r="J207" s="263">
        <v>0</v>
      </c>
      <c r="K207" s="263">
        <v>0</v>
      </c>
      <c r="L207" s="263"/>
      <c r="M207" s="263">
        <v>0</v>
      </c>
      <c r="N207" s="263"/>
      <c r="O207" s="263"/>
      <c r="P207" s="263">
        <v>0</v>
      </c>
      <c r="Q207" s="263"/>
      <c r="R207" s="263">
        <v>0.65618725821458301</v>
      </c>
      <c r="S207" s="263"/>
      <c r="T207" s="263">
        <v>0</v>
      </c>
      <c r="U207" s="263"/>
      <c r="V207" s="263">
        <v>0</v>
      </c>
      <c r="W207" s="263">
        <v>0</v>
      </c>
      <c r="X207" s="263">
        <v>1.028353165858675E-3</v>
      </c>
      <c r="Y207" s="263"/>
      <c r="Z207" s="263">
        <v>0</v>
      </c>
      <c r="AA207" s="263">
        <v>0</v>
      </c>
      <c r="AB207" s="263">
        <v>0</v>
      </c>
      <c r="AC207" s="263"/>
      <c r="AD207" s="263">
        <v>0</v>
      </c>
      <c r="AE207" s="263"/>
      <c r="AF207" s="263"/>
      <c r="AG207" s="262"/>
      <c r="AH207" s="274">
        <f t="shared" si="130"/>
        <v>806</v>
      </c>
      <c r="AI207" s="274">
        <f t="shared" si="131"/>
        <v>1240</v>
      </c>
      <c r="AJ207" s="274">
        <f t="shared" si="132"/>
        <v>1417</v>
      </c>
      <c r="AK207" s="274">
        <f t="shared" si="198"/>
        <v>1898</v>
      </c>
      <c r="AL207" s="274">
        <f t="shared" si="133"/>
        <v>2290</v>
      </c>
      <c r="AM207" s="274">
        <f t="shared" si="134"/>
        <v>2479</v>
      </c>
      <c r="AN207" s="274">
        <f t="shared" si="135"/>
        <v>2941</v>
      </c>
      <c r="AO207" s="274">
        <f t="shared" si="187"/>
        <v>3165</v>
      </c>
      <c r="AP207" s="274">
        <f t="shared" si="136"/>
        <v>3781</v>
      </c>
      <c r="AQ207" s="274"/>
      <c r="AR207" s="274">
        <f t="shared" si="137"/>
        <v>4411</v>
      </c>
      <c r="AS207" s="274">
        <f t="shared" si="199"/>
        <v>6014</v>
      </c>
      <c r="AT207" s="274">
        <f t="shared" si="138"/>
        <v>6560</v>
      </c>
      <c r="AU207" s="274">
        <f t="shared" si="189"/>
        <v>8079</v>
      </c>
      <c r="AV207" s="274">
        <f t="shared" si="139"/>
        <v>9633</v>
      </c>
      <c r="AW207" s="274"/>
      <c r="AX207" s="274">
        <f t="shared" si="140"/>
        <v>330</v>
      </c>
      <c r="AY207" s="274">
        <f t="shared" si="141"/>
        <v>1009</v>
      </c>
      <c r="AZ207" s="274">
        <f t="shared" si="142"/>
        <v>1772</v>
      </c>
      <c r="BA207" s="274"/>
      <c r="BB207" s="274">
        <f t="shared" si="143"/>
        <v>3209</v>
      </c>
      <c r="BC207" s="274">
        <f t="shared" si="144"/>
        <v>3949</v>
      </c>
      <c r="BD207" s="274">
        <f t="shared" si="145"/>
        <v>4642</v>
      </c>
      <c r="BE207" s="274"/>
      <c r="BF207" s="274">
        <f t="shared" si="146"/>
        <v>9136</v>
      </c>
      <c r="BG207" s="274"/>
      <c r="BH207" s="274"/>
      <c r="BI207" s="266">
        <f t="shared" si="147"/>
        <v>1.028353165858675E-3</v>
      </c>
      <c r="BJ207" s="266" t="e">
        <f t="shared" si="148"/>
        <v>#DIV/0!</v>
      </c>
      <c r="BK207" s="263" t="str">
        <f t="shared" si="149"/>
        <v/>
      </c>
      <c r="BL207" s="263" t="str">
        <f t="shared" si="150"/>
        <v/>
      </c>
      <c r="BM207" s="263" t="str">
        <f t="shared" si="151"/>
        <v/>
      </c>
      <c r="BN207" s="263"/>
      <c r="BO207" s="263" t="str">
        <f t="shared" si="152"/>
        <v/>
      </c>
      <c r="BP207" s="263" t="str">
        <f t="shared" si="153"/>
        <v/>
      </c>
      <c r="BQ207" s="263" t="str">
        <f t="shared" si="154"/>
        <v/>
      </c>
      <c r="BR207" s="263" t="str">
        <f t="shared" si="155"/>
        <v/>
      </c>
      <c r="BS207" s="263" t="str">
        <f t="shared" si="156"/>
        <v/>
      </c>
      <c r="BT207" s="263" t="str">
        <f t="shared" si="157"/>
        <v/>
      </c>
      <c r="BU207" s="263" t="str">
        <f t="shared" si="158"/>
        <v/>
      </c>
      <c r="BV207" s="263"/>
      <c r="BW207" s="263" t="str">
        <f t="shared" si="159"/>
        <v/>
      </c>
      <c r="BX207" s="263"/>
      <c r="BY207" s="263" t="str">
        <f t="shared" si="160"/>
        <v/>
      </c>
      <c r="BZ207" s="263"/>
      <c r="CA207" s="263">
        <f t="shared" si="182"/>
        <v>0</v>
      </c>
      <c r="CB207" s="263">
        <f t="shared" si="161"/>
        <v>0</v>
      </c>
      <c r="CC207" s="263">
        <f t="shared" si="183"/>
        <v>1</v>
      </c>
      <c r="CD207" s="263">
        <f t="shared" si="162"/>
        <v>0</v>
      </c>
      <c r="CE207" s="263">
        <f t="shared" si="167"/>
        <v>0</v>
      </c>
      <c r="CF207" s="263">
        <f t="shared" si="184"/>
        <v>0</v>
      </c>
      <c r="CG207" s="263">
        <f t="shared" si="185"/>
        <v>0</v>
      </c>
      <c r="CH207" s="263"/>
      <c r="CI207" s="263">
        <f t="shared" si="163"/>
        <v>0</v>
      </c>
      <c r="CJ207" s="263"/>
      <c r="CK207" s="263">
        <f t="shared" si="164"/>
        <v>0</v>
      </c>
      <c r="CL207" s="264">
        <f t="shared" si="188"/>
        <v>0</v>
      </c>
      <c r="CM207" s="264">
        <f t="shared" si="165"/>
        <v>1009</v>
      </c>
      <c r="CO207" s="265">
        <v>9.5649999999999999E-2</v>
      </c>
      <c r="CP207" s="265">
        <v>9.8889999999999992E-2</v>
      </c>
      <c r="CQ207" s="265">
        <v>0.10019</v>
      </c>
      <c r="CS207" s="265">
        <v>0.1024</v>
      </c>
      <c r="CT207" s="265">
        <v>0.10163</v>
      </c>
      <c r="CU207" s="265">
        <v>0.10515000000000001</v>
      </c>
      <c r="CV207" s="265">
        <v>0.1072</v>
      </c>
      <c r="CW207" s="265">
        <v>0.10800000000000001</v>
      </c>
      <c r="CY207" s="265">
        <v>0.11058999999999999</v>
      </c>
      <c r="DA207" s="265">
        <v>0.11599999999999999</v>
      </c>
      <c r="DC207" s="265">
        <v>0.11474999999999999</v>
      </c>
      <c r="DE207" s="265">
        <v>5.2939999999999994E-2</v>
      </c>
      <c r="DF207" s="265">
        <v>5.3970000000000004E-2</v>
      </c>
      <c r="DH207" s="265">
        <v>5.4299999999999994E-2</v>
      </c>
      <c r="DI207" s="265">
        <v>5.4900000000000004E-2</v>
      </c>
      <c r="DJ207" s="265">
        <v>5.6950000000000001E-2</v>
      </c>
      <c r="DL207" s="265">
        <v>5.5399999999999998E-2</v>
      </c>
      <c r="DO207" s="264" t="e">
        <f t="shared" si="191"/>
        <v>#N/A</v>
      </c>
      <c r="DP207" s="264" t="e" cm="1">
        <f t="array" ref="DP207">+INDEX(AH207:AV207,MATCH(DO207,AH207:AV207,1)+1)</f>
        <v>#N/A</v>
      </c>
      <c r="DQ207" s="265" t="e">
        <f t="shared" si="192"/>
        <v>#N/A</v>
      </c>
      <c r="DR207" s="267" t="e">
        <f t="shared" si="193"/>
        <v>#N/A</v>
      </c>
      <c r="DS207" s="267" t="e">
        <f t="shared" si="194"/>
        <v>#N/A</v>
      </c>
      <c r="DT207" s="268">
        <f t="shared" si="195"/>
        <v>1009</v>
      </c>
      <c r="DU207" s="268" cm="1">
        <f t="array" ref="DU207">+INDEX(AX207:BF207,MATCH(DT207,AX207:BF207,1)+1)</f>
        <v>1772</v>
      </c>
      <c r="DV207" s="267">
        <f t="shared" si="175"/>
        <v>5.3970000000000004E-2</v>
      </c>
      <c r="DW207" s="267">
        <f t="shared" si="196"/>
        <v>0</v>
      </c>
      <c r="DX207" s="267">
        <f t="shared" si="197"/>
        <v>5.3969999999999997E-2</v>
      </c>
      <c r="DY207" s="267">
        <f>+$EE$80</f>
        <v>7.1599999999999997E-2</v>
      </c>
      <c r="DZ207" s="205">
        <f t="shared" si="179"/>
        <v>0.12943425200000025</v>
      </c>
      <c r="EA207" s="205">
        <f t="shared" si="180"/>
        <v>1.3310412281474979E-4</v>
      </c>
    </row>
    <row r="208" spans="2:131">
      <c r="B208" s="272">
        <v>45461</v>
      </c>
      <c r="C208" s="271">
        <v>45461</v>
      </c>
      <c r="D208" s="263" t="e">
        <f>+SUMIFS(Tabla6[Nominal COP],Tabla6[Concepto],COSTO_OPORTUNIDAD!$B$18,Tabla6[Nemotécnico],COSTO_OPORTUNIDAD!D$16,Tabla6[Fecha Cumplimiento y/ liquidacion],COSTO_OPORTUNIDAD!$C208)/+SUMIFS(Tabla6[Nominal COP],Tabla6[Concepto],COSTO_OPORTUNIDAD!$B$18,Tabla6[Fecha Cumplimiento y/ liquidacion],COSTO_OPORTUNIDAD!$C208)</f>
        <v>#DIV/0!</v>
      </c>
      <c r="E208" s="263" t="e">
        <f>+SUMIFS(Tabla6[Nominal COP],Tabla6[Concepto],COSTO_OPORTUNIDAD!$B$18,Tabla6[Nemotécnico],COSTO_OPORTUNIDAD!E$16,Tabla6[Fecha Cumplimiento y/ liquidacion],COSTO_OPORTUNIDAD!$C208)/+SUMIFS(Tabla6[Nominal COP],Tabla6[Concepto],COSTO_OPORTUNIDAD!$B$18,Tabla6[Fecha Cumplimiento y/ liquidacion],COSTO_OPORTUNIDAD!$C208)</f>
        <v>#DIV/0!</v>
      </c>
      <c r="F208" s="263"/>
      <c r="G208" s="263"/>
      <c r="H208" s="263">
        <v>0.83177918687057073</v>
      </c>
      <c r="I208" s="263"/>
      <c r="J208" s="263">
        <v>0</v>
      </c>
      <c r="K208" s="263">
        <v>0</v>
      </c>
      <c r="L208" s="263"/>
      <c r="M208" s="263">
        <v>0</v>
      </c>
      <c r="N208" s="263"/>
      <c r="O208" s="263"/>
      <c r="P208" s="263">
        <v>0</v>
      </c>
      <c r="Q208" s="263"/>
      <c r="R208" s="263">
        <v>0.16784781797836629</v>
      </c>
      <c r="S208" s="263"/>
      <c r="T208" s="263">
        <v>0</v>
      </c>
      <c r="U208" s="263"/>
      <c r="V208" s="263">
        <v>0</v>
      </c>
      <c r="W208" s="263">
        <v>0</v>
      </c>
      <c r="X208" s="263">
        <v>3.729951510630362E-4</v>
      </c>
      <c r="Y208" s="263"/>
      <c r="Z208" s="263">
        <v>0</v>
      </c>
      <c r="AA208" s="263">
        <v>0</v>
      </c>
      <c r="AB208" s="263">
        <v>0</v>
      </c>
      <c r="AC208" s="263"/>
      <c r="AD208" s="263">
        <v>0</v>
      </c>
      <c r="AE208" s="263"/>
      <c r="AF208" s="263"/>
      <c r="AG208" s="262"/>
      <c r="AH208" s="274">
        <f t="shared" si="130"/>
        <v>799</v>
      </c>
      <c r="AI208" s="274">
        <f t="shared" si="131"/>
        <v>1233</v>
      </c>
      <c r="AJ208" s="274">
        <f t="shared" si="132"/>
        <v>1410</v>
      </c>
      <c r="AK208" s="274">
        <f t="shared" si="198"/>
        <v>1891</v>
      </c>
      <c r="AL208" s="274">
        <f t="shared" si="133"/>
        <v>2283</v>
      </c>
      <c r="AM208" s="274">
        <f t="shared" si="134"/>
        <v>2472</v>
      </c>
      <c r="AN208" s="274">
        <f t="shared" si="135"/>
        <v>2934</v>
      </c>
      <c r="AO208" s="274">
        <f t="shared" si="187"/>
        <v>3158</v>
      </c>
      <c r="AP208" s="274">
        <f t="shared" si="136"/>
        <v>3774</v>
      </c>
      <c r="AQ208" s="274"/>
      <c r="AR208" s="274">
        <f t="shared" si="137"/>
        <v>4404</v>
      </c>
      <c r="AS208" s="274">
        <f t="shared" si="199"/>
        <v>6007</v>
      </c>
      <c r="AT208" s="274">
        <f t="shared" si="138"/>
        <v>6553</v>
      </c>
      <c r="AU208" s="274">
        <f t="shared" si="189"/>
        <v>8072</v>
      </c>
      <c r="AV208" s="274">
        <f t="shared" si="139"/>
        <v>9626</v>
      </c>
      <c r="AW208" s="274"/>
      <c r="AX208" s="274">
        <f t="shared" si="140"/>
        <v>323</v>
      </c>
      <c r="AY208" s="274">
        <f t="shared" si="141"/>
        <v>1002</v>
      </c>
      <c r="AZ208" s="274">
        <f t="shared" si="142"/>
        <v>1765</v>
      </c>
      <c r="BA208" s="274"/>
      <c r="BB208" s="274">
        <f t="shared" si="143"/>
        <v>3202</v>
      </c>
      <c r="BC208" s="274">
        <f t="shared" si="144"/>
        <v>3942</v>
      </c>
      <c r="BD208" s="274">
        <f t="shared" si="145"/>
        <v>4635</v>
      </c>
      <c r="BE208" s="274"/>
      <c r="BF208" s="274">
        <f t="shared" si="146"/>
        <v>9129</v>
      </c>
      <c r="BG208" s="274"/>
      <c r="BH208" s="274"/>
      <c r="BI208" s="266">
        <f t="shared" si="147"/>
        <v>3.729951510630362E-4</v>
      </c>
      <c r="BJ208" s="266" t="e">
        <f t="shared" si="148"/>
        <v>#DIV/0!</v>
      </c>
      <c r="BK208" s="263" t="str">
        <f t="shared" si="149"/>
        <v/>
      </c>
      <c r="BL208" s="263" t="str">
        <f t="shared" si="150"/>
        <v/>
      </c>
      <c r="BM208" s="263" t="str">
        <f t="shared" si="151"/>
        <v/>
      </c>
      <c r="BN208" s="263"/>
      <c r="BO208" s="263" t="str">
        <f t="shared" si="152"/>
        <v/>
      </c>
      <c r="BP208" s="263" t="str">
        <f t="shared" si="153"/>
        <v/>
      </c>
      <c r="BQ208" s="263" t="str">
        <f t="shared" si="154"/>
        <v/>
      </c>
      <c r="BR208" s="263" t="str">
        <f t="shared" si="155"/>
        <v/>
      </c>
      <c r="BS208" s="263" t="str">
        <f t="shared" si="156"/>
        <v/>
      </c>
      <c r="BT208" s="263" t="str">
        <f t="shared" si="157"/>
        <v/>
      </c>
      <c r="BU208" s="263" t="str">
        <f t="shared" si="158"/>
        <v/>
      </c>
      <c r="BV208" s="263"/>
      <c r="BW208" s="263" t="str">
        <f t="shared" si="159"/>
        <v/>
      </c>
      <c r="BX208" s="263"/>
      <c r="BY208" s="263" t="str">
        <f t="shared" si="160"/>
        <v/>
      </c>
      <c r="BZ208" s="263"/>
      <c r="CA208" s="263">
        <f t="shared" si="182"/>
        <v>0</v>
      </c>
      <c r="CB208" s="263">
        <f t="shared" si="161"/>
        <v>0</v>
      </c>
      <c r="CC208" s="263">
        <f t="shared" si="183"/>
        <v>1</v>
      </c>
      <c r="CD208" s="263">
        <f t="shared" si="162"/>
        <v>0</v>
      </c>
      <c r="CE208" s="263">
        <f t="shared" si="167"/>
        <v>0</v>
      </c>
      <c r="CF208" s="263">
        <f t="shared" si="184"/>
        <v>0</v>
      </c>
      <c r="CG208" s="263">
        <f t="shared" si="185"/>
        <v>0</v>
      </c>
      <c r="CH208" s="263"/>
      <c r="CI208" s="263">
        <f t="shared" si="163"/>
        <v>0</v>
      </c>
      <c r="CJ208" s="263"/>
      <c r="CK208" s="263">
        <f t="shared" si="164"/>
        <v>0</v>
      </c>
      <c r="CL208" s="264">
        <f t="shared" si="188"/>
        <v>0</v>
      </c>
      <c r="CM208" s="264">
        <f t="shared" si="165"/>
        <v>1002</v>
      </c>
      <c r="CO208" s="265">
        <v>9.6199999999999994E-2</v>
      </c>
      <c r="CP208" s="265">
        <v>0.10050000000000001</v>
      </c>
      <c r="CQ208" s="265">
        <v>0.10188000000000001</v>
      </c>
      <c r="CS208" s="265">
        <v>0.10375</v>
      </c>
      <c r="CT208" s="265">
        <v>0.10163</v>
      </c>
      <c r="CU208" s="265">
        <v>0.10695</v>
      </c>
      <c r="CV208" s="265">
        <v>0.10808999999999999</v>
      </c>
      <c r="CW208" s="265">
        <v>0.10912000000000001</v>
      </c>
      <c r="CY208" s="265">
        <v>0.11155</v>
      </c>
      <c r="DA208" s="265">
        <v>0.11564999999999999</v>
      </c>
      <c r="DC208" s="265">
        <v>0.11564999999999999</v>
      </c>
      <c r="DE208" s="265">
        <v>5.2999999999999999E-2</v>
      </c>
      <c r="DF208" s="265">
        <v>5.4890000000000001E-2</v>
      </c>
      <c r="DH208" s="265">
        <v>5.5E-2</v>
      </c>
      <c r="DI208" s="265">
        <v>5.5350000000000003E-2</v>
      </c>
      <c r="DJ208" s="265">
        <v>5.6779999999999997E-2</v>
      </c>
      <c r="DL208" s="265">
        <v>5.5500000000000001E-2</v>
      </c>
      <c r="DO208" s="264" t="e">
        <f t="shared" si="191"/>
        <v>#N/A</v>
      </c>
      <c r="DP208" s="264" t="e" cm="1">
        <f t="array" ref="DP208">+INDEX(AH208:AV208,MATCH(DO208,AH208:AV208,1)+1)</f>
        <v>#N/A</v>
      </c>
      <c r="DQ208" s="265" t="e">
        <f t="shared" si="192"/>
        <v>#N/A</v>
      </c>
      <c r="DR208" s="267" t="e">
        <f t="shared" si="193"/>
        <v>#N/A</v>
      </c>
      <c r="DS208" s="267" t="e">
        <f t="shared" si="194"/>
        <v>#N/A</v>
      </c>
      <c r="DT208" s="268">
        <f t="shared" si="195"/>
        <v>1002</v>
      </c>
      <c r="DU208" s="268" cm="1">
        <f t="array" ref="DU208">+INDEX(AX208:BF208,MATCH(DT208,AX208:BF208,1)+1)</f>
        <v>1765</v>
      </c>
      <c r="DV208" s="267">
        <f t="shared" si="175"/>
        <v>5.4890000000000001E-2</v>
      </c>
      <c r="DW208" s="267">
        <f t="shared" si="196"/>
        <v>0</v>
      </c>
      <c r="DX208" s="267">
        <f t="shared" si="197"/>
        <v>5.4890000000000001E-2</v>
      </c>
      <c r="DY208" s="267">
        <f t="shared" ref="DY208:DY210" si="200">+$EE$81</f>
        <v>7.1599999999999997E-2</v>
      </c>
      <c r="DZ208" s="205">
        <f t="shared" si="179"/>
        <v>0.13042012400000025</v>
      </c>
      <c r="EA208" s="205">
        <f t="shared" si="180"/>
        <v>4.8646073853040004E-5</v>
      </c>
    </row>
    <row r="209" spans="2:131">
      <c r="B209" s="272">
        <v>45462</v>
      </c>
      <c r="C209" s="271">
        <v>45462</v>
      </c>
      <c r="D209" s="263" t="e">
        <f>+SUMIFS(Tabla6[Nominal COP],Tabla6[Concepto],COSTO_OPORTUNIDAD!$B$18,Tabla6[Nemotécnico],COSTO_OPORTUNIDAD!D$16,Tabla6[Fecha Cumplimiento y/ liquidacion],COSTO_OPORTUNIDAD!$C209)/+SUMIFS(Tabla6[Nominal COP],Tabla6[Concepto],COSTO_OPORTUNIDAD!$B$18,Tabla6[Fecha Cumplimiento y/ liquidacion],COSTO_OPORTUNIDAD!$C209)</f>
        <v>#DIV/0!</v>
      </c>
      <c r="E209" s="263" t="e">
        <f>+SUMIFS(Tabla6[Nominal COP],Tabla6[Concepto],COSTO_OPORTUNIDAD!$B$18,Tabla6[Nemotécnico],COSTO_OPORTUNIDAD!E$16,Tabla6[Fecha Cumplimiento y/ liquidacion],COSTO_OPORTUNIDAD!$C209)/+SUMIFS(Tabla6[Nominal COP],Tabla6[Concepto],COSTO_OPORTUNIDAD!$B$18,Tabla6[Fecha Cumplimiento y/ liquidacion],COSTO_OPORTUNIDAD!$C209)</f>
        <v>#DIV/0!</v>
      </c>
      <c r="F209" s="263"/>
      <c r="G209" s="263"/>
      <c r="H209" s="263">
        <v>0.85074626865671643</v>
      </c>
      <c r="I209" s="263"/>
      <c r="J209" s="263">
        <v>0</v>
      </c>
      <c r="K209" s="263">
        <v>0</v>
      </c>
      <c r="L209" s="263"/>
      <c r="M209" s="263">
        <v>0</v>
      </c>
      <c r="N209" s="263"/>
      <c r="O209" s="263"/>
      <c r="P209" s="263">
        <v>0</v>
      </c>
      <c r="Q209" s="263"/>
      <c r="R209" s="263">
        <v>0.14925373134328357</v>
      </c>
      <c r="S209" s="263"/>
      <c r="T209" s="263">
        <v>0</v>
      </c>
      <c r="U209" s="263"/>
      <c r="V209" s="263">
        <v>0</v>
      </c>
      <c r="W209" s="263">
        <v>0</v>
      </c>
      <c r="X209" s="263">
        <v>0</v>
      </c>
      <c r="Y209" s="263"/>
      <c r="Z209" s="263">
        <v>0</v>
      </c>
      <c r="AA209" s="263">
        <v>0</v>
      </c>
      <c r="AB209" s="263">
        <v>0</v>
      </c>
      <c r="AC209" s="263"/>
      <c r="AD209" s="263">
        <v>0</v>
      </c>
      <c r="AE209" s="263"/>
      <c r="AF209" s="263"/>
      <c r="AG209" s="262"/>
      <c r="AH209" s="274">
        <f t="shared" si="130"/>
        <v>798</v>
      </c>
      <c r="AI209" s="274">
        <f t="shared" si="131"/>
        <v>1232</v>
      </c>
      <c r="AJ209" s="274">
        <f t="shared" si="132"/>
        <v>1409</v>
      </c>
      <c r="AK209" s="274">
        <f t="shared" si="198"/>
        <v>1890</v>
      </c>
      <c r="AL209" s="274">
        <f t="shared" si="133"/>
        <v>2282</v>
      </c>
      <c r="AM209" s="274">
        <f t="shared" si="134"/>
        <v>2471</v>
      </c>
      <c r="AN209" s="274">
        <f t="shared" si="135"/>
        <v>2933</v>
      </c>
      <c r="AO209" s="274">
        <f t="shared" si="187"/>
        <v>3157</v>
      </c>
      <c r="AP209" s="274">
        <f t="shared" si="136"/>
        <v>3773</v>
      </c>
      <c r="AQ209" s="274"/>
      <c r="AR209" s="274">
        <f t="shared" si="137"/>
        <v>4403</v>
      </c>
      <c r="AS209" s="274">
        <f t="shared" si="199"/>
        <v>6006</v>
      </c>
      <c r="AT209" s="274">
        <f t="shared" si="138"/>
        <v>6552</v>
      </c>
      <c r="AU209" s="274">
        <f t="shared" si="189"/>
        <v>8071</v>
      </c>
      <c r="AV209" s="274">
        <f t="shared" si="139"/>
        <v>9625</v>
      </c>
      <c r="AW209" s="274"/>
      <c r="AX209" s="274">
        <f t="shared" si="140"/>
        <v>322</v>
      </c>
      <c r="AY209" s="274">
        <f t="shared" si="141"/>
        <v>1001</v>
      </c>
      <c r="AZ209" s="274">
        <f t="shared" si="142"/>
        <v>1764</v>
      </c>
      <c r="BA209" s="274"/>
      <c r="BB209" s="274">
        <f t="shared" si="143"/>
        <v>3201</v>
      </c>
      <c r="BC209" s="274">
        <f t="shared" si="144"/>
        <v>3941</v>
      </c>
      <c r="BD209" s="274">
        <f t="shared" si="145"/>
        <v>4634</v>
      </c>
      <c r="BE209" s="274"/>
      <c r="BF209" s="274">
        <f t="shared" si="146"/>
        <v>9128</v>
      </c>
      <c r="BG209" s="274"/>
      <c r="BH209" s="274"/>
      <c r="BI209" s="266">
        <f t="shared" si="147"/>
        <v>0</v>
      </c>
      <c r="BJ209" s="266" t="e">
        <f t="shared" si="148"/>
        <v>#DIV/0!</v>
      </c>
      <c r="BK209" s="263" t="str">
        <f t="shared" si="149"/>
        <v/>
      </c>
      <c r="BL209" s="263" t="str">
        <f t="shared" si="150"/>
        <v/>
      </c>
      <c r="BM209" s="263" t="str">
        <f t="shared" si="151"/>
        <v/>
      </c>
      <c r="BN209" s="263"/>
      <c r="BO209" s="263" t="str">
        <f t="shared" si="152"/>
        <v/>
      </c>
      <c r="BP209" s="263" t="str">
        <f t="shared" si="153"/>
        <v/>
      </c>
      <c r="BQ209" s="263" t="str">
        <f t="shared" si="154"/>
        <v/>
      </c>
      <c r="BR209" s="263" t="str">
        <f t="shared" si="155"/>
        <v/>
      </c>
      <c r="BS209" s="263" t="str">
        <f t="shared" si="156"/>
        <v/>
      </c>
      <c r="BT209" s="263" t="str">
        <f t="shared" si="157"/>
        <v/>
      </c>
      <c r="BU209" s="263" t="str">
        <f t="shared" si="158"/>
        <v/>
      </c>
      <c r="BV209" s="263"/>
      <c r="BW209" s="263" t="str">
        <f t="shared" si="159"/>
        <v/>
      </c>
      <c r="BX209" s="263"/>
      <c r="BY209" s="263" t="str">
        <f t="shared" si="160"/>
        <v/>
      </c>
      <c r="BZ209" s="263"/>
      <c r="CA209" s="263" t="str">
        <f t="shared" si="182"/>
        <v/>
      </c>
      <c r="CB209" s="263" t="str">
        <f t="shared" si="161"/>
        <v/>
      </c>
      <c r="CC209" s="263" t="str">
        <f t="shared" si="183"/>
        <v/>
      </c>
      <c r="CD209" s="263" t="str">
        <f t="shared" si="162"/>
        <v/>
      </c>
      <c r="CE209" s="263" t="str">
        <f t="shared" si="167"/>
        <v/>
      </c>
      <c r="CF209" s="263" t="str">
        <f t="shared" si="184"/>
        <v/>
      </c>
      <c r="CG209" s="263" t="str">
        <f t="shared" si="185"/>
        <v/>
      </c>
      <c r="CH209" s="263"/>
      <c r="CI209" s="263" t="str">
        <f t="shared" si="163"/>
        <v/>
      </c>
      <c r="CJ209" s="263"/>
      <c r="CK209" s="263" t="str">
        <f t="shared" si="164"/>
        <v/>
      </c>
      <c r="CL209" s="264">
        <f t="shared" si="188"/>
        <v>0</v>
      </c>
      <c r="CM209" s="264">
        <f t="shared" si="165"/>
        <v>0</v>
      </c>
      <c r="CO209" s="265">
        <v>9.5950000000000008E-2</v>
      </c>
      <c r="CP209" s="265">
        <v>0.10079</v>
      </c>
      <c r="CQ209" s="265">
        <v>0.10220000000000001</v>
      </c>
      <c r="CS209" s="265">
        <v>0.1042</v>
      </c>
      <c r="CT209" s="265">
        <v>0.1043</v>
      </c>
      <c r="CU209" s="265">
        <v>0.10766000000000001</v>
      </c>
      <c r="CV209" s="265">
        <v>0.10869999999999999</v>
      </c>
      <c r="CW209" s="265">
        <v>0.10904999999999999</v>
      </c>
      <c r="CY209" s="265">
        <v>0.11111</v>
      </c>
      <c r="DA209" s="265">
        <v>0.1157</v>
      </c>
      <c r="DC209" s="265">
        <v>0.11577</v>
      </c>
      <c r="DE209" s="265">
        <v>5.33E-2</v>
      </c>
      <c r="DF209" s="265">
        <v>5.5199999999999999E-2</v>
      </c>
      <c r="DH209" s="265">
        <v>5.6309999999999999E-2</v>
      </c>
      <c r="DI209" s="265">
        <v>5.6260000000000004E-2</v>
      </c>
      <c r="DJ209" s="265">
        <v>5.7020000000000001E-2</v>
      </c>
      <c r="DL209" s="265">
        <v>5.6210000000000003E-2</v>
      </c>
      <c r="DO209" s="264" t="e">
        <f t="shared" si="191"/>
        <v>#N/A</v>
      </c>
      <c r="DP209" s="264" t="e" cm="1">
        <f t="array" ref="DP209">+INDEX(AH209:AV209,MATCH(DO209,AH209:AV209,1)+1)</f>
        <v>#N/A</v>
      </c>
      <c r="DQ209" s="265" t="e">
        <f t="shared" si="192"/>
        <v>#N/A</v>
      </c>
      <c r="DR209" s="267" t="e">
        <f t="shared" si="193"/>
        <v>#N/A</v>
      </c>
      <c r="DS209" s="267" t="e">
        <f t="shared" si="194"/>
        <v>#N/A</v>
      </c>
      <c r="DT209" s="268" t="e">
        <f t="shared" si="195"/>
        <v>#N/A</v>
      </c>
      <c r="DU209" s="268" t="e" cm="1">
        <f t="array" ref="DU209">+INDEX(AX209:BF209,MATCH(DT209,AX209:BF209,1)+1)</f>
        <v>#N/A</v>
      </c>
      <c r="DV209" s="267" t="e">
        <f t="shared" si="175"/>
        <v>#N/A</v>
      </c>
      <c r="DW209" s="267" t="e">
        <f t="shared" si="196"/>
        <v>#N/A</v>
      </c>
      <c r="DX209" s="267" t="e">
        <f t="shared" si="197"/>
        <v>#N/A</v>
      </c>
      <c r="DY209" s="267">
        <f t="shared" si="200"/>
        <v>7.1599999999999997E-2</v>
      </c>
      <c r="DZ209" s="205" t="e">
        <f t="shared" si="179"/>
        <v>#N/A</v>
      </c>
      <c r="EA209" s="205">
        <f t="shared" si="180"/>
        <v>0</v>
      </c>
    </row>
    <row r="210" spans="2:131">
      <c r="B210" s="272">
        <v>45469</v>
      </c>
      <c r="C210" s="271">
        <v>45469</v>
      </c>
      <c r="D210" s="263" t="e">
        <f>+SUMIFS(Tabla6[Nominal COP],Tabla6[Concepto],COSTO_OPORTUNIDAD!$B$18,Tabla6[Nemotécnico],COSTO_OPORTUNIDAD!D$16,Tabla6[Fecha Cumplimiento y/ liquidacion],COSTO_OPORTUNIDAD!$C210)/+SUMIFS(Tabla6[Nominal COP],Tabla6[Concepto],COSTO_OPORTUNIDAD!$B$18,Tabla6[Fecha Cumplimiento y/ liquidacion],COSTO_OPORTUNIDAD!$C210)</f>
        <v>#DIV/0!</v>
      </c>
      <c r="E210" s="263" t="e">
        <f>+SUMIFS(Tabla6[Nominal COP],Tabla6[Concepto],COSTO_OPORTUNIDAD!$B$18,Tabla6[Nemotécnico],COSTO_OPORTUNIDAD!E$16,Tabla6[Fecha Cumplimiento y/ liquidacion],COSTO_OPORTUNIDAD!$C210)/+SUMIFS(Tabla6[Nominal COP],Tabla6[Concepto],COSTO_OPORTUNIDAD!$B$18,Tabla6[Fecha Cumplimiento y/ liquidacion],COSTO_OPORTUNIDAD!$C210)</f>
        <v>#DIV/0!</v>
      </c>
      <c r="F210" s="263"/>
      <c r="G210" s="263"/>
      <c r="H210" s="263">
        <v>0.88235294117647056</v>
      </c>
      <c r="I210" s="263"/>
      <c r="J210" s="263">
        <v>0</v>
      </c>
      <c r="K210" s="263">
        <v>0</v>
      </c>
      <c r="L210" s="263"/>
      <c r="M210" s="263">
        <v>0</v>
      </c>
      <c r="N210" s="263"/>
      <c r="O210" s="263"/>
      <c r="P210" s="263">
        <v>0</v>
      </c>
      <c r="Q210" s="263"/>
      <c r="R210" s="263">
        <v>0.11764705882352941</v>
      </c>
      <c r="S210" s="263">
        <v>0</v>
      </c>
      <c r="T210" s="263">
        <v>0</v>
      </c>
      <c r="U210" s="263"/>
      <c r="V210" s="263">
        <v>0</v>
      </c>
      <c r="W210" s="263">
        <v>0</v>
      </c>
      <c r="X210" s="263">
        <v>0</v>
      </c>
      <c r="Y210" s="263"/>
      <c r="Z210" s="263">
        <v>0</v>
      </c>
      <c r="AA210" s="263">
        <v>0</v>
      </c>
      <c r="AB210" s="263">
        <v>0</v>
      </c>
      <c r="AC210" s="263"/>
      <c r="AD210" s="263">
        <v>0</v>
      </c>
      <c r="AE210" s="263"/>
      <c r="AF210" s="263"/>
      <c r="AG210" s="262"/>
      <c r="AH210" s="274">
        <f t="shared" si="130"/>
        <v>791</v>
      </c>
      <c r="AI210" s="274">
        <f t="shared" si="131"/>
        <v>1225</v>
      </c>
      <c r="AJ210" s="274">
        <f t="shared" si="132"/>
        <v>1402</v>
      </c>
      <c r="AK210" s="274">
        <f t="shared" si="198"/>
        <v>1883</v>
      </c>
      <c r="AL210" s="274">
        <f t="shared" si="133"/>
        <v>2275</v>
      </c>
      <c r="AM210" s="274">
        <f t="shared" si="134"/>
        <v>2464</v>
      </c>
      <c r="AN210" s="274">
        <f t="shared" si="135"/>
        <v>2926</v>
      </c>
      <c r="AO210" s="274">
        <f t="shared" si="187"/>
        <v>3150</v>
      </c>
      <c r="AP210" s="274">
        <f t="shared" si="136"/>
        <v>3766</v>
      </c>
      <c r="AQ210" s="274"/>
      <c r="AR210" s="274">
        <f t="shared" si="137"/>
        <v>4396</v>
      </c>
      <c r="AS210" s="274">
        <f t="shared" si="199"/>
        <v>5999</v>
      </c>
      <c r="AT210" s="274">
        <f t="shared" si="138"/>
        <v>6545</v>
      </c>
      <c r="AU210" s="274">
        <f t="shared" si="189"/>
        <v>8064</v>
      </c>
      <c r="AV210" s="274">
        <f t="shared" si="139"/>
        <v>9618</v>
      </c>
      <c r="AW210" s="274"/>
      <c r="AX210" s="274">
        <f t="shared" si="140"/>
        <v>315</v>
      </c>
      <c r="AY210" s="274">
        <f t="shared" si="141"/>
        <v>994</v>
      </c>
      <c r="AZ210" s="274">
        <f t="shared" si="142"/>
        <v>1757</v>
      </c>
      <c r="BA210" s="274"/>
      <c r="BB210" s="274">
        <f t="shared" si="143"/>
        <v>3194</v>
      </c>
      <c r="BC210" s="274">
        <f t="shared" si="144"/>
        <v>3934</v>
      </c>
      <c r="BD210" s="274">
        <f t="shared" si="145"/>
        <v>4627</v>
      </c>
      <c r="BE210" s="274"/>
      <c r="BF210" s="274">
        <f t="shared" si="146"/>
        <v>9121</v>
      </c>
      <c r="BG210" s="274"/>
      <c r="BH210" s="274"/>
      <c r="BI210" s="266">
        <f t="shared" si="147"/>
        <v>0</v>
      </c>
      <c r="BJ210" s="266" t="e">
        <f t="shared" si="148"/>
        <v>#DIV/0!</v>
      </c>
      <c r="BK210" s="263" t="str">
        <f t="shared" si="149"/>
        <v/>
      </c>
      <c r="BL210" s="263" t="str">
        <f t="shared" si="150"/>
        <v/>
      </c>
      <c r="BM210" s="263" t="str">
        <f t="shared" si="151"/>
        <v/>
      </c>
      <c r="BN210" s="263"/>
      <c r="BO210" s="263" t="str">
        <f t="shared" si="152"/>
        <v/>
      </c>
      <c r="BP210" s="263" t="str">
        <f t="shared" si="153"/>
        <v/>
      </c>
      <c r="BQ210" s="263" t="str">
        <f t="shared" si="154"/>
        <v/>
      </c>
      <c r="BR210" s="263" t="str">
        <f t="shared" si="155"/>
        <v/>
      </c>
      <c r="BS210" s="263" t="str">
        <f t="shared" si="156"/>
        <v/>
      </c>
      <c r="BT210" s="263" t="str">
        <f t="shared" si="157"/>
        <v/>
      </c>
      <c r="BU210" s="263" t="str">
        <f t="shared" si="158"/>
        <v/>
      </c>
      <c r="BV210" s="263"/>
      <c r="BW210" s="263" t="str">
        <f t="shared" si="159"/>
        <v/>
      </c>
      <c r="BX210" s="263"/>
      <c r="BY210" s="263" t="str">
        <f t="shared" si="160"/>
        <v/>
      </c>
      <c r="BZ210" s="263"/>
      <c r="CA210" s="263" t="str">
        <f t="shared" si="182"/>
        <v/>
      </c>
      <c r="CB210" s="263" t="str">
        <f t="shared" si="161"/>
        <v/>
      </c>
      <c r="CC210" s="263" t="str">
        <f t="shared" si="183"/>
        <v/>
      </c>
      <c r="CD210" s="263" t="str">
        <f t="shared" si="162"/>
        <v/>
      </c>
      <c r="CE210" s="263" t="str">
        <f t="shared" si="167"/>
        <v/>
      </c>
      <c r="CF210" s="263" t="str">
        <f t="shared" si="184"/>
        <v/>
      </c>
      <c r="CG210" s="263" t="str">
        <f t="shared" si="185"/>
        <v/>
      </c>
      <c r="CH210" s="263"/>
      <c r="CI210" s="263" t="str">
        <f t="shared" si="163"/>
        <v/>
      </c>
      <c r="CJ210" s="263"/>
      <c r="CK210" s="263" t="str">
        <f t="shared" si="164"/>
        <v/>
      </c>
      <c r="CL210" s="264">
        <f t="shared" si="188"/>
        <v>0</v>
      </c>
      <c r="CM210" s="264">
        <f t="shared" si="165"/>
        <v>0</v>
      </c>
      <c r="CO210" s="265">
        <v>9.5299999999999996E-2</v>
      </c>
      <c r="CP210" s="265">
        <v>0.1002</v>
      </c>
      <c r="CQ210" s="265">
        <v>0.10167</v>
      </c>
      <c r="CS210" s="265">
        <v>0.10385</v>
      </c>
      <c r="CT210" s="265">
        <v>0.1036</v>
      </c>
      <c r="CU210" s="265">
        <v>0.10679999999999999</v>
      </c>
      <c r="CV210" s="265">
        <v>0.1076</v>
      </c>
      <c r="CW210" s="265">
        <v>0.10877000000000001</v>
      </c>
      <c r="CY210" s="265">
        <v>0.11083999999999999</v>
      </c>
      <c r="DA210" s="265">
        <v>0.11547</v>
      </c>
      <c r="DC210" s="265">
        <v>0.11571999999999999</v>
      </c>
      <c r="DE210" s="265">
        <v>5.2300000000000006E-2</v>
      </c>
      <c r="DF210" s="265">
        <v>5.4809999999999998E-2</v>
      </c>
      <c r="DH210" s="265">
        <v>5.4800000000000001E-2</v>
      </c>
      <c r="DI210" s="265">
        <v>5.5849999999999997E-2</v>
      </c>
      <c r="DJ210" s="265">
        <v>5.6340000000000001E-2</v>
      </c>
      <c r="DL210" s="265">
        <v>5.5019999999999999E-2</v>
      </c>
      <c r="DO210" s="264" t="e">
        <f t="shared" si="191"/>
        <v>#N/A</v>
      </c>
      <c r="DP210" s="264" t="e" cm="1">
        <f t="array" ref="DP210">+INDEX(AH210:AV210,MATCH(DO210,AH210:AV210,1)+1)</f>
        <v>#N/A</v>
      </c>
      <c r="DQ210" s="265" t="e">
        <f t="shared" si="192"/>
        <v>#N/A</v>
      </c>
      <c r="DR210" s="267" t="e">
        <f t="shared" si="193"/>
        <v>#N/A</v>
      </c>
      <c r="DS210" s="267" t="e">
        <f t="shared" si="194"/>
        <v>#N/A</v>
      </c>
      <c r="DT210" s="268" t="e">
        <f t="shared" si="195"/>
        <v>#N/A</v>
      </c>
      <c r="DU210" s="268" t="e" cm="1">
        <f t="array" ref="DU210">+INDEX(AX210:BF210,MATCH(DT210,AX210:BF210,1)+1)</f>
        <v>#N/A</v>
      </c>
      <c r="DV210" s="267" t="e">
        <f t="shared" si="175"/>
        <v>#N/A</v>
      </c>
      <c r="DW210" s="267" t="e">
        <f t="shared" si="196"/>
        <v>#N/A</v>
      </c>
      <c r="DX210" s="267" t="e">
        <f t="shared" si="197"/>
        <v>#N/A</v>
      </c>
      <c r="DY210" s="267">
        <f t="shared" si="200"/>
        <v>7.1599999999999997E-2</v>
      </c>
      <c r="DZ210" s="205" t="e">
        <f t="shared" si="179"/>
        <v>#N/A</v>
      </c>
      <c r="EA210" s="205">
        <f t="shared" si="180"/>
        <v>0</v>
      </c>
    </row>
    <row r="211" spans="2:131">
      <c r="B211" s="272">
        <v>45470</v>
      </c>
      <c r="C211" s="271">
        <v>45470</v>
      </c>
      <c r="D211" s="263" t="e">
        <f>+SUMIFS(Tabla6[Nominal COP],Tabla6[Concepto],COSTO_OPORTUNIDAD!$B$18,Tabla6[Nemotécnico],COSTO_OPORTUNIDAD!D$16,Tabla6[Fecha Cumplimiento y/ liquidacion],COSTO_OPORTUNIDAD!$C211)/+SUMIFS(Tabla6[Nominal COP],Tabla6[Concepto],COSTO_OPORTUNIDAD!$B$18,Tabla6[Fecha Cumplimiento y/ liquidacion],COSTO_OPORTUNIDAD!$C211)</f>
        <v>#DIV/0!</v>
      </c>
      <c r="E211" s="263" t="e">
        <f>+SUMIFS(Tabla6[Nominal COP],Tabla6[Concepto],COSTO_OPORTUNIDAD!$B$18,Tabla6[Nemotécnico],COSTO_OPORTUNIDAD!E$16,Tabla6[Fecha Cumplimiento y/ liquidacion],COSTO_OPORTUNIDAD!$C211)/+SUMIFS(Tabla6[Nominal COP],Tabla6[Concepto],COSTO_OPORTUNIDAD!$B$18,Tabla6[Fecha Cumplimiento y/ liquidacion],COSTO_OPORTUNIDAD!$C211)</f>
        <v>#DIV/0!</v>
      </c>
      <c r="F211" s="263"/>
      <c r="G211" s="263"/>
      <c r="H211" s="263">
        <v>0.58721187931013519</v>
      </c>
      <c r="I211" s="263"/>
      <c r="J211" s="263">
        <v>0</v>
      </c>
      <c r="K211" s="263">
        <v>0</v>
      </c>
      <c r="L211" s="263"/>
      <c r="M211" s="263">
        <v>0</v>
      </c>
      <c r="N211" s="263"/>
      <c r="O211" s="263"/>
      <c r="P211" s="263">
        <v>0</v>
      </c>
      <c r="Q211" s="263"/>
      <c r="R211" s="263">
        <v>0.10362562576061209</v>
      </c>
      <c r="S211" s="263">
        <v>0</v>
      </c>
      <c r="T211" s="263">
        <v>0</v>
      </c>
      <c r="U211" s="263"/>
      <c r="V211" s="263">
        <v>0</v>
      </c>
      <c r="W211" s="263">
        <v>0</v>
      </c>
      <c r="X211" s="263">
        <v>0.30916249492925274</v>
      </c>
      <c r="Y211" s="263"/>
      <c r="Z211" s="263">
        <v>0</v>
      </c>
      <c r="AA211" s="263">
        <v>0</v>
      </c>
      <c r="AB211" s="263">
        <v>0</v>
      </c>
      <c r="AC211" s="263"/>
      <c r="AD211" s="263">
        <v>0</v>
      </c>
      <c r="AE211" s="263"/>
      <c r="AF211" s="263"/>
      <c r="AG211" s="262"/>
      <c r="AH211" s="274">
        <f t="shared" ref="AH211:AH255" si="201">(F$17-$B211)</f>
        <v>790</v>
      </c>
      <c r="AI211" s="274">
        <f t="shared" ref="AI211:AI255" si="202">(G$17-$B211)</f>
        <v>1224</v>
      </c>
      <c r="AJ211" s="274">
        <f t="shared" ref="AJ211:AJ255" si="203">(H$17-$B211)</f>
        <v>1401</v>
      </c>
      <c r="AK211" s="274">
        <f t="shared" si="198"/>
        <v>1882</v>
      </c>
      <c r="AL211" s="274">
        <f t="shared" ref="AL211:AL255" si="204">(J$17-$B211)</f>
        <v>2274</v>
      </c>
      <c r="AM211" s="274">
        <f t="shared" ref="AM211:AM255" si="205">(K$17-$B211)</f>
        <v>2463</v>
      </c>
      <c r="AN211" s="274">
        <f t="shared" ref="AN211:AN255" si="206">(L$17-$B211)</f>
        <v>2925</v>
      </c>
      <c r="AO211" s="274">
        <f t="shared" si="187"/>
        <v>3149</v>
      </c>
      <c r="AP211" s="274">
        <f t="shared" ref="AP211:AP255" si="207">(N$17-$B211)</f>
        <v>3765</v>
      </c>
      <c r="AQ211" s="274"/>
      <c r="AR211" s="274">
        <f t="shared" ref="AR211:AR274" si="208">(P$17-$B211)</f>
        <v>4395</v>
      </c>
      <c r="AS211" s="274">
        <f t="shared" si="199"/>
        <v>5998</v>
      </c>
      <c r="AT211" s="274">
        <f t="shared" ref="AT211:AT255" si="209">(R$17-$B211)</f>
        <v>6544</v>
      </c>
      <c r="AU211" s="274">
        <f t="shared" si="189"/>
        <v>8063</v>
      </c>
      <c r="AV211" s="274">
        <f t="shared" ref="AV211:AV255" si="210">(T$17-$B211)</f>
        <v>9617</v>
      </c>
      <c r="AW211" s="274"/>
      <c r="AX211" s="274">
        <f t="shared" ref="AX211:AX255" si="211">(V$17-$B211)</f>
        <v>314</v>
      </c>
      <c r="AY211" s="274">
        <f t="shared" ref="AY211:AY255" si="212">(W$17-$B211)</f>
        <v>993</v>
      </c>
      <c r="AZ211" s="274">
        <f t="shared" ref="AZ211:AZ255" si="213">(X$17-$B211)</f>
        <v>1756</v>
      </c>
      <c r="BA211" s="274"/>
      <c r="BB211" s="274">
        <f t="shared" ref="BB211:BB274" si="214">(Z$17-$B211)</f>
        <v>3193</v>
      </c>
      <c r="BC211" s="274">
        <f t="shared" ref="BC211:BC274" si="215">(AA$17-$B211)</f>
        <v>3933</v>
      </c>
      <c r="BD211" s="274">
        <f t="shared" ref="BD211:BD274" si="216">(AB$17-$B211)</f>
        <v>4626</v>
      </c>
      <c r="BE211" s="274"/>
      <c r="BF211" s="274">
        <f t="shared" ref="BF211:BF274" si="217">(AD$17-$B211)</f>
        <v>9120</v>
      </c>
      <c r="BG211" s="274"/>
      <c r="BH211" s="274"/>
      <c r="BI211" s="266">
        <f t="shared" ref="BI211:BI274" si="218">+SUM(V211:AF211)</f>
        <v>0.30916249492925274</v>
      </c>
      <c r="BJ211" s="266" t="e">
        <f t="shared" ref="BJ211:BJ274" si="219">+SUM(D211:T211)</f>
        <v>#DIV/0!</v>
      </c>
      <c r="BK211" s="263" t="str">
        <f t="shared" ref="BK211:BK274" si="220">IFERROR(F211/$BJ211,"")</f>
        <v/>
      </c>
      <c r="BL211" s="263" t="str">
        <f t="shared" ref="BL211:BL274" si="221">IFERROR(G211/$BJ211,"")</f>
        <v/>
      </c>
      <c r="BM211" s="263" t="str">
        <f t="shared" ref="BM211:BM274" si="222">IFERROR(H211/$BJ211,"")</f>
        <v/>
      </c>
      <c r="BN211" s="263"/>
      <c r="BO211" s="263" t="str">
        <f t="shared" ref="BO211:BO274" si="223">IFERROR(J211/$BJ211,"")</f>
        <v/>
      </c>
      <c r="BP211" s="263" t="str">
        <f t="shared" ref="BP211:BP274" si="224">IFERROR(K211/$BJ211,"")</f>
        <v/>
      </c>
      <c r="BQ211" s="263" t="str">
        <f t="shared" ref="BQ211:BQ274" si="225">IFERROR(L211/$BJ211,"")</f>
        <v/>
      </c>
      <c r="BR211" s="263" t="str">
        <f t="shared" ref="BR211:BR274" si="226">IFERROR(M211/$BJ211,"")</f>
        <v/>
      </c>
      <c r="BS211" s="263" t="str">
        <f t="shared" ref="BS211:BS274" si="227">IFERROR(N211/$BJ211,"")</f>
        <v/>
      </c>
      <c r="BT211" s="263" t="str">
        <f t="shared" ref="BT211:BT274" si="228">IFERROR(P211/$BJ211,"")</f>
        <v/>
      </c>
      <c r="BU211" s="263" t="str">
        <f t="shared" ref="BU211:BU274" si="229">IFERROR(P211/$BJ211,"")</f>
        <v/>
      </c>
      <c r="BV211" s="263"/>
      <c r="BW211" s="263" t="str">
        <f t="shared" ref="BW211:BW274" si="230">IFERROR(R211/$BJ211,"")</f>
        <v/>
      </c>
      <c r="BX211" s="263"/>
      <c r="BY211" s="263" t="str">
        <f t="shared" ref="BY211:BY274" si="231">IFERROR(T211/$BJ211,"")</f>
        <v/>
      </c>
      <c r="BZ211" s="263"/>
      <c r="CA211" s="263">
        <f t="shared" si="182"/>
        <v>0</v>
      </c>
      <c r="CB211" s="263">
        <f t="shared" ref="CB211:CB274" si="232">IFERROR(W211/$BI211,"")</f>
        <v>0</v>
      </c>
      <c r="CC211" s="263">
        <f t="shared" si="183"/>
        <v>1</v>
      </c>
      <c r="CD211" s="263">
        <f t="shared" ref="CD211:CD274" si="233">IFERROR(Y211/$BI211,"")</f>
        <v>0</v>
      </c>
      <c r="CE211" s="263">
        <f t="shared" si="167"/>
        <v>0</v>
      </c>
      <c r="CF211" s="263">
        <f t="shared" si="184"/>
        <v>0</v>
      </c>
      <c r="CG211" s="263">
        <f t="shared" si="185"/>
        <v>0</v>
      </c>
      <c r="CH211" s="263"/>
      <c r="CI211" s="263">
        <f t="shared" ref="CI211:CI274" si="234">IFERROR(AD211/$BI211,"")</f>
        <v>0</v>
      </c>
      <c r="CJ211" s="263"/>
      <c r="CK211" s="263">
        <f t="shared" ref="CK211:CK274" si="235">IFERROR(AF211/$BI211,"")</f>
        <v>0</v>
      </c>
      <c r="CL211" s="264">
        <f t="shared" si="188"/>
        <v>0</v>
      </c>
      <c r="CM211" s="264">
        <f t="shared" ref="CM211:CM261" si="236">ROUND(IFERROR((_xlfn.DAYS($V$17,B211)*CA211),0)+IFERROR((_xlfn.DAYS($Z$17,B211)*CB211),0)+IFERROR((_xlfn.DAYS($W$17,B211)*CC211),0)+IFERROR((_xlfn.DAYS($X$17,B211)*CE211),0)+IFERROR((_xlfn.DAYS($AA$17,B211)*CF211),0)+IFERROR((_xlfn.DAYS($AB$17,B211)*CG211),0)+IFERROR((_xlfn.DAYS($AD$17,B211)*CI211),0),0)</f>
        <v>993</v>
      </c>
      <c r="CO211" s="265">
        <v>9.3900000000000011E-2</v>
      </c>
      <c r="CP211" s="265">
        <v>9.9209999999999993E-2</v>
      </c>
      <c r="CQ211" s="265">
        <v>0.10050000000000001</v>
      </c>
      <c r="CS211" s="265">
        <v>0.10220000000000001</v>
      </c>
      <c r="CT211" s="265">
        <v>0.10209</v>
      </c>
      <c r="CU211" s="265">
        <v>0.10599</v>
      </c>
      <c r="CV211" s="265">
        <v>0.10710000000000001</v>
      </c>
      <c r="CW211" s="265">
        <v>0.10816000000000001</v>
      </c>
      <c r="CY211" s="265">
        <v>0.11005000000000001</v>
      </c>
      <c r="DA211" s="265">
        <v>0.11465</v>
      </c>
      <c r="DC211" s="265">
        <v>0.11499000000000001</v>
      </c>
      <c r="DE211" s="265">
        <v>5.2019999999999997E-2</v>
      </c>
      <c r="DF211" s="265">
        <v>5.45E-2</v>
      </c>
      <c r="DH211" s="265">
        <v>5.4800000000000001E-2</v>
      </c>
      <c r="DI211" s="265">
        <v>5.5849999999999997E-2</v>
      </c>
      <c r="DJ211" s="265">
        <v>5.62E-2</v>
      </c>
      <c r="DL211" s="265">
        <v>5.4730000000000001E-2</v>
      </c>
      <c r="DO211" s="264" t="e">
        <f t="shared" si="191"/>
        <v>#N/A</v>
      </c>
      <c r="DP211" s="264" t="e" cm="1">
        <f t="array" ref="DP211">+INDEX(AH211:AV211,MATCH(DO211,AH211:AV211,1)+1)</f>
        <v>#N/A</v>
      </c>
      <c r="DQ211" s="265" t="e">
        <f t="shared" si="192"/>
        <v>#N/A</v>
      </c>
      <c r="DR211" s="267" t="e">
        <f t="shared" si="193"/>
        <v>#N/A</v>
      </c>
      <c r="DS211" s="267" t="e">
        <f t="shared" si="194"/>
        <v>#N/A</v>
      </c>
      <c r="DT211" s="268">
        <f t="shared" si="195"/>
        <v>993</v>
      </c>
      <c r="DU211" s="268" cm="1">
        <f t="array" ref="DU211">+INDEX(AX211:BF211,MATCH(DT211,AX211:BF211,1)+1)</f>
        <v>1756</v>
      </c>
      <c r="DV211" s="267">
        <f t="shared" si="175"/>
        <v>5.45E-2</v>
      </c>
      <c r="DW211" s="267">
        <f t="shared" si="196"/>
        <v>0</v>
      </c>
      <c r="DX211" s="267">
        <f t="shared" si="197"/>
        <v>5.45E-2</v>
      </c>
      <c r="DY211" s="267">
        <f>+$EE$81</f>
        <v>7.1599999999999997E-2</v>
      </c>
      <c r="DZ211" s="205">
        <f>+(1+DX211)*(1+DY211)-1</f>
        <v>0.13000220000000007</v>
      </c>
      <c r="EA211" s="205">
        <f t="shared" si="180"/>
        <v>4.0191804498291725E-2</v>
      </c>
    </row>
    <row r="212" spans="2:131">
      <c r="B212" s="272">
        <v>45496</v>
      </c>
      <c r="C212" s="271">
        <v>45496</v>
      </c>
      <c r="D212" s="263" t="e">
        <f>+SUMIFS(Tabla6[Nominal COP],Tabla6[Concepto],COSTO_OPORTUNIDAD!$B$18,Tabla6[Nemotécnico],COSTO_OPORTUNIDAD!D$16,Tabla6[Fecha Cumplimiento y/ liquidacion],COSTO_OPORTUNIDAD!$C212)/+SUMIFS(Tabla6[Nominal COP],Tabla6[Concepto],COSTO_OPORTUNIDAD!$B$18,Tabla6[Fecha Cumplimiento y/ liquidacion],COSTO_OPORTUNIDAD!$C212)</f>
        <v>#DIV/0!</v>
      </c>
      <c r="E212" s="263" t="e">
        <f>+SUMIFS(Tabla6[Nominal COP],Tabla6[Concepto],COSTO_OPORTUNIDAD!$B$18,Tabla6[Nemotécnico],COSTO_OPORTUNIDAD!E$16,Tabla6[Fecha Cumplimiento y/ liquidacion],COSTO_OPORTUNIDAD!$C212)/+SUMIFS(Tabla6[Nominal COP],Tabla6[Concepto],COSTO_OPORTUNIDAD!$B$18,Tabla6[Fecha Cumplimiento y/ liquidacion],COSTO_OPORTUNIDAD!$C212)</f>
        <v>#DIV/0!</v>
      </c>
      <c r="F212" s="263"/>
      <c r="G212" s="263"/>
      <c r="H212" s="263">
        <v>0</v>
      </c>
      <c r="I212" s="263"/>
      <c r="J212" s="263">
        <v>0.1500000679044286</v>
      </c>
      <c r="K212" s="263">
        <v>0</v>
      </c>
      <c r="L212" s="263"/>
      <c r="M212" s="263">
        <v>0</v>
      </c>
      <c r="N212" s="263"/>
      <c r="O212" s="263"/>
      <c r="P212" s="263">
        <v>0</v>
      </c>
      <c r="Q212" s="263"/>
      <c r="R212" s="263">
        <v>0</v>
      </c>
      <c r="S212" s="263">
        <v>0.84999993209557145</v>
      </c>
      <c r="T212" s="263">
        <v>0</v>
      </c>
      <c r="U212" s="263"/>
      <c r="V212" s="263">
        <v>0</v>
      </c>
      <c r="W212" s="263">
        <v>0</v>
      </c>
      <c r="X212" s="263">
        <v>0</v>
      </c>
      <c r="Y212" s="263"/>
      <c r="Z212" s="263">
        <v>0</v>
      </c>
      <c r="AA212" s="263">
        <v>0</v>
      </c>
      <c r="AB212" s="263">
        <v>0</v>
      </c>
      <c r="AC212" s="263"/>
      <c r="AD212" s="263">
        <v>0</v>
      </c>
      <c r="AE212" s="263"/>
      <c r="AF212" s="263"/>
      <c r="AG212" s="262"/>
      <c r="AH212" s="274">
        <f t="shared" si="201"/>
        <v>764</v>
      </c>
      <c r="AI212" s="274">
        <f t="shared" si="202"/>
        <v>1198</v>
      </c>
      <c r="AJ212" s="274">
        <f t="shared" si="203"/>
        <v>1375</v>
      </c>
      <c r="AK212" s="274">
        <f t="shared" si="198"/>
        <v>1856</v>
      </c>
      <c r="AL212" s="274">
        <f t="shared" si="204"/>
        <v>2248</v>
      </c>
      <c r="AM212" s="274">
        <f t="shared" si="205"/>
        <v>2437</v>
      </c>
      <c r="AN212" s="274">
        <f t="shared" si="206"/>
        <v>2899</v>
      </c>
      <c r="AO212" s="274">
        <f t="shared" si="187"/>
        <v>3123</v>
      </c>
      <c r="AP212" s="274">
        <f t="shared" si="207"/>
        <v>3739</v>
      </c>
      <c r="AQ212" s="274"/>
      <c r="AR212" s="274">
        <f t="shared" si="208"/>
        <v>4369</v>
      </c>
      <c r="AS212" s="274">
        <f t="shared" si="199"/>
        <v>5972</v>
      </c>
      <c r="AT212" s="274">
        <f t="shared" si="209"/>
        <v>6518</v>
      </c>
      <c r="AU212" s="274">
        <f t="shared" si="189"/>
        <v>8037</v>
      </c>
      <c r="AV212" s="274">
        <f t="shared" si="210"/>
        <v>9591</v>
      </c>
      <c r="AW212" s="274"/>
      <c r="AX212" s="274">
        <f t="shared" si="211"/>
        <v>288</v>
      </c>
      <c r="AY212" s="274">
        <f t="shared" si="212"/>
        <v>967</v>
      </c>
      <c r="AZ212" s="274">
        <f t="shared" si="213"/>
        <v>1730</v>
      </c>
      <c r="BA212" s="274"/>
      <c r="BB212" s="274">
        <f t="shared" si="214"/>
        <v>3167</v>
      </c>
      <c r="BC212" s="274">
        <f t="shared" si="215"/>
        <v>3907</v>
      </c>
      <c r="BD212" s="274">
        <f t="shared" si="216"/>
        <v>4600</v>
      </c>
      <c r="BE212" s="274"/>
      <c r="BF212" s="274">
        <f t="shared" si="217"/>
        <v>9094</v>
      </c>
      <c r="BG212" s="274"/>
      <c r="BH212" s="274"/>
      <c r="BI212" s="266">
        <f t="shared" si="218"/>
        <v>0</v>
      </c>
      <c r="BJ212" s="266" t="e">
        <f t="shared" si="219"/>
        <v>#DIV/0!</v>
      </c>
      <c r="BK212" s="263" t="str">
        <f t="shared" si="220"/>
        <v/>
      </c>
      <c r="BL212" s="263" t="str">
        <f t="shared" si="221"/>
        <v/>
      </c>
      <c r="BM212" s="263" t="str">
        <f t="shared" si="222"/>
        <v/>
      </c>
      <c r="BN212" s="263"/>
      <c r="BO212" s="263" t="str">
        <f t="shared" si="223"/>
        <v/>
      </c>
      <c r="BP212" s="263" t="str">
        <f t="shared" si="224"/>
        <v/>
      </c>
      <c r="BQ212" s="263" t="str">
        <f t="shared" si="225"/>
        <v/>
      </c>
      <c r="BR212" s="263" t="str">
        <f t="shared" si="226"/>
        <v/>
      </c>
      <c r="BS212" s="263" t="str">
        <f t="shared" si="227"/>
        <v/>
      </c>
      <c r="BT212" s="263" t="str">
        <f t="shared" si="228"/>
        <v/>
      </c>
      <c r="BU212" s="263" t="str">
        <f t="shared" si="229"/>
        <v/>
      </c>
      <c r="BV212" s="263"/>
      <c r="BW212" s="263" t="str">
        <f t="shared" si="230"/>
        <v/>
      </c>
      <c r="BX212" s="263" t="str">
        <f t="shared" ref="BX212:BX243" si="237">IFERROR(S212/$BJ212,"")</f>
        <v/>
      </c>
      <c r="BY212" s="263" t="str">
        <f t="shared" si="231"/>
        <v/>
      </c>
      <c r="BZ212" s="263"/>
      <c r="CA212" s="263" t="str">
        <f t="shared" si="182"/>
        <v/>
      </c>
      <c r="CB212" s="263" t="str">
        <f t="shared" si="232"/>
        <v/>
      </c>
      <c r="CC212" s="263" t="str">
        <f t="shared" si="183"/>
        <v/>
      </c>
      <c r="CD212" s="263" t="str">
        <f t="shared" si="233"/>
        <v/>
      </c>
      <c r="CE212" s="263" t="str">
        <f t="shared" si="167"/>
        <v/>
      </c>
      <c r="CF212" s="263" t="str">
        <f t="shared" si="184"/>
        <v/>
      </c>
      <c r="CG212" s="263" t="str">
        <f t="shared" si="185"/>
        <v/>
      </c>
      <c r="CH212" s="263"/>
      <c r="CI212" s="263" t="str">
        <f t="shared" si="234"/>
        <v/>
      </c>
      <c r="CJ212" s="263"/>
      <c r="CK212" s="263" t="str">
        <f t="shared" si="235"/>
        <v/>
      </c>
      <c r="CL212" s="264">
        <f t="shared" ref="CL212:CL243" si="238">ROUND(IFERROR((_xlfn.DAYS($F$17,B212)*BK212),0)+IFERROR((_xlfn.DAYS($G$17,B212)*BL212),0)+IFERROR((_xlfn.DAYS($H$17,B212)*BM212),0)+IFERROR((_xlfn.DAYS($J$17,B212)*BO212),0)+IFERROR((_xlfn.DAYS($K$17,B212)*BP212),0)+IFERROR((_xlfn.DAYS($L$17,B212)*BQ212),0)+IFERROR((_xlfn.DAYS($M$17,B212)*BR212),0)+IFERROR((_xlfn.DAYS($N$17,B212)*BS212),0)+IFERROR((_xlfn.DAYS($P$17,B212)*BU212),0)+IFERROR((_xlfn.DAYS($R$17,B212)*BW212),0)+IFERROR((_xlfn.DAYS($S$17,B212)*BX212),0)+IFERROR((_xlfn.DAYS($T$17,B212)*BY212),0),0)</f>
        <v>0</v>
      </c>
      <c r="CM212" s="264">
        <f t="shared" si="236"/>
        <v>0</v>
      </c>
      <c r="CO212" s="265">
        <v>9.0519999999999989E-2</v>
      </c>
      <c r="CP212" s="265">
        <v>9.6969999999999987E-2</v>
      </c>
      <c r="CQ212" s="265">
        <v>9.8599999999999993E-2</v>
      </c>
      <c r="CS212" s="265">
        <v>0.10211000000000001</v>
      </c>
      <c r="CT212" s="265">
        <v>0.10339999999999999</v>
      </c>
      <c r="CU212" s="265">
        <v>0.10493999999999999</v>
      </c>
      <c r="CV212" s="265">
        <v>0.1061</v>
      </c>
      <c r="CW212" s="265">
        <v>0.10786</v>
      </c>
      <c r="CY212" s="265">
        <v>0.11021</v>
      </c>
      <c r="DA212" s="265">
        <v>0.11495</v>
      </c>
      <c r="DB212" s="265">
        <v>0.11515</v>
      </c>
      <c r="DC212" s="265">
        <v>0.11487</v>
      </c>
      <c r="DE212" s="265">
        <v>5.2999999999999999E-2</v>
      </c>
      <c r="DF212" s="265">
        <v>5.4900000000000004E-2</v>
      </c>
      <c r="DH212" s="265">
        <v>5.6500000000000002E-2</v>
      </c>
      <c r="DI212" s="265">
        <v>5.8169999999999999E-2</v>
      </c>
      <c r="DJ212" s="265">
        <v>5.8619999999999998E-2</v>
      </c>
      <c r="DL212" s="265">
        <v>5.6649999999999999E-2</v>
      </c>
      <c r="DO212" s="264" t="e">
        <f t="shared" si="191"/>
        <v>#N/A</v>
      </c>
      <c r="DP212" s="264" t="e" cm="1">
        <f t="array" ref="DP212">+INDEX(AH212:AV212,MATCH(DO212,AH212:AV212,1)+1)</f>
        <v>#N/A</v>
      </c>
      <c r="DQ212" s="265" t="e">
        <f t="shared" si="192"/>
        <v>#N/A</v>
      </c>
      <c r="DR212" s="267" t="e">
        <f t="shared" si="193"/>
        <v>#N/A</v>
      </c>
      <c r="DS212" s="267" t="e">
        <f t="shared" si="194"/>
        <v>#N/A</v>
      </c>
      <c r="DT212" s="268" t="e">
        <f t="shared" si="195"/>
        <v>#N/A</v>
      </c>
      <c r="DU212" s="268" t="e" cm="1">
        <f t="array" ref="DU212">+INDEX(AX212:BF212,MATCH(DT212,AX212:BF212,1)+1)</f>
        <v>#N/A</v>
      </c>
      <c r="DV212" s="267" t="e">
        <f t="shared" si="175"/>
        <v>#N/A</v>
      </c>
      <c r="DW212" s="267" t="e">
        <f t="shared" si="196"/>
        <v>#N/A</v>
      </c>
      <c r="DX212" s="267" t="e">
        <f t="shared" si="197"/>
        <v>#N/A</v>
      </c>
      <c r="DY212" s="267">
        <f>+$EE$82</f>
        <v>7.1800000000000003E-2</v>
      </c>
      <c r="DZ212" s="205" t="e">
        <f t="shared" ref="DZ212:DZ261" si="239">+(1+DX212)*(1+DY212)-1</f>
        <v>#N/A</v>
      </c>
      <c r="EA212" s="205">
        <f t="shared" si="180"/>
        <v>0</v>
      </c>
    </row>
    <row r="213" spans="2:131">
      <c r="B213" s="272">
        <v>45513</v>
      </c>
      <c r="C213" s="271">
        <v>45513</v>
      </c>
      <c r="D213" s="263" t="e">
        <f>+SUMIFS(Tabla6[Nominal COP],Tabla6[Concepto],COSTO_OPORTUNIDAD!$B$18,Tabla6[Nemotécnico],COSTO_OPORTUNIDAD!D$16,Tabla6[Fecha Cumplimiento y/ liquidacion],COSTO_OPORTUNIDAD!$C213)/+SUMIFS(Tabla6[Nominal COP],Tabla6[Concepto],COSTO_OPORTUNIDAD!$B$18,Tabla6[Fecha Cumplimiento y/ liquidacion],COSTO_OPORTUNIDAD!$C213)</f>
        <v>#DIV/0!</v>
      </c>
      <c r="E213" s="263" t="e">
        <f>+SUMIFS(Tabla6[Nominal COP],Tabla6[Concepto],COSTO_OPORTUNIDAD!$B$18,Tabla6[Nemotécnico],COSTO_OPORTUNIDAD!E$16,Tabla6[Fecha Cumplimiento y/ liquidacion],COSTO_OPORTUNIDAD!$C213)/+SUMIFS(Tabla6[Nominal COP],Tabla6[Concepto],COSTO_OPORTUNIDAD!$B$18,Tabla6[Fecha Cumplimiento y/ liquidacion],COSTO_OPORTUNIDAD!$C213)</f>
        <v>#DIV/0!</v>
      </c>
      <c r="F213" s="263"/>
      <c r="G213" s="263"/>
      <c r="H213" s="263">
        <v>0.1</v>
      </c>
      <c r="I213" s="263"/>
      <c r="J213" s="263">
        <v>0.1</v>
      </c>
      <c r="K213" s="263">
        <v>0</v>
      </c>
      <c r="L213" s="263"/>
      <c r="M213" s="263">
        <v>0</v>
      </c>
      <c r="N213" s="263"/>
      <c r="O213" s="263"/>
      <c r="P213" s="263">
        <v>0</v>
      </c>
      <c r="Q213" s="263"/>
      <c r="R213" s="263">
        <v>0</v>
      </c>
      <c r="S213" s="263">
        <v>0.8</v>
      </c>
      <c r="T213" s="263">
        <v>0</v>
      </c>
      <c r="U213" s="263"/>
      <c r="V213" s="263">
        <v>0</v>
      </c>
      <c r="W213" s="263">
        <v>0</v>
      </c>
      <c r="X213" s="263">
        <v>0</v>
      </c>
      <c r="Y213" s="263"/>
      <c r="Z213" s="263">
        <v>0</v>
      </c>
      <c r="AA213" s="263">
        <v>0</v>
      </c>
      <c r="AB213" s="263">
        <v>0</v>
      </c>
      <c r="AC213" s="263"/>
      <c r="AD213" s="263">
        <v>0</v>
      </c>
      <c r="AE213" s="263"/>
      <c r="AF213" s="263"/>
      <c r="AG213" s="262"/>
      <c r="AH213" s="274">
        <f t="shared" si="201"/>
        <v>747</v>
      </c>
      <c r="AI213" s="274">
        <f t="shared" si="202"/>
        <v>1181</v>
      </c>
      <c r="AJ213" s="274">
        <f t="shared" si="203"/>
        <v>1358</v>
      </c>
      <c r="AK213" s="274">
        <f t="shared" si="198"/>
        <v>1839</v>
      </c>
      <c r="AL213" s="274">
        <f t="shared" si="204"/>
        <v>2231</v>
      </c>
      <c r="AM213" s="274">
        <f t="shared" si="205"/>
        <v>2420</v>
      </c>
      <c r="AN213" s="274">
        <f t="shared" si="206"/>
        <v>2882</v>
      </c>
      <c r="AO213" s="274">
        <f t="shared" si="187"/>
        <v>3106</v>
      </c>
      <c r="AP213" s="274">
        <f t="shared" si="207"/>
        <v>3722</v>
      </c>
      <c r="AQ213" s="274"/>
      <c r="AR213" s="274">
        <f t="shared" si="208"/>
        <v>4352</v>
      </c>
      <c r="AS213" s="274">
        <f t="shared" si="199"/>
        <v>5955</v>
      </c>
      <c r="AT213" s="274">
        <f t="shared" si="209"/>
        <v>6501</v>
      </c>
      <c r="AU213" s="274">
        <f t="shared" si="189"/>
        <v>8020</v>
      </c>
      <c r="AV213" s="274">
        <f t="shared" si="210"/>
        <v>9574</v>
      </c>
      <c r="AW213" s="274"/>
      <c r="AX213" s="274">
        <f t="shared" si="211"/>
        <v>271</v>
      </c>
      <c r="AY213" s="274">
        <f t="shared" si="212"/>
        <v>950</v>
      </c>
      <c r="AZ213" s="274">
        <f t="shared" si="213"/>
        <v>1713</v>
      </c>
      <c r="BA213" s="274"/>
      <c r="BB213" s="274">
        <f t="shared" si="214"/>
        <v>3150</v>
      </c>
      <c r="BC213" s="274">
        <f t="shared" si="215"/>
        <v>3890</v>
      </c>
      <c r="BD213" s="274">
        <f t="shared" si="216"/>
        <v>4583</v>
      </c>
      <c r="BE213" s="274"/>
      <c r="BF213" s="274">
        <f t="shared" si="217"/>
        <v>9077</v>
      </c>
      <c r="BG213" s="274"/>
      <c r="BH213" s="274"/>
      <c r="BI213" s="266">
        <f t="shared" si="218"/>
        <v>0</v>
      </c>
      <c r="BJ213" s="266" t="e">
        <f t="shared" si="219"/>
        <v>#DIV/0!</v>
      </c>
      <c r="BK213" s="263" t="str">
        <f t="shared" si="220"/>
        <v/>
      </c>
      <c r="BL213" s="263" t="str">
        <f t="shared" si="221"/>
        <v/>
      </c>
      <c r="BM213" s="263" t="str">
        <f t="shared" si="222"/>
        <v/>
      </c>
      <c r="BN213" s="263"/>
      <c r="BO213" s="263" t="str">
        <f t="shared" si="223"/>
        <v/>
      </c>
      <c r="BP213" s="263" t="str">
        <f t="shared" si="224"/>
        <v/>
      </c>
      <c r="BQ213" s="263" t="str">
        <f t="shared" si="225"/>
        <v/>
      </c>
      <c r="BR213" s="263" t="str">
        <f t="shared" si="226"/>
        <v/>
      </c>
      <c r="BS213" s="263" t="str">
        <f t="shared" si="227"/>
        <v/>
      </c>
      <c r="BT213" s="263" t="str">
        <f t="shared" si="228"/>
        <v/>
      </c>
      <c r="BU213" s="263" t="str">
        <f t="shared" si="229"/>
        <v/>
      </c>
      <c r="BV213" s="263"/>
      <c r="BW213" s="263" t="str">
        <f t="shared" si="230"/>
        <v/>
      </c>
      <c r="BX213" s="263" t="str">
        <f t="shared" si="237"/>
        <v/>
      </c>
      <c r="BY213" s="263" t="str">
        <f t="shared" si="231"/>
        <v/>
      </c>
      <c r="BZ213" s="263"/>
      <c r="CA213" s="263" t="str">
        <f t="shared" si="182"/>
        <v/>
      </c>
      <c r="CB213" s="263" t="str">
        <f t="shared" si="232"/>
        <v/>
      </c>
      <c r="CC213" s="263" t="str">
        <f t="shared" si="183"/>
        <v/>
      </c>
      <c r="CD213" s="263" t="str">
        <f t="shared" si="233"/>
        <v/>
      </c>
      <c r="CE213" s="263" t="str">
        <f t="shared" si="167"/>
        <v/>
      </c>
      <c r="CF213" s="263" t="str">
        <f t="shared" si="184"/>
        <v/>
      </c>
      <c r="CG213" s="263" t="str">
        <f t="shared" si="185"/>
        <v/>
      </c>
      <c r="CH213" s="263"/>
      <c r="CI213" s="263" t="str">
        <f t="shared" si="234"/>
        <v/>
      </c>
      <c r="CJ213" s="263"/>
      <c r="CK213" s="263" t="str">
        <f t="shared" si="235"/>
        <v/>
      </c>
      <c r="CL213" s="264">
        <f t="shared" si="238"/>
        <v>0</v>
      </c>
      <c r="CM213" s="264">
        <f t="shared" si="236"/>
        <v>0</v>
      </c>
      <c r="CO213" s="265">
        <v>8.3299999999999999E-2</v>
      </c>
      <c r="CP213" s="265">
        <v>8.9920000000000014E-2</v>
      </c>
      <c r="CQ213" s="265">
        <v>9.2300000000000007E-2</v>
      </c>
      <c r="CS213" s="265">
        <v>9.6649999999999986E-2</v>
      </c>
      <c r="CT213" s="265">
        <v>9.8320000000000005E-2</v>
      </c>
      <c r="CU213" s="265">
        <v>0.10048</v>
      </c>
      <c r="CV213" s="265">
        <v>0.10210000000000001</v>
      </c>
      <c r="CW213" s="265">
        <v>0.10375</v>
      </c>
      <c r="CY213" s="265">
        <v>0.10625</v>
      </c>
      <c r="DA213" s="265">
        <v>0.11241</v>
      </c>
      <c r="DB213" s="265">
        <v>0.1143</v>
      </c>
      <c r="DC213" s="265">
        <v>0.11310000000000001</v>
      </c>
      <c r="DE213" s="265">
        <v>4.743E-2</v>
      </c>
      <c r="DF213" s="265">
        <v>5.1849999999999993E-2</v>
      </c>
      <c r="DH213" s="265">
        <v>5.3600000000000002E-2</v>
      </c>
      <c r="DI213" s="265">
        <v>5.5E-2</v>
      </c>
      <c r="DJ213" s="265">
        <v>5.5529999999999996E-2</v>
      </c>
      <c r="DL213" s="265">
        <v>5.3949999999999998E-2</v>
      </c>
      <c r="DO213" s="264" t="e">
        <f t="shared" si="191"/>
        <v>#N/A</v>
      </c>
      <c r="DP213" s="264" t="e" cm="1">
        <f t="array" ref="DP213">+INDEX(AH213:AV213,MATCH(DO213,AH213:AV213,1)+1)</f>
        <v>#N/A</v>
      </c>
      <c r="DQ213" s="265" t="e">
        <f t="shared" si="192"/>
        <v>#N/A</v>
      </c>
      <c r="DR213" s="267" t="e">
        <f t="shared" si="193"/>
        <v>#N/A</v>
      </c>
      <c r="DS213" s="267" t="e">
        <f t="shared" si="194"/>
        <v>#N/A</v>
      </c>
      <c r="DT213" s="268" t="e">
        <f t="shared" si="195"/>
        <v>#N/A</v>
      </c>
      <c r="DU213" s="268" t="e" cm="1">
        <f t="array" ref="DU213">+INDEX(AX213:BF213,MATCH(DT213,AX213:BF213,1)+1)</f>
        <v>#N/A</v>
      </c>
      <c r="DV213" s="267" t="e">
        <f t="shared" si="175"/>
        <v>#N/A</v>
      </c>
      <c r="DW213" s="267" t="e">
        <f t="shared" si="196"/>
        <v>#N/A</v>
      </c>
      <c r="DX213" s="267" t="e">
        <f t="shared" si="197"/>
        <v>#N/A</v>
      </c>
      <c r="DY213" s="267">
        <f>+$EE$83</f>
        <v>6.8600000000000008E-2</v>
      </c>
      <c r="DZ213" s="205" t="e">
        <f t="shared" si="239"/>
        <v>#N/A</v>
      </c>
      <c r="EA213" s="205">
        <f t="shared" si="180"/>
        <v>0</v>
      </c>
    </row>
    <row r="214" spans="2:131">
      <c r="B214" s="272">
        <v>45516</v>
      </c>
      <c r="C214" s="271">
        <v>45516</v>
      </c>
      <c r="D214" s="263" t="e">
        <f>+SUMIFS(Tabla6[Nominal COP],Tabla6[Concepto],COSTO_OPORTUNIDAD!$B$18,Tabla6[Nemotécnico],COSTO_OPORTUNIDAD!D$16,Tabla6[Fecha Cumplimiento y/ liquidacion],COSTO_OPORTUNIDAD!$C214)/+SUMIFS(Tabla6[Nominal COP],Tabla6[Concepto],COSTO_OPORTUNIDAD!$B$18,Tabla6[Fecha Cumplimiento y/ liquidacion],COSTO_OPORTUNIDAD!$C214)</f>
        <v>#DIV/0!</v>
      </c>
      <c r="E214" s="263" t="e">
        <f>+SUMIFS(Tabla6[Nominal COP],Tabla6[Concepto],COSTO_OPORTUNIDAD!$B$18,Tabla6[Nemotécnico],COSTO_OPORTUNIDAD!E$16,Tabla6[Fecha Cumplimiento y/ liquidacion],COSTO_OPORTUNIDAD!$C214)/+SUMIFS(Tabla6[Nominal COP],Tabla6[Concepto],COSTO_OPORTUNIDAD!$B$18,Tabla6[Fecha Cumplimiento y/ liquidacion],COSTO_OPORTUNIDAD!$C214)</f>
        <v>#DIV/0!</v>
      </c>
      <c r="F214" s="263"/>
      <c r="G214" s="263"/>
      <c r="H214" s="263">
        <v>0.1</v>
      </c>
      <c r="I214" s="263"/>
      <c r="J214" s="263">
        <v>0.1</v>
      </c>
      <c r="K214" s="263">
        <v>0</v>
      </c>
      <c r="L214" s="263"/>
      <c r="M214" s="263">
        <v>0</v>
      </c>
      <c r="N214" s="263"/>
      <c r="O214" s="263"/>
      <c r="P214" s="263">
        <v>0</v>
      </c>
      <c r="Q214" s="263"/>
      <c r="R214" s="263">
        <v>0</v>
      </c>
      <c r="S214" s="263">
        <v>0.8</v>
      </c>
      <c r="T214" s="263">
        <v>0</v>
      </c>
      <c r="U214" s="263"/>
      <c r="V214" s="263">
        <v>0</v>
      </c>
      <c r="W214" s="263">
        <v>0</v>
      </c>
      <c r="X214" s="263">
        <v>0</v>
      </c>
      <c r="Y214" s="263"/>
      <c r="Z214" s="263">
        <v>0</v>
      </c>
      <c r="AA214" s="263">
        <v>0</v>
      </c>
      <c r="AB214" s="263">
        <v>0</v>
      </c>
      <c r="AC214" s="263"/>
      <c r="AD214" s="263">
        <v>0</v>
      </c>
      <c r="AE214" s="263"/>
      <c r="AF214" s="263"/>
      <c r="AG214" s="262"/>
      <c r="AH214" s="274">
        <f t="shared" si="201"/>
        <v>744</v>
      </c>
      <c r="AI214" s="274">
        <f t="shared" si="202"/>
        <v>1178</v>
      </c>
      <c r="AJ214" s="274">
        <f t="shared" si="203"/>
        <v>1355</v>
      </c>
      <c r="AK214" s="274">
        <f t="shared" si="198"/>
        <v>1836</v>
      </c>
      <c r="AL214" s="274">
        <f t="shared" si="204"/>
        <v>2228</v>
      </c>
      <c r="AM214" s="274">
        <f t="shared" si="205"/>
        <v>2417</v>
      </c>
      <c r="AN214" s="274">
        <f t="shared" si="206"/>
        <v>2879</v>
      </c>
      <c r="AO214" s="274">
        <f t="shared" si="187"/>
        <v>3103</v>
      </c>
      <c r="AP214" s="274">
        <f t="shared" si="207"/>
        <v>3719</v>
      </c>
      <c r="AQ214" s="274"/>
      <c r="AR214" s="274">
        <f t="shared" si="208"/>
        <v>4349</v>
      </c>
      <c r="AS214" s="274">
        <f t="shared" si="199"/>
        <v>5952</v>
      </c>
      <c r="AT214" s="274">
        <f t="shared" si="209"/>
        <v>6498</v>
      </c>
      <c r="AU214" s="274">
        <f t="shared" si="189"/>
        <v>8017</v>
      </c>
      <c r="AV214" s="274">
        <f t="shared" si="210"/>
        <v>9571</v>
      </c>
      <c r="AW214" s="274"/>
      <c r="AX214" s="274">
        <f t="shared" si="211"/>
        <v>268</v>
      </c>
      <c r="AY214" s="274">
        <f t="shared" si="212"/>
        <v>947</v>
      </c>
      <c r="AZ214" s="274">
        <f t="shared" si="213"/>
        <v>1710</v>
      </c>
      <c r="BA214" s="274"/>
      <c r="BB214" s="274">
        <f t="shared" si="214"/>
        <v>3147</v>
      </c>
      <c r="BC214" s="274">
        <f t="shared" si="215"/>
        <v>3887</v>
      </c>
      <c r="BD214" s="274">
        <f t="shared" si="216"/>
        <v>4580</v>
      </c>
      <c r="BE214" s="274"/>
      <c r="BF214" s="274">
        <f t="shared" si="217"/>
        <v>9074</v>
      </c>
      <c r="BG214" s="274"/>
      <c r="BH214" s="274"/>
      <c r="BI214" s="266">
        <f t="shared" si="218"/>
        <v>0</v>
      </c>
      <c r="BJ214" s="266" t="e">
        <f t="shared" si="219"/>
        <v>#DIV/0!</v>
      </c>
      <c r="BK214" s="263" t="str">
        <f t="shared" si="220"/>
        <v/>
      </c>
      <c r="BL214" s="263" t="str">
        <f t="shared" si="221"/>
        <v/>
      </c>
      <c r="BM214" s="263" t="str">
        <f t="shared" si="222"/>
        <v/>
      </c>
      <c r="BN214" s="263"/>
      <c r="BO214" s="263" t="str">
        <f t="shared" si="223"/>
        <v/>
      </c>
      <c r="BP214" s="263" t="str">
        <f t="shared" si="224"/>
        <v/>
      </c>
      <c r="BQ214" s="263" t="str">
        <f t="shared" si="225"/>
        <v/>
      </c>
      <c r="BR214" s="263" t="str">
        <f t="shared" si="226"/>
        <v/>
      </c>
      <c r="BS214" s="263" t="str">
        <f t="shared" si="227"/>
        <v/>
      </c>
      <c r="BT214" s="263" t="str">
        <f t="shared" si="228"/>
        <v/>
      </c>
      <c r="BU214" s="263" t="str">
        <f t="shared" si="229"/>
        <v/>
      </c>
      <c r="BV214" s="263"/>
      <c r="BW214" s="263" t="str">
        <f t="shared" si="230"/>
        <v/>
      </c>
      <c r="BX214" s="263" t="str">
        <f t="shared" si="237"/>
        <v/>
      </c>
      <c r="BY214" s="263" t="str">
        <f t="shared" si="231"/>
        <v/>
      </c>
      <c r="BZ214" s="263"/>
      <c r="CA214" s="263" t="str">
        <f t="shared" si="182"/>
        <v/>
      </c>
      <c r="CB214" s="263" t="str">
        <f t="shared" si="232"/>
        <v/>
      </c>
      <c r="CC214" s="263" t="str">
        <f t="shared" si="183"/>
        <v/>
      </c>
      <c r="CD214" s="263" t="str">
        <f t="shared" si="233"/>
        <v/>
      </c>
      <c r="CE214" s="263" t="str">
        <f t="shared" si="167"/>
        <v/>
      </c>
      <c r="CF214" s="263" t="str">
        <f t="shared" si="184"/>
        <v/>
      </c>
      <c r="CG214" s="263" t="str">
        <f t="shared" si="185"/>
        <v/>
      </c>
      <c r="CH214" s="263"/>
      <c r="CI214" s="263" t="str">
        <f t="shared" si="234"/>
        <v/>
      </c>
      <c r="CJ214" s="263"/>
      <c r="CK214" s="263" t="str">
        <f t="shared" si="235"/>
        <v/>
      </c>
      <c r="CL214" s="264">
        <f t="shared" si="238"/>
        <v>0</v>
      </c>
      <c r="CM214" s="264">
        <f t="shared" si="236"/>
        <v>0</v>
      </c>
      <c r="CO214" s="265">
        <v>8.2659999999999997E-2</v>
      </c>
      <c r="CP214" s="265">
        <v>8.900000000000001E-2</v>
      </c>
      <c r="CQ214" s="265">
        <v>9.1050000000000006E-2</v>
      </c>
      <c r="CS214" s="265">
        <v>9.5960000000000004E-2</v>
      </c>
      <c r="CT214" s="265">
        <v>9.7669999999999993E-2</v>
      </c>
      <c r="CU214" s="265">
        <v>0.10009</v>
      </c>
      <c r="CV214" s="265">
        <v>0.10152</v>
      </c>
      <c r="CW214" s="265">
        <v>0.10337999999999999</v>
      </c>
      <c r="CY214" s="265">
        <v>0.10629</v>
      </c>
      <c r="DA214" s="265">
        <v>0.11199999999999999</v>
      </c>
      <c r="DB214" s="265">
        <v>0.11467000000000001</v>
      </c>
      <c r="DC214" s="265">
        <v>0.11310000000000001</v>
      </c>
      <c r="DE214" s="265">
        <v>4.7579999999999997E-2</v>
      </c>
      <c r="DF214" s="265">
        <v>5.1550000000000006E-2</v>
      </c>
      <c r="DH214" s="265">
        <v>5.3600000000000002E-2</v>
      </c>
      <c r="DI214" s="265">
        <v>5.45E-2</v>
      </c>
      <c r="DJ214" s="265">
        <v>5.5359999999999993E-2</v>
      </c>
      <c r="DL214" s="265">
        <v>5.3689999999999995E-2</v>
      </c>
      <c r="DO214" s="264" t="e">
        <f t="shared" si="191"/>
        <v>#N/A</v>
      </c>
      <c r="DP214" s="264" t="e" cm="1">
        <f t="array" ref="DP214">+INDEX(AH214:AV214,MATCH(DO214,AH214:AV214,1)+1)</f>
        <v>#N/A</v>
      </c>
      <c r="DQ214" s="265" t="e">
        <f t="shared" si="192"/>
        <v>#N/A</v>
      </c>
      <c r="DR214" s="267" t="e">
        <f t="shared" si="193"/>
        <v>#N/A</v>
      </c>
      <c r="DS214" s="267" t="e">
        <f t="shared" si="194"/>
        <v>#N/A</v>
      </c>
      <c r="DT214" s="268" t="e">
        <f t="shared" si="195"/>
        <v>#N/A</v>
      </c>
      <c r="DU214" s="268" t="e" cm="1">
        <f t="array" ref="DU214">+INDEX(AX214:BF214,MATCH(DT214,AX214:BF214,1)+1)</f>
        <v>#N/A</v>
      </c>
      <c r="DV214" s="267" t="e">
        <f t="shared" si="175"/>
        <v>#N/A</v>
      </c>
      <c r="DW214" s="267" t="e">
        <f t="shared" si="196"/>
        <v>#N/A</v>
      </c>
      <c r="DX214" s="267" t="e">
        <f t="shared" si="197"/>
        <v>#N/A</v>
      </c>
      <c r="DY214" s="267">
        <f t="shared" ref="DY214:DY231" si="240">+$EE$83</f>
        <v>6.8600000000000008E-2</v>
      </c>
      <c r="DZ214" s="205" t="e">
        <f t="shared" si="239"/>
        <v>#N/A</v>
      </c>
      <c r="EA214" s="205">
        <f t="shared" si="180"/>
        <v>0</v>
      </c>
    </row>
    <row r="215" spans="2:131">
      <c r="B215" s="272">
        <v>45517</v>
      </c>
      <c r="C215" s="271">
        <v>45517</v>
      </c>
      <c r="D215" s="263" t="e">
        <f>+SUMIFS(Tabla6[Nominal COP],Tabla6[Concepto],COSTO_OPORTUNIDAD!$B$18,Tabla6[Nemotécnico],COSTO_OPORTUNIDAD!D$16,Tabla6[Fecha Cumplimiento y/ liquidacion],COSTO_OPORTUNIDAD!$C215)/+SUMIFS(Tabla6[Nominal COP],Tabla6[Concepto],COSTO_OPORTUNIDAD!$B$18,Tabla6[Fecha Cumplimiento y/ liquidacion],COSTO_OPORTUNIDAD!$C215)</f>
        <v>#DIV/0!</v>
      </c>
      <c r="E215" s="263" t="e">
        <f>+SUMIFS(Tabla6[Nominal COP],Tabla6[Concepto],COSTO_OPORTUNIDAD!$B$18,Tabla6[Nemotécnico],COSTO_OPORTUNIDAD!E$16,Tabla6[Fecha Cumplimiento y/ liquidacion],COSTO_OPORTUNIDAD!$C215)/+SUMIFS(Tabla6[Nominal COP],Tabla6[Concepto],COSTO_OPORTUNIDAD!$B$18,Tabla6[Fecha Cumplimiento y/ liquidacion],COSTO_OPORTUNIDAD!$C215)</f>
        <v>#DIV/0!</v>
      </c>
      <c r="F215" s="263"/>
      <c r="G215" s="263"/>
      <c r="H215" s="263">
        <v>0.1</v>
      </c>
      <c r="I215" s="263"/>
      <c r="J215" s="263">
        <v>0.1</v>
      </c>
      <c r="K215" s="263">
        <v>0</v>
      </c>
      <c r="L215" s="263"/>
      <c r="M215" s="263">
        <v>0</v>
      </c>
      <c r="N215" s="263"/>
      <c r="O215" s="263"/>
      <c r="P215" s="263">
        <v>0</v>
      </c>
      <c r="Q215" s="263"/>
      <c r="R215" s="263">
        <v>0</v>
      </c>
      <c r="S215" s="263">
        <v>0.8</v>
      </c>
      <c r="T215" s="263">
        <v>0</v>
      </c>
      <c r="U215" s="263"/>
      <c r="V215" s="263">
        <v>0</v>
      </c>
      <c r="W215" s="263">
        <v>0</v>
      </c>
      <c r="X215" s="263">
        <v>0</v>
      </c>
      <c r="Y215" s="263"/>
      <c r="Z215" s="263">
        <v>0</v>
      </c>
      <c r="AA215" s="263">
        <v>0</v>
      </c>
      <c r="AB215" s="263">
        <v>0</v>
      </c>
      <c r="AC215" s="263"/>
      <c r="AD215" s="263">
        <v>0</v>
      </c>
      <c r="AE215" s="263"/>
      <c r="AF215" s="263"/>
      <c r="AG215" s="262"/>
      <c r="AH215" s="274">
        <f t="shared" si="201"/>
        <v>743</v>
      </c>
      <c r="AI215" s="274">
        <f t="shared" si="202"/>
        <v>1177</v>
      </c>
      <c r="AJ215" s="274">
        <f t="shared" si="203"/>
        <v>1354</v>
      </c>
      <c r="AK215" s="274">
        <f t="shared" si="198"/>
        <v>1835</v>
      </c>
      <c r="AL215" s="274">
        <f t="shared" si="204"/>
        <v>2227</v>
      </c>
      <c r="AM215" s="274">
        <f t="shared" si="205"/>
        <v>2416</v>
      </c>
      <c r="AN215" s="274">
        <f t="shared" si="206"/>
        <v>2878</v>
      </c>
      <c r="AO215" s="274">
        <f t="shared" si="187"/>
        <v>3102</v>
      </c>
      <c r="AP215" s="274">
        <f t="shared" si="207"/>
        <v>3718</v>
      </c>
      <c r="AQ215" s="274"/>
      <c r="AR215" s="274">
        <f t="shared" si="208"/>
        <v>4348</v>
      </c>
      <c r="AS215" s="274">
        <f t="shared" si="199"/>
        <v>5951</v>
      </c>
      <c r="AT215" s="274">
        <f t="shared" si="209"/>
        <v>6497</v>
      </c>
      <c r="AU215" s="274">
        <f t="shared" si="189"/>
        <v>8016</v>
      </c>
      <c r="AV215" s="274">
        <f t="shared" si="210"/>
        <v>9570</v>
      </c>
      <c r="AW215" s="274"/>
      <c r="AX215" s="274">
        <f t="shared" si="211"/>
        <v>267</v>
      </c>
      <c r="AY215" s="274">
        <f t="shared" si="212"/>
        <v>946</v>
      </c>
      <c r="AZ215" s="274">
        <f t="shared" si="213"/>
        <v>1709</v>
      </c>
      <c r="BA215" s="274"/>
      <c r="BB215" s="274">
        <f t="shared" si="214"/>
        <v>3146</v>
      </c>
      <c r="BC215" s="274">
        <f t="shared" si="215"/>
        <v>3886</v>
      </c>
      <c r="BD215" s="274">
        <f t="shared" si="216"/>
        <v>4579</v>
      </c>
      <c r="BE215" s="274"/>
      <c r="BF215" s="274">
        <f t="shared" si="217"/>
        <v>9073</v>
      </c>
      <c r="BG215" s="274"/>
      <c r="BH215" s="274"/>
      <c r="BI215" s="266">
        <f t="shared" si="218"/>
        <v>0</v>
      </c>
      <c r="BJ215" s="266" t="e">
        <f t="shared" si="219"/>
        <v>#DIV/0!</v>
      </c>
      <c r="BK215" s="263" t="str">
        <f t="shared" si="220"/>
        <v/>
      </c>
      <c r="BL215" s="263" t="str">
        <f t="shared" si="221"/>
        <v/>
      </c>
      <c r="BM215" s="263" t="str">
        <f t="shared" si="222"/>
        <v/>
      </c>
      <c r="BN215" s="263"/>
      <c r="BO215" s="263" t="str">
        <f t="shared" si="223"/>
        <v/>
      </c>
      <c r="BP215" s="263" t="str">
        <f t="shared" si="224"/>
        <v/>
      </c>
      <c r="BQ215" s="263" t="str">
        <f t="shared" si="225"/>
        <v/>
      </c>
      <c r="BR215" s="263" t="str">
        <f t="shared" si="226"/>
        <v/>
      </c>
      <c r="BS215" s="263" t="str">
        <f t="shared" si="227"/>
        <v/>
      </c>
      <c r="BT215" s="263" t="str">
        <f t="shared" si="228"/>
        <v/>
      </c>
      <c r="BU215" s="263" t="str">
        <f t="shared" si="229"/>
        <v/>
      </c>
      <c r="BV215" s="263"/>
      <c r="BW215" s="263" t="str">
        <f t="shared" si="230"/>
        <v/>
      </c>
      <c r="BX215" s="263" t="str">
        <f t="shared" si="237"/>
        <v/>
      </c>
      <c r="BY215" s="263" t="str">
        <f t="shared" si="231"/>
        <v/>
      </c>
      <c r="BZ215" s="263"/>
      <c r="CA215" s="263" t="str">
        <f t="shared" si="182"/>
        <v/>
      </c>
      <c r="CB215" s="263" t="str">
        <f t="shared" si="232"/>
        <v/>
      </c>
      <c r="CC215" s="263" t="str">
        <f t="shared" si="183"/>
        <v/>
      </c>
      <c r="CD215" s="263" t="str">
        <f t="shared" si="233"/>
        <v/>
      </c>
      <c r="CE215" s="263" t="str">
        <f t="shared" si="167"/>
        <v/>
      </c>
      <c r="CF215" s="263" t="str">
        <f t="shared" si="184"/>
        <v/>
      </c>
      <c r="CG215" s="263" t="str">
        <f t="shared" si="185"/>
        <v/>
      </c>
      <c r="CH215" s="263"/>
      <c r="CI215" s="263" t="str">
        <f t="shared" si="234"/>
        <v/>
      </c>
      <c r="CJ215" s="263"/>
      <c r="CK215" s="263" t="str">
        <f t="shared" si="235"/>
        <v/>
      </c>
      <c r="CL215" s="264">
        <f t="shared" si="238"/>
        <v>0</v>
      </c>
      <c r="CM215" s="264">
        <f t="shared" si="236"/>
        <v>0</v>
      </c>
      <c r="CO215" s="265">
        <v>8.3170000000000008E-2</v>
      </c>
      <c r="CP215" s="265">
        <v>8.831E-2</v>
      </c>
      <c r="CQ215" s="265">
        <v>9.0490000000000001E-2</v>
      </c>
      <c r="CS215" s="265">
        <v>9.4700000000000006E-2</v>
      </c>
      <c r="CT215" s="265">
        <v>9.6340000000000009E-2</v>
      </c>
      <c r="CU215" s="265">
        <v>9.8659999999999998E-2</v>
      </c>
      <c r="CV215" s="265">
        <v>0.10038</v>
      </c>
      <c r="CW215" s="265">
        <v>0.10228</v>
      </c>
      <c r="CY215" s="265">
        <v>0.10435</v>
      </c>
      <c r="DA215" s="265">
        <v>0.1104</v>
      </c>
      <c r="DB215" s="265">
        <v>0.114</v>
      </c>
      <c r="DC215" s="265">
        <v>0.11143</v>
      </c>
      <c r="DE215" s="265">
        <v>4.7800000000000002E-2</v>
      </c>
      <c r="DF215" s="265">
        <v>5.1050000000000005E-2</v>
      </c>
      <c r="DH215" s="265">
        <v>5.2300000000000006E-2</v>
      </c>
      <c r="DI215" s="265">
        <v>5.3650000000000003E-2</v>
      </c>
      <c r="DJ215" s="265">
        <v>5.4720000000000005E-2</v>
      </c>
      <c r="DL215" s="265">
        <v>5.2539999999999996E-2</v>
      </c>
      <c r="DO215" s="264" t="e">
        <f t="shared" si="191"/>
        <v>#N/A</v>
      </c>
      <c r="DP215" s="264" t="e" cm="1">
        <f t="array" ref="DP215">+INDEX(AH215:AV215,MATCH(DO215,AH215:AV215,1)+1)</f>
        <v>#N/A</v>
      </c>
      <c r="DQ215" s="265" t="e">
        <f t="shared" si="192"/>
        <v>#N/A</v>
      </c>
      <c r="DR215" s="267" t="e">
        <f t="shared" si="193"/>
        <v>#N/A</v>
      </c>
      <c r="DS215" s="267" t="e">
        <f t="shared" si="194"/>
        <v>#N/A</v>
      </c>
      <c r="DT215" s="268" t="e">
        <f t="shared" si="195"/>
        <v>#N/A</v>
      </c>
      <c r="DU215" s="268" t="e" cm="1">
        <f t="array" ref="DU215">+INDEX(AX215:BF215,MATCH(DT215,AX215:BF215,1)+1)</f>
        <v>#N/A</v>
      </c>
      <c r="DV215" s="267" t="e">
        <f t="shared" si="175"/>
        <v>#N/A</v>
      </c>
      <c r="DW215" s="267" t="e">
        <f t="shared" si="196"/>
        <v>#N/A</v>
      </c>
      <c r="DX215" s="267" t="e">
        <f t="shared" si="197"/>
        <v>#N/A</v>
      </c>
      <c r="DY215" s="267">
        <f t="shared" si="240"/>
        <v>6.8600000000000008E-2</v>
      </c>
      <c r="DZ215" s="205" t="e">
        <f t="shared" si="239"/>
        <v>#N/A</v>
      </c>
      <c r="EA215" s="205">
        <f t="shared" si="180"/>
        <v>0</v>
      </c>
    </row>
    <row r="216" spans="2:131">
      <c r="B216" s="272">
        <v>45518</v>
      </c>
      <c r="C216" s="271">
        <v>45518</v>
      </c>
      <c r="D216" s="263" t="e">
        <f>+SUMIFS(Tabla6[Nominal COP],Tabla6[Concepto],COSTO_OPORTUNIDAD!$B$18,Tabla6[Nemotécnico],COSTO_OPORTUNIDAD!D$16,Tabla6[Fecha Cumplimiento y/ liquidacion],COSTO_OPORTUNIDAD!$C216)/+SUMIFS(Tabla6[Nominal COP],Tabla6[Concepto],COSTO_OPORTUNIDAD!$B$18,Tabla6[Fecha Cumplimiento y/ liquidacion],COSTO_OPORTUNIDAD!$C216)</f>
        <v>#DIV/0!</v>
      </c>
      <c r="E216" s="263" t="e">
        <f>+SUMIFS(Tabla6[Nominal COP],Tabla6[Concepto],COSTO_OPORTUNIDAD!$B$18,Tabla6[Nemotécnico],COSTO_OPORTUNIDAD!E$16,Tabla6[Fecha Cumplimiento y/ liquidacion],COSTO_OPORTUNIDAD!$C216)/+SUMIFS(Tabla6[Nominal COP],Tabla6[Concepto],COSTO_OPORTUNIDAD!$B$18,Tabla6[Fecha Cumplimiento y/ liquidacion],COSTO_OPORTUNIDAD!$C216)</f>
        <v>#DIV/0!</v>
      </c>
      <c r="F216" s="263"/>
      <c r="G216" s="263"/>
      <c r="H216" s="263">
        <v>0.1</v>
      </c>
      <c r="I216" s="263"/>
      <c r="J216" s="263">
        <v>0.1</v>
      </c>
      <c r="K216" s="263">
        <v>0</v>
      </c>
      <c r="L216" s="263"/>
      <c r="M216" s="263">
        <v>0</v>
      </c>
      <c r="N216" s="263"/>
      <c r="O216" s="263"/>
      <c r="P216" s="263">
        <v>0</v>
      </c>
      <c r="Q216" s="263"/>
      <c r="R216" s="263">
        <v>0</v>
      </c>
      <c r="S216" s="263">
        <v>0.8</v>
      </c>
      <c r="T216" s="263">
        <v>0</v>
      </c>
      <c r="U216" s="263"/>
      <c r="V216" s="263">
        <v>0</v>
      </c>
      <c r="W216" s="263">
        <v>0</v>
      </c>
      <c r="X216" s="263">
        <v>0</v>
      </c>
      <c r="Y216" s="263"/>
      <c r="Z216" s="263">
        <v>0</v>
      </c>
      <c r="AA216" s="263">
        <v>0</v>
      </c>
      <c r="AB216" s="263">
        <v>0</v>
      </c>
      <c r="AC216" s="263"/>
      <c r="AD216" s="263">
        <v>0</v>
      </c>
      <c r="AE216" s="263"/>
      <c r="AF216" s="263"/>
      <c r="AG216" s="262"/>
      <c r="AH216" s="274">
        <f t="shared" si="201"/>
        <v>742</v>
      </c>
      <c r="AI216" s="274">
        <f t="shared" si="202"/>
        <v>1176</v>
      </c>
      <c r="AJ216" s="274">
        <f t="shared" si="203"/>
        <v>1353</v>
      </c>
      <c r="AK216" s="274">
        <f t="shared" si="198"/>
        <v>1834</v>
      </c>
      <c r="AL216" s="274">
        <f t="shared" si="204"/>
        <v>2226</v>
      </c>
      <c r="AM216" s="274">
        <f t="shared" si="205"/>
        <v>2415</v>
      </c>
      <c r="AN216" s="274">
        <f t="shared" si="206"/>
        <v>2877</v>
      </c>
      <c r="AO216" s="274">
        <f t="shared" si="187"/>
        <v>3101</v>
      </c>
      <c r="AP216" s="274">
        <f t="shared" si="207"/>
        <v>3717</v>
      </c>
      <c r="AQ216" s="274"/>
      <c r="AR216" s="274">
        <f t="shared" si="208"/>
        <v>4347</v>
      </c>
      <c r="AS216" s="274">
        <f t="shared" si="199"/>
        <v>5950</v>
      </c>
      <c r="AT216" s="274">
        <f t="shared" si="209"/>
        <v>6496</v>
      </c>
      <c r="AU216" s="274">
        <f t="shared" si="189"/>
        <v>8015</v>
      </c>
      <c r="AV216" s="274">
        <f t="shared" si="210"/>
        <v>9569</v>
      </c>
      <c r="AW216" s="274"/>
      <c r="AX216" s="274">
        <f t="shared" si="211"/>
        <v>266</v>
      </c>
      <c r="AY216" s="274">
        <f t="shared" si="212"/>
        <v>945</v>
      </c>
      <c r="AZ216" s="274">
        <f t="shared" si="213"/>
        <v>1708</v>
      </c>
      <c r="BA216" s="274"/>
      <c r="BB216" s="274">
        <f t="shared" si="214"/>
        <v>3145</v>
      </c>
      <c r="BC216" s="274">
        <f t="shared" si="215"/>
        <v>3885</v>
      </c>
      <c r="BD216" s="274">
        <f t="shared" si="216"/>
        <v>4578</v>
      </c>
      <c r="BE216" s="274"/>
      <c r="BF216" s="274">
        <f t="shared" si="217"/>
        <v>9072</v>
      </c>
      <c r="BG216" s="274"/>
      <c r="BH216" s="274"/>
      <c r="BI216" s="266">
        <f t="shared" si="218"/>
        <v>0</v>
      </c>
      <c r="BJ216" s="266" t="e">
        <f t="shared" si="219"/>
        <v>#DIV/0!</v>
      </c>
      <c r="BK216" s="263" t="str">
        <f t="shared" si="220"/>
        <v/>
      </c>
      <c r="BL216" s="263" t="str">
        <f t="shared" si="221"/>
        <v/>
      </c>
      <c r="BM216" s="263" t="str">
        <f t="shared" si="222"/>
        <v/>
      </c>
      <c r="BN216" s="263"/>
      <c r="BO216" s="263" t="str">
        <f t="shared" si="223"/>
        <v/>
      </c>
      <c r="BP216" s="263" t="str">
        <f t="shared" si="224"/>
        <v/>
      </c>
      <c r="BQ216" s="263" t="str">
        <f t="shared" si="225"/>
        <v/>
      </c>
      <c r="BR216" s="263" t="str">
        <f t="shared" si="226"/>
        <v/>
      </c>
      <c r="BS216" s="263" t="str">
        <f t="shared" si="227"/>
        <v/>
      </c>
      <c r="BT216" s="263" t="str">
        <f t="shared" si="228"/>
        <v/>
      </c>
      <c r="BU216" s="263" t="str">
        <f t="shared" si="229"/>
        <v/>
      </c>
      <c r="BV216" s="263"/>
      <c r="BW216" s="263" t="str">
        <f t="shared" si="230"/>
        <v/>
      </c>
      <c r="BX216" s="263" t="str">
        <f t="shared" si="237"/>
        <v/>
      </c>
      <c r="BY216" s="263" t="str">
        <f t="shared" si="231"/>
        <v/>
      </c>
      <c r="BZ216" s="263"/>
      <c r="CA216" s="263" t="str">
        <f t="shared" si="182"/>
        <v/>
      </c>
      <c r="CB216" s="263" t="str">
        <f t="shared" si="232"/>
        <v/>
      </c>
      <c r="CC216" s="263" t="str">
        <f t="shared" si="183"/>
        <v/>
      </c>
      <c r="CD216" s="263" t="str">
        <f t="shared" si="233"/>
        <v/>
      </c>
      <c r="CE216" s="263" t="str">
        <f t="shared" si="167"/>
        <v/>
      </c>
      <c r="CF216" s="263" t="str">
        <f t="shared" si="184"/>
        <v/>
      </c>
      <c r="CG216" s="263" t="str">
        <f t="shared" si="185"/>
        <v/>
      </c>
      <c r="CH216" s="263"/>
      <c r="CI216" s="263" t="str">
        <f t="shared" si="234"/>
        <v/>
      </c>
      <c r="CJ216" s="263"/>
      <c r="CK216" s="263" t="str">
        <f t="shared" si="235"/>
        <v/>
      </c>
      <c r="CL216" s="264">
        <f t="shared" si="238"/>
        <v>0</v>
      </c>
      <c r="CM216" s="264">
        <f t="shared" si="236"/>
        <v>0</v>
      </c>
      <c r="CO216" s="265">
        <v>8.301E-2</v>
      </c>
      <c r="CP216" s="265">
        <v>8.8399999999999992E-2</v>
      </c>
      <c r="CQ216" s="265">
        <v>8.974E-2</v>
      </c>
      <c r="CS216" s="265">
        <v>9.375E-2</v>
      </c>
      <c r="CT216" s="265">
        <v>9.5390000000000003E-2</v>
      </c>
      <c r="CU216" s="265">
        <v>9.7810000000000008E-2</v>
      </c>
      <c r="CV216" s="265">
        <v>9.9199999999999997E-2</v>
      </c>
      <c r="CW216" s="265">
        <v>0.10099999999999999</v>
      </c>
      <c r="CY216" s="265">
        <v>0.10382</v>
      </c>
      <c r="DA216" s="265">
        <v>0.10949</v>
      </c>
      <c r="DB216" s="265">
        <v>0.1128</v>
      </c>
      <c r="DC216" s="265">
        <v>0.1108</v>
      </c>
      <c r="DE216" s="265">
        <v>4.7270000000000006E-2</v>
      </c>
      <c r="DF216" s="265">
        <v>5.0300000000000004E-2</v>
      </c>
      <c r="DH216" s="265">
        <v>5.2049999999999999E-2</v>
      </c>
      <c r="DI216" s="265">
        <v>5.3099999999999994E-2</v>
      </c>
      <c r="DJ216" s="265">
        <v>5.3699999999999998E-2</v>
      </c>
      <c r="DL216" s="265">
        <v>5.1449999999999996E-2</v>
      </c>
      <c r="DO216" s="264" t="e">
        <f t="shared" si="191"/>
        <v>#N/A</v>
      </c>
      <c r="DP216" s="264" t="e" cm="1">
        <f t="array" ref="DP216">+INDEX(AH216:AV216,MATCH(DO216,AH216:AV216,1)+1)</f>
        <v>#N/A</v>
      </c>
      <c r="DQ216" s="265" t="e">
        <f t="shared" si="192"/>
        <v>#N/A</v>
      </c>
      <c r="DR216" s="267" t="e">
        <f t="shared" si="193"/>
        <v>#N/A</v>
      </c>
      <c r="DS216" s="267" t="e">
        <f t="shared" si="194"/>
        <v>#N/A</v>
      </c>
      <c r="DT216" s="268" t="e">
        <f t="shared" si="195"/>
        <v>#N/A</v>
      </c>
      <c r="DU216" s="268" t="e" cm="1">
        <f t="array" ref="DU216">+INDEX(AX216:BF216,MATCH(DT216,AX216:BF216,1)+1)</f>
        <v>#N/A</v>
      </c>
      <c r="DV216" s="267" t="e">
        <f t="shared" si="175"/>
        <v>#N/A</v>
      </c>
      <c r="DW216" s="267" t="e">
        <f t="shared" si="196"/>
        <v>#N/A</v>
      </c>
      <c r="DX216" s="267" t="e">
        <f t="shared" si="197"/>
        <v>#N/A</v>
      </c>
      <c r="DY216" s="267">
        <f t="shared" si="240"/>
        <v>6.8600000000000008E-2</v>
      </c>
      <c r="DZ216" s="205" t="e">
        <f t="shared" si="239"/>
        <v>#N/A</v>
      </c>
      <c r="EA216" s="205">
        <f t="shared" si="180"/>
        <v>0</v>
      </c>
    </row>
    <row r="217" spans="2:131">
      <c r="B217" s="272">
        <v>45519</v>
      </c>
      <c r="C217" s="271">
        <v>45519</v>
      </c>
      <c r="D217" s="263" t="e">
        <f>+SUMIFS(Tabla6[Nominal COP],Tabla6[Concepto],COSTO_OPORTUNIDAD!$B$18,Tabla6[Nemotécnico],COSTO_OPORTUNIDAD!D$16,Tabla6[Fecha Cumplimiento y/ liquidacion],COSTO_OPORTUNIDAD!$C217)/+SUMIFS(Tabla6[Nominal COP],Tabla6[Concepto],COSTO_OPORTUNIDAD!$B$18,Tabla6[Fecha Cumplimiento y/ liquidacion],COSTO_OPORTUNIDAD!$C217)</f>
        <v>#DIV/0!</v>
      </c>
      <c r="E217" s="263" t="e">
        <f>+SUMIFS(Tabla6[Nominal COP],Tabla6[Concepto],COSTO_OPORTUNIDAD!$B$18,Tabla6[Nemotécnico],COSTO_OPORTUNIDAD!E$16,Tabla6[Fecha Cumplimiento y/ liquidacion],COSTO_OPORTUNIDAD!$C217)/+SUMIFS(Tabla6[Nominal COP],Tabla6[Concepto],COSTO_OPORTUNIDAD!$B$18,Tabla6[Fecha Cumplimiento y/ liquidacion],COSTO_OPORTUNIDAD!$C217)</f>
        <v>#DIV/0!</v>
      </c>
      <c r="F217" s="263"/>
      <c r="G217" s="263"/>
      <c r="H217" s="263">
        <v>0.1</v>
      </c>
      <c r="I217" s="263"/>
      <c r="J217" s="263">
        <v>0.1</v>
      </c>
      <c r="K217" s="263">
        <v>0</v>
      </c>
      <c r="L217" s="263"/>
      <c r="M217" s="263">
        <v>0</v>
      </c>
      <c r="N217" s="263"/>
      <c r="O217" s="263"/>
      <c r="P217" s="263">
        <v>0</v>
      </c>
      <c r="Q217" s="263"/>
      <c r="R217" s="263">
        <v>0</v>
      </c>
      <c r="S217" s="263">
        <v>0.8</v>
      </c>
      <c r="T217" s="263">
        <v>0</v>
      </c>
      <c r="U217" s="263"/>
      <c r="V217" s="263">
        <v>0</v>
      </c>
      <c r="W217" s="263">
        <v>0</v>
      </c>
      <c r="X217" s="263">
        <v>0</v>
      </c>
      <c r="Y217" s="263"/>
      <c r="Z217" s="263">
        <v>0</v>
      </c>
      <c r="AA217" s="263">
        <v>0</v>
      </c>
      <c r="AB217" s="263">
        <v>0</v>
      </c>
      <c r="AC217" s="263"/>
      <c r="AD217" s="263">
        <v>0</v>
      </c>
      <c r="AE217" s="263"/>
      <c r="AF217" s="263"/>
      <c r="AG217" s="262"/>
      <c r="AH217" s="274">
        <f t="shared" si="201"/>
        <v>741</v>
      </c>
      <c r="AI217" s="274">
        <f t="shared" si="202"/>
        <v>1175</v>
      </c>
      <c r="AJ217" s="274">
        <f t="shared" si="203"/>
        <v>1352</v>
      </c>
      <c r="AK217" s="274">
        <f t="shared" si="198"/>
        <v>1833</v>
      </c>
      <c r="AL217" s="274">
        <f t="shared" si="204"/>
        <v>2225</v>
      </c>
      <c r="AM217" s="274">
        <f t="shared" si="205"/>
        <v>2414</v>
      </c>
      <c r="AN217" s="274">
        <f t="shared" si="206"/>
        <v>2876</v>
      </c>
      <c r="AO217" s="274">
        <f t="shared" si="187"/>
        <v>3100</v>
      </c>
      <c r="AP217" s="274">
        <f t="shared" si="207"/>
        <v>3716</v>
      </c>
      <c r="AQ217" s="274"/>
      <c r="AR217" s="274">
        <f t="shared" si="208"/>
        <v>4346</v>
      </c>
      <c r="AS217" s="274">
        <f t="shared" si="199"/>
        <v>5949</v>
      </c>
      <c r="AT217" s="274">
        <f t="shared" si="209"/>
        <v>6495</v>
      </c>
      <c r="AU217" s="274">
        <f t="shared" si="189"/>
        <v>8014</v>
      </c>
      <c r="AV217" s="274">
        <f t="shared" si="210"/>
        <v>9568</v>
      </c>
      <c r="AW217" s="274"/>
      <c r="AX217" s="274">
        <f t="shared" si="211"/>
        <v>265</v>
      </c>
      <c r="AY217" s="274">
        <f t="shared" si="212"/>
        <v>944</v>
      </c>
      <c r="AZ217" s="274">
        <f t="shared" si="213"/>
        <v>1707</v>
      </c>
      <c r="BA217" s="274"/>
      <c r="BB217" s="274">
        <f t="shared" si="214"/>
        <v>3144</v>
      </c>
      <c r="BC217" s="274">
        <f t="shared" si="215"/>
        <v>3884</v>
      </c>
      <c r="BD217" s="274">
        <f t="shared" si="216"/>
        <v>4577</v>
      </c>
      <c r="BE217" s="274"/>
      <c r="BF217" s="274">
        <f t="shared" si="217"/>
        <v>9071</v>
      </c>
      <c r="BG217" s="274"/>
      <c r="BH217" s="274"/>
      <c r="BI217" s="266">
        <f t="shared" si="218"/>
        <v>0</v>
      </c>
      <c r="BJ217" s="266" t="e">
        <f t="shared" si="219"/>
        <v>#DIV/0!</v>
      </c>
      <c r="BK217" s="263" t="str">
        <f t="shared" si="220"/>
        <v/>
      </c>
      <c r="BL217" s="263" t="str">
        <f t="shared" si="221"/>
        <v/>
      </c>
      <c r="BM217" s="263" t="str">
        <f t="shared" si="222"/>
        <v/>
      </c>
      <c r="BN217" s="263"/>
      <c r="BO217" s="263" t="str">
        <f t="shared" si="223"/>
        <v/>
      </c>
      <c r="BP217" s="263" t="str">
        <f t="shared" si="224"/>
        <v/>
      </c>
      <c r="BQ217" s="263" t="str">
        <f t="shared" si="225"/>
        <v/>
      </c>
      <c r="BR217" s="263" t="str">
        <f t="shared" si="226"/>
        <v/>
      </c>
      <c r="BS217" s="263" t="str">
        <f t="shared" si="227"/>
        <v/>
      </c>
      <c r="BT217" s="263" t="str">
        <f t="shared" si="228"/>
        <v/>
      </c>
      <c r="BU217" s="263" t="str">
        <f t="shared" si="229"/>
        <v/>
      </c>
      <c r="BV217" s="263"/>
      <c r="BW217" s="263" t="str">
        <f t="shared" si="230"/>
        <v/>
      </c>
      <c r="BX217" s="263" t="str">
        <f t="shared" si="237"/>
        <v/>
      </c>
      <c r="BY217" s="263" t="str">
        <f t="shared" si="231"/>
        <v/>
      </c>
      <c r="BZ217" s="263"/>
      <c r="CA217" s="263" t="str">
        <f t="shared" si="182"/>
        <v/>
      </c>
      <c r="CB217" s="263" t="str">
        <f t="shared" si="232"/>
        <v/>
      </c>
      <c r="CC217" s="263" t="str">
        <f t="shared" si="183"/>
        <v/>
      </c>
      <c r="CD217" s="263" t="str">
        <f t="shared" si="233"/>
        <v/>
      </c>
      <c r="CE217" s="263" t="str">
        <f t="shared" ref="CE217:CE280" si="241">IFERROR(Z217/$BI217,"")</f>
        <v/>
      </c>
      <c r="CF217" s="263" t="str">
        <f t="shared" si="184"/>
        <v/>
      </c>
      <c r="CG217" s="263" t="str">
        <f t="shared" si="185"/>
        <v/>
      </c>
      <c r="CH217" s="263"/>
      <c r="CI217" s="263" t="str">
        <f t="shared" si="234"/>
        <v/>
      </c>
      <c r="CJ217" s="263"/>
      <c r="CK217" s="263" t="str">
        <f t="shared" si="235"/>
        <v/>
      </c>
      <c r="CL217" s="264">
        <f t="shared" si="238"/>
        <v>0</v>
      </c>
      <c r="CM217" s="264">
        <f t="shared" si="236"/>
        <v>0</v>
      </c>
      <c r="CO217" s="265">
        <v>8.3170000000000008E-2</v>
      </c>
      <c r="CP217" s="265">
        <v>8.8739999999999999E-2</v>
      </c>
      <c r="CQ217" s="265">
        <v>9.0630000000000002E-2</v>
      </c>
      <c r="CS217" s="265">
        <v>9.4499999999999987E-2</v>
      </c>
      <c r="CT217" s="265">
        <v>9.6099999999999991E-2</v>
      </c>
      <c r="CU217" s="265">
        <v>9.820000000000001E-2</v>
      </c>
      <c r="CV217" s="265">
        <v>9.98E-2</v>
      </c>
      <c r="CW217" s="265">
        <v>0.1014</v>
      </c>
      <c r="CY217" s="265">
        <v>0.1042</v>
      </c>
      <c r="DA217" s="265">
        <v>0.1101</v>
      </c>
      <c r="DB217" s="265">
        <v>0.11313000000000001</v>
      </c>
      <c r="DC217" s="265">
        <v>0.11130000000000001</v>
      </c>
      <c r="DE217" s="265">
        <v>4.7419999999999997E-2</v>
      </c>
      <c r="DF217" s="265">
        <v>5.0300000000000004E-2</v>
      </c>
      <c r="DH217" s="265">
        <v>5.1380000000000002E-2</v>
      </c>
      <c r="DI217" s="265">
        <v>5.2450000000000004E-2</v>
      </c>
      <c r="DJ217" s="265">
        <v>5.348E-2</v>
      </c>
      <c r="DL217" s="265">
        <v>5.1399999999999994E-2</v>
      </c>
      <c r="DO217" s="264" t="e">
        <f t="shared" si="191"/>
        <v>#N/A</v>
      </c>
      <c r="DP217" s="264" t="e" cm="1">
        <f t="array" ref="DP217">+INDEX(AH217:AV217,MATCH(DO217,AH217:AV217,1)+1)</f>
        <v>#N/A</v>
      </c>
      <c r="DQ217" s="265" t="e">
        <f t="shared" si="192"/>
        <v>#N/A</v>
      </c>
      <c r="DR217" s="267" t="e">
        <f t="shared" si="193"/>
        <v>#N/A</v>
      </c>
      <c r="DS217" s="267" t="e">
        <f t="shared" si="194"/>
        <v>#N/A</v>
      </c>
      <c r="DT217" s="268" t="e">
        <f t="shared" si="195"/>
        <v>#N/A</v>
      </c>
      <c r="DU217" s="268" t="e" cm="1">
        <f t="array" ref="DU217">+INDEX(AX217:BF217,MATCH(DT217,AX217:BF217,1)+1)</f>
        <v>#N/A</v>
      </c>
      <c r="DV217" s="267" t="e">
        <f t="shared" si="175"/>
        <v>#N/A</v>
      </c>
      <c r="DW217" s="267" t="e">
        <f t="shared" si="196"/>
        <v>#N/A</v>
      </c>
      <c r="DX217" s="267" t="e">
        <f t="shared" si="197"/>
        <v>#N/A</v>
      </c>
      <c r="DY217" s="267">
        <f t="shared" si="240"/>
        <v>6.8600000000000008E-2</v>
      </c>
      <c r="DZ217" s="205" t="e">
        <f t="shared" si="239"/>
        <v>#N/A</v>
      </c>
      <c r="EA217" s="205">
        <f t="shared" si="180"/>
        <v>0</v>
      </c>
    </row>
    <row r="218" spans="2:131">
      <c r="B218" s="272">
        <v>45520</v>
      </c>
      <c r="C218" s="271">
        <v>45520</v>
      </c>
      <c r="D218" s="263" t="e">
        <f>+SUMIFS(Tabla6[Nominal COP],Tabla6[Concepto],COSTO_OPORTUNIDAD!$B$18,Tabla6[Nemotécnico],COSTO_OPORTUNIDAD!D$16,Tabla6[Fecha Cumplimiento y/ liquidacion],COSTO_OPORTUNIDAD!$C218)/+SUMIFS(Tabla6[Nominal COP],Tabla6[Concepto],COSTO_OPORTUNIDAD!$B$18,Tabla6[Fecha Cumplimiento y/ liquidacion],COSTO_OPORTUNIDAD!$C218)</f>
        <v>#DIV/0!</v>
      </c>
      <c r="E218" s="263" t="e">
        <f>+SUMIFS(Tabla6[Nominal COP],Tabla6[Concepto],COSTO_OPORTUNIDAD!$B$18,Tabla6[Nemotécnico],COSTO_OPORTUNIDAD!E$16,Tabla6[Fecha Cumplimiento y/ liquidacion],COSTO_OPORTUNIDAD!$C218)/+SUMIFS(Tabla6[Nominal COP],Tabla6[Concepto],COSTO_OPORTUNIDAD!$B$18,Tabla6[Fecha Cumplimiento y/ liquidacion],COSTO_OPORTUNIDAD!$C218)</f>
        <v>#DIV/0!</v>
      </c>
      <c r="F218" s="263"/>
      <c r="G218" s="263"/>
      <c r="H218" s="263">
        <v>0.1</v>
      </c>
      <c r="I218" s="263"/>
      <c r="J218" s="263">
        <v>0.1</v>
      </c>
      <c r="K218" s="263">
        <v>0</v>
      </c>
      <c r="L218" s="263"/>
      <c r="M218" s="263">
        <v>0</v>
      </c>
      <c r="N218" s="263"/>
      <c r="O218" s="263"/>
      <c r="P218" s="263">
        <v>0</v>
      </c>
      <c r="Q218" s="263"/>
      <c r="R218" s="263">
        <v>0</v>
      </c>
      <c r="S218" s="263">
        <v>0.8</v>
      </c>
      <c r="T218" s="263">
        <v>0</v>
      </c>
      <c r="U218" s="263"/>
      <c r="V218" s="263">
        <v>0</v>
      </c>
      <c r="W218" s="263">
        <v>0</v>
      </c>
      <c r="X218" s="263">
        <v>0</v>
      </c>
      <c r="Y218" s="263"/>
      <c r="Z218" s="263">
        <v>0</v>
      </c>
      <c r="AA218" s="263">
        <v>0</v>
      </c>
      <c r="AB218" s="263">
        <v>0</v>
      </c>
      <c r="AC218" s="263"/>
      <c r="AD218" s="263">
        <v>0</v>
      </c>
      <c r="AE218" s="263"/>
      <c r="AF218" s="263"/>
      <c r="AG218" s="262"/>
      <c r="AH218" s="274">
        <f t="shared" si="201"/>
        <v>740</v>
      </c>
      <c r="AI218" s="274">
        <f t="shared" si="202"/>
        <v>1174</v>
      </c>
      <c r="AJ218" s="274">
        <f t="shared" si="203"/>
        <v>1351</v>
      </c>
      <c r="AK218" s="274">
        <f t="shared" si="198"/>
        <v>1832</v>
      </c>
      <c r="AL218" s="274">
        <f t="shared" si="204"/>
        <v>2224</v>
      </c>
      <c r="AM218" s="274">
        <f t="shared" si="205"/>
        <v>2413</v>
      </c>
      <c r="AN218" s="274">
        <f t="shared" si="206"/>
        <v>2875</v>
      </c>
      <c r="AO218" s="274">
        <f t="shared" ref="AO218:AO249" si="242">(M$17-$B218)</f>
        <v>3099</v>
      </c>
      <c r="AP218" s="274">
        <f t="shared" si="207"/>
        <v>3715</v>
      </c>
      <c r="AQ218" s="274"/>
      <c r="AR218" s="274">
        <f t="shared" si="208"/>
        <v>4345</v>
      </c>
      <c r="AS218" s="274">
        <f t="shared" si="199"/>
        <v>5948</v>
      </c>
      <c r="AT218" s="274">
        <f t="shared" si="209"/>
        <v>6494</v>
      </c>
      <c r="AU218" s="274">
        <f t="shared" si="189"/>
        <v>8013</v>
      </c>
      <c r="AV218" s="274">
        <f t="shared" si="210"/>
        <v>9567</v>
      </c>
      <c r="AW218" s="274"/>
      <c r="AX218" s="274">
        <f t="shared" si="211"/>
        <v>264</v>
      </c>
      <c r="AY218" s="274">
        <f t="shared" si="212"/>
        <v>943</v>
      </c>
      <c r="AZ218" s="274">
        <f t="shared" si="213"/>
        <v>1706</v>
      </c>
      <c r="BA218" s="274"/>
      <c r="BB218" s="274">
        <f t="shared" si="214"/>
        <v>3143</v>
      </c>
      <c r="BC218" s="274">
        <f t="shared" si="215"/>
        <v>3883</v>
      </c>
      <c r="BD218" s="274">
        <f t="shared" si="216"/>
        <v>4576</v>
      </c>
      <c r="BE218" s="274"/>
      <c r="BF218" s="274">
        <f t="shared" si="217"/>
        <v>9070</v>
      </c>
      <c r="BG218" s="274"/>
      <c r="BH218" s="274"/>
      <c r="BI218" s="266">
        <f t="shared" si="218"/>
        <v>0</v>
      </c>
      <c r="BJ218" s="266" t="e">
        <f t="shared" si="219"/>
        <v>#DIV/0!</v>
      </c>
      <c r="BK218" s="263" t="str">
        <f t="shared" si="220"/>
        <v/>
      </c>
      <c r="BL218" s="263" t="str">
        <f t="shared" si="221"/>
        <v/>
      </c>
      <c r="BM218" s="263" t="str">
        <f t="shared" si="222"/>
        <v/>
      </c>
      <c r="BN218" s="263"/>
      <c r="BO218" s="263" t="str">
        <f t="shared" si="223"/>
        <v/>
      </c>
      <c r="BP218" s="263" t="str">
        <f t="shared" si="224"/>
        <v/>
      </c>
      <c r="BQ218" s="263" t="str">
        <f t="shared" si="225"/>
        <v/>
      </c>
      <c r="BR218" s="263" t="str">
        <f t="shared" si="226"/>
        <v/>
      </c>
      <c r="BS218" s="263" t="str">
        <f t="shared" si="227"/>
        <v/>
      </c>
      <c r="BT218" s="263" t="str">
        <f t="shared" si="228"/>
        <v/>
      </c>
      <c r="BU218" s="263" t="str">
        <f t="shared" si="229"/>
        <v/>
      </c>
      <c r="BV218" s="263"/>
      <c r="BW218" s="263" t="str">
        <f t="shared" si="230"/>
        <v/>
      </c>
      <c r="BX218" s="263" t="str">
        <f t="shared" si="237"/>
        <v/>
      </c>
      <c r="BY218" s="263" t="str">
        <f t="shared" si="231"/>
        <v/>
      </c>
      <c r="BZ218" s="263"/>
      <c r="CA218" s="263" t="str">
        <f t="shared" si="182"/>
        <v/>
      </c>
      <c r="CB218" s="263" t="str">
        <f t="shared" si="232"/>
        <v/>
      </c>
      <c r="CC218" s="263" t="str">
        <f t="shared" si="183"/>
        <v/>
      </c>
      <c r="CD218" s="263" t="str">
        <f t="shared" si="233"/>
        <v/>
      </c>
      <c r="CE218" s="263" t="str">
        <f t="shared" si="241"/>
        <v/>
      </c>
      <c r="CF218" s="263" t="str">
        <f t="shared" si="184"/>
        <v/>
      </c>
      <c r="CG218" s="263" t="str">
        <f t="shared" si="185"/>
        <v/>
      </c>
      <c r="CH218" s="263"/>
      <c r="CI218" s="263" t="str">
        <f t="shared" si="234"/>
        <v/>
      </c>
      <c r="CJ218" s="263"/>
      <c r="CK218" s="263" t="str">
        <f t="shared" si="235"/>
        <v/>
      </c>
      <c r="CL218" s="264">
        <f t="shared" si="238"/>
        <v>0</v>
      </c>
      <c r="CM218" s="264">
        <f t="shared" si="236"/>
        <v>0</v>
      </c>
      <c r="CO218" s="265">
        <v>8.3260000000000001E-2</v>
      </c>
      <c r="CP218" s="265">
        <v>8.8800000000000004E-2</v>
      </c>
      <c r="CQ218" s="265">
        <v>9.0530000000000013E-2</v>
      </c>
      <c r="CS218" s="265">
        <v>9.4800000000000009E-2</v>
      </c>
      <c r="CT218" s="265">
        <v>9.6890000000000004E-2</v>
      </c>
      <c r="CU218" s="265">
        <v>9.8519999999999996E-2</v>
      </c>
      <c r="CV218" s="265">
        <v>0.10019</v>
      </c>
      <c r="CW218" s="265">
        <v>0.1017</v>
      </c>
      <c r="CY218" s="265">
        <v>0.10441</v>
      </c>
      <c r="DA218" s="265">
        <v>0.1105</v>
      </c>
      <c r="DB218" s="265">
        <v>0.11326</v>
      </c>
      <c r="DC218" s="265">
        <v>0.1118</v>
      </c>
      <c r="DE218" s="265">
        <v>4.6829999999999997E-2</v>
      </c>
      <c r="DF218" s="265">
        <v>4.9500000000000002E-2</v>
      </c>
      <c r="DH218" s="265">
        <v>5.0819999999999997E-2</v>
      </c>
      <c r="DI218" s="265">
        <v>5.1500000000000004E-2</v>
      </c>
      <c r="DJ218" s="265">
        <v>5.2400000000000002E-2</v>
      </c>
      <c r="DL218" s="265">
        <v>0.05</v>
      </c>
      <c r="DO218" s="264" t="e">
        <f t="shared" si="191"/>
        <v>#N/A</v>
      </c>
      <c r="DP218" s="264" t="e" cm="1">
        <f t="array" ref="DP218">+INDEX(AH218:AV218,MATCH(DO218,AH218:AV218,1)+1)</f>
        <v>#N/A</v>
      </c>
      <c r="DQ218" s="265" t="e">
        <f t="shared" si="192"/>
        <v>#N/A</v>
      </c>
      <c r="DR218" s="267" t="e">
        <f t="shared" si="193"/>
        <v>#N/A</v>
      </c>
      <c r="DS218" s="267" t="e">
        <f t="shared" si="194"/>
        <v>#N/A</v>
      </c>
      <c r="DT218" s="268" t="e">
        <f t="shared" si="195"/>
        <v>#N/A</v>
      </c>
      <c r="DU218" s="268" t="e" cm="1">
        <f t="array" ref="DU218">+INDEX(AX218:BF218,MATCH(DT218,AX218:BF218,1)+1)</f>
        <v>#N/A</v>
      </c>
      <c r="DV218" s="267" t="e">
        <f t="shared" si="175"/>
        <v>#N/A</v>
      </c>
      <c r="DW218" s="267" t="e">
        <f t="shared" si="196"/>
        <v>#N/A</v>
      </c>
      <c r="DX218" s="267" t="e">
        <f t="shared" si="197"/>
        <v>#N/A</v>
      </c>
      <c r="DY218" s="267">
        <f t="shared" si="240"/>
        <v>6.8600000000000008E-2</v>
      </c>
      <c r="DZ218" s="205" t="e">
        <f t="shared" si="239"/>
        <v>#N/A</v>
      </c>
      <c r="EA218" s="205">
        <f t="shared" si="180"/>
        <v>0</v>
      </c>
    </row>
    <row r="219" spans="2:131">
      <c r="B219" s="272">
        <v>45524</v>
      </c>
      <c r="C219" s="271">
        <v>45524</v>
      </c>
      <c r="D219" s="263" t="e">
        <f>+SUMIFS(Tabla6[Nominal COP],Tabla6[Concepto],COSTO_OPORTUNIDAD!$B$18,Tabla6[Nemotécnico],COSTO_OPORTUNIDAD!D$16,Tabla6[Fecha Cumplimiento y/ liquidacion],COSTO_OPORTUNIDAD!$C219)/+SUMIFS(Tabla6[Nominal COP],Tabla6[Concepto],COSTO_OPORTUNIDAD!$B$18,Tabla6[Fecha Cumplimiento y/ liquidacion],COSTO_OPORTUNIDAD!$C219)</f>
        <v>#DIV/0!</v>
      </c>
      <c r="E219" s="263" t="e">
        <f>+SUMIFS(Tabla6[Nominal COP],Tabla6[Concepto],COSTO_OPORTUNIDAD!$B$18,Tabla6[Nemotécnico],COSTO_OPORTUNIDAD!E$16,Tabla6[Fecha Cumplimiento y/ liquidacion],COSTO_OPORTUNIDAD!$C219)/+SUMIFS(Tabla6[Nominal COP],Tabla6[Concepto],COSTO_OPORTUNIDAD!$B$18,Tabla6[Fecha Cumplimiento y/ liquidacion],COSTO_OPORTUNIDAD!$C219)</f>
        <v>#DIV/0!</v>
      </c>
      <c r="F219" s="263"/>
      <c r="G219" s="263"/>
      <c r="H219" s="263">
        <v>0.1</v>
      </c>
      <c r="I219" s="263"/>
      <c r="J219" s="263">
        <v>0.1</v>
      </c>
      <c r="K219" s="263">
        <v>0</v>
      </c>
      <c r="L219" s="263"/>
      <c r="M219" s="263">
        <v>0</v>
      </c>
      <c r="N219" s="263"/>
      <c r="O219" s="263"/>
      <c r="P219" s="263">
        <v>0</v>
      </c>
      <c r="Q219" s="263"/>
      <c r="R219" s="263">
        <v>0</v>
      </c>
      <c r="S219" s="263">
        <v>0.8</v>
      </c>
      <c r="T219" s="263">
        <v>0</v>
      </c>
      <c r="U219" s="263"/>
      <c r="V219" s="263">
        <v>0</v>
      </c>
      <c r="W219" s="263">
        <v>0</v>
      </c>
      <c r="X219" s="263">
        <v>0</v>
      </c>
      <c r="Y219" s="263"/>
      <c r="Z219" s="263">
        <v>0</v>
      </c>
      <c r="AA219" s="263">
        <v>0</v>
      </c>
      <c r="AB219" s="263">
        <v>0</v>
      </c>
      <c r="AC219" s="263"/>
      <c r="AD219" s="263">
        <v>0</v>
      </c>
      <c r="AE219" s="263"/>
      <c r="AF219" s="263"/>
      <c r="AG219" s="262"/>
      <c r="AH219" s="274">
        <f t="shared" si="201"/>
        <v>736</v>
      </c>
      <c r="AI219" s="274">
        <f t="shared" si="202"/>
        <v>1170</v>
      </c>
      <c r="AJ219" s="274">
        <f t="shared" si="203"/>
        <v>1347</v>
      </c>
      <c r="AK219" s="274">
        <f t="shared" si="198"/>
        <v>1828</v>
      </c>
      <c r="AL219" s="274">
        <f t="shared" si="204"/>
        <v>2220</v>
      </c>
      <c r="AM219" s="274">
        <f t="shared" si="205"/>
        <v>2409</v>
      </c>
      <c r="AN219" s="274">
        <f t="shared" si="206"/>
        <v>2871</v>
      </c>
      <c r="AO219" s="274">
        <f t="shared" si="242"/>
        <v>3095</v>
      </c>
      <c r="AP219" s="274">
        <f t="shared" si="207"/>
        <v>3711</v>
      </c>
      <c r="AQ219" s="274"/>
      <c r="AR219" s="274">
        <f t="shared" si="208"/>
        <v>4341</v>
      </c>
      <c r="AS219" s="274">
        <f t="shared" si="199"/>
        <v>5944</v>
      </c>
      <c r="AT219" s="274">
        <f t="shared" si="209"/>
        <v>6490</v>
      </c>
      <c r="AU219" s="274">
        <f t="shared" si="189"/>
        <v>8009</v>
      </c>
      <c r="AV219" s="274">
        <f t="shared" si="210"/>
        <v>9563</v>
      </c>
      <c r="AW219" s="274"/>
      <c r="AX219" s="274">
        <f t="shared" si="211"/>
        <v>260</v>
      </c>
      <c r="AY219" s="274">
        <f t="shared" si="212"/>
        <v>939</v>
      </c>
      <c r="AZ219" s="274">
        <f t="shared" si="213"/>
        <v>1702</v>
      </c>
      <c r="BA219" s="274"/>
      <c r="BB219" s="274">
        <f t="shared" si="214"/>
        <v>3139</v>
      </c>
      <c r="BC219" s="274">
        <f t="shared" si="215"/>
        <v>3879</v>
      </c>
      <c r="BD219" s="274">
        <f t="shared" si="216"/>
        <v>4572</v>
      </c>
      <c r="BE219" s="274"/>
      <c r="BF219" s="274">
        <f t="shared" si="217"/>
        <v>9066</v>
      </c>
      <c r="BG219" s="274"/>
      <c r="BH219" s="274"/>
      <c r="BI219" s="266">
        <f t="shared" si="218"/>
        <v>0</v>
      </c>
      <c r="BJ219" s="266" t="e">
        <f t="shared" si="219"/>
        <v>#DIV/0!</v>
      </c>
      <c r="BK219" s="263" t="str">
        <f t="shared" si="220"/>
        <v/>
      </c>
      <c r="BL219" s="263" t="str">
        <f t="shared" si="221"/>
        <v/>
      </c>
      <c r="BM219" s="263" t="str">
        <f t="shared" si="222"/>
        <v/>
      </c>
      <c r="BN219" s="263"/>
      <c r="BO219" s="263" t="str">
        <f t="shared" si="223"/>
        <v/>
      </c>
      <c r="BP219" s="263" t="str">
        <f t="shared" si="224"/>
        <v/>
      </c>
      <c r="BQ219" s="263" t="str">
        <f t="shared" si="225"/>
        <v/>
      </c>
      <c r="BR219" s="263" t="str">
        <f t="shared" si="226"/>
        <v/>
      </c>
      <c r="BS219" s="263" t="str">
        <f t="shared" si="227"/>
        <v/>
      </c>
      <c r="BT219" s="263" t="str">
        <f t="shared" si="228"/>
        <v/>
      </c>
      <c r="BU219" s="263" t="str">
        <f t="shared" si="229"/>
        <v/>
      </c>
      <c r="BV219" s="263"/>
      <c r="BW219" s="263" t="str">
        <f t="shared" si="230"/>
        <v/>
      </c>
      <c r="BX219" s="263" t="str">
        <f t="shared" si="237"/>
        <v/>
      </c>
      <c r="BY219" s="263" t="str">
        <f t="shared" si="231"/>
        <v/>
      </c>
      <c r="BZ219" s="263"/>
      <c r="CA219" s="263" t="str">
        <f t="shared" si="182"/>
        <v/>
      </c>
      <c r="CB219" s="263" t="str">
        <f t="shared" si="232"/>
        <v/>
      </c>
      <c r="CC219" s="263" t="str">
        <f t="shared" si="183"/>
        <v/>
      </c>
      <c r="CD219" s="263" t="str">
        <f t="shared" si="233"/>
        <v/>
      </c>
      <c r="CE219" s="263" t="str">
        <f t="shared" si="241"/>
        <v/>
      </c>
      <c r="CF219" s="263" t="str">
        <f t="shared" si="184"/>
        <v/>
      </c>
      <c r="CG219" s="263" t="str">
        <f t="shared" si="185"/>
        <v/>
      </c>
      <c r="CH219" s="263"/>
      <c r="CI219" s="263" t="str">
        <f t="shared" si="234"/>
        <v/>
      </c>
      <c r="CJ219" s="263"/>
      <c r="CK219" s="263" t="str">
        <f t="shared" si="235"/>
        <v/>
      </c>
      <c r="CL219" s="264">
        <f t="shared" si="238"/>
        <v>0</v>
      </c>
      <c r="CM219" s="264">
        <f t="shared" si="236"/>
        <v>0</v>
      </c>
      <c r="CO219" s="265">
        <v>8.3040000000000003E-2</v>
      </c>
      <c r="CP219" s="265">
        <v>8.8800000000000004E-2</v>
      </c>
      <c r="CQ219" s="265">
        <v>9.0410000000000004E-2</v>
      </c>
      <c r="CS219" s="265">
        <v>9.4070000000000001E-2</v>
      </c>
      <c r="CT219" s="265">
        <v>9.5899999999999999E-2</v>
      </c>
      <c r="CU219" s="265">
        <v>9.8100000000000007E-2</v>
      </c>
      <c r="CV219" s="265">
        <v>9.9700000000000011E-2</v>
      </c>
      <c r="CW219" s="265">
        <v>0.10101</v>
      </c>
      <c r="CY219" s="265">
        <v>0.10369999999999999</v>
      </c>
      <c r="DA219" s="265">
        <v>0.10922000000000001</v>
      </c>
      <c r="DB219" s="265">
        <v>0.11289999999999999</v>
      </c>
      <c r="DC219" s="265">
        <v>0.11035</v>
      </c>
      <c r="DE219" s="265">
        <v>4.6600000000000003E-2</v>
      </c>
      <c r="DF219" s="265">
        <v>4.8899999999999999E-2</v>
      </c>
      <c r="DH219" s="265">
        <v>5.0099999999999999E-2</v>
      </c>
      <c r="DI219" s="265">
        <v>5.1029999999999999E-2</v>
      </c>
      <c r="DJ219" s="265">
        <v>5.2000000000000005E-2</v>
      </c>
      <c r="DL219" s="265">
        <v>5.008E-2</v>
      </c>
      <c r="DO219" s="264" t="e">
        <f t="shared" si="191"/>
        <v>#N/A</v>
      </c>
      <c r="DP219" s="264" t="e" cm="1">
        <f t="array" ref="DP219">+INDEX(AH219:AV219,MATCH(DO219,AH219:AV219,1)+1)</f>
        <v>#N/A</v>
      </c>
      <c r="DQ219" s="265" t="e">
        <f t="shared" si="192"/>
        <v>#N/A</v>
      </c>
      <c r="DR219" s="267" t="e">
        <f t="shared" si="193"/>
        <v>#N/A</v>
      </c>
      <c r="DS219" s="267" t="e">
        <f t="shared" si="194"/>
        <v>#N/A</v>
      </c>
      <c r="DT219" s="268" t="e">
        <f t="shared" si="195"/>
        <v>#N/A</v>
      </c>
      <c r="DU219" s="268" t="e" cm="1">
        <f t="array" ref="DU219">+INDEX(AX219:BF219,MATCH(DT219,AX219:BF219,1)+1)</f>
        <v>#N/A</v>
      </c>
      <c r="DV219" s="267" t="e">
        <f t="shared" si="175"/>
        <v>#N/A</v>
      </c>
      <c r="DW219" s="267" t="e">
        <f t="shared" si="196"/>
        <v>#N/A</v>
      </c>
      <c r="DX219" s="267" t="e">
        <f t="shared" si="197"/>
        <v>#N/A</v>
      </c>
      <c r="DY219" s="267">
        <f t="shared" si="240"/>
        <v>6.8600000000000008E-2</v>
      </c>
      <c r="DZ219" s="205" t="e">
        <f t="shared" si="239"/>
        <v>#N/A</v>
      </c>
      <c r="EA219" s="205">
        <f t="shared" si="180"/>
        <v>0</v>
      </c>
    </row>
    <row r="220" spans="2:131">
      <c r="B220" s="272">
        <v>45525</v>
      </c>
      <c r="C220" s="271">
        <v>45525</v>
      </c>
      <c r="D220" s="263" t="e">
        <f>+SUMIFS(Tabla6[Nominal COP],Tabla6[Concepto],COSTO_OPORTUNIDAD!$B$18,Tabla6[Nemotécnico],COSTO_OPORTUNIDAD!D$16,Tabla6[Fecha Cumplimiento y/ liquidacion],COSTO_OPORTUNIDAD!$C220)/+SUMIFS(Tabla6[Nominal COP],Tabla6[Concepto],COSTO_OPORTUNIDAD!$B$18,Tabla6[Fecha Cumplimiento y/ liquidacion],COSTO_OPORTUNIDAD!$C220)</f>
        <v>#DIV/0!</v>
      </c>
      <c r="E220" s="263" t="e">
        <f>+SUMIFS(Tabla6[Nominal COP],Tabla6[Concepto],COSTO_OPORTUNIDAD!$B$18,Tabla6[Nemotécnico],COSTO_OPORTUNIDAD!E$16,Tabla6[Fecha Cumplimiento y/ liquidacion],COSTO_OPORTUNIDAD!$C220)/+SUMIFS(Tabla6[Nominal COP],Tabla6[Concepto],COSTO_OPORTUNIDAD!$B$18,Tabla6[Fecha Cumplimiento y/ liquidacion],COSTO_OPORTUNIDAD!$C220)</f>
        <v>#DIV/0!</v>
      </c>
      <c r="F220" s="263"/>
      <c r="G220" s="263"/>
      <c r="H220" s="263">
        <v>0.1</v>
      </c>
      <c r="I220" s="263"/>
      <c r="J220" s="263">
        <v>0.1</v>
      </c>
      <c r="K220" s="263">
        <v>0</v>
      </c>
      <c r="L220" s="263"/>
      <c r="M220" s="263">
        <v>0</v>
      </c>
      <c r="N220" s="263"/>
      <c r="O220" s="263"/>
      <c r="P220" s="263">
        <v>0</v>
      </c>
      <c r="Q220" s="263"/>
      <c r="R220" s="263">
        <v>0</v>
      </c>
      <c r="S220" s="263">
        <v>0.8</v>
      </c>
      <c r="T220" s="263">
        <v>0</v>
      </c>
      <c r="U220" s="263"/>
      <c r="V220" s="263">
        <v>0</v>
      </c>
      <c r="W220" s="263">
        <v>0</v>
      </c>
      <c r="X220" s="263">
        <v>0</v>
      </c>
      <c r="Y220" s="263"/>
      <c r="Z220" s="263">
        <v>0</v>
      </c>
      <c r="AA220" s="263">
        <v>0</v>
      </c>
      <c r="AB220" s="263">
        <v>0</v>
      </c>
      <c r="AC220" s="263"/>
      <c r="AD220" s="263">
        <v>0</v>
      </c>
      <c r="AE220" s="263"/>
      <c r="AF220" s="263"/>
      <c r="AG220" s="262"/>
      <c r="AH220" s="274">
        <f t="shared" si="201"/>
        <v>735</v>
      </c>
      <c r="AI220" s="274">
        <f t="shared" si="202"/>
        <v>1169</v>
      </c>
      <c r="AJ220" s="274">
        <f t="shared" si="203"/>
        <v>1346</v>
      </c>
      <c r="AK220" s="274">
        <f t="shared" si="198"/>
        <v>1827</v>
      </c>
      <c r="AL220" s="274">
        <f t="shared" si="204"/>
        <v>2219</v>
      </c>
      <c r="AM220" s="274">
        <f t="shared" si="205"/>
        <v>2408</v>
      </c>
      <c r="AN220" s="274">
        <f t="shared" si="206"/>
        <v>2870</v>
      </c>
      <c r="AO220" s="274">
        <f t="shared" si="242"/>
        <v>3094</v>
      </c>
      <c r="AP220" s="274">
        <f t="shared" si="207"/>
        <v>3710</v>
      </c>
      <c r="AQ220" s="274"/>
      <c r="AR220" s="274">
        <f t="shared" si="208"/>
        <v>4340</v>
      </c>
      <c r="AS220" s="274">
        <f t="shared" si="199"/>
        <v>5943</v>
      </c>
      <c r="AT220" s="274">
        <f t="shared" si="209"/>
        <v>6489</v>
      </c>
      <c r="AU220" s="274">
        <f t="shared" si="189"/>
        <v>8008</v>
      </c>
      <c r="AV220" s="274">
        <f t="shared" si="210"/>
        <v>9562</v>
      </c>
      <c r="AW220" s="274"/>
      <c r="AX220" s="274">
        <f t="shared" si="211"/>
        <v>259</v>
      </c>
      <c r="AY220" s="274">
        <f t="shared" si="212"/>
        <v>938</v>
      </c>
      <c r="AZ220" s="274">
        <f t="shared" si="213"/>
        <v>1701</v>
      </c>
      <c r="BA220" s="274"/>
      <c r="BB220" s="274">
        <f t="shared" si="214"/>
        <v>3138</v>
      </c>
      <c r="BC220" s="274">
        <f t="shared" si="215"/>
        <v>3878</v>
      </c>
      <c r="BD220" s="274">
        <f t="shared" si="216"/>
        <v>4571</v>
      </c>
      <c r="BE220" s="274"/>
      <c r="BF220" s="274">
        <f t="shared" si="217"/>
        <v>9065</v>
      </c>
      <c r="BG220" s="274"/>
      <c r="BH220" s="274"/>
      <c r="BI220" s="266">
        <f t="shared" si="218"/>
        <v>0</v>
      </c>
      <c r="BJ220" s="266" t="e">
        <f t="shared" si="219"/>
        <v>#DIV/0!</v>
      </c>
      <c r="BK220" s="263" t="str">
        <f t="shared" si="220"/>
        <v/>
      </c>
      <c r="BL220" s="263" t="str">
        <f t="shared" si="221"/>
        <v/>
      </c>
      <c r="BM220" s="263" t="str">
        <f t="shared" si="222"/>
        <v/>
      </c>
      <c r="BN220" s="263"/>
      <c r="BO220" s="263" t="str">
        <f t="shared" si="223"/>
        <v/>
      </c>
      <c r="BP220" s="263" t="str">
        <f t="shared" si="224"/>
        <v/>
      </c>
      <c r="BQ220" s="263" t="str">
        <f t="shared" si="225"/>
        <v/>
      </c>
      <c r="BR220" s="263" t="str">
        <f t="shared" si="226"/>
        <v/>
      </c>
      <c r="BS220" s="263" t="str">
        <f t="shared" si="227"/>
        <v/>
      </c>
      <c r="BT220" s="263" t="str">
        <f t="shared" si="228"/>
        <v/>
      </c>
      <c r="BU220" s="263" t="str">
        <f t="shared" si="229"/>
        <v/>
      </c>
      <c r="BV220" s="263"/>
      <c r="BW220" s="263" t="str">
        <f t="shared" si="230"/>
        <v/>
      </c>
      <c r="BX220" s="263" t="str">
        <f t="shared" si="237"/>
        <v/>
      </c>
      <c r="BY220" s="263" t="str">
        <f t="shared" si="231"/>
        <v/>
      </c>
      <c r="BZ220" s="263"/>
      <c r="CA220" s="263" t="str">
        <f t="shared" si="182"/>
        <v/>
      </c>
      <c r="CB220" s="263" t="str">
        <f t="shared" si="232"/>
        <v/>
      </c>
      <c r="CC220" s="263" t="str">
        <f t="shared" si="183"/>
        <v/>
      </c>
      <c r="CD220" s="263" t="str">
        <f t="shared" si="233"/>
        <v/>
      </c>
      <c r="CE220" s="263" t="str">
        <f t="shared" si="241"/>
        <v/>
      </c>
      <c r="CF220" s="263" t="str">
        <f t="shared" si="184"/>
        <v/>
      </c>
      <c r="CG220" s="263" t="str">
        <f t="shared" si="185"/>
        <v/>
      </c>
      <c r="CH220" s="263"/>
      <c r="CI220" s="263" t="str">
        <f t="shared" si="234"/>
        <v/>
      </c>
      <c r="CJ220" s="263"/>
      <c r="CK220" s="263" t="str">
        <f t="shared" si="235"/>
        <v/>
      </c>
      <c r="CL220" s="264">
        <f t="shared" si="238"/>
        <v>0</v>
      </c>
      <c r="CM220" s="264">
        <f t="shared" si="236"/>
        <v>0</v>
      </c>
      <c r="CO220" s="265">
        <v>8.3729999999999999E-2</v>
      </c>
      <c r="CP220" s="265">
        <v>8.9499999999999996E-2</v>
      </c>
      <c r="CQ220" s="265">
        <v>9.1300000000000006E-2</v>
      </c>
      <c r="CS220" s="265">
        <v>9.484999999999999E-2</v>
      </c>
      <c r="CT220" s="265">
        <v>9.6600000000000005E-2</v>
      </c>
      <c r="CU220" s="265">
        <v>9.8299999999999998E-2</v>
      </c>
      <c r="CV220" s="265">
        <v>0.10018000000000001</v>
      </c>
      <c r="CW220" s="265">
        <v>0.10138999999999999</v>
      </c>
      <c r="CY220" s="265">
        <v>0.10400000000000001</v>
      </c>
      <c r="DA220" s="265">
        <v>0.10967</v>
      </c>
      <c r="DB220" s="265">
        <v>0.11284000000000001</v>
      </c>
      <c r="DC220" s="265">
        <v>0.11115</v>
      </c>
      <c r="DE220" s="265">
        <v>4.7220000000000005E-2</v>
      </c>
      <c r="DF220" s="265">
        <v>4.9149999999999999E-2</v>
      </c>
      <c r="DH220" s="265">
        <v>5.0599999999999999E-2</v>
      </c>
      <c r="DI220" s="265">
        <v>5.16E-2</v>
      </c>
      <c r="DJ220" s="265">
        <v>5.2900000000000003E-2</v>
      </c>
      <c r="DL220" s="265">
        <v>5.0199999999999995E-2</v>
      </c>
      <c r="DO220" s="264" t="e">
        <f t="shared" si="191"/>
        <v>#N/A</v>
      </c>
      <c r="DP220" s="264" t="e" cm="1">
        <f t="array" ref="DP220">+INDEX(AH220:AV220,MATCH(DO220,AH220:AV220,1)+1)</f>
        <v>#N/A</v>
      </c>
      <c r="DQ220" s="265" t="e">
        <f t="shared" si="192"/>
        <v>#N/A</v>
      </c>
      <c r="DR220" s="267" t="e">
        <f t="shared" si="193"/>
        <v>#N/A</v>
      </c>
      <c r="DS220" s="267" t="e">
        <f t="shared" si="194"/>
        <v>#N/A</v>
      </c>
      <c r="DT220" s="268" t="e">
        <f t="shared" si="195"/>
        <v>#N/A</v>
      </c>
      <c r="DU220" s="268" t="e" cm="1">
        <f t="array" ref="DU220">+INDEX(AX220:BF220,MATCH(DT220,AX220:BF220,1)+1)</f>
        <v>#N/A</v>
      </c>
      <c r="DV220" s="267" t="e">
        <f t="shared" si="175"/>
        <v>#N/A</v>
      </c>
      <c r="DW220" s="267" t="e">
        <f t="shared" si="196"/>
        <v>#N/A</v>
      </c>
      <c r="DX220" s="267" t="e">
        <f t="shared" si="197"/>
        <v>#N/A</v>
      </c>
      <c r="DY220" s="267">
        <f t="shared" si="240"/>
        <v>6.8600000000000008E-2</v>
      </c>
      <c r="DZ220" s="205" t="e">
        <f t="shared" si="239"/>
        <v>#N/A</v>
      </c>
      <c r="EA220" s="205">
        <f t="shared" si="180"/>
        <v>0</v>
      </c>
    </row>
    <row r="221" spans="2:131">
      <c r="B221" s="272">
        <v>45526</v>
      </c>
      <c r="C221" s="271">
        <v>45526</v>
      </c>
      <c r="D221" s="263" t="e">
        <f>+SUMIFS(Tabla6[Nominal COP],Tabla6[Concepto],COSTO_OPORTUNIDAD!$B$18,Tabla6[Nemotécnico],COSTO_OPORTUNIDAD!D$16,Tabla6[Fecha Cumplimiento y/ liquidacion],COSTO_OPORTUNIDAD!$C221)/+SUMIFS(Tabla6[Nominal COP],Tabla6[Concepto],COSTO_OPORTUNIDAD!$B$18,Tabla6[Fecha Cumplimiento y/ liquidacion],COSTO_OPORTUNIDAD!$C221)</f>
        <v>#DIV/0!</v>
      </c>
      <c r="E221" s="263" t="e">
        <f>+SUMIFS(Tabla6[Nominal COP],Tabla6[Concepto],COSTO_OPORTUNIDAD!$B$18,Tabla6[Nemotécnico],COSTO_OPORTUNIDAD!E$16,Tabla6[Fecha Cumplimiento y/ liquidacion],COSTO_OPORTUNIDAD!$C221)/+SUMIFS(Tabla6[Nominal COP],Tabla6[Concepto],COSTO_OPORTUNIDAD!$B$18,Tabla6[Fecha Cumplimiento y/ liquidacion],COSTO_OPORTUNIDAD!$C221)</f>
        <v>#DIV/0!</v>
      </c>
      <c r="F221" s="263"/>
      <c r="G221" s="263"/>
      <c r="H221" s="263">
        <v>0.1</v>
      </c>
      <c r="I221" s="263"/>
      <c r="J221" s="263">
        <v>0.1</v>
      </c>
      <c r="K221" s="263">
        <v>0</v>
      </c>
      <c r="L221" s="263"/>
      <c r="M221" s="263">
        <v>0</v>
      </c>
      <c r="N221" s="263"/>
      <c r="O221" s="263"/>
      <c r="P221" s="263">
        <v>0</v>
      </c>
      <c r="Q221" s="263"/>
      <c r="R221" s="263">
        <v>0</v>
      </c>
      <c r="S221" s="263">
        <v>0.8</v>
      </c>
      <c r="T221" s="263">
        <v>0</v>
      </c>
      <c r="U221" s="263"/>
      <c r="V221" s="263">
        <v>0</v>
      </c>
      <c r="W221" s="263">
        <v>0</v>
      </c>
      <c r="X221" s="263">
        <v>0</v>
      </c>
      <c r="Y221" s="263"/>
      <c r="Z221" s="263">
        <v>0</v>
      </c>
      <c r="AA221" s="263">
        <v>0</v>
      </c>
      <c r="AB221" s="263">
        <v>0</v>
      </c>
      <c r="AC221" s="263"/>
      <c r="AD221" s="263">
        <v>0</v>
      </c>
      <c r="AE221" s="263"/>
      <c r="AF221" s="263"/>
      <c r="AG221" s="262"/>
      <c r="AH221" s="274">
        <f t="shared" si="201"/>
        <v>734</v>
      </c>
      <c r="AI221" s="274">
        <f t="shared" si="202"/>
        <v>1168</v>
      </c>
      <c r="AJ221" s="274">
        <f t="shared" si="203"/>
        <v>1345</v>
      </c>
      <c r="AK221" s="274">
        <f t="shared" si="198"/>
        <v>1826</v>
      </c>
      <c r="AL221" s="274">
        <f t="shared" si="204"/>
        <v>2218</v>
      </c>
      <c r="AM221" s="274">
        <f t="shared" si="205"/>
        <v>2407</v>
      </c>
      <c r="AN221" s="274">
        <f t="shared" si="206"/>
        <v>2869</v>
      </c>
      <c r="AO221" s="274">
        <f t="shared" si="242"/>
        <v>3093</v>
      </c>
      <c r="AP221" s="274">
        <f t="shared" si="207"/>
        <v>3709</v>
      </c>
      <c r="AQ221" s="274"/>
      <c r="AR221" s="274">
        <f t="shared" si="208"/>
        <v>4339</v>
      </c>
      <c r="AS221" s="274">
        <f t="shared" si="199"/>
        <v>5942</v>
      </c>
      <c r="AT221" s="274">
        <f t="shared" si="209"/>
        <v>6488</v>
      </c>
      <c r="AU221" s="274">
        <f t="shared" ref="AU221:AU255" si="243">(S$17-$B221)</f>
        <v>8007</v>
      </c>
      <c r="AV221" s="274">
        <f t="shared" si="210"/>
        <v>9561</v>
      </c>
      <c r="AW221" s="274"/>
      <c r="AX221" s="274">
        <f t="shared" si="211"/>
        <v>258</v>
      </c>
      <c r="AY221" s="274">
        <f t="shared" si="212"/>
        <v>937</v>
      </c>
      <c r="AZ221" s="274">
        <f t="shared" si="213"/>
        <v>1700</v>
      </c>
      <c r="BA221" s="274"/>
      <c r="BB221" s="274">
        <f t="shared" si="214"/>
        <v>3137</v>
      </c>
      <c r="BC221" s="274">
        <f t="shared" si="215"/>
        <v>3877</v>
      </c>
      <c r="BD221" s="274">
        <f t="shared" si="216"/>
        <v>4570</v>
      </c>
      <c r="BE221" s="274"/>
      <c r="BF221" s="274">
        <f t="shared" si="217"/>
        <v>9064</v>
      </c>
      <c r="BG221" s="274"/>
      <c r="BH221" s="274"/>
      <c r="BI221" s="266">
        <f t="shared" si="218"/>
        <v>0</v>
      </c>
      <c r="BJ221" s="266" t="e">
        <f t="shared" si="219"/>
        <v>#DIV/0!</v>
      </c>
      <c r="BK221" s="263" t="str">
        <f t="shared" si="220"/>
        <v/>
      </c>
      <c r="BL221" s="263" t="str">
        <f t="shared" si="221"/>
        <v/>
      </c>
      <c r="BM221" s="263" t="str">
        <f t="shared" si="222"/>
        <v/>
      </c>
      <c r="BN221" s="263"/>
      <c r="BO221" s="263" t="str">
        <f t="shared" si="223"/>
        <v/>
      </c>
      <c r="BP221" s="263" t="str">
        <f t="shared" si="224"/>
        <v/>
      </c>
      <c r="BQ221" s="263" t="str">
        <f t="shared" si="225"/>
        <v/>
      </c>
      <c r="BR221" s="263" t="str">
        <f t="shared" si="226"/>
        <v/>
      </c>
      <c r="BS221" s="263" t="str">
        <f t="shared" si="227"/>
        <v/>
      </c>
      <c r="BT221" s="263" t="str">
        <f t="shared" si="228"/>
        <v/>
      </c>
      <c r="BU221" s="263" t="str">
        <f t="shared" si="229"/>
        <v/>
      </c>
      <c r="BV221" s="263"/>
      <c r="BW221" s="263" t="str">
        <f t="shared" si="230"/>
        <v/>
      </c>
      <c r="BX221" s="263" t="str">
        <f t="shared" si="237"/>
        <v/>
      </c>
      <c r="BY221" s="263" t="str">
        <f t="shared" si="231"/>
        <v/>
      </c>
      <c r="BZ221" s="263"/>
      <c r="CA221" s="263" t="str">
        <f t="shared" si="182"/>
        <v/>
      </c>
      <c r="CB221" s="263" t="str">
        <f t="shared" si="232"/>
        <v/>
      </c>
      <c r="CC221" s="263" t="str">
        <f t="shared" si="183"/>
        <v/>
      </c>
      <c r="CD221" s="263" t="str">
        <f t="shared" si="233"/>
        <v/>
      </c>
      <c r="CE221" s="263" t="str">
        <f t="shared" si="241"/>
        <v/>
      </c>
      <c r="CF221" s="263" t="str">
        <f t="shared" si="184"/>
        <v/>
      </c>
      <c r="CG221" s="263" t="str">
        <f t="shared" si="185"/>
        <v/>
      </c>
      <c r="CH221" s="263"/>
      <c r="CI221" s="263" t="str">
        <f t="shared" si="234"/>
        <v/>
      </c>
      <c r="CJ221" s="263"/>
      <c r="CK221" s="263" t="str">
        <f t="shared" si="235"/>
        <v/>
      </c>
      <c r="CL221" s="264">
        <f t="shared" si="238"/>
        <v>0</v>
      </c>
      <c r="CM221" s="264">
        <f t="shared" si="236"/>
        <v>0</v>
      </c>
      <c r="CO221" s="265">
        <v>8.448E-2</v>
      </c>
      <c r="CP221" s="265">
        <v>9.0500000000000011E-2</v>
      </c>
      <c r="CQ221" s="265">
        <v>9.221E-2</v>
      </c>
      <c r="CS221" s="265">
        <v>9.5860000000000001E-2</v>
      </c>
      <c r="CT221" s="265">
        <v>9.7349999999999992E-2</v>
      </c>
      <c r="CU221" s="265">
        <v>9.917999999999999E-2</v>
      </c>
      <c r="CV221" s="265">
        <v>0.10095000000000001</v>
      </c>
      <c r="CW221" s="265">
        <v>0.10220000000000001</v>
      </c>
      <c r="CY221" s="265">
        <v>0.1047</v>
      </c>
      <c r="DA221" s="265">
        <v>0.11009000000000001</v>
      </c>
      <c r="DB221" s="265">
        <v>0.113</v>
      </c>
      <c r="DC221" s="265">
        <v>0.1115</v>
      </c>
      <c r="DE221" s="265">
        <v>4.7990000000000005E-2</v>
      </c>
      <c r="DF221" s="265">
        <v>5.0189999999999999E-2</v>
      </c>
      <c r="DH221" s="265">
        <v>5.067E-2</v>
      </c>
      <c r="DI221" s="265">
        <v>5.219E-2</v>
      </c>
      <c r="DJ221" s="265">
        <v>5.296E-2</v>
      </c>
      <c r="DL221" s="265">
        <v>5.0730000000000004E-2</v>
      </c>
      <c r="DO221" s="264" t="e">
        <f t="shared" si="191"/>
        <v>#N/A</v>
      </c>
      <c r="DP221" s="264" t="e" cm="1">
        <f t="array" ref="DP221">+INDEX(AH221:AV221,MATCH(DO221,AH221:AV221,1)+1)</f>
        <v>#N/A</v>
      </c>
      <c r="DQ221" s="265" t="e">
        <f t="shared" si="192"/>
        <v>#N/A</v>
      </c>
      <c r="DR221" s="267" t="e">
        <f t="shared" si="193"/>
        <v>#N/A</v>
      </c>
      <c r="DS221" s="267" t="e">
        <f t="shared" si="194"/>
        <v>#N/A</v>
      </c>
      <c r="DT221" s="268" t="e">
        <f t="shared" si="195"/>
        <v>#N/A</v>
      </c>
      <c r="DU221" s="268" t="e" cm="1">
        <f t="array" ref="DU221">+INDEX(AX221:BF221,MATCH(DT221,AX221:BF221,1)+1)</f>
        <v>#N/A</v>
      </c>
      <c r="DV221" s="267" t="e">
        <f t="shared" si="175"/>
        <v>#N/A</v>
      </c>
      <c r="DW221" s="267" t="e">
        <f t="shared" si="196"/>
        <v>#N/A</v>
      </c>
      <c r="DX221" s="267" t="e">
        <f t="shared" si="197"/>
        <v>#N/A</v>
      </c>
      <c r="DY221" s="267">
        <f t="shared" si="240"/>
        <v>6.8600000000000008E-2</v>
      </c>
      <c r="DZ221" s="205" t="e">
        <f t="shared" si="239"/>
        <v>#N/A</v>
      </c>
      <c r="EA221" s="205">
        <f t="shared" si="180"/>
        <v>0</v>
      </c>
    </row>
    <row r="222" spans="2:131">
      <c r="B222" s="272">
        <v>45530</v>
      </c>
      <c r="C222" s="271">
        <v>45530</v>
      </c>
      <c r="D222" s="263" t="e">
        <f>+SUMIFS(Tabla6[Nominal COP],Tabla6[Concepto],COSTO_OPORTUNIDAD!$B$18,Tabla6[Nemotécnico],COSTO_OPORTUNIDAD!D$16,Tabla6[Fecha Cumplimiento y/ liquidacion],COSTO_OPORTUNIDAD!$C222)/+SUMIFS(Tabla6[Nominal COP],Tabla6[Concepto],COSTO_OPORTUNIDAD!$B$18,Tabla6[Fecha Cumplimiento y/ liquidacion],COSTO_OPORTUNIDAD!$C222)</f>
        <v>#DIV/0!</v>
      </c>
      <c r="E222" s="263" t="e">
        <f>+SUMIFS(Tabla6[Nominal COP],Tabla6[Concepto],COSTO_OPORTUNIDAD!$B$18,Tabla6[Nemotécnico],COSTO_OPORTUNIDAD!E$16,Tabla6[Fecha Cumplimiento y/ liquidacion],COSTO_OPORTUNIDAD!$C222)/+SUMIFS(Tabla6[Nominal COP],Tabla6[Concepto],COSTO_OPORTUNIDAD!$B$18,Tabla6[Fecha Cumplimiento y/ liquidacion],COSTO_OPORTUNIDAD!$C222)</f>
        <v>#DIV/0!</v>
      </c>
      <c r="F222" s="263"/>
      <c r="G222" s="263"/>
      <c r="H222" s="263">
        <v>0.1</v>
      </c>
      <c r="I222" s="263"/>
      <c r="J222" s="263">
        <v>0.1</v>
      </c>
      <c r="K222" s="263">
        <v>0</v>
      </c>
      <c r="L222" s="263"/>
      <c r="M222" s="263">
        <v>0</v>
      </c>
      <c r="N222" s="263"/>
      <c r="O222" s="263"/>
      <c r="P222" s="263">
        <v>0</v>
      </c>
      <c r="Q222" s="263"/>
      <c r="R222" s="263">
        <v>0</v>
      </c>
      <c r="S222" s="263">
        <v>0.8</v>
      </c>
      <c r="T222" s="263">
        <v>0</v>
      </c>
      <c r="U222" s="263"/>
      <c r="V222" s="263">
        <v>0</v>
      </c>
      <c r="W222" s="263">
        <v>0</v>
      </c>
      <c r="X222" s="263">
        <v>0</v>
      </c>
      <c r="Y222" s="263"/>
      <c r="Z222" s="263">
        <v>0</v>
      </c>
      <c r="AA222" s="263">
        <v>0</v>
      </c>
      <c r="AB222" s="263">
        <v>0</v>
      </c>
      <c r="AC222" s="263"/>
      <c r="AD222" s="263">
        <v>0</v>
      </c>
      <c r="AE222" s="263"/>
      <c r="AF222" s="263"/>
      <c r="AG222" s="262"/>
      <c r="AH222" s="274">
        <f t="shared" si="201"/>
        <v>730</v>
      </c>
      <c r="AI222" s="274">
        <f t="shared" si="202"/>
        <v>1164</v>
      </c>
      <c r="AJ222" s="274">
        <f t="shared" si="203"/>
        <v>1341</v>
      </c>
      <c r="AK222" s="274">
        <f t="shared" si="198"/>
        <v>1822</v>
      </c>
      <c r="AL222" s="274">
        <f t="shared" si="204"/>
        <v>2214</v>
      </c>
      <c r="AM222" s="274">
        <f t="shared" si="205"/>
        <v>2403</v>
      </c>
      <c r="AN222" s="274">
        <f t="shared" si="206"/>
        <v>2865</v>
      </c>
      <c r="AO222" s="274">
        <f t="shared" si="242"/>
        <v>3089</v>
      </c>
      <c r="AP222" s="274">
        <f t="shared" si="207"/>
        <v>3705</v>
      </c>
      <c r="AQ222" s="274"/>
      <c r="AR222" s="274">
        <f t="shared" si="208"/>
        <v>4335</v>
      </c>
      <c r="AS222" s="274">
        <f t="shared" si="199"/>
        <v>5938</v>
      </c>
      <c r="AT222" s="274">
        <f t="shared" si="209"/>
        <v>6484</v>
      </c>
      <c r="AU222" s="274">
        <f t="shared" si="243"/>
        <v>8003</v>
      </c>
      <c r="AV222" s="274">
        <f t="shared" si="210"/>
        <v>9557</v>
      </c>
      <c r="AW222" s="274"/>
      <c r="AX222" s="274">
        <f t="shared" si="211"/>
        <v>254</v>
      </c>
      <c r="AY222" s="274">
        <f t="shared" si="212"/>
        <v>933</v>
      </c>
      <c r="AZ222" s="274">
        <f t="shared" si="213"/>
        <v>1696</v>
      </c>
      <c r="BA222" s="274"/>
      <c r="BB222" s="274">
        <f t="shared" si="214"/>
        <v>3133</v>
      </c>
      <c r="BC222" s="274">
        <f t="shared" si="215"/>
        <v>3873</v>
      </c>
      <c r="BD222" s="274">
        <f t="shared" si="216"/>
        <v>4566</v>
      </c>
      <c r="BE222" s="274"/>
      <c r="BF222" s="274">
        <f t="shared" si="217"/>
        <v>9060</v>
      </c>
      <c r="BG222" s="274"/>
      <c r="BH222" s="274"/>
      <c r="BI222" s="266">
        <f t="shared" si="218"/>
        <v>0</v>
      </c>
      <c r="BJ222" s="266" t="e">
        <f t="shared" si="219"/>
        <v>#DIV/0!</v>
      </c>
      <c r="BK222" s="263" t="str">
        <f t="shared" si="220"/>
        <v/>
      </c>
      <c r="BL222" s="263" t="str">
        <f t="shared" si="221"/>
        <v/>
      </c>
      <c r="BM222" s="263" t="str">
        <f t="shared" si="222"/>
        <v/>
      </c>
      <c r="BN222" s="263"/>
      <c r="BO222" s="263" t="str">
        <f t="shared" si="223"/>
        <v/>
      </c>
      <c r="BP222" s="263" t="str">
        <f t="shared" si="224"/>
        <v/>
      </c>
      <c r="BQ222" s="263" t="str">
        <f t="shared" si="225"/>
        <v/>
      </c>
      <c r="BR222" s="263" t="str">
        <f t="shared" si="226"/>
        <v/>
      </c>
      <c r="BS222" s="263" t="str">
        <f t="shared" si="227"/>
        <v/>
      </c>
      <c r="BT222" s="263" t="str">
        <f t="shared" si="228"/>
        <v/>
      </c>
      <c r="BU222" s="263" t="str">
        <f t="shared" si="229"/>
        <v/>
      </c>
      <c r="BV222" s="263"/>
      <c r="BW222" s="263" t="str">
        <f t="shared" si="230"/>
        <v/>
      </c>
      <c r="BX222" s="263" t="str">
        <f t="shared" si="237"/>
        <v/>
      </c>
      <c r="BY222" s="263" t="str">
        <f t="shared" si="231"/>
        <v/>
      </c>
      <c r="BZ222" s="263"/>
      <c r="CA222" s="263" t="str">
        <f t="shared" si="182"/>
        <v/>
      </c>
      <c r="CB222" s="263" t="str">
        <f t="shared" si="232"/>
        <v/>
      </c>
      <c r="CC222" s="263" t="str">
        <f t="shared" si="183"/>
        <v/>
      </c>
      <c r="CD222" s="263" t="str">
        <f t="shared" si="233"/>
        <v/>
      </c>
      <c r="CE222" s="263" t="str">
        <f t="shared" si="241"/>
        <v/>
      </c>
      <c r="CF222" s="263" t="str">
        <f t="shared" si="184"/>
        <v/>
      </c>
      <c r="CG222" s="263" t="str">
        <f t="shared" si="185"/>
        <v/>
      </c>
      <c r="CH222" s="263"/>
      <c r="CI222" s="263" t="str">
        <f t="shared" si="234"/>
        <v/>
      </c>
      <c r="CJ222" s="263"/>
      <c r="CK222" s="263" t="str">
        <f t="shared" si="235"/>
        <v/>
      </c>
      <c r="CL222" s="264">
        <f t="shared" si="238"/>
        <v>0</v>
      </c>
      <c r="CM222" s="264">
        <f t="shared" si="236"/>
        <v>0</v>
      </c>
      <c r="CO222" s="265">
        <v>8.3800000000000013E-2</v>
      </c>
      <c r="CP222" s="265">
        <v>8.925000000000001E-2</v>
      </c>
      <c r="CQ222" s="265">
        <v>9.1420000000000001E-2</v>
      </c>
      <c r="CS222" s="265">
        <v>9.4689999999999996E-2</v>
      </c>
      <c r="CT222" s="265">
        <v>9.6199999999999994E-2</v>
      </c>
      <c r="CU222" s="265">
        <v>9.8000000000000004E-2</v>
      </c>
      <c r="CV222" s="265">
        <v>9.8970000000000002E-2</v>
      </c>
      <c r="CW222" s="265">
        <v>0.10076</v>
      </c>
      <c r="CY222" s="265">
        <v>0.10348</v>
      </c>
      <c r="DA222" s="265">
        <v>0.10859999999999999</v>
      </c>
      <c r="DB222" s="265">
        <v>0.11202999999999999</v>
      </c>
      <c r="DC222" s="265">
        <v>0.10980000000000001</v>
      </c>
      <c r="DE222" s="265">
        <v>4.6890000000000001E-2</v>
      </c>
      <c r="DF222" s="265">
        <v>4.8989999999999999E-2</v>
      </c>
      <c r="DH222" s="265">
        <v>4.9000000000000002E-2</v>
      </c>
      <c r="DI222" s="265">
        <v>5.0450000000000002E-2</v>
      </c>
      <c r="DJ222" s="265">
        <v>5.1319999999999998E-2</v>
      </c>
      <c r="DL222" s="265">
        <v>4.9100000000000005E-2</v>
      </c>
      <c r="DO222" s="264" t="e">
        <f t="shared" si="191"/>
        <v>#N/A</v>
      </c>
      <c r="DP222" s="264" t="e" cm="1">
        <f t="array" ref="DP222">+INDEX(AH222:AV222,MATCH(DO222,AH222:AV222,1)+1)</f>
        <v>#N/A</v>
      </c>
      <c r="DQ222" s="265" t="e">
        <f t="shared" si="192"/>
        <v>#N/A</v>
      </c>
      <c r="DR222" s="267" t="e">
        <f t="shared" si="193"/>
        <v>#N/A</v>
      </c>
      <c r="DS222" s="267" t="e">
        <f t="shared" si="194"/>
        <v>#N/A</v>
      </c>
      <c r="DT222" s="268" t="e">
        <f t="shared" si="195"/>
        <v>#N/A</v>
      </c>
      <c r="DU222" s="268" t="e" cm="1">
        <f t="array" ref="DU222">+INDEX(AX222:BF222,MATCH(DT222,AX222:BF222,1)+1)</f>
        <v>#N/A</v>
      </c>
      <c r="DV222" s="267" t="e">
        <f t="shared" si="175"/>
        <v>#N/A</v>
      </c>
      <c r="DW222" s="267" t="e">
        <f t="shared" si="196"/>
        <v>#N/A</v>
      </c>
      <c r="DX222" s="267" t="e">
        <f t="shared" si="197"/>
        <v>#N/A</v>
      </c>
      <c r="DY222" s="267">
        <f t="shared" si="240"/>
        <v>6.8600000000000008E-2</v>
      </c>
      <c r="DZ222" s="205" t="e">
        <f t="shared" si="239"/>
        <v>#N/A</v>
      </c>
      <c r="EA222" s="205">
        <f t="shared" si="180"/>
        <v>0</v>
      </c>
    </row>
    <row r="223" spans="2:131">
      <c r="B223" s="272">
        <v>45531</v>
      </c>
      <c r="C223" s="271">
        <v>45531</v>
      </c>
      <c r="D223" s="263" t="e">
        <f>+SUMIFS(Tabla6[Nominal COP],Tabla6[Concepto],COSTO_OPORTUNIDAD!$B$18,Tabla6[Nemotécnico],COSTO_OPORTUNIDAD!D$16,Tabla6[Fecha Cumplimiento y/ liquidacion],COSTO_OPORTUNIDAD!$C223)/+SUMIFS(Tabla6[Nominal COP],Tabla6[Concepto],COSTO_OPORTUNIDAD!$B$18,Tabla6[Fecha Cumplimiento y/ liquidacion],COSTO_OPORTUNIDAD!$C223)</f>
        <v>#DIV/0!</v>
      </c>
      <c r="E223" s="263" t="e">
        <f>+SUMIFS(Tabla6[Nominal COP],Tabla6[Concepto],COSTO_OPORTUNIDAD!$B$18,Tabla6[Nemotécnico],COSTO_OPORTUNIDAD!E$16,Tabla6[Fecha Cumplimiento y/ liquidacion],COSTO_OPORTUNIDAD!$C223)/+SUMIFS(Tabla6[Nominal COP],Tabla6[Concepto],COSTO_OPORTUNIDAD!$B$18,Tabla6[Fecha Cumplimiento y/ liquidacion],COSTO_OPORTUNIDAD!$C223)</f>
        <v>#DIV/0!</v>
      </c>
      <c r="F223" s="263"/>
      <c r="G223" s="263"/>
      <c r="H223" s="263">
        <v>8.7837837837837843E-2</v>
      </c>
      <c r="I223" s="263"/>
      <c r="J223" s="263">
        <v>0.10135135135135136</v>
      </c>
      <c r="K223" s="263">
        <v>0</v>
      </c>
      <c r="L223" s="263"/>
      <c r="M223" s="263">
        <v>0</v>
      </c>
      <c r="N223" s="263"/>
      <c r="O223" s="263"/>
      <c r="P223" s="263">
        <v>0</v>
      </c>
      <c r="Q223" s="263"/>
      <c r="R223" s="263">
        <v>0</v>
      </c>
      <c r="S223" s="263">
        <v>0.81081081081081086</v>
      </c>
      <c r="T223" s="263">
        <v>0</v>
      </c>
      <c r="U223" s="263"/>
      <c r="V223" s="263">
        <v>0</v>
      </c>
      <c r="W223" s="263">
        <v>0</v>
      </c>
      <c r="X223" s="263">
        <v>0</v>
      </c>
      <c r="Y223" s="263"/>
      <c r="Z223" s="263">
        <v>0</v>
      </c>
      <c r="AA223" s="263">
        <v>0</v>
      </c>
      <c r="AB223" s="263">
        <v>0</v>
      </c>
      <c r="AC223" s="263"/>
      <c r="AD223" s="263">
        <v>0</v>
      </c>
      <c r="AE223" s="263"/>
      <c r="AF223" s="263"/>
      <c r="AG223" s="262"/>
      <c r="AH223" s="274">
        <f t="shared" si="201"/>
        <v>729</v>
      </c>
      <c r="AI223" s="274">
        <f t="shared" si="202"/>
        <v>1163</v>
      </c>
      <c r="AJ223" s="274">
        <f t="shared" si="203"/>
        <v>1340</v>
      </c>
      <c r="AK223" s="274">
        <f t="shared" si="198"/>
        <v>1821</v>
      </c>
      <c r="AL223" s="274">
        <f t="shared" si="204"/>
        <v>2213</v>
      </c>
      <c r="AM223" s="274">
        <f t="shared" si="205"/>
        <v>2402</v>
      </c>
      <c r="AN223" s="274">
        <f t="shared" si="206"/>
        <v>2864</v>
      </c>
      <c r="AO223" s="274">
        <f t="shared" si="242"/>
        <v>3088</v>
      </c>
      <c r="AP223" s="274">
        <f t="shared" si="207"/>
        <v>3704</v>
      </c>
      <c r="AQ223" s="274"/>
      <c r="AR223" s="274">
        <f t="shared" si="208"/>
        <v>4334</v>
      </c>
      <c r="AS223" s="274">
        <f t="shared" si="199"/>
        <v>5937</v>
      </c>
      <c r="AT223" s="274">
        <f t="shared" si="209"/>
        <v>6483</v>
      </c>
      <c r="AU223" s="274">
        <f t="shared" si="243"/>
        <v>8002</v>
      </c>
      <c r="AV223" s="274">
        <f t="shared" si="210"/>
        <v>9556</v>
      </c>
      <c r="AW223" s="274"/>
      <c r="AX223" s="274">
        <f t="shared" si="211"/>
        <v>253</v>
      </c>
      <c r="AY223" s="274">
        <f t="shared" si="212"/>
        <v>932</v>
      </c>
      <c r="AZ223" s="274">
        <f t="shared" si="213"/>
        <v>1695</v>
      </c>
      <c r="BA223" s="274"/>
      <c r="BB223" s="274">
        <f t="shared" si="214"/>
        <v>3132</v>
      </c>
      <c r="BC223" s="274">
        <f t="shared" si="215"/>
        <v>3872</v>
      </c>
      <c r="BD223" s="274">
        <f t="shared" si="216"/>
        <v>4565</v>
      </c>
      <c r="BE223" s="274"/>
      <c r="BF223" s="274">
        <f t="shared" si="217"/>
        <v>9059</v>
      </c>
      <c r="BG223" s="274"/>
      <c r="BH223" s="274"/>
      <c r="BI223" s="266">
        <f t="shared" si="218"/>
        <v>0</v>
      </c>
      <c r="BJ223" s="266" t="e">
        <f t="shared" si="219"/>
        <v>#DIV/0!</v>
      </c>
      <c r="BK223" s="263" t="str">
        <f t="shared" si="220"/>
        <v/>
      </c>
      <c r="BL223" s="263" t="str">
        <f t="shared" si="221"/>
        <v/>
      </c>
      <c r="BM223" s="263" t="str">
        <f t="shared" si="222"/>
        <v/>
      </c>
      <c r="BN223" s="263"/>
      <c r="BO223" s="263" t="str">
        <f t="shared" si="223"/>
        <v/>
      </c>
      <c r="BP223" s="263" t="str">
        <f t="shared" si="224"/>
        <v/>
      </c>
      <c r="BQ223" s="263" t="str">
        <f t="shared" si="225"/>
        <v/>
      </c>
      <c r="BR223" s="263" t="str">
        <f t="shared" si="226"/>
        <v/>
      </c>
      <c r="BS223" s="263" t="str">
        <f t="shared" si="227"/>
        <v/>
      </c>
      <c r="BT223" s="263" t="str">
        <f t="shared" si="228"/>
        <v/>
      </c>
      <c r="BU223" s="263" t="str">
        <f t="shared" si="229"/>
        <v/>
      </c>
      <c r="BV223" s="263"/>
      <c r="BW223" s="263" t="str">
        <f t="shared" si="230"/>
        <v/>
      </c>
      <c r="BX223" s="263" t="str">
        <f t="shared" si="237"/>
        <v/>
      </c>
      <c r="BY223" s="263" t="str">
        <f t="shared" si="231"/>
        <v/>
      </c>
      <c r="BZ223" s="263"/>
      <c r="CA223" s="263" t="str">
        <f t="shared" si="182"/>
        <v/>
      </c>
      <c r="CB223" s="263" t="str">
        <f t="shared" si="232"/>
        <v/>
      </c>
      <c r="CC223" s="263" t="str">
        <f t="shared" si="183"/>
        <v/>
      </c>
      <c r="CD223" s="263" t="str">
        <f t="shared" si="233"/>
        <v/>
      </c>
      <c r="CE223" s="263" t="str">
        <f t="shared" si="241"/>
        <v/>
      </c>
      <c r="CF223" s="263" t="str">
        <f t="shared" si="184"/>
        <v/>
      </c>
      <c r="CG223" s="263" t="str">
        <f t="shared" si="185"/>
        <v/>
      </c>
      <c r="CH223" s="263"/>
      <c r="CI223" s="263" t="str">
        <f t="shared" si="234"/>
        <v/>
      </c>
      <c r="CJ223" s="263"/>
      <c r="CK223" s="263" t="str">
        <f t="shared" si="235"/>
        <v/>
      </c>
      <c r="CL223" s="264">
        <f t="shared" si="238"/>
        <v>0</v>
      </c>
      <c r="CM223" s="264">
        <f t="shared" si="236"/>
        <v>0</v>
      </c>
      <c r="CO223" s="265">
        <v>8.3690000000000001E-2</v>
      </c>
      <c r="CP223" s="265">
        <v>8.9220000000000008E-2</v>
      </c>
      <c r="CQ223" s="265">
        <v>9.1170000000000015E-2</v>
      </c>
      <c r="CS223" s="265">
        <v>9.4649999999999998E-2</v>
      </c>
      <c r="CT223" s="265">
        <v>9.6000000000000002E-2</v>
      </c>
      <c r="CU223" s="265">
        <v>9.826E-2</v>
      </c>
      <c r="CV223" s="265">
        <v>9.9410000000000012E-2</v>
      </c>
      <c r="CW223" s="265">
        <v>0.10093000000000001</v>
      </c>
      <c r="CY223" s="265">
        <v>0.10346</v>
      </c>
      <c r="DA223" s="265">
        <v>0.1084</v>
      </c>
      <c r="DB223" s="265">
        <v>0.11201999999999999</v>
      </c>
      <c r="DC223" s="265">
        <v>0.10954999999999999</v>
      </c>
      <c r="DE223" s="265">
        <v>4.6550000000000001E-2</v>
      </c>
      <c r="DF223" s="265">
        <v>4.8649999999999999E-2</v>
      </c>
      <c r="DH223" s="265">
        <v>4.8499999999999995E-2</v>
      </c>
      <c r="DI223" s="265">
        <v>5.0199999999999995E-2</v>
      </c>
      <c r="DJ223" s="265">
        <v>5.0919999999999993E-2</v>
      </c>
      <c r="DL223" s="265">
        <v>4.8669999999999998E-2</v>
      </c>
      <c r="DO223" s="264" t="e">
        <f t="shared" si="191"/>
        <v>#N/A</v>
      </c>
      <c r="DP223" s="264" t="e" cm="1">
        <f t="array" ref="DP223">+INDEX(AH223:AV223,MATCH(DO223,AH223:AV223,1)+1)</f>
        <v>#N/A</v>
      </c>
      <c r="DQ223" s="265" t="e">
        <f t="shared" si="192"/>
        <v>#N/A</v>
      </c>
      <c r="DR223" s="267" t="e">
        <f t="shared" si="193"/>
        <v>#N/A</v>
      </c>
      <c r="DS223" s="267" t="e">
        <f t="shared" si="194"/>
        <v>#N/A</v>
      </c>
      <c r="DT223" s="268" t="e">
        <f t="shared" si="195"/>
        <v>#N/A</v>
      </c>
      <c r="DU223" s="268" t="e" cm="1">
        <f t="array" ref="DU223">+INDEX(AX223:BF223,MATCH(DT223,AX223:BF223,1)+1)</f>
        <v>#N/A</v>
      </c>
      <c r="DV223" s="267" t="e">
        <f t="shared" si="175"/>
        <v>#N/A</v>
      </c>
      <c r="DW223" s="267" t="e">
        <f t="shared" si="196"/>
        <v>#N/A</v>
      </c>
      <c r="DX223" s="267" t="e">
        <f t="shared" si="197"/>
        <v>#N/A</v>
      </c>
      <c r="DY223" s="267">
        <f t="shared" si="240"/>
        <v>6.8600000000000008E-2</v>
      </c>
      <c r="DZ223" s="205" t="e">
        <f t="shared" si="239"/>
        <v>#N/A</v>
      </c>
      <c r="EA223" s="205">
        <f t="shared" si="180"/>
        <v>0</v>
      </c>
    </row>
    <row r="224" spans="2:131">
      <c r="B224" s="272">
        <v>45532</v>
      </c>
      <c r="C224" s="271">
        <v>45532</v>
      </c>
      <c r="D224" s="263" t="e">
        <f>+SUMIFS(Tabla6[Nominal COP],Tabla6[Concepto],COSTO_OPORTUNIDAD!$B$18,Tabla6[Nemotécnico],COSTO_OPORTUNIDAD!D$16,Tabla6[Fecha Cumplimiento y/ liquidacion],COSTO_OPORTUNIDAD!$C224)/+SUMIFS(Tabla6[Nominal COP],Tabla6[Concepto],COSTO_OPORTUNIDAD!$B$18,Tabla6[Fecha Cumplimiento y/ liquidacion],COSTO_OPORTUNIDAD!$C224)</f>
        <v>#DIV/0!</v>
      </c>
      <c r="E224" s="263" t="e">
        <f>+SUMIFS(Tabla6[Nominal COP],Tabla6[Concepto],COSTO_OPORTUNIDAD!$B$18,Tabla6[Nemotécnico],COSTO_OPORTUNIDAD!E$16,Tabla6[Fecha Cumplimiento y/ liquidacion],COSTO_OPORTUNIDAD!$C224)/+SUMIFS(Tabla6[Nominal COP],Tabla6[Concepto],COSTO_OPORTUNIDAD!$B$18,Tabla6[Fecha Cumplimiento y/ liquidacion],COSTO_OPORTUNIDAD!$C224)</f>
        <v>#DIV/0!</v>
      </c>
      <c r="F224" s="263"/>
      <c r="G224" s="263"/>
      <c r="H224" s="263">
        <v>0.1</v>
      </c>
      <c r="I224" s="263"/>
      <c r="J224" s="263">
        <v>0.1</v>
      </c>
      <c r="K224" s="263">
        <v>0</v>
      </c>
      <c r="L224" s="263"/>
      <c r="M224" s="263">
        <v>0</v>
      </c>
      <c r="N224" s="263"/>
      <c r="O224" s="263"/>
      <c r="P224" s="263">
        <v>0</v>
      </c>
      <c r="Q224" s="263"/>
      <c r="R224" s="263">
        <v>0</v>
      </c>
      <c r="S224" s="263">
        <v>0.8</v>
      </c>
      <c r="T224" s="263">
        <v>0</v>
      </c>
      <c r="U224" s="263"/>
      <c r="V224" s="263">
        <v>0</v>
      </c>
      <c r="W224" s="263">
        <v>0</v>
      </c>
      <c r="X224" s="263">
        <v>0</v>
      </c>
      <c r="Y224" s="263"/>
      <c r="Z224" s="263">
        <v>0</v>
      </c>
      <c r="AA224" s="263">
        <v>0</v>
      </c>
      <c r="AB224" s="263">
        <v>0</v>
      </c>
      <c r="AC224" s="263"/>
      <c r="AD224" s="263">
        <v>0</v>
      </c>
      <c r="AE224" s="263"/>
      <c r="AF224" s="263"/>
      <c r="AG224" s="262"/>
      <c r="AH224" s="274">
        <f t="shared" si="201"/>
        <v>728</v>
      </c>
      <c r="AI224" s="274">
        <f t="shared" si="202"/>
        <v>1162</v>
      </c>
      <c r="AJ224" s="274">
        <f t="shared" si="203"/>
        <v>1339</v>
      </c>
      <c r="AK224" s="274">
        <f t="shared" si="198"/>
        <v>1820</v>
      </c>
      <c r="AL224" s="274">
        <f t="shared" si="204"/>
        <v>2212</v>
      </c>
      <c r="AM224" s="274">
        <f t="shared" si="205"/>
        <v>2401</v>
      </c>
      <c r="AN224" s="274">
        <f t="shared" si="206"/>
        <v>2863</v>
      </c>
      <c r="AO224" s="274">
        <f t="shared" si="242"/>
        <v>3087</v>
      </c>
      <c r="AP224" s="274">
        <f t="shared" si="207"/>
        <v>3703</v>
      </c>
      <c r="AQ224" s="274"/>
      <c r="AR224" s="274">
        <f t="shared" si="208"/>
        <v>4333</v>
      </c>
      <c r="AS224" s="274">
        <f t="shared" si="199"/>
        <v>5936</v>
      </c>
      <c r="AT224" s="274">
        <f t="shared" si="209"/>
        <v>6482</v>
      </c>
      <c r="AU224" s="274">
        <f t="shared" si="243"/>
        <v>8001</v>
      </c>
      <c r="AV224" s="274">
        <f t="shared" si="210"/>
        <v>9555</v>
      </c>
      <c r="AW224" s="274"/>
      <c r="AX224" s="274">
        <f t="shared" si="211"/>
        <v>252</v>
      </c>
      <c r="AY224" s="274">
        <f t="shared" si="212"/>
        <v>931</v>
      </c>
      <c r="AZ224" s="274">
        <f t="shared" si="213"/>
        <v>1694</v>
      </c>
      <c r="BA224" s="274"/>
      <c r="BB224" s="274">
        <f t="shared" si="214"/>
        <v>3131</v>
      </c>
      <c r="BC224" s="274">
        <f t="shared" si="215"/>
        <v>3871</v>
      </c>
      <c r="BD224" s="274">
        <f t="shared" si="216"/>
        <v>4564</v>
      </c>
      <c r="BE224" s="274"/>
      <c r="BF224" s="274">
        <f t="shared" si="217"/>
        <v>9058</v>
      </c>
      <c r="BG224" s="274"/>
      <c r="BH224" s="274"/>
      <c r="BI224" s="266">
        <f t="shared" si="218"/>
        <v>0</v>
      </c>
      <c r="BJ224" s="266" t="e">
        <f t="shared" si="219"/>
        <v>#DIV/0!</v>
      </c>
      <c r="BK224" s="263" t="str">
        <f t="shared" si="220"/>
        <v/>
      </c>
      <c r="BL224" s="263" t="str">
        <f t="shared" si="221"/>
        <v/>
      </c>
      <c r="BM224" s="263" t="str">
        <f t="shared" si="222"/>
        <v/>
      </c>
      <c r="BN224" s="263"/>
      <c r="BO224" s="263" t="str">
        <f t="shared" si="223"/>
        <v/>
      </c>
      <c r="BP224" s="263" t="str">
        <f t="shared" si="224"/>
        <v/>
      </c>
      <c r="BQ224" s="263" t="str">
        <f t="shared" si="225"/>
        <v/>
      </c>
      <c r="BR224" s="263" t="str">
        <f t="shared" si="226"/>
        <v/>
      </c>
      <c r="BS224" s="263" t="str">
        <f t="shared" si="227"/>
        <v/>
      </c>
      <c r="BT224" s="263" t="str">
        <f t="shared" si="228"/>
        <v/>
      </c>
      <c r="BU224" s="263" t="str">
        <f t="shared" si="229"/>
        <v/>
      </c>
      <c r="BV224" s="263"/>
      <c r="BW224" s="263" t="str">
        <f t="shared" si="230"/>
        <v/>
      </c>
      <c r="BX224" s="263" t="str">
        <f t="shared" si="237"/>
        <v/>
      </c>
      <c r="BY224" s="263" t="str">
        <f t="shared" si="231"/>
        <v/>
      </c>
      <c r="BZ224" s="263"/>
      <c r="CA224" s="263" t="str">
        <f t="shared" si="182"/>
        <v/>
      </c>
      <c r="CB224" s="263" t="str">
        <f t="shared" si="232"/>
        <v/>
      </c>
      <c r="CC224" s="263" t="str">
        <f t="shared" si="183"/>
        <v/>
      </c>
      <c r="CD224" s="263" t="str">
        <f t="shared" si="233"/>
        <v/>
      </c>
      <c r="CE224" s="263" t="str">
        <f t="shared" si="241"/>
        <v/>
      </c>
      <c r="CF224" s="263" t="str">
        <f t="shared" si="184"/>
        <v/>
      </c>
      <c r="CG224" s="263" t="str">
        <f t="shared" si="185"/>
        <v/>
      </c>
      <c r="CH224" s="263"/>
      <c r="CI224" s="263" t="str">
        <f t="shared" si="234"/>
        <v/>
      </c>
      <c r="CJ224" s="263"/>
      <c r="CK224" s="263" t="str">
        <f t="shared" si="235"/>
        <v/>
      </c>
      <c r="CL224" s="264">
        <f t="shared" si="238"/>
        <v>0</v>
      </c>
      <c r="CM224" s="264">
        <f t="shared" si="236"/>
        <v>0</v>
      </c>
      <c r="CO224" s="265">
        <v>8.3800000000000013E-2</v>
      </c>
      <c r="CP224" s="265">
        <v>8.9200000000000002E-2</v>
      </c>
      <c r="CQ224" s="265">
        <v>9.1249999999999998E-2</v>
      </c>
      <c r="CS224" s="265">
        <v>9.5199999999999993E-2</v>
      </c>
      <c r="CT224" s="265">
        <v>9.605000000000001E-2</v>
      </c>
      <c r="CU224" s="265">
        <v>9.7899999999999987E-2</v>
      </c>
      <c r="CV224" s="265">
        <v>9.9030000000000007E-2</v>
      </c>
      <c r="CW224" s="265">
        <v>0.10099999999999999</v>
      </c>
      <c r="CY224" s="265">
        <v>0.10349999999999999</v>
      </c>
      <c r="DA224" s="265">
        <v>0.10835</v>
      </c>
      <c r="DB224" s="265">
        <v>0.11151</v>
      </c>
      <c r="DC224" s="265">
        <v>0.10915</v>
      </c>
      <c r="DE224" s="265">
        <v>4.6940000000000003E-2</v>
      </c>
      <c r="DF224" s="265">
        <v>4.9299999999999997E-2</v>
      </c>
      <c r="DH224" s="265">
        <v>4.9400000000000006E-2</v>
      </c>
      <c r="DI224" s="265">
        <v>5.0880000000000002E-2</v>
      </c>
      <c r="DJ224" s="265">
        <v>5.1100000000000007E-2</v>
      </c>
      <c r="DL224" s="265">
        <v>4.8750000000000002E-2</v>
      </c>
      <c r="DO224" s="264" t="e">
        <f t="shared" ref="DO224:DO255" si="244">+INDEX(AH224:AV224,MATCH(CL224,AH224:AV224,1))</f>
        <v>#N/A</v>
      </c>
      <c r="DP224" s="264" t="e" cm="1">
        <f t="array" ref="DP224">+INDEX(AH224:AV224,MATCH(DO224,AH224:AV224,1)+1)</f>
        <v>#N/A</v>
      </c>
      <c r="DQ224" s="265" t="e">
        <f t="shared" ref="DQ224:DQ255" si="245">+INDEX(CO224:DC224,MATCH(DO224,AH224:AV224,1))</f>
        <v>#N/A</v>
      </c>
      <c r="DR224" s="267" t="e">
        <f t="shared" ref="DR224:DR255" si="246">+INDEX(CO224:DC224,MATCH(DP224,AH224:AV224,1))</f>
        <v>#N/A</v>
      </c>
      <c r="DS224" s="267" t="e">
        <f t="shared" ref="DS224:DS255" si="247">ROUND(DQ224+((CL224-DO224)/(DP224-DO224))*(DR224-DQ224),5)</f>
        <v>#N/A</v>
      </c>
      <c r="DT224" s="268" t="e">
        <f t="shared" ref="DT224:DT255" si="248">+INDEX(AX224:BF224,MATCH(CM224,AX224:BF224,1))</f>
        <v>#N/A</v>
      </c>
      <c r="DU224" s="268" t="e" cm="1">
        <f t="array" ref="DU224">+INDEX(AX224:BF224,MATCH(DT224,AX224:BF224,1)+1)</f>
        <v>#N/A</v>
      </c>
      <c r="DV224" s="267" t="e">
        <f t="shared" ref="DV224:DV287" si="249">+INDEX(DE224:DL224,MATCH(DT224,AX224:BF224,1))</f>
        <v>#N/A</v>
      </c>
      <c r="DW224" s="267" t="e">
        <f t="shared" ref="DW224:DW255" si="250">+INDEX(DE224:DL224,MATCH(DU224,AX224:BF224,1))</f>
        <v>#N/A</v>
      </c>
      <c r="DX224" s="267" t="e">
        <f t="shared" ref="DX224:DX255" si="251">ROUND(DV224+((CM224-DT224)/(DU224-DT224))*(DW224-DV224),5)</f>
        <v>#N/A</v>
      </c>
      <c r="DY224" s="267">
        <f t="shared" si="240"/>
        <v>6.8600000000000008E-2</v>
      </c>
      <c r="DZ224" s="205" t="e">
        <f t="shared" si="239"/>
        <v>#N/A</v>
      </c>
      <c r="EA224" s="205">
        <f t="shared" si="180"/>
        <v>0</v>
      </c>
    </row>
    <row r="225" spans="2:131">
      <c r="B225" s="272">
        <v>45533</v>
      </c>
      <c r="C225" s="271">
        <v>45533</v>
      </c>
      <c r="D225" s="263" t="e">
        <f>+SUMIFS(Tabla6[Nominal COP],Tabla6[Concepto],COSTO_OPORTUNIDAD!$B$18,Tabla6[Nemotécnico],COSTO_OPORTUNIDAD!D$16,Tabla6[Fecha Cumplimiento y/ liquidacion],COSTO_OPORTUNIDAD!$C225)/+SUMIFS(Tabla6[Nominal COP],Tabla6[Concepto],COSTO_OPORTUNIDAD!$B$18,Tabla6[Fecha Cumplimiento y/ liquidacion],COSTO_OPORTUNIDAD!$C225)</f>
        <v>#DIV/0!</v>
      </c>
      <c r="E225" s="263" t="e">
        <f>+SUMIFS(Tabla6[Nominal COP],Tabla6[Concepto],COSTO_OPORTUNIDAD!$B$18,Tabla6[Nemotécnico],COSTO_OPORTUNIDAD!E$16,Tabla6[Fecha Cumplimiento y/ liquidacion],COSTO_OPORTUNIDAD!$C225)/+SUMIFS(Tabla6[Nominal COP],Tabla6[Concepto],COSTO_OPORTUNIDAD!$B$18,Tabla6[Fecha Cumplimiento y/ liquidacion],COSTO_OPORTUNIDAD!$C225)</f>
        <v>#DIV/0!</v>
      </c>
      <c r="F225" s="263"/>
      <c r="G225" s="263"/>
      <c r="H225" s="263">
        <v>0.1</v>
      </c>
      <c r="I225" s="263"/>
      <c r="J225" s="263">
        <v>0.1</v>
      </c>
      <c r="K225" s="263">
        <v>0</v>
      </c>
      <c r="L225" s="263"/>
      <c r="M225" s="263">
        <v>0</v>
      </c>
      <c r="N225" s="263"/>
      <c r="O225" s="263"/>
      <c r="P225" s="263">
        <v>0</v>
      </c>
      <c r="Q225" s="263"/>
      <c r="R225" s="263">
        <v>0</v>
      </c>
      <c r="S225" s="263">
        <v>0.8</v>
      </c>
      <c r="T225" s="263">
        <v>0</v>
      </c>
      <c r="U225" s="263"/>
      <c r="V225" s="263">
        <v>0</v>
      </c>
      <c r="W225" s="263">
        <v>0</v>
      </c>
      <c r="X225" s="263">
        <v>0</v>
      </c>
      <c r="Y225" s="263"/>
      <c r="Z225" s="263">
        <v>0</v>
      </c>
      <c r="AA225" s="263">
        <v>0</v>
      </c>
      <c r="AB225" s="263">
        <v>0</v>
      </c>
      <c r="AC225" s="263"/>
      <c r="AD225" s="263">
        <v>0</v>
      </c>
      <c r="AE225" s="263"/>
      <c r="AF225" s="263"/>
      <c r="AG225" s="262"/>
      <c r="AH225" s="274">
        <f t="shared" si="201"/>
        <v>727</v>
      </c>
      <c r="AI225" s="274">
        <f t="shared" si="202"/>
        <v>1161</v>
      </c>
      <c r="AJ225" s="274">
        <f t="shared" si="203"/>
        <v>1338</v>
      </c>
      <c r="AK225" s="274">
        <f t="shared" si="198"/>
        <v>1819</v>
      </c>
      <c r="AL225" s="274">
        <f t="shared" si="204"/>
        <v>2211</v>
      </c>
      <c r="AM225" s="274">
        <f t="shared" si="205"/>
        <v>2400</v>
      </c>
      <c r="AN225" s="274">
        <f t="shared" si="206"/>
        <v>2862</v>
      </c>
      <c r="AO225" s="274">
        <f t="shared" si="242"/>
        <v>3086</v>
      </c>
      <c r="AP225" s="274">
        <f t="shared" si="207"/>
        <v>3702</v>
      </c>
      <c r="AQ225" s="274"/>
      <c r="AR225" s="274">
        <f t="shared" si="208"/>
        <v>4332</v>
      </c>
      <c r="AS225" s="274">
        <f t="shared" si="199"/>
        <v>5935</v>
      </c>
      <c r="AT225" s="274">
        <f t="shared" si="209"/>
        <v>6481</v>
      </c>
      <c r="AU225" s="274">
        <f t="shared" si="243"/>
        <v>8000</v>
      </c>
      <c r="AV225" s="274">
        <f t="shared" si="210"/>
        <v>9554</v>
      </c>
      <c r="AW225" s="274"/>
      <c r="AX225" s="274">
        <f t="shared" si="211"/>
        <v>251</v>
      </c>
      <c r="AY225" s="274">
        <f t="shared" si="212"/>
        <v>930</v>
      </c>
      <c r="AZ225" s="274">
        <f t="shared" si="213"/>
        <v>1693</v>
      </c>
      <c r="BA225" s="274"/>
      <c r="BB225" s="274">
        <f t="shared" si="214"/>
        <v>3130</v>
      </c>
      <c r="BC225" s="274">
        <f t="shared" si="215"/>
        <v>3870</v>
      </c>
      <c r="BD225" s="274">
        <f t="shared" si="216"/>
        <v>4563</v>
      </c>
      <c r="BE225" s="274"/>
      <c r="BF225" s="274">
        <f t="shared" si="217"/>
        <v>9057</v>
      </c>
      <c r="BG225" s="274"/>
      <c r="BH225" s="274"/>
      <c r="BI225" s="266">
        <f t="shared" si="218"/>
        <v>0</v>
      </c>
      <c r="BJ225" s="266" t="e">
        <f t="shared" si="219"/>
        <v>#DIV/0!</v>
      </c>
      <c r="BK225" s="263" t="str">
        <f t="shared" si="220"/>
        <v/>
      </c>
      <c r="BL225" s="263" t="str">
        <f t="shared" si="221"/>
        <v/>
      </c>
      <c r="BM225" s="263" t="str">
        <f t="shared" si="222"/>
        <v/>
      </c>
      <c r="BN225" s="263"/>
      <c r="BO225" s="263" t="str">
        <f t="shared" si="223"/>
        <v/>
      </c>
      <c r="BP225" s="263" t="str">
        <f t="shared" si="224"/>
        <v/>
      </c>
      <c r="BQ225" s="263" t="str">
        <f t="shared" si="225"/>
        <v/>
      </c>
      <c r="BR225" s="263" t="str">
        <f t="shared" si="226"/>
        <v/>
      </c>
      <c r="BS225" s="263" t="str">
        <f t="shared" si="227"/>
        <v/>
      </c>
      <c r="BT225" s="263" t="str">
        <f t="shared" si="228"/>
        <v/>
      </c>
      <c r="BU225" s="263" t="str">
        <f t="shared" si="229"/>
        <v/>
      </c>
      <c r="BV225" s="263"/>
      <c r="BW225" s="263" t="str">
        <f t="shared" si="230"/>
        <v/>
      </c>
      <c r="BX225" s="263" t="str">
        <f t="shared" si="237"/>
        <v/>
      </c>
      <c r="BY225" s="263" t="str">
        <f t="shared" si="231"/>
        <v/>
      </c>
      <c r="BZ225" s="263"/>
      <c r="CA225" s="263" t="str">
        <f t="shared" si="182"/>
        <v/>
      </c>
      <c r="CB225" s="263" t="str">
        <f t="shared" si="232"/>
        <v/>
      </c>
      <c r="CC225" s="263" t="str">
        <f t="shared" si="183"/>
        <v/>
      </c>
      <c r="CD225" s="263" t="str">
        <f t="shared" si="233"/>
        <v/>
      </c>
      <c r="CE225" s="263" t="str">
        <f t="shared" si="241"/>
        <v/>
      </c>
      <c r="CF225" s="263" t="str">
        <f t="shared" si="184"/>
        <v/>
      </c>
      <c r="CG225" s="263" t="str">
        <f t="shared" si="185"/>
        <v/>
      </c>
      <c r="CH225" s="263"/>
      <c r="CI225" s="263" t="str">
        <f t="shared" si="234"/>
        <v/>
      </c>
      <c r="CJ225" s="263"/>
      <c r="CK225" s="263" t="str">
        <f t="shared" si="235"/>
        <v/>
      </c>
      <c r="CL225" s="264">
        <f t="shared" si="238"/>
        <v>0</v>
      </c>
      <c r="CM225" s="264">
        <f t="shared" si="236"/>
        <v>0</v>
      </c>
      <c r="CO225" s="265">
        <v>8.4510000000000002E-2</v>
      </c>
      <c r="CP225" s="265">
        <v>8.9600000000000013E-2</v>
      </c>
      <c r="CQ225" s="265">
        <v>9.1600000000000001E-2</v>
      </c>
      <c r="CS225" s="265">
        <v>9.4879999999999992E-2</v>
      </c>
      <c r="CT225" s="265">
        <v>9.605000000000001E-2</v>
      </c>
      <c r="CU225" s="265">
        <v>9.7949999999999995E-2</v>
      </c>
      <c r="CV225" s="265">
        <v>9.8949999999999996E-2</v>
      </c>
      <c r="CW225" s="265">
        <v>0.10079</v>
      </c>
      <c r="CY225" s="265">
        <v>0.10349</v>
      </c>
      <c r="DA225" s="265">
        <v>0.10769999999999999</v>
      </c>
      <c r="DB225" s="265">
        <v>0.11121</v>
      </c>
      <c r="DC225" s="265">
        <v>0.10877000000000001</v>
      </c>
      <c r="DE225" s="265">
        <v>4.6740000000000004E-2</v>
      </c>
      <c r="DF225" s="265">
        <v>4.9869999999999998E-2</v>
      </c>
      <c r="DH225" s="265">
        <v>0.05</v>
      </c>
      <c r="DI225" s="265">
        <v>5.117E-2</v>
      </c>
      <c r="DJ225" s="265">
        <v>5.1399999999999994E-2</v>
      </c>
      <c r="DL225" s="265">
        <v>4.9200000000000001E-2</v>
      </c>
      <c r="DO225" s="264" t="e">
        <f t="shared" si="244"/>
        <v>#N/A</v>
      </c>
      <c r="DP225" s="264" t="e" cm="1">
        <f t="array" ref="DP225">+INDEX(AH225:AV225,MATCH(DO225,AH225:AV225,1)+1)</f>
        <v>#N/A</v>
      </c>
      <c r="DQ225" s="265" t="e">
        <f t="shared" si="245"/>
        <v>#N/A</v>
      </c>
      <c r="DR225" s="267" t="e">
        <f t="shared" si="246"/>
        <v>#N/A</v>
      </c>
      <c r="DS225" s="267" t="e">
        <f t="shared" si="247"/>
        <v>#N/A</v>
      </c>
      <c r="DT225" s="268" t="e">
        <f t="shared" si="248"/>
        <v>#N/A</v>
      </c>
      <c r="DU225" s="268" t="e" cm="1">
        <f t="array" ref="DU225">+INDEX(AX225:BF225,MATCH(DT225,AX225:BF225,1)+1)</f>
        <v>#N/A</v>
      </c>
      <c r="DV225" s="267" t="e">
        <f t="shared" si="249"/>
        <v>#N/A</v>
      </c>
      <c r="DW225" s="267" t="e">
        <f t="shared" si="250"/>
        <v>#N/A</v>
      </c>
      <c r="DX225" s="267" t="e">
        <f t="shared" si="251"/>
        <v>#N/A</v>
      </c>
      <c r="DY225" s="267">
        <f t="shared" si="240"/>
        <v>6.8600000000000008E-2</v>
      </c>
      <c r="DZ225" s="205" t="e">
        <f t="shared" si="239"/>
        <v>#N/A</v>
      </c>
      <c r="EA225" s="205">
        <f t="shared" si="180"/>
        <v>0</v>
      </c>
    </row>
    <row r="226" spans="2:131">
      <c r="B226" s="272">
        <v>45534</v>
      </c>
      <c r="C226" s="271">
        <v>45534</v>
      </c>
      <c r="D226" s="263" t="e">
        <f>+SUMIFS(Tabla6[Nominal COP],Tabla6[Concepto],COSTO_OPORTUNIDAD!$B$18,Tabla6[Nemotécnico],COSTO_OPORTUNIDAD!D$16,Tabla6[Fecha Cumplimiento y/ liquidacion],COSTO_OPORTUNIDAD!$C226)/+SUMIFS(Tabla6[Nominal COP],Tabla6[Concepto],COSTO_OPORTUNIDAD!$B$18,Tabla6[Fecha Cumplimiento y/ liquidacion],COSTO_OPORTUNIDAD!$C226)</f>
        <v>#DIV/0!</v>
      </c>
      <c r="E226" s="263" t="e">
        <f>+SUMIFS(Tabla6[Nominal COP],Tabla6[Concepto],COSTO_OPORTUNIDAD!$B$18,Tabla6[Nemotécnico],COSTO_OPORTUNIDAD!E$16,Tabla6[Fecha Cumplimiento y/ liquidacion],COSTO_OPORTUNIDAD!$C226)/+SUMIFS(Tabla6[Nominal COP],Tabla6[Concepto],COSTO_OPORTUNIDAD!$B$18,Tabla6[Fecha Cumplimiento y/ liquidacion],COSTO_OPORTUNIDAD!$C226)</f>
        <v>#DIV/0!</v>
      </c>
      <c r="F226" s="263"/>
      <c r="G226" s="263"/>
      <c r="H226" s="263">
        <v>0.10204081632653061</v>
      </c>
      <c r="I226" s="263"/>
      <c r="J226" s="263">
        <v>0.10204081632653061</v>
      </c>
      <c r="K226" s="263">
        <v>0</v>
      </c>
      <c r="L226" s="263"/>
      <c r="M226" s="263">
        <v>0</v>
      </c>
      <c r="N226" s="263"/>
      <c r="O226" s="263"/>
      <c r="P226" s="263">
        <v>0</v>
      </c>
      <c r="Q226" s="263"/>
      <c r="R226" s="263">
        <v>0</v>
      </c>
      <c r="S226" s="263">
        <v>0.79591836734693877</v>
      </c>
      <c r="T226" s="263">
        <v>0</v>
      </c>
      <c r="U226" s="263"/>
      <c r="V226" s="263">
        <v>0</v>
      </c>
      <c r="W226" s="263">
        <v>0</v>
      </c>
      <c r="X226" s="263">
        <v>0</v>
      </c>
      <c r="Y226" s="263"/>
      <c r="Z226" s="263">
        <v>0</v>
      </c>
      <c r="AA226" s="263">
        <v>0</v>
      </c>
      <c r="AB226" s="263">
        <v>0</v>
      </c>
      <c r="AC226" s="263"/>
      <c r="AD226" s="263">
        <v>0</v>
      </c>
      <c r="AE226" s="263"/>
      <c r="AF226" s="263"/>
      <c r="AG226" s="262"/>
      <c r="AH226" s="274">
        <f t="shared" si="201"/>
        <v>726</v>
      </c>
      <c r="AI226" s="274">
        <f t="shared" si="202"/>
        <v>1160</v>
      </c>
      <c r="AJ226" s="274">
        <f t="shared" si="203"/>
        <v>1337</v>
      </c>
      <c r="AK226" s="274">
        <f t="shared" si="198"/>
        <v>1818</v>
      </c>
      <c r="AL226" s="274">
        <f t="shared" si="204"/>
        <v>2210</v>
      </c>
      <c r="AM226" s="274">
        <f t="shared" si="205"/>
        <v>2399</v>
      </c>
      <c r="AN226" s="274">
        <f t="shared" si="206"/>
        <v>2861</v>
      </c>
      <c r="AO226" s="274">
        <f t="shared" si="242"/>
        <v>3085</v>
      </c>
      <c r="AP226" s="274">
        <f t="shared" si="207"/>
        <v>3701</v>
      </c>
      <c r="AQ226" s="274"/>
      <c r="AR226" s="274">
        <f t="shared" si="208"/>
        <v>4331</v>
      </c>
      <c r="AS226" s="274">
        <f t="shared" si="199"/>
        <v>5934</v>
      </c>
      <c r="AT226" s="274">
        <f t="shared" si="209"/>
        <v>6480</v>
      </c>
      <c r="AU226" s="274">
        <f t="shared" si="243"/>
        <v>7999</v>
      </c>
      <c r="AV226" s="274">
        <f t="shared" si="210"/>
        <v>9553</v>
      </c>
      <c r="AW226" s="274"/>
      <c r="AX226" s="274">
        <f t="shared" si="211"/>
        <v>250</v>
      </c>
      <c r="AY226" s="274">
        <f t="shared" si="212"/>
        <v>929</v>
      </c>
      <c r="AZ226" s="274">
        <f t="shared" si="213"/>
        <v>1692</v>
      </c>
      <c r="BA226" s="274"/>
      <c r="BB226" s="274">
        <f t="shared" si="214"/>
        <v>3129</v>
      </c>
      <c r="BC226" s="274">
        <f t="shared" si="215"/>
        <v>3869</v>
      </c>
      <c r="BD226" s="274">
        <f t="shared" si="216"/>
        <v>4562</v>
      </c>
      <c r="BE226" s="274"/>
      <c r="BF226" s="274">
        <f t="shared" si="217"/>
        <v>9056</v>
      </c>
      <c r="BG226" s="274"/>
      <c r="BH226" s="274"/>
      <c r="BI226" s="266">
        <f t="shared" si="218"/>
        <v>0</v>
      </c>
      <c r="BJ226" s="266" t="e">
        <f t="shared" si="219"/>
        <v>#DIV/0!</v>
      </c>
      <c r="BK226" s="263" t="str">
        <f t="shared" si="220"/>
        <v/>
      </c>
      <c r="BL226" s="263" t="str">
        <f t="shared" si="221"/>
        <v/>
      </c>
      <c r="BM226" s="263" t="str">
        <f t="shared" si="222"/>
        <v/>
      </c>
      <c r="BN226" s="263"/>
      <c r="BO226" s="263" t="str">
        <f t="shared" si="223"/>
        <v/>
      </c>
      <c r="BP226" s="263" t="str">
        <f t="shared" si="224"/>
        <v/>
      </c>
      <c r="BQ226" s="263" t="str">
        <f t="shared" si="225"/>
        <v/>
      </c>
      <c r="BR226" s="263" t="str">
        <f t="shared" si="226"/>
        <v/>
      </c>
      <c r="BS226" s="263" t="str">
        <f t="shared" si="227"/>
        <v/>
      </c>
      <c r="BT226" s="263" t="str">
        <f t="shared" si="228"/>
        <v/>
      </c>
      <c r="BU226" s="263" t="str">
        <f t="shared" si="229"/>
        <v/>
      </c>
      <c r="BV226" s="263"/>
      <c r="BW226" s="263" t="str">
        <f t="shared" si="230"/>
        <v/>
      </c>
      <c r="BX226" s="263" t="str">
        <f t="shared" si="237"/>
        <v/>
      </c>
      <c r="BY226" s="263" t="str">
        <f t="shared" si="231"/>
        <v/>
      </c>
      <c r="BZ226" s="263"/>
      <c r="CA226" s="263" t="str">
        <f t="shared" si="182"/>
        <v/>
      </c>
      <c r="CB226" s="263" t="str">
        <f t="shared" si="232"/>
        <v/>
      </c>
      <c r="CC226" s="263" t="str">
        <f t="shared" si="183"/>
        <v/>
      </c>
      <c r="CD226" s="263" t="str">
        <f t="shared" si="233"/>
        <v/>
      </c>
      <c r="CE226" s="263" t="str">
        <f t="shared" si="241"/>
        <v/>
      </c>
      <c r="CF226" s="263" t="str">
        <f t="shared" si="184"/>
        <v/>
      </c>
      <c r="CG226" s="263" t="str">
        <f t="shared" si="185"/>
        <v/>
      </c>
      <c r="CH226" s="263"/>
      <c r="CI226" s="263" t="str">
        <f t="shared" si="234"/>
        <v/>
      </c>
      <c r="CJ226" s="263"/>
      <c r="CK226" s="263" t="str">
        <f t="shared" si="235"/>
        <v/>
      </c>
      <c r="CL226" s="264">
        <f t="shared" si="238"/>
        <v>0</v>
      </c>
      <c r="CM226" s="264">
        <f t="shared" si="236"/>
        <v>0</v>
      </c>
      <c r="CO226" s="265">
        <v>8.4749999999999992E-2</v>
      </c>
      <c r="CP226" s="265">
        <v>9.0380000000000002E-2</v>
      </c>
      <c r="CQ226" s="265">
        <v>9.2399999999999996E-2</v>
      </c>
      <c r="CS226" s="265">
        <v>9.5799999999999996E-2</v>
      </c>
      <c r="CT226" s="265">
        <v>9.7019999999999995E-2</v>
      </c>
      <c r="CU226" s="265">
        <v>9.8400000000000001E-2</v>
      </c>
      <c r="CV226" s="265">
        <v>9.9849999999999994E-2</v>
      </c>
      <c r="CW226" s="265">
        <v>0.10157999999999999</v>
      </c>
      <c r="CY226" s="265">
        <v>0.1038</v>
      </c>
      <c r="DA226" s="265">
        <v>0.10775</v>
      </c>
      <c r="DB226" s="265">
        <v>0.11162000000000001</v>
      </c>
      <c r="DC226" s="265">
        <v>0.10890000000000001</v>
      </c>
      <c r="DE226" s="265">
        <v>4.777E-2</v>
      </c>
      <c r="DF226" s="265">
        <v>5.0199999999999995E-2</v>
      </c>
      <c r="DH226" s="265">
        <v>5.04E-2</v>
      </c>
      <c r="DI226" s="265">
        <v>5.1050000000000005E-2</v>
      </c>
      <c r="DJ226" s="265">
        <v>5.1680000000000004E-2</v>
      </c>
      <c r="DL226" s="265">
        <v>4.9349999999999998E-2</v>
      </c>
      <c r="DO226" s="264" t="e">
        <f t="shared" si="244"/>
        <v>#N/A</v>
      </c>
      <c r="DP226" s="264" t="e" cm="1">
        <f t="array" ref="DP226">+INDEX(AH226:AV226,MATCH(DO226,AH226:AV226,1)+1)</f>
        <v>#N/A</v>
      </c>
      <c r="DQ226" s="265" t="e">
        <f t="shared" si="245"/>
        <v>#N/A</v>
      </c>
      <c r="DR226" s="267" t="e">
        <f t="shared" si="246"/>
        <v>#N/A</v>
      </c>
      <c r="DS226" s="267" t="e">
        <f t="shared" si="247"/>
        <v>#N/A</v>
      </c>
      <c r="DT226" s="268" t="e">
        <f t="shared" si="248"/>
        <v>#N/A</v>
      </c>
      <c r="DU226" s="268" t="e" cm="1">
        <f t="array" ref="DU226">+INDEX(AX226:BF226,MATCH(DT226,AX226:BF226,1)+1)</f>
        <v>#N/A</v>
      </c>
      <c r="DV226" s="267" t="e">
        <f t="shared" si="249"/>
        <v>#N/A</v>
      </c>
      <c r="DW226" s="267" t="e">
        <f t="shared" si="250"/>
        <v>#N/A</v>
      </c>
      <c r="DX226" s="267" t="e">
        <f t="shared" si="251"/>
        <v>#N/A</v>
      </c>
      <c r="DY226" s="267">
        <f t="shared" si="240"/>
        <v>6.8600000000000008E-2</v>
      </c>
      <c r="DZ226" s="205" t="e">
        <f t="shared" si="239"/>
        <v>#N/A</v>
      </c>
      <c r="EA226" s="205">
        <f t="shared" si="180"/>
        <v>0</v>
      </c>
    </row>
    <row r="227" spans="2:131">
      <c r="B227" s="272">
        <v>45537</v>
      </c>
      <c r="C227" s="271">
        <v>45537</v>
      </c>
      <c r="D227" s="263" t="e">
        <f>+SUMIFS(Tabla6[Nominal COP],Tabla6[Concepto],COSTO_OPORTUNIDAD!$B$18,Tabla6[Nemotécnico],COSTO_OPORTUNIDAD!D$16,Tabla6[Fecha Cumplimiento y/ liquidacion],COSTO_OPORTUNIDAD!$C227)/+SUMIFS(Tabla6[Nominal COP],Tabla6[Concepto],COSTO_OPORTUNIDAD!$B$18,Tabla6[Fecha Cumplimiento y/ liquidacion],COSTO_OPORTUNIDAD!$C227)</f>
        <v>#DIV/0!</v>
      </c>
      <c r="E227" s="263" t="e">
        <f>+SUMIFS(Tabla6[Nominal COP],Tabla6[Concepto],COSTO_OPORTUNIDAD!$B$18,Tabla6[Nemotécnico],COSTO_OPORTUNIDAD!E$16,Tabla6[Fecha Cumplimiento y/ liquidacion],COSTO_OPORTUNIDAD!$C227)/+SUMIFS(Tabla6[Nominal COP],Tabla6[Concepto],COSTO_OPORTUNIDAD!$B$18,Tabla6[Fecha Cumplimiento y/ liquidacion],COSTO_OPORTUNIDAD!$C227)</f>
        <v>#DIV/0!</v>
      </c>
      <c r="F227" s="263"/>
      <c r="G227" s="263"/>
      <c r="H227" s="263">
        <v>0.1079136690647482</v>
      </c>
      <c r="I227" s="263"/>
      <c r="J227" s="263">
        <v>2.8776978417266189E-2</v>
      </c>
      <c r="K227" s="263">
        <v>0</v>
      </c>
      <c r="L227" s="263"/>
      <c r="M227" s="263">
        <v>0</v>
      </c>
      <c r="N227" s="263"/>
      <c r="O227" s="263"/>
      <c r="P227" s="263">
        <v>0</v>
      </c>
      <c r="Q227" s="263"/>
      <c r="R227" s="263">
        <v>0</v>
      </c>
      <c r="S227" s="263">
        <v>0.86330935251798557</v>
      </c>
      <c r="T227" s="263">
        <v>0</v>
      </c>
      <c r="U227" s="263"/>
      <c r="V227" s="263">
        <v>0</v>
      </c>
      <c r="W227" s="263">
        <v>0</v>
      </c>
      <c r="X227" s="263">
        <v>0</v>
      </c>
      <c r="Y227" s="263"/>
      <c r="Z227" s="263">
        <v>0</v>
      </c>
      <c r="AA227" s="263">
        <v>0</v>
      </c>
      <c r="AB227" s="263">
        <v>0</v>
      </c>
      <c r="AC227" s="263"/>
      <c r="AD227" s="263">
        <v>0</v>
      </c>
      <c r="AE227" s="263"/>
      <c r="AF227" s="263"/>
      <c r="AG227" s="262"/>
      <c r="AH227" s="274">
        <f t="shared" si="201"/>
        <v>723</v>
      </c>
      <c r="AI227" s="274">
        <f t="shared" si="202"/>
        <v>1157</v>
      </c>
      <c r="AJ227" s="274">
        <f t="shared" si="203"/>
        <v>1334</v>
      </c>
      <c r="AK227" s="274">
        <f t="shared" si="198"/>
        <v>1815</v>
      </c>
      <c r="AL227" s="274">
        <f t="shared" si="204"/>
        <v>2207</v>
      </c>
      <c r="AM227" s="274">
        <f t="shared" si="205"/>
        <v>2396</v>
      </c>
      <c r="AN227" s="274">
        <f t="shared" si="206"/>
        <v>2858</v>
      </c>
      <c r="AO227" s="274">
        <f t="shared" si="242"/>
        <v>3082</v>
      </c>
      <c r="AP227" s="274">
        <f t="shared" si="207"/>
        <v>3698</v>
      </c>
      <c r="AQ227" s="274"/>
      <c r="AR227" s="274">
        <f t="shared" si="208"/>
        <v>4328</v>
      </c>
      <c r="AS227" s="274">
        <f t="shared" si="199"/>
        <v>5931</v>
      </c>
      <c r="AT227" s="274">
        <f t="shared" si="209"/>
        <v>6477</v>
      </c>
      <c r="AU227" s="274">
        <f t="shared" si="243"/>
        <v>7996</v>
      </c>
      <c r="AV227" s="274">
        <f t="shared" si="210"/>
        <v>9550</v>
      </c>
      <c r="AW227" s="274"/>
      <c r="AX227" s="274">
        <f t="shared" si="211"/>
        <v>247</v>
      </c>
      <c r="AY227" s="274">
        <f t="shared" si="212"/>
        <v>926</v>
      </c>
      <c r="AZ227" s="274">
        <f t="shared" si="213"/>
        <v>1689</v>
      </c>
      <c r="BA227" s="274"/>
      <c r="BB227" s="274">
        <f t="shared" si="214"/>
        <v>3126</v>
      </c>
      <c r="BC227" s="274">
        <f t="shared" si="215"/>
        <v>3866</v>
      </c>
      <c r="BD227" s="274">
        <f t="shared" si="216"/>
        <v>4559</v>
      </c>
      <c r="BE227" s="274"/>
      <c r="BF227" s="274">
        <f t="shared" si="217"/>
        <v>9053</v>
      </c>
      <c r="BG227" s="274"/>
      <c r="BH227" s="274"/>
      <c r="BI227" s="266">
        <f t="shared" si="218"/>
        <v>0</v>
      </c>
      <c r="BJ227" s="266" t="e">
        <f t="shared" si="219"/>
        <v>#DIV/0!</v>
      </c>
      <c r="BK227" s="263" t="str">
        <f t="shared" si="220"/>
        <v/>
      </c>
      <c r="BL227" s="263" t="str">
        <f t="shared" si="221"/>
        <v/>
      </c>
      <c r="BM227" s="263" t="str">
        <f t="shared" si="222"/>
        <v/>
      </c>
      <c r="BN227" s="263"/>
      <c r="BO227" s="263" t="str">
        <f t="shared" si="223"/>
        <v/>
      </c>
      <c r="BP227" s="263" t="str">
        <f t="shared" si="224"/>
        <v/>
      </c>
      <c r="BQ227" s="263" t="str">
        <f t="shared" si="225"/>
        <v/>
      </c>
      <c r="BR227" s="263" t="str">
        <f t="shared" si="226"/>
        <v/>
      </c>
      <c r="BS227" s="263" t="str">
        <f t="shared" si="227"/>
        <v/>
      </c>
      <c r="BT227" s="263" t="str">
        <f t="shared" si="228"/>
        <v/>
      </c>
      <c r="BU227" s="263" t="str">
        <f t="shared" si="229"/>
        <v/>
      </c>
      <c r="BV227" s="263"/>
      <c r="BW227" s="263" t="str">
        <f t="shared" si="230"/>
        <v/>
      </c>
      <c r="BX227" s="263" t="str">
        <f t="shared" si="237"/>
        <v/>
      </c>
      <c r="BY227" s="263" t="str">
        <f t="shared" si="231"/>
        <v/>
      </c>
      <c r="BZ227" s="263"/>
      <c r="CA227" s="263" t="str">
        <f t="shared" si="182"/>
        <v/>
      </c>
      <c r="CB227" s="263" t="str">
        <f t="shared" si="232"/>
        <v/>
      </c>
      <c r="CC227" s="263" t="str">
        <f t="shared" si="183"/>
        <v/>
      </c>
      <c r="CD227" s="263" t="str">
        <f t="shared" si="233"/>
        <v/>
      </c>
      <c r="CE227" s="263" t="str">
        <f t="shared" si="241"/>
        <v/>
      </c>
      <c r="CF227" s="263" t="str">
        <f t="shared" si="184"/>
        <v/>
      </c>
      <c r="CG227" s="263" t="str">
        <f t="shared" si="185"/>
        <v/>
      </c>
      <c r="CH227" s="263"/>
      <c r="CI227" s="263" t="str">
        <f t="shared" si="234"/>
        <v/>
      </c>
      <c r="CJ227" s="263"/>
      <c r="CK227" s="263" t="str">
        <f t="shared" si="235"/>
        <v/>
      </c>
      <c r="CL227" s="264">
        <f t="shared" si="238"/>
        <v>0</v>
      </c>
      <c r="CM227" s="264">
        <f t="shared" si="236"/>
        <v>0</v>
      </c>
      <c r="CO227" s="265">
        <v>8.5190000000000002E-2</v>
      </c>
      <c r="CP227" s="265">
        <v>9.0269999999999989E-2</v>
      </c>
      <c r="CQ227" s="265">
        <v>9.2200000000000004E-2</v>
      </c>
      <c r="CS227" s="265">
        <v>9.5500000000000002E-2</v>
      </c>
      <c r="CT227" s="265">
        <v>9.6920000000000006E-2</v>
      </c>
      <c r="CU227" s="265">
        <v>9.885999999999999E-2</v>
      </c>
      <c r="CV227" s="265">
        <v>9.9890000000000007E-2</v>
      </c>
      <c r="CW227" s="265">
        <v>0.1016</v>
      </c>
      <c r="CY227" s="265">
        <v>0.10382999999999999</v>
      </c>
      <c r="DA227" s="265">
        <v>0.1076</v>
      </c>
      <c r="DB227" s="265">
        <v>0.11137000000000001</v>
      </c>
      <c r="DC227" s="265">
        <v>0.10880000000000001</v>
      </c>
      <c r="DE227" s="265">
        <v>4.6710000000000002E-2</v>
      </c>
      <c r="DF227" s="265">
        <v>4.9500000000000002E-2</v>
      </c>
      <c r="DH227" s="265">
        <v>4.9299999999999997E-2</v>
      </c>
      <c r="DI227" s="265">
        <v>5.0099999999999999E-2</v>
      </c>
      <c r="DJ227" s="265">
        <v>5.0700000000000002E-2</v>
      </c>
      <c r="DL227" s="265">
        <v>4.8239999999999998E-2</v>
      </c>
      <c r="DO227" s="264" t="e">
        <f t="shared" si="244"/>
        <v>#N/A</v>
      </c>
      <c r="DP227" s="264" t="e" cm="1">
        <f t="array" ref="DP227">+INDEX(AH227:AV227,MATCH(DO227,AH227:AV227,1)+1)</f>
        <v>#N/A</v>
      </c>
      <c r="DQ227" s="265" t="e">
        <f t="shared" si="245"/>
        <v>#N/A</v>
      </c>
      <c r="DR227" s="267" t="e">
        <f t="shared" si="246"/>
        <v>#N/A</v>
      </c>
      <c r="DS227" s="267" t="e">
        <f t="shared" si="247"/>
        <v>#N/A</v>
      </c>
      <c r="DT227" s="268" t="e">
        <f t="shared" si="248"/>
        <v>#N/A</v>
      </c>
      <c r="DU227" s="268" t="e" cm="1">
        <f t="array" ref="DU227">+INDEX(AX227:BF227,MATCH(DT227,AX227:BF227,1)+1)</f>
        <v>#N/A</v>
      </c>
      <c r="DV227" s="267" t="e">
        <f t="shared" si="249"/>
        <v>#N/A</v>
      </c>
      <c r="DW227" s="267" t="e">
        <f t="shared" si="250"/>
        <v>#N/A</v>
      </c>
      <c r="DX227" s="267" t="e">
        <f t="shared" si="251"/>
        <v>#N/A</v>
      </c>
      <c r="DY227" s="267">
        <f t="shared" si="240"/>
        <v>6.8600000000000008E-2</v>
      </c>
      <c r="DZ227" s="205" t="e">
        <f t="shared" si="239"/>
        <v>#N/A</v>
      </c>
      <c r="EA227" s="205">
        <f t="shared" si="180"/>
        <v>0</v>
      </c>
    </row>
    <row r="228" spans="2:131">
      <c r="B228" s="272">
        <v>45538</v>
      </c>
      <c r="C228" s="271">
        <v>45538</v>
      </c>
      <c r="D228" s="263" t="e">
        <f>+SUMIFS(Tabla6[Nominal COP],Tabla6[Concepto],COSTO_OPORTUNIDAD!$B$18,Tabla6[Nemotécnico],COSTO_OPORTUNIDAD!D$16,Tabla6[Fecha Cumplimiento y/ liquidacion],COSTO_OPORTUNIDAD!$C228)/+SUMIFS(Tabla6[Nominal COP],Tabla6[Concepto],COSTO_OPORTUNIDAD!$B$18,Tabla6[Fecha Cumplimiento y/ liquidacion],COSTO_OPORTUNIDAD!$C228)</f>
        <v>#DIV/0!</v>
      </c>
      <c r="E228" s="263" t="e">
        <f>+SUMIFS(Tabla6[Nominal COP],Tabla6[Concepto],COSTO_OPORTUNIDAD!$B$18,Tabla6[Nemotécnico],COSTO_OPORTUNIDAD!E$16,Tabla6[Fecha Cumplimiento y/ liquidacion],COSTO_OPORTUNIDAD!$C228)/+SUMIFS(Tabla6[Nominal COP],Tabla6[Concepto],COSTO_OPORTUNIDAD!$B$18,Tabla6[Fecha Cumplimiento y/ liquidacion],COSTO_OPORTUNIDAD!$C228)</f>
        <v>#DIV/0!</v>
      </c>
      <c r="F228" s="263"/>
      <c r="G228" s="263"/>
      <c r="H228" s="263">
        <v>0</v>
      </c>
      <c r="I228" s="263"/>
      <c r="J228" s="263">
        <v>0.15</v>
      </c>
      <c r="K228" s="263">
        <v>0</v>
      </c>
      <c r="L228" s="263"/>
      <c r="M228" s="263">
        <v>0</v>
      </c>
      <c r="N228" s="263"/>
      <c r="O228" s="263"/>
      <c r="P228" s="263">
        <v>0</v>
      </c>
      <c r="Q228" s="263"/>
      <c r="R228" s="263">
        <v>0</v>
      </c>
      <c r="S228" s="263">
        <v>0.85</v>
      </c>
      <c r="T228" s="263">
        <v>0</v>
      </c>
      <c r="U228" s="263"/>
      <c r="V228" s="263">
        <v>0</v>
      </c>
      <c r="W228" s="263">
        <v>0</v>
      </c>
      <c r="X228" s="263">
        <v>0</v>
      </c>
      <c r="Y228" s="263"/>
      <c r="Z228" s="263">
        <v>0</v>
      </c>
      <c r="AA228" s="263">
        <v>0</v>
      </c>
      <c r="AB228" s="263">
        <v>0</v>
      </c>
      <c r="AC228" s="263"/>
      <c r="AD228" s="263">
        <v>0</v>
      </c>
      <c r="AE228" s="263"/>
      <c r="AF228" s="263"/>
      <c r="AG228" s="262"/>
      <c r="AH228" s="274">
        <f t="shared" si="201"/>
        <v>722</v>
      </c>
      <c r="AI228" s="274">
        <f t="shared" si="202"/>
        <v>1156</v>
      </c>
      <c r="AJ228" s="274">
        <f t="shared" si="203"/>
        <v>1333</v>
      </c>
      <c r="AK228" s="274">
        <f t="shared" si="198"/>
        <v>1814</v>
      </c>
      <c r="AL228" s="274">
        <f t="shared" si="204"/>
        <v>2206</v>
      </c>
      <c r="AM228" s="274">
        <f t="shared" si="205"/>
        <v>2395</v>
      </c>
      <c r="AN228" s="274">
        <f t="shared" si="206"/>
        <v>2857</v>
      </c>
      <c r="AO228" s="274">
        <f t="shared" si="242"/>
        <v>3081</v>
      </c>
      <c r="AP228" s="274">
        <f t="shared" si="207"/>
        <v>3697</v>
      </c>
      <c r="AQ228" s="274"/>
      <c r="AR228" s="274">
        <f t="shared" si="208"/>
        <v>4327</v>
      </c>
      <c r="AS228" s="274">
        <f t="shared" si="199"/>
        <v>5930</v>
      </c>
      <c r="AT228" s="274">
        <f t="shared" si="209"/>
        <v>6476</v>
      </c>
      <c r="AU228" s="274">
        <f t="shared" si="243"/>
        <v>7995</v>
      </c>
      <c r="AV228" s="274">
        <f t="shared" si="210"/>
        <v>9549</v>
      </c>
      <c r="AW228" s="274"/>
      <c r="AX228" s="274">
        <f t="shared" si="211"/>
        <v>246</v>
      </c>
      <c r="AY228" s="274">
        <f t="shared" si="212"/>
        <v>925</v>
      </c>
      <c r="AZ228" s="274">
        <f t="shared" si="213"/>
        <v>1688</v>
      </c>
      <c r="BA228" s="274"/>
      <c r="BB228" s="274">
        <f t="shared" si="214"/>
        <v>3125</v>
      </c>
      <c r="BC228" s="274">
        <f t="shared" si="215"/>
        <v>3865</v>
      </c>
      <c r="BD228" s="274">
        <f t="shared" si="216"/>
        <v>4558</v>
      </c>
      <c r="BE228" s="274"/>
      <c r="BF228" s="274">
        <f t="shared" si="217"/>
        <v>9052</v>
      </c>
      <c r="BG228" s="274"/>
      <c r="BH228" s="274"/>
      <c r="BI228" s="266">
        <f t="shared" si="218"/>
        <v>0</v>
      </c>
      <c r="BJ228" s="266" t="e">
        <f t="shared" si="219"/>
        <v>#DIV/0!</v>
      </c>
      <c r="BK228" s="263" t="str">
        <f t="shared" si="220"/>
        <v/>
      </c>
      <c r="BL228" s="263" t="str">
        <f t="shared" si="221"/>
        <v/>
      </c>
      <c r="BM228" s="263" t="str">
        <f t="shared" si="222"/>
        <v/>
      </c>
      <c r="BN228" s="263"/>
      <c r="BO228" s="263" t="str">
        <f t="shared" si="223"/>
        <v/>
      </c>
      <c r="BP228" s="263" t="str">
        <f t="shared" si="224"/>
        <v/>
      </c>
      <c r="BQ228" s="263" t="str">
        <f t="shared" si="225"/>
        <v/>
      </c>
      <c r="BR228" s="263" t="str">
        <f t="shared" si="226"/>
        <v/>
      </c>
      <c r="BS228" s="263" t="str">
        <f t="shared" si="227"/>
        <v/>
      </c>
      <c r="BT228" s="263" t="str">
        <f t="shared" si="228"/>
        <v/>
      </c>
      <c r="BU228" s="263" t="str">
        <f t="shared" si="229"/>
        <v/>
      </c>
      <c r="BV228" s="263"/>
      <c r="BW228" s="263" t="str">
        <f t="shared" si="230"/>
        <v/>
      </c>
      <c r="BX228" s="263" t="str">
        <f t="shared" si="237"/>
        <v/>
      </c>
      <c r="BY228" s="263" t="str">
        <f t="shared" si="231"/>
        <v/>
      </c>
      <c r="BZ228" s="263"/>
      <c r="CA228" s="263" t="str">
        <f t="shared" si="182"/>
        <v/>
      </c>
      <c r="CB228" s="263" t="str">
        <f t="shared" si="232"/>
        <v/>
      </c>
      <c r="CC228" s="263" t="str">
        <f t="shared" si="183"/>
        <v/>
      </c>
      <c r="CD228" s="263" t="str">
        <f t="shared" si="233"/>
        <v/>
      </c>
      <c r="CE228" s="263" t="str">
        <f t="shared" si="241"/>
        <v/>
      </c>
      <c r="CF228" s="263" t="str">
        <f t="shared" si="184"/>
        <v/>
      </c>
      <c r="CG228" s="263" t="str">
        <f t="shared" si="185"/>
        <v/>
      </c>
      <c r="CH228" s="263"/>
      <c r="CI228" s="263" t="str">
        <f t="shared" si="234"/>
        <v/>
      </c>
      <c r="CJ228" s="263"/>
      <c r="CK228" s="263" t="str">
        <f t="shared" si="235"/>
        <v/>
      </c>
      <c r="CL228" s="264">
        <f t="shared" si="238"/>
        <v>0</v>
      </c>
      <c r="CM228" s="264">
        <f t="shared" si="236"/>
        <v>0</v>
      </c>
      <c r="CO228" s="265">
        <v>8.6500000000000007E-2</v>
      </c>
      <c r="CP228" s="265">
        <v>9.0899999999999995E-2</v>
      </c>
      <c r="CQ228" s="265">
        <v>9.3109999999999998E-2</v>
      </c>
      <c r="CS228" s="265">
        <v>9.6290000000000001E-2</v>
      </c>
      <c r="CT228" s="265">
        <v>9.7769999999999996E-2</v>
      </c>
      <c r="CU228" s="265">
        <v>9.910999999999999E-2</v>
      </c>
      <c r="CV228" s="265">
        <v>0.10037000000000001</v>
      </c>
      <c r="CW228" s="265">
        <v>0.1024</v>
      </c>
      <c r="CY228" s="265">
        <v>0.10528999999999999</v>
      </c>
      <c r="DA228" s="265">
        <v>0.1084</v>
      </c>
      <c r="DB228" s="265">
        <v>0.1119</v>
      </c>
      <c r="DC228" s="265">
        <v>0.10978</v>
      </c>
      <c r="DE228" s="265">
        <v>4.657E-2</v>
      </c>
      <c r="DF228" s="265">
        <v>4.9400000000000006E-2</v>
      </c>
      <c r="DH228" s="265">
        <v>4.87E-2</v>
      </c>
      <c r="DI228" s="265">
        <v>4.9669999999999999E-2</v>
      </c>
      <c r="DJ228" s="265">
        <v>5.0560000000000001E-2</v>
      </c>
      <c r="DL228" s="265">
        <v>4.7899999999999998E-2</v>
      </c>
      <c r="DO228" s="264" t="e">
        <f t="shared" si="244"/>
        <v>#N/A</v>
      </c>
      <c r="DP228" s="264" t="e" cm="1">
        <f t="array" ref="DP228">+INDEX(AH228:AV228,MATCH(DO228,AH228:AV228,1)+1)</f>
        <v>#N/A</v>
      </c>
      <c r="DQ228" s="265" t="e">
        <f t="shared" si="245"/>
        <v>#N/A</v>
      </c>
      <c r="DR228" s="267" t="e">
        <f t="shared" si="246"/>
        <v>#N/A</v>
      </c>
      <c r="DS228" s="267" t="e">
        <f t="shared" si="247"/>
        <v>#N/A</v>
      </c>
      <c r="DT228" s="268" t="e">
        <f t="shared" si="248"/>
        <v>#N/A</v>
      </c>
      <c r="DU228" s="268" t="e" cm="1">
        <f t="array" ref="DU228">+INDEX(AX228:BF228,MATCH(DT228,AX228:BF228,1)+1)</f>
        <v>#N/A</v>
      </c>
      <c r="DV228" s="267" t="e">
        <f t="shared" si="249"/>
        <v>#N/A</v>
      </c>
      <c r="DW228" s="267" t="e">
        <f t="shared" si="250"/>
        <v>#N/A</v>
      </c>
      <c r="DX228" s="267" t="e">
        <f t="shared" si="251"/>
        <v>#N/A</v>
      </c>
      <c r="DY228" s="267">
        <f t="shared" si="240"/>
        <v>6.8600000000000008E-2</v>
      </c>
      <c r="DZ228" s="205" t="e">
        <f t="shared" si="239"/>
        <v>#N/A</v>
      </c>
      <c r="EA228" s="205">
        <f t="shared" si="180"/>
        <v>0</v>
      </c>
    </row>
    <row r="229" spans="2:131">
      <c r="B229" s="272">
        <v>45539</v>
      </c>
      <c r="C229" s="271">
        <v>45539</v>
      </c>
      <c r="D229" s="263" t="e">
        <f>+SUMIFS(Tabla6[Nominal COP],Tabla6[Concepto],COSTO_OPORTUNIDAD!$B$18,Tabla6[Nemotécnico],COSTO_OPORTUNIDAD!D$16,Tabla6[Fecha Cumplimiento y/ liquidacion],COSTO_OPORTUNIDAD!$C229)/+SUMIFS(Tabla6[Nominal COP],Tabla6[Concepto],COSTO_OPORTUNIDAD!$B$18,Tabla6[Fecha Cumplimiento y/ liquidacion],COSTO_OPORTUNIDAD!$C229)</f>
        <v>#DIV/0!</v>
      </c>
      <c r="E229" s="263" t="e">
        <f>+SUMIFS(Tabla6[Nominal COP],Tabla6[Concepto],COSTO_OPORTUNIDAD!$B$18,Tabla6[Nemotécnico],COSTO_OPORTUNIDAD!E$16,Tabla6[Fecha Cumplimiento y/ liquidacion],COSTO_OPORTUNIDAD!$C229)/+SUMIFS(Tabla6[Nominal COP],Tabla6[Concepto],COSTO_OPORTUNIDAD!$B$18,Tabla6[Fecha Cumplimiento y/ liquidacion],COSTO_OPORTUNIDAD!$C229)</f>
        <v>#DIV/0!</v>
      </c>
      <c r="F229" s="263"/>
      <c r="G229" s="263"/>
      <c r="H229" s="263">
        <v>0</v>
      </c>
      <c r="I229" s="263"/>
      <c r="J229" s="263">
        <v>0</v>
      </c>
      <c r="K229" s="263">
        <v>0.16981132075471697</v>
      </c>
      <c r="L229" s="263"/>
      <c r="M229" s="263">
        <v>0</v>
      </c>
      <c r="N229" s="263"/>
      <c r="O229" s="263"/>
      <c r="P229" s="263">
        <v>0</v>
      </c>
      <c r="Q229" s="263"/>
      <c r="R229" s="263">
        <v>0</v>
      </c>
      <c r="S229" s="263">
        <v>0.83018867924528306</v>
      </c>
      <c r="T229" s="263">
        <v>0</v>
      </c>
      <c r="U229" s="263"/>
      <c r="V229" s="263">
        <v>0</v>
      </c>
      <c r="W229" s="263">
        <v>0</v>
      </c>
      <c r="X229" s="263">
        <v>0</v>
      </c>
      <c r="Y229" s="263"/>
      <c r="Z229" s="263">
        <v>0</v>
      </c>
      <c r="AA229" s="263">
        <v>0</v>
      </c>
      <c r="AB229" s="263">
        <v>0</v>
      </c>
      <c r="AC229" s="263"/>
      <c r="AD229" s="263">
        <v>0</v>
      </c>
      <c r="AE229" s="263"/>
      <c r="AF229" s="263"/>
      <c r="AG229" s="262"/>
      <c r="AH229" s="274">
        <f t="shared" si="201"/>
        <v>721</v>
      </c>
      <c r="AI229" s="274">
        <f t="shared" si="202"/>
        <v>1155</v>
      </c>
      <c r="AJ229" s="274">
        <f t="shared" si="203"/>
        <v>1332</v>
      </c>
      <c r="AK229" s="274">
        <f t="shared" si="198"/>
        <v>1813</v>
      </c>
      <c r="AL229" s="274">
        <f t="shared" si="204"/>
        <v>2205</v>
      </c>
      <c r="AM229" s="274">
        <f t="shared" si="205"/>
        <v>2394</v>
      </c>
      <c r="AN229" s="274">
        <f t="shared" si="206"/>
        <v>2856</v>
      </c>
      <c r="AO229" s="274">
        <f t="shared" si="242"/>
        <v>3080</v>
      </c>
      <c r="AP229" s="274">
        <f t="shared" si="207"/>
        <v>3696</v>
      </c>
      <c r="AQ229" s="274"/>
      <c r="AR229" s="274">
        <f t="shared" si="208"/>
        <v>4326</v>
      </c>
      <c r="AS229" s="274">
        <f t="shared" si="199"/>
        <v>5929</v>
      </c>
      <c r="AT229" s="274">
        <f t="shared" si="209"/>
        <v>6475</v>
      </c>
      <c r="AU229" s="274">
        <f t="shared" si="243"/>
        <v>7994</v>
      </c>
      <c r="AV229" s="274">
        <f t="shared" si="210"/>
        <v>9548</v>
      </c>
      <c r="AW229" s="274"/>
      <c r="AX229" s="274">
        <f t="shared" si="211"/>
        <v>245</v>
      </c>
      <c r="AY229" s="274">
        <f t="shared" si="212"/>
        <v>924</v>
      </c>
      <c r="AZ229" s="274">
        <f t="shared" si="213"/>
        <v>1687</v>
      </c>
      <c r="BA229" s="274"/>
      <c r="BB229" s="274">
        <f t="shared" si="214"/>
        <v>3124</v>
      </c>
      <c r="BC229" s="274">
        <f t="shared" si="215"/>
        <v>3864</v>
      </c>
      <c r="BD229" s="274">
        <f t="shared" si="216"/>
        <v>4557</v>
      </c>
      <c r="BE229" s="274"/>
      <c r="BF229" s="274">
        <f t="shared" si="217"/>
        <v>9051</v>
      </c>
      <c r="BG229" s="274"/>
      <c r="BH229" s="274"/>
      <c r="BI229" s="266">
        <f t="shared" si="218"/>
        <v>0</v>
      </c>
      <c r="BJ229" s="266" t="e">
        <f t="shared" si="219"/>
        <v>#DIV/0!</v>
      </c>
      <c r="BK229" s="263" t="str">
        <f t="shared" si="220"/>
        <v/>
      </c>
      <c r="BL229" s="263" t="str">
        <f t="shared" si="221"/>
        <v/>
      </c>
      <c r="BM229" s="263" t="str">
        <f t="shared" si="222"/>
        <v/>
      </c>
      <c r="BN229" s="263"/>
      <c r="BO229" s="263" t="str">
        <f t="shared" si="223"/>
        <v/>
      </c>
      <c r="BP229" s="263" t="str">
        <f t="shared" si="224"/>
        <v/>
      </c>
      <c r="BQ229" s="263" t="str">
        <f t="shared" si="225"/>
        <v/>
      </c>
      <c r="BR229" s="263" t="str">
        <f t="shared" si="226"/>
        <v/>
      </c>
      <c r="BS229" s="263" t="str">
        <f t="shared" si="227"/>
        <v/>
      </c>
      <c r="BT229" s="263" t="str">
        <f t="shared" si="228"/>
        <v/>
      </c>
      <c r="BU229" s="263" t="str">
        <f t="shared" si="229"/>
        <v/>
      </c>
      <c r="BV229" s="263"/>
      <c r="BW229" s="263" t="str">
        <f t="shared" si="230"/>
        <v/>
      </c>
      <c r="BX229" s="263" t="str">
        <f t="shared" si="237"/>
        <v/>
      </c>
      <c r="BY229" s="263" t="str">
        <f t="shared" si="231"/>
        <v/>
      </c>
      <c r="BZ229" s="263"/>
      <c r="CA229" s="263" t="str">
        <f t="shared" si="182"/>
        <v/>
      </c>
      <c r="CB229" s="263" t="str">
        <f t="shared" si="232"/>
        <v/>
      </c>
      <c r="CC229" s="263" t="str">
        <f t="shared" si="183"/>
        <v/>
      </c>
      <c r="CD229" s="263" t="str">
        <f t="shared" si="233"/>
        <v/>
      </c>
      <c r="CE229" s="263" t="str">
        <f t="shared" si="241"/>
        <v/>
      </c>
      <c r="CF229" s="263" t="str">
        <f t="shared" si="184"/>
        <v/>
      </c>
      <c r="CG229" s="263" t="str">
        <f t="shared" si="185"/>
        <v/>
      </c>
      <c r="CH229" s="263"/>
      <c r="CI229" s="263" t="str">
        <f t="shared" si="234"/>
        <v/>
      </c>
      <c r="CJ229" s="263"/>
      <c r="CK229" s="263" t="str">
        <f t="shared" si="235"/>
        <v/>
      </c>
      <c r="CL229" s="264">
        <f t="shared" si="238"/>
        <v>0</v>
      </c>
      <c r="CM229" s="264">
        <f t="shared" si="236"/>
        <v>0</v>
      </c>
      <c r="CO229" s="265">
        <v>8.6649999999999991E-2</v>
      </c>
      <c r="CP229" s="265">
        <v>9.11E-2</v>
      </c>
      <c r="CQ229" s="265">
        <v>9.2799999999999994E-2</v>
      </c>
      <c r="CS229" s="265">
        <v>9.6320000000000003E-2</v>
      </c>
      <c r="CT229" s="265">
        <v>9.8049999999999998E-2</v>
      </c>
      <c r="CU229" s="265">
        <v>9.9600000000000008E-2</v>
      </c>
      <c r="CV229" s="265">
        <v>0.1011</v>
      </c>
      <c r="CW229" s="265">
        <v>0.10268000000000001</v>
      </c>
      <c r="CY229" s="265">
        <v>0.10571</v>
      </c>
      <c r="DA229" s="265">
        <v>0.10890000000000001</v>
      </c>
      <c r="DB229" s="265">
        <v>0.11210000000000001</v>
      </c>
      <c r="DC229" s="265">
        <v>0.10955999999999999</v>
      </c>
      <c r="DE229" s="265">
        <v>4.5769999999999998E-2</v>
      </c>
      <c r="DF229" s="265">
        <v>4.9349999999999998E-2</v>
      </c>
      <c r="DH229" s="265">
        <v>4.938E-2</v>
      </c>
      <c r="DI229" s="265">
        <v>4.9200000000000001E-2</v>
      </c>
      <c r="DJ229" s="265">
        <v>4.9699999999999994E-2</v>
      </c>
      <c r="DL229" s="265">
        <v>4.761E-2</v>
      </c>
      <c r="DO229" s="264" t="e">
        <f t="shared" si="244"/>
        <v>#N/A</v>
      </c>
      <c r="DP229" s="264" t="e" cm="1">
        <f t="array" ref="DP229">+INDEX(AH229:AV229,MATCH(DO229,AH229:AV229,1)+1)</f>
        <v>#N/A</v>
      </c>
      <c r="DQ229" s="265" t="e">
        <f t="shared" si="245"/>
        <v>#N/A</v>
      </c>
      <c r="DR229" s="267" t="e">
        <f t="shared" si="246"/>
        <v>#N/A</v>
      </c>
      <c r="DS229" s="267" t="e">
        <f t="shared" si="247"/>
        <v>#N/A</v>
      </c>
      <c r="DT229" s="268" t="e">
        <f t="shared" si="248"/>
        <v>#N/A</v>
      </c>
      <c r="DU229" s="268" t="e" cm="1">
        <f t="array" ref="DU229">+INDEX(AX229:BF229,MATCH(DT229,AX229:BF229,1)+1)</f>
        <v>#N/A</v>
      </c>
      <c r="DV229" s="267" t="e">
        <f t="shared" si="249"/>
        <v>#N/A</v>
      </c>
      <c r="DW229" s="267" t="e">
        <f t="shared" si="250"/>
        <v>#N/A</v>
      </c>
      <c r="DX229" s="267" t="e">
        <f t="shared" si="251"/>
        <v>#N/A</v>
      </c>
      <c r="DY229" s="267">
        <f t="shared" si="240"/>
        <v>6.8600000000000008E-2</v>
      </c>
      <c r="DZ229" s="205" t="e">
        <f t="shared" si="239"/>
        <v>#N/A</v>
      </c>
      <c r="EA229" s="205">
        <f t="shared" si="180"/>
        <v>0</v>
      </c>
    </row>
    <row r="230" spans="2:131">
      <c r="B230" s="272">
        <v>45540</v>
      </c>
      <c r="C230" s="271">
        <v>45540</v>
      </c>
      <c r="D230" s="263" t="e">
        <f>+SUMIFS(Tabla6[Nominal COP],Tabla6[Concepto],COSTO_OPORTUNIDAD!$B$18,Tabla6[Nemotécnico],COSTO_OPORTUNIDAD!D$16,Tabla6[Fecha Cumplimiento y/ liquidacion],COSTO_OPORTUNIDAD!$C230)/+SUMIFS(Tabla6[Nominal COP],Tabla6[Concepto],COSTO_OPORTUNIDAD!$B$18,Tabla6[Fecha Cumplimiento y/ liquidacion],COSTO_OPORTUNIDAD!$C230)</f>
        <v>#DIV/0!</v>
      </c>
      <c r="E230" s="263" t="e">
        <f>+SUMIFS(Tabla6[Nominal COP],Tabla6[Concepto],COSTO_OPORTUNIDAD!$B$18,Tabla6[Nemotécnico],COSTO_OPORTUNIDAD!E$16,Tabla6[Fecha Cumplimiento y/ liquidacion],COSTO_OPORTUNIDAD!$C230)/+SUMIFS(Tabla6[Nominal COP],Tabla6[Concepto],COSTO_OPORTUNIDAD!$B$18,Tabla6[Fecha Cumplimiento y/ liquidacion],COSTO_OPORTUNIDAD!$C230)</f>
        <v>#DIV/0!</v>
      </c>
      <c r="F230" s="263"/>
      <c r="G230" s="263"/>
      <c r="H230" s="263">
        <v>0</v>
      </c>
      <c r="I230" s="263"/>
      <c r="J230" s="263">
        <v>0</v>
      </c>
      <c r="K230" s="263">
        <v>0.15</v>
      </c>
      <c r="L230" s="263"/>
      <c r="M230" s="263">
        <v>0</v>
      </c>
      <c r="N230" s="263"/>
      <c r="O230" s="263"/>
      <c r="P230" s="263">
        <v>0</v>
      </c>
      <c r="Q230" s="263"/>
      <c r="R230" s="263">
        <v>0</v>
      </c>
      <c r="S230" s="263">
        <v>0.85</v>
      </c>
      <c r="T230" s="263">
        <v>0</v>
      </c>
      <c r="U230" s="263"/>
      <c r="V230" s="263">
        <v>0</v>
      </c>
      <c r="W230" s="263">
        <v>0</v>
      </c>
      <c r="X230" s="263">
        <v>0</v>
      </c>
      <c r="Y230" s="263"/>
      <c r="Z230" s="263">
        <v>0</v>
      </c>
      <c r="AA230" s="263">
        <v>0</v>
      </c>
      <c r="AB230" s="263">
        <v>0</v>
      </c>
      <c r="AC230" s="263"/>
      <c r="AD230" s="263">
        <v>0</v>
      </c>
      <c r="AE230" s="263"/>
      <c r="AF230" s="263"/>
      <c r="AG230" s="262"/>
      <c r="AH230" s="274">
        <f t="shared" si="201"/>
        <v>720</v>
      </c>
      <c r="AI230" s="274">
        <f t="shared" si="202"/>
        <v>1154</v>
      </c>
      <c r="AJ230" s="274">
        <f t="shared" si="203"/>
        <v>1331</v>
      </c>
      <c r="AK230" s="274">
        <f t="shared" si="198"/>
        <v>1812</v>
      </c>
      <c r="AL230" s="274">
        <f t="shared" si="204"/>
        <v>2204</v>
      </c>
      <c r="AM230" s="274">
        <f t="shared" si="205"/>
        <v>2393</v>
      </c>
      <c r="AN230" s="274">
        <f t="shared" si="206"/>
        <v>2855</v>
      </c>
      <c r="AO230" s="274">
        <f t="shared" si="242"/>
        <v>3079</v>
      </c>
      <c r="AP230" s="274">
        <f t="shared" si="207"/>
        <v>3695</v>
      </c>
      <c r="AQ230" s="274"/>
      <c r="AR230" s="274">
        <f t="shared" si="208"/>
        <v>4325</v>
      </c>
      <c r="AS230" s="274">
        <f t="shared" si="199"/>
        <v>5928</v>
      </c>
      <c r="AT230" s="274">
        <f t="shared" si="209"/>
        <v>6474</v>
      </c>
      <c r="AU230" s="274">
        <f t="shared" si="243"/>
        <v>7993</v>
      </c>
      <c r="AV230" s="274">
        <f t="shared" si="210"/>
        <v>9547</v>
      </c>
      <c r="AW230" s="274"/>
      <c r="AX230" s="274">
        <f t="shared" si="211"/>
        <v>244</v>
      </c>
      <c r="AY230" s="274">
        <f t="shared" si="212"/>
        <v>923</v>
      </c>
      <c r="AZ230" s="274">
        <f t="shared" si="213"/>
        <v>1686</v>
      </c>
      <c r="BA230" s="274"/>
      <c r="BB230" s="274">
        <f t="shared" si="214"/>
        <v>3123</v>
      </c>
      <c r="BC230" s="274">
        <f t="shared" si="215"/>
        <v>3863</v>
      </c>
      <c r="BD230" s="274">
        <f t="shared" si="216"/>
        <v>4556</v>
      </c>
      <c r="BE230" s="274"/>
      <c r="BF230" s="274">
        <f t="shared" si="217"/>
        <v>9050</v>
      </c>
      <c r="BG230" s="274"/>
      <c r="BH230" s="274"/>
      <c r="BI230" s="266">
        <f t="shared" si="218"/>
        <v>0</v>
      </c>
      <c r="BJ230" s="266" t="e">
        <f t="shared" si="219"/>
        <v>#DIV/0!</v>
      </c>
      <c r="BK230" s="263" t="str">
        <f t="shared" si="220"/>
        <v/>
      </c>
      <c r="BL230" s="263" t="str">
        <f t="shared" si="221"/>
        <v/>
      </c>
      <c r="BM230" s="263" t="str">
        <f t="shared" si="222"/>
        <v/>
      </c>
      <c r="BN230" s="263"/>
      <c r="BO230" s="263" t="str">
        <f t="shared" si="223"/>
        <v/>
      </c>
      <c r="BP230" s="263" t="str">
        <f t="shared" si="224"/>
        <v/>
      </c>
      <c r="BQ230" s="263" t="str">
        <f t="shared" si="225"/>
        <v/>
      </c>
      <c r="BR230" s="263" t="str">
        <f t="shared" si="226"/>
        <v/>
      </c>
      <c r="BS230" s="263" t="str">
        <f t="shared" si="227"/>
        <v/>
      </c>
      <c r="BT230" s="263" t="str">
        <f t="shared" si="228"/>
        <v/>
      </c>
      <c r="BU230" s="263" t="str">
        <f t="shared" si="229"/>
        <v/>
      </c>
      <c r="BV230" s="263"/>
      <c r="BW230" s="263" t="str">
        <f t="shared" si="230"/>
        <v/>
      </c>
      <c r="BX230" s="263" t="str">
        <f t="shared" si="237"/>
        <v/>
      </c>
      <c r="BY230" s="263" t="str">
        <f t="shared" si="231"/>
        <v/>
      </c>
      <c r="BZ230" s="263"/>
      <c r="CA230" s="263" t="str">
        <f t="shared" si="182"/>
        <v/>
      </c>
      <c r="CB230" s="263" t="str">
        <f t="shared" si="232"/>
        <v/>
      </c>
      <c r="CC230" s="263" t="str">
        <f t="shared" si="183"/>
        <v/>
      </c>
      <c r="CD230" s="263" t="str">
        <f t="shared" si="233"/>
        <v/>
      </c>
      <c r="CE230" s="263" t="str">
        <f t="shared" si="241"/>
        <v/>
      </c>
      <c r="CF230" s="263" t="str">
        <f t="shared" si="184"/>
        <v/>
      </c>
      <c r="CG230" s="263" t="str">
        <f t="shared" si="185"/>
        <v/>
      </c>
      <c r="CH230" s="263"/>
      <c r="CI230" s="263" t="str">
        <f t="shared" si="234"/>
        <v/>
      </c>
      <c r="CJ230" s="263"/>
      <c r="CK230" s="263" t="str">
        <f t="shared" si="235"/>
        <v/>
      </c>
      <c r="CL230" s="264">
        <f t="shared" si="238"/>
        <v>0</v>
      </c>
      <c r="CM230" s="264">
        <f t="shared" si="236"/>
        <v>0</v>
      </c>
      <c r="CO230" s="265">
        <v>8.609E-2</v>
      </c>
      <c r="CP230" s="265">
        <v>9.0999999999999998E-2</v>
      </c>
      <c r="CQ230" s="265">
        <v>9.2699999999999991E-2</v>
      </c>
      <c r="CS230" s="265">
        <v>9.6000000000000002E-2</v>
      </c>
      <c r="CT230" s="265">
        <v>9.7599999999999992E-2</v>
      </c>
      <c r="CU230" s="265">
        <v>9.9360000000000004E-2</v>
      </c>
      <c r="CV230" s="265">
        <v>0.10086000000000001</v>
      </c>
      <c r="CW230" s="265">
        <v>0.10205</v>
      </c>
      <c r="CY230" s="265">
        <v>0.10489000000000001</v>
      </c>
      <c r="DA230" s="265">
        <v>0.10851000000000001</v>
      </c>
      <c r="DB230" s="265">
        <v>0.11196999999999999</v>
      </c>
      <c r="DC230" s="265">
        <v>0.10962</v>
      </c>
      <c r="DE230" s="265">
        <v>4.5400000000000003E-2</v>
      </c>
      <c r="DF230" s="265">
        <v>4.8849999999999998E-2</v>
      </c>
      <c r="DH230" s="265">
        <v>4.9249999999999995E-2</v>
      </c>
      <c r="DI230" s="265">
        <v>4.9299999999999997E-2</v>
      </c>
      <c r="DJ230" s="265">
        <v>5.0099999999999999E-2</v>
      </c>
      <c r="DL230" s="265">
        <v>4.7800000000000002E-2</v>
      </c>
      <c r="DO230" s="264" t="e">
        <f t="shared" si="244"/>
        <v>#N/A</v>
      </c>
      <c r="DP230" s="264" t="e" cm="1">
        <f t="array" ref="DP230">+INDEX(AH230:AV230,MATCH(DO230,AH230:AV230,1)+1)</f>
        <v>#N/A</v>
      </c>
      <c r="DQ230" s="265" t="e">
        <f t="shared" si="245"/>
        <v>#N/A</v>
      </c>
      <c r="DR230" s="267" t="e">
        <f t="shared" si="246"/>
        <v>#N/A</v>
      </c>
      <c r="DS230" s="267" t="e">
        <f t="shared" si="247"/>
        <v>#N/A</v>
      </c>
      <c r="DT230" s="268" t="e">
        <f t="shared" si="248"/>
        <v>#N/A</v>
      </c>
      <c r="DU230" s="268" t="e" cm="1">
        <f t="array" ref="DU230">+INDEX(AX230:BF230,MATCH(DT230,AX230:BF230,1)+1)</f>
        <v>#N/A</v>
      </c>
      <c r="DV230" s="267" t="e">
        <f t="shared" si="249"/>
        <v>#N/A</v>
      </c>
      <c r="DW230" s="267" t="e">
        <f t="shared" si="250"/>
        <v>#N/A</v>
      </c>
      <c r="DX230" s="267" t="e">
        <f t="shared" si="251"/>
        <v>#N/A</v>
      </c>
      <c r="DY230" s="267">
        <f t="shared" si="240"/>
        <v>6.8600000000000008E-2</v>
      </c>
      <c r="DZ230" s="205" t="e">
        <f t="shared" si="239"/>
        <v>#N/A</v>
      </c>
      <c r="EA230" s="205">
        <f t="shared" si="180"/>
        <v>0</v>
      </c>
    </row>
    <row r="231" spans="2:131">
      <c r="B231" s="272">
        <v>45541</v>
      </c>
      <c r="C231" s="271">
        <v>45541</v>
      </c>
      <c r="D231" s="263" t="e">
        <f>+SUMIFS(Tabla6[Nominal COP],Tabla6[Concepto],COSTO_OPORTUNIDAD!$B$18,Tabla6[Nemotécnico],COSTO_OPORTUNIDAD!D$16,Tabla6[Fecha Cumplimiento y/ liquidacion],COSTO_OPORTUNIDAD!$C231)/+SUMIFS(Tabla6[Nominal COP],Tabla6[Concepto],COSTO_OPORTUNIDAD!$B$18,Tabla6[Fecha Cumplimiento y/ liquidacion],COSTO_OPORTUNIDAD!$C231)</f>
        <v>#DIV/0!</v>
      </c>
      <c r="E231" s="263" t="e">
        <f>+SUMIFS(Tabla6[Nominal COP],Tabla6[Concepto],COSTO_OPORTUNIDAD!$B$18,Tabla6[Nemotécnico],COSTO_OPORTUNIDAD!E$16,Tabla6[Fecha Cumplimiento y/ liquidacion],COSTO_OPORTUNIDAD!$C231)/+SUMIFS(Tabla6[Nominal COP],Tabla6[Concepto],COSTO_OPORTUNIDAD!$B$18,Tabla6[Fecha Cumplimiento y/ liquidacion],COSTO_OPORTUNIDAD!$C231)</f>
        <v>#DIV/0!</v>
      </c>
      <c r="F231" s="263"/>
      <c r="G231" s="263"/>
      <c r="H231" s="263">
        <v>0</v>
      </c>
      <c r="I231" s="263"/>
      <c r="J231" s="263">
        <v>9.8039215686274508E-2</v>
      </c>
      <c r="K231" s="263">
        <v>9.8039215686274508E-2</v>
      </c>
      <c r="L231" s="263"/>
      <c r="M231" s="263">
        <v>0</v>
      </c>
      <c r="N231" s="263"/>
      <c r="O231" s="263"/>
      <c r="P231" s="263">
        <v>0</v>
      </c>
      <c r="Q231" s="263"/>
      <c r="R231" s="263">
        <v>0</v>
      </c>
      <c r="S231" s="263">
        <v>0.80392156862745101</v>
      </c>
      <c r="T231" s="263">
        <v>0</v>
      </c>
      <c r="U231" s="263"/>
      <c r="V231" s="263">
        <v>0</v>
      </c>
      <c r="W231" s="263">
        <v>0</v>
      </c>
      <c r="X231" s="263">
        <v>0</v>
      </c>
      <c r="Y231" s="263"/>
      <c r="Z231" s="263">
        <v>0</v>
      </c>
      <c r="AA231" s="263">
        <v>0</v>
      </c>
      <c r="AB231" s="263">
        <v>0</v>
      </c>
      <c r="AC231" s="263"/>
      <c r="AD231" s="263">
        <v>0</v>
      </c>
      <c r="AE231" s="263"/>
      <c r="AF231" s="263"/>
      <c r="AG231" s="262"/>
      <c r="AH231" s="274">
        <f t="shared" si="201"/>
        <v>719</v>
      </c>
      <c r="AI231" s="274">
        <f t="shared" si="202"/>
        <v>1153</v>
      </c>
      <c r="AJ231" s="274">
        <f t="shared" si="203"/>
        <v>1330</v>
      </c>
      <c r="AK231" s="274">
        <f t="shared" si="198"/>
        <v>1811</v>
      </c>
      <c r="AL231" s="274">
        <f t="shared" si="204"/>
        <v>2203</v>
      </c>
      <c r="AM231" s="274">
        <f t="shared" si="205"/>
        <v>2392</v>
      </c>
      <c r="AN231" s="274">
        <f t="shared" si="206"/>
        <v>2854</v>
      </c>
      <c r="AO231" s="274">
        <f t="shared" si="242"/>
        <v>3078</v>
      </c>
      <c r="AP231" s="274">
        <f t="shared" si="207"/>
        <v>3694</v>
      </c>
      <c r="AQ231" s="274"/>
      <c r="AR231" s="274">
        <f t="shared" si="208"/>
        <v>4324</v>
      </c>
      <c r="AS231" s="274">
        <f t="shared" si="199"/>
        <v>5927</v>
      </c>
      <c r="AT231" s="274">
        <f t="shared" si="209"/>
        <v>6473</v>
      </c>
      <c r="AU231" s="274">
        <f t="shared" si="243"/>
        <v>7992</v>
      </c>
      <c r="AV231" s="274">
        <f t="shared" si="210"/>
        <v>9546</v>
      </c>
      <c r="AW231" s="274"/>
      <c r="AX231" s="274">
        <f t="shared" si="211"/>
        <v>243</v>
      </c>
      <c r="AY231" s="274">
        <f t="shared" si="212"/>
        <v>922</v>
      </c>
      <c r="AZ231" s="274">
        <f t="shared" si="213"/>
        <v>1685</v>
      </c>
      <c r="BA231" s="274"/>
      <c r="BB231" s="274">
        <f t="shared" si="214"/>
        <v>3122</v>
      </c>
      <c r="BC231" s="274">
        <f t="shared" si="215"/>
        <v>3862</v>
      </c>
      <c r="BD231" s="274">
        <f t="shared" si="216"/>
        <v>4555</v>
      </c>
      <c r="BE231" s="274"/>
      <c r="BF231" s="274">
        <f t="shared" si="217"/>
        <v>9049</v>
      </c>
      <c r="BG231" s="274"/>
      <c r="BH231" s="274"/>
      <c r="BI231" s="266">
        <f t="shared" si="218"/>
        <v>0</v>
      </c>
      <c r="BJ231" s="266" t="e">
        <f t="shared" si="219"/>
        <v>#DIV/0!</v>
      </c>
      <c r="BK231" s="263" t="str">
        <f t="shared" si="220"/>
        <v/>
      </c>
      <c r="BL231" s="263" t="str">
        <f t="shared" si="221"/>
        <v/>
      </c>
      <c r="BM231" s="263" t="str">
        <f t="shared" si="222"/>
        <v/>
      </c>
      <c r="BN231" s="263"/>
      <c r="BO231" s="263" t="str">
        <f t="shared" si="223"/>
        <v/>
      </c>
      <c r="BP231" s="263" t="str">
        <f t="shared" si="224"/>
        <v/>
      </c>
      <c r="BQ231" s="263" t="str">
        <f t="shared" si="225"/>
        <v/>
      </c>
      <c r="BR231" s="263" t="str">
        <f t="shared" si="226"/>
        <v/>
      </c>
      <c r="BS231" s="263" t="str">
        <f t="shared" si="227"/>
        <v/>
      </c>
      <c r="BT231" s="263" t="str">
        <f t="shared" si="228"/>
        <v/>
      </c>
      <c r="BU231" s="263" t="str">
        <f t="shared" si="229"/>
        <v/>
      </c>
      <c r="BV231" s="263"/>
      <c r="BW231" s="263" t="str">
        <f t="shared" si="230"/>
        <v/>
      </c>
      <c r="BX231" s="263" t="str">
        <f t="shared" si="237"/>
        <v/>
      </c>
      <c r="BY231" s="263" t="str">
        <f t="shared" si="231"/>
        <v/>
      </c>
      <c r="BZ231" s="263"/>
      <c r="CA231" s="263" t="str">
        <f t="shared" si="182"/>
        <v/>
      </c>
      <c r="CB231" s="263" t="str">
        <f t="shared" si="232"/>
        <v/>
      </c>
      <c r="CC231" s="263" t="str">
        <f t="shared" si="183"/>
        <v/>
      </c>
      <c r="CD231" s="263" t="str">
        <f t="shared" si="233"/>
        <v/>
      </c>
      <c r="CE231" s="263" t="str">
        <f t="shared" si="241"/>
        <v/>
      </c>
      <c r="CF231" s="263" t="str">
        <f t="shared" si="184"/>
        <v/>
      </c>
      <c r="CG231" s="263" t="str">
        <f t="shared" si="185"/>
        <v/>
      </c>
      <c r="CH231" s="263"/>
      <c r="CI231" s="263" t="str">
        <f t="shared" si="234"/>
        <v/>
      </c>
      <c r="CJ231" s="263"/>
      <c r="CK231" s="263" t="str">
        <f t="shared" si="235"/>
        <v/>
      </c>
      <c r="CL231" s="264">
        <f t="shared" si="238"/>
        <v>0</v>
      </c>
      <c r="CM231" s="264">
        <f t="shared" si="236"/>
        <v>0</v>
      </c>
      <c r="CO231" s="265">
        <v>8.3519999999999997E-2</v>
      </c>
      <c r="CP231" s="265">
        <v>8.9389999999999997E-2</v>
      </c>
      <c r="CQ231" s="265">
        <v>9.0950000000000003E-2</v>
      </c>
      <c r="CS231" s="265">
        <v>9.4170000000000004E-2</v>
      </c>
      <c r="CT231" s="265">
        <v>9.5799999999999996E-2</v>
      </c>
      <c r="CU231" s="265">
        <v>9.8110000000000003E-2</v>
      </c>
      <c r="CV231" s="265">
        <v>9.9100000000000008E-2</v>
      </c>
      <c r="CW231" s="265">
        <v>0.10122</v>
      </c>
      <c r="CY231" s="265">
        <v>0.10357</v>
      </c>
      <c r="DA231" s="265">
        <v>0.10757</v>
      </c>
      <c r="DB231" s="265">
        <v>0.11130000000000001</v>
      </c>
      <c r="DC231" s="265">
        <v>0.10835</v>
      </c>
      <c r="DE231" s="265">
        <v>4.5499999999999999E-2</v>
      </c>
      <c r="DF231" s="265">
        <v>4.9100000000000005E-2</v>
      </c>
      <c r="DH231" s="265">
        <v>4.9850000000000005E-2</v>
      </c>
      <c r="DI231" s="265">
        <v>4.9500000000000002E-2</v>
      </c>
      <c r="DJ231" s="265">
        <v>5.0629999999999994E-2</v>
      </c>
      <c r="DL231" s="265">
        <v>4.8000000000000001E-2</v>
      </c>
      <c r="DO231" s="264" t="e">
        <f t="shared" si="244"/>
        <v>#N/A</v>
      </c>
      <c r="DP231" s="264" t="e" cm="1">
        <f t="array" ref="DP231">+INDEX(AH231:AV231,MATCH(DO231,AH231:AV231,1)+1)</f>
        <v>#N/A</v>
      </c>
      <c r="DQ231" s="265" t="e">
        <f t="shared" si="245"/>
        <v>#N/A</v>
      </c>
      <c r="DR231" s="267" t="e">
        <f t="shared" si="246"/>
        <v>#N/A</v>
      </c>
      <c r="DS231" s="267" t="e">
        <f t="shared" si="247"/>
        <v>#N/A</v>
      </c>
      <c r="DT231" s="268" t="e">
        <f t="shared" si="248"/>
        <v>#N/A</v>
      </c>
      <c r="DU231" s="268" t="e" cm="1">
        <f t="array" ref="DU231">+INDEX(AX231:BF231,MATCH(DT231,AX231:BF231,1)+1)</f>
        <v>#N/A</v>
      </c>
      <c r="DV231" s="267" t="e">
        <f t="shared" si="249"/>
        <v>#N/A</v>
      </c>
      <c r="DW231" s="267" t="e">
        <f t="shared" si="250"/>
        <v>#N/A</v>
      </c>
      <c r="DX231" s="267" t="e">
        <f t="shared" si="251"/>
        <v>#N/A</v>
      </c>
      <c r="DY231" s="267">
        <f t="shared" si="240"/>
        <v>6.8600000000000008E-2</v>
      </c>
      <c r="DZ231" s="205" t="e">
        <f t="shared" si="239"/>
        <v>#N/A</v>
      </c>
      <c r="EA231" s="205">
        <f t="shared" si="180"/>
        <v>0</v>
      </c>
    </row>
    <row r="232" spans="2:131">
      <c r="B232" s="272">
        <v>45544</v>
      </c>
      <c r="C232" s="271">
        <v>45544</v>
      </c>
      <c r="D232" s="263" t="e">
        <f>+SUMIFS(Tabla6[Nominal COP],Tabla6[Concepto],COSTO_OPORTUNIDAD!$B$18,Tabla6[Nemotécnico],COSTO_OPORTUNIDAD!D$16,Tabla6[Fecha Cumplimiento y/ liquidacion],COSTO_OPORTUNIDAD!$C232)/+SUMIFS(Tabla6[Nominal COP],Tabla6[Concepto],COSTO_OPORTUNIDAD!$B$18,Tabla6[Fecha Cumplimiento y/ liquidacion],COSTO_OPORTUNIDAD!$C232)</f>
        <v>#DIV/0!</v>
      </c>
      <c r="E232" s="263" t="e">
        <f>+SUMIFS(Tabla6[Nominal COP],Tabla6[Concepto],COSTO_OPORTUNIDAD!$B$18,Tabla6[Nemotécnico],COSTO_OPORTUNIDAD!E$16,Tabla6[Fecha Cumplimiento y/ liquidacion],COSTO_OPORTUNIDAD!$C232)/+SUMIFS(Tabla6[Nominal COP],Tabla6[Concepto],COSTO_OPORTUNIDAD!$B$18,Tabla6[Fecha Cumplimiento y/ liquidacion],COSTO_OPORTUNIDAD!$C232)</f>
        <v>#DIV/0!</v>
      </c>
      <c r="F232" s="263"/>
      <c r="G232" s="263"/>
      <c r="H232" s="263">
        <v>0</v>
      </c>
      <c r="I232" s="263"/>
      <c r="J232" s="263">
        <v>0</v>
      </c>
      <c r="K232" s="263">
        <v>0.15</v>
      </c>
      <c r="L232" s="263"/>
      <c r="M232" s="263">
        <v>0</v>
      </c>
      <c r="N232" s="263"/>
      <c r="O232" s="263"/>
      <c r="P232" s="263">
        <v>0</v>
      </c>
      <c r="Q232" s="263"/>
      <c r="R232" s="263">
        <v>0</v>
      </c>
      <c r="S232" s="263">
        <v>0.85</v>
      </c>
      <c r="T232" s="263">
        <v>0</v>
      </c>
      <c r="U232" s="263"/>
      <c r="V232" s="263">
        <v>0</v>
      </c>
      <c r="W232" s="263">
        <v>0</v>
      </c>
      <c r="X232" s="263">
        <v>0</v>
      </c>
      <c r="Y232" s="263"/>
      <c r="Z232" s="263">
        <v>0</v>
      </c>
      <c r="AA232" s="263">
        <v>0</v>
      </c>
      <c r="AB232" s="263">
        <v>0</v>
      </c>
      <c r="AC232" s="263"/>
      <c r="AD232" s="263">
        <v>0</v>
      </c>
      <c r="AE232" s="263"/>
      <c r="AF232" s="263"/>
      <c r="AG232" s="262"/>
      <c r="AH232" s="274">
        <f t="shared" si="201"/>
        <v>716</v>
      </c>
      <c r="AI232" s="274">
        <f t="shared" si="202"/>
        <v>1150</v>
      </c>
      <c r="AJ232" s="274">
        <f t="shared" si="203"/>
        <v>1327</v>
      </c>
      <c r="AK232" s="274">
        <f t="shared" si="198"/>
        <v>1808</v>
      </c>
      <c r="AL232" s="274">
        <f t="shared" si="204"/>
        <v>2200</v>
      </c>
      <c r="AM232" s="274">
        <f t="shared" si="205"/>
        <v>2389</v>
      </c>
      <c r="AN232" s="274">
        <f t="shared" si="206"/>
        <v>2851</v>
      </c>
      <c r="AO232" s="274">
        <f t="shared" si="242"/>
        <v>3075</v>
      </c>
      <c r="AP232" s="274">
        <f t="shared" si="207"/>
        <v>3691</v>
      </c>
      <c r="AQ232" s="274"/>
      <c r="AR232" s="274">
        <f t="shared" si="208"/>
        <v>4321</v>
      </c>
      <c r="AS232" s="274">
        <f t="shared" si="199"/>
        <v>5924</v>
      </c>
      <c r="AT232" s="274">
        <f t="shared" si="209"/>
        <v>6470</v>
      </c>
      <c r="AU232" s="274">
        <f t="shared" si="243"/>
        <v>7989</v>
      </c>
      <c r="AV232" s="274">
        <f t="shared" si="210"/>
        <v>9543</v>
      </c>
      <c r="AW232" s="274"/>
      <c r="AX232" s="274">
        <f t="shared" si="211"/>
        <v>240</v>
      </c>
      <c r="AY232" s="274">
        <f t="shared" si="212"/>
        <v>919</v>
      </c>
      <c r="AZ232" s="274">
        <f t="shared" si="213"/>
        <v>1682</v>
      </c>
      <c r="BA232" s="274"/>
      <c r="BB232" s="274">
        <f t="shared" si="214"/>
        <v>3119</v>
      </c>
      <c r="BC232" s="274">
        <f t="shared" si="215"/>
        <v>3859</v>
      </c>
      <c r="BD232" s="274">
        <f t="shared" si="216"/>
        <v>4552</v>
      </c>
      <c r="BE232" s="274"/>
      <c r="BF232" s="274">
        <f t="shared" si="217"/>
        <v>9046</v>
      </c>
      <c r="BG232" s="274"/>
      <c r="BH232" s="274"/>
      <c r="BI232" s="266">
        <f t="shared" si="218"/>
        <v>0</v>
      </c>
      <c r="BJ232" s="266" t="e">
        <f t="shared" si="219"/>
        <v>#DIV/0!</v>
      </c>
      <c r="BK232" s="263" t="str">
        <f t="shared" si="220"/>
        <v/>
      </c>
      <c r="BL232" s="263" t="str">
        <f t="shared" si="221"/>
        <v/>
      </c>
      <c r="BM232" s="263" t="str">
        <f t="shared" si="222"/>
        <v/>
      </c>
      <c r="BN232" s="263"/>
      <c r="BO232" s="263" t="str">
        <f t="shared" si="223"/>
        <v/>
      </c>
      <c r="BP232" s="263" t="str">
        <f t="shared" si="224"/>
        <v/>
      </c>
      <c r="BQ232" s="263" t="str">
        <f t="shared" si="225"/>
        <v/>
      </c>
      <c r="BR232" s="263" t="str">
        <f t="shared" si="226"/>
        <v/>
      </c>
      <c r="BS232" s="263" t="str">
        <f t="shared" si="227"/>
        <v/>
      </c>
      <c r="BT232" s="263" t="str">
        <f t="shared" si="228"/>
        <v/>
      </c>
      <c r="BU232" s="263" t="str">
        <f t="shared" si="229"/>
        <v/>
      </c>
      <c r="BV232" s="263"/>
      <c r="BW232" s="263" t="str">
        <f t="shared" si="230"/>
        <v/>
      </c>
      <c r="BX232" s="263" t="str">
        <f t="shared" si="237"/>
        <v/>
      </c>
      <c r="BY232" s="263" t="str">
        <f t="shared" si="231"/>
        <v/>
      </c>
      <c r="BZ232" s="263"/>
      <c r="CA232" s="263" t="str">
        <f t="shared" si="182"/>
        <v/>
      </c>
      <c r="CB232" s="263" t="str">
        <f t="shared" si="232"/>
        <v/>
      </c>
      <c r="CC232" s="263" t="str">
        <f t="shared" si="183"/>
        <v/>
      </c>
      <c r="CD232" s="263" t="str">
        <f t="shared" si="233"/>
        <v/>
      </c>
      <c r="CE232" s="263" t="str">
        <f t="shared" si="241"/>
        <v/>
      </c>
      <c r="CF232" s="263" t="str">
        <f t="shared" si="184"/>
        <v/>
      </c>
      <c r="CG232" s="263" t="str">
        <f t="shared" si="185"/>
        <v/>
      </c>
      <c r="CH232" s="263"/>
      <c r="CI232" s="263" t="str">
        <f t="shared" si="234"/>
        <v/>
      </c>
      <c r="CJ232" s="263"/>
      <c r="CK232" s="263" t="str">
        <f t="shared" si="235"/>
        <v/>
      </c>
      <c r="CL232" s="264">
        <f t="shared" si="238"/>
        <v>0</v>
      </c>
      <c r="CM232" s="264">
        <f t="shared" si="236"/>
        <v>0</v>
      </c>
      <c r="CO232" s="265">
        <v>8.199999999999999E-2</v>
      </c>
      <c r="CP232" s="265">
        <v>8.763E-2</v>
      </c>
      <c r="CQ232" s="265">
        <v>8.929999999999999E-2</v>
      </c>
      <c r="CS232" s="265">
        <v>9.2609999999999998E-2</v>
      </c>
      <c r="CT232" s="265">
        <v>9.4670000000000004E-2</v>
      </c>
      <c r="CU232" s="265">
        <v>9.6170000000000005E-2</v>
      </c>
      <c r="CV232" s="265">
        <v>9.7780000000000006E-2</v>
      </c>
      <c r="CW232" s="265">
        <v>9.9120000000000014E-2</v>
      </c>
      <c r="CY232" s="265">
        <v>0.10247999999999999</v>
      </c>
      <c r="DA232" s="265">
        <v>0.10621999999999999</v>
      </c>
      <c r="DB232" s="265">
        <v>0.11</v>
      </c>
      <c r="DC232" s="265">
        <v>0.10710000000000001</v>
      </c>
      <c r="DE232" s="265">
        <v>4.6500000000000007E-2</v>
      </c>
      <c r="DF232" s="265">
        <v>4.922E-2</v>
      </c>
      <c r="DH232" s="265">
        <v>4.9279999999999997E-2</v>
      </c>
      <c r="DI232" s="265">
        <v>4.9400000000000006E-2</v>
      </c>
      <c r="DJ232" s="265">
        <v>5.0049999999999997E-2</v>
      </c>
      <c r="DL232" s="265">
        <v>4.795E-2</v>
      </c>
      <c r="DO232" s="264" t="e">
        <f t="shared" si="244"/>
        <v>#N/A</v>
      </c>
      <c r="DP232" s="264" t="e" cm="1">
        <f t="array" ref="DP232">+INDEX(AH232:AV232,MATCH(DO232,AH232:AV232,1)+1)</f>
        <v>#N/A</v>
      </c>
      <c r="DQ232" s="265" t="e">
        <f t="shared" si="245"/>
        <v>#N/A</v>
      </c>
      <c r="DR232" s="267" t="e">
        <f t="shared" si="246"/>
        <v>#N/A</v>
      </c>
      <c r="DS232" s="267" t="e">
        <f t="shared" si="247"/>
        <v>#N/A</v>
      </c>
      <c r="DT232" s="268" t="e">
        <f t="shared" si="248"/>
        <v>#N/A</v>
      </c>
      <c r="DU232" s="268" t="e" cm="1">
        <f t="array" ref="DU232">+INDEX(AX232:BF232,MATCH(DT232,AX232:BF232,1)+1)</f>
        <v>#N/A</v>
      </c>
      <c r="DV232" s="267" t="e">
        <f t="shared" si="249"/>
        <v>#N/A</v>
      </c>
      <c r="DW232" s="267" t="e">
        <f t="shared" si="250"/>
        <v>#N/A</v>
      </c>
      <c r="DX232" s="267" t="e">
        <f t="shared" si="251"/>
        <v>#N/A</v>
      </c>
      <c r="DY232" s="267">
        <f>+$EE$84</f>
        <v>6.1200000000000004E-2</v>
      </c>
      <c r="DZ232" s="205" t="e">
        <f t="shared" si="239"/>
        <v>#N/A</v>
      </c>
      <c r="EA232" s="205">
        <f t="shared" ref="EA232:EA295" si="252">IFERROR(BJ232*DS232,0)+IFERROR(BI232*DZ232,0)</f>
        <v>0</v>
      </c>
    </row>
    <row r="233" spans="2:131">
      <c r="B233" s="272">
        <v>45545</v>
      </c>
      <c r="C233" s="271">
        <v>45545</v>
      </c>
      <c r="D233" s="263" t="e">
        <f>+SUMIFS(Tabla6[Nominal COP],Tabla6[Concepto],COSTO_OPORTUNIDAD!$B$18,Tabla6[Nemotécnico],COSTO_OPORTUNIDAD!D$16,Tabla6[Fecha Cumplimiento y/ liquidacion],COSTO_OPORTUNIDAD!$C233)/+SUMIFS(Tabla6[Nominal COP],Tabla6[Concepto],COSTO_OPORTUNIDAD!$B$18,Tabla6[Fecha Cumplimiento y/ liquidacion],COSTO_OPORTUNIDAD!$C233)</f>
        <v>#DIV/0!</v>
      </c>
      <c r="E233" s="263" t="e">
        <f>+SUMIFS(Tabla6[Nominal COP],Tabla6[Concepto],COSTO_OPORTUNIDAD!$B$18,Tabla6[Nemotécnico],COSTO_OPORTUNIDAD!E$16,Tabla6[Fecha Cumplimiento y/ liquidacion],COSTO_OPORTUNIDAD!$C233)/+SUMIFS(Tabla6[Nominal COP],Tabla6[Concepto],COSTO_OPORTUNIDAD!$B$18,Tabla6[Fecha Cumplimiento y/ liquidacion],COSTO_OPORTUNIDAD!$C233)</f>
        <v>#DIV/0!</v>
      </c>
      <c r="F233" s="263"/>
      <c r="G233" s="263"/>
      <c r="H233" s="263">
        <v>0</v>
      </c>
      <c r="I233" s="263"/>
      <c r="J233" s="263">
        <v>0.1</v>
      </c>
      <c r="K233" s="263">
        <v>0.1</v>
      </c>
      <c r="L233" s="263"/>
      <c r="M233" s="263">
        <v>0</v>
      </c>
      <c r="N233" s="263"/>
      <c r="O233" s="263"/>
      <c r="P233" s="263">
        <v>0</v>
      </c>
      <c r="Q233" s="263"/>
      <c r="R233" s="263">
        <v>0</v>
      </c>
      <c r="S233" s="263">
        <v>0.8</v>
      </c>
      <c r="T233" s="263">
        <v>0</v>
      </c>
      <c r="U233" s="263"/>
      <c r="V233" s="263">
        <v>0</v>
      </c>
      <c r="W233" s="263">
        <v>0</v>
      </c>
      <c r="X233" s="263">
        <v>0</v>
      </c>
      <c r="Y233" s="263"/>
      <c r="Z233" s="263">
        <v>0</v>
      </c>
      <c r="AA233" s="263">
        <v>0</v>
      </c>
      <c r="AB233" s="263">
        <v>0</v>
      </c>
      <c r="AC233" s="263"/>
      <c r="AD233" s="263">
        <v>0</v>
      </c>
      <c r="AE233" s="263"/>
      <c r="AF233" s="263"/>
      <c r="AG233" s="262"/>
      <c r="AH233" s="274">
        <f t="shared" si="201"/>
        <v>715</v>
      </c>
      <c r="AI233" s="274">
        <f t="shared" si="202"/>
        <v>1149</v>
      </c>
      <c r="AJ233" s="274">
        <f t="shared" si="203"/>
        <v>1326</v>
      </c>
      <c r="AK233" s="274">
        <f t="shared" si="198"/>
        <v>1807</v>
      </c>
      <c r="AL233" s="274">
        <f t="shared" si="204"/>
        <v>2199</v>
      </c>
      <c r="AM233" s="274">
        <f t="shared" si="205"/>
        <v>2388</v>
      </c>
      <c r="AN233" s="274">
        <f t="shared" si="206"/>
        <v>2850</v>
      </c>
      <c r="AO233" s="274">
        <f t="shared" si="242"/>
        <v>3074</v>
      </c>
      <c r="AP233" s="274">
        <f t="shared" si="207"/>
        <v>3690</v>
      </c>
      <c r="AQ233" s="274"/>
      <c r="AR233" s="274">
        <f t="shared" si="208"/>
        <v>4320</v>
      </c>
      <c r="AS233" s="274">
        <f t="shared" si="199"/>
        <v>5923</v>
      </c>
      <c r="AT233" s="274">
        <f t="shared" si="209"/>
        <v>6469</v>
      </c>
      <c r="AU233" s="274">
        <f t="shared" si="243"/>
        <v>7988</v>
      </c>
      <c r="AV233" s="274">
        <f t="shared" si="210"/>
        <v>9542</v>
      </c>
      <c r="AW233" s="274"/>
      <c r="AX233" s="274">
        <f t="shared" si="211"/>
        <v>239</v>
      </c>
      <c r="AY233" s="274">
        <f t="shared" si="212"/>
        <v>918</v>
      </c>
      <c r="AZ233" s="274">
        <f t="shared" si="213"/>
        <v>1681</v>
      </c>
      <c r="BA233" s="274"/>
      <c r="BB233" s="274">
        <f t="shared" si="214"/>
        <v>3118</v>
      </c>
      <c r="BC233" s="274">
        <f t="shared" si="215"/>
        <v>3858</v>
      </c>
      <c r="BD233" s="274">
        <f t="shared" si="216"/>
        <v>4551</v>
      </c>
      <c r="BE233" s="274"/>
      <c r="BF233" s="274">
        <f t="shared" si="217"/>
        <v>9045</v>
      </c>
      <c r="BG233" s="274"/>
      <c r="BH233" s="274"/>
      <c r="BI233" s="266">
        <f t="shared" si="218"/>
        <v>0</v>
      </c>
      <c r="BJ233" s="266" t="e">
        <f t="shared" si="219"/>
        <v>#DIV/0!</v>
      </c>
      <c r="BK233" s="263" t="str">
        <f t="shared" si="220"/>
        <v/>
      </c>
      <c r="BL233" s="263" t="str">
        <f t="shared" si="221"/>
        <v/>
      </c>
      <c r="BM233" s="263" t="str">
        <f t="shared" si="222"/>
        <v/>
      </c>
      <c r="BN233" s="263"/>
      <c r="BO233" s="263" t="str">
        <f t="shared" si="223"/>
        <v/>
      </c>
      <c r="BP233" s="263" t="str">
        <f t="shared" si="224"/>
        <v/>
      </c>
      <c r="BQ233" s="263" t="str">
        <f t="shared" si="225"/>
        <v/>
      </c>
      <c r="BR233" s="263" t="str">
        <f t="shared" si="226"/>
        <v/>
      </c>
      <c r="BS233" s="263" t="str">
        <f t="shared" si="227"/>
        <v/>
      </c>
      <c r="BT233" s="263" t="str">
        <f t="shared" si="228"/>
        <v/>
      </c>
      <c r="BU233" s="263" t="str">
        <f t="shared" si="229"/>
        <v/>
      </c>
      <c r="BV233" s="263"/>
      <c r="BW233" s="263" t="str">
        <f t="shared" si="230"/>
        <v/>
      </c>
      <c r="BX233" s="263" t="str">
        <f t="shared" si="237"/>
        <v/>
      </c>
      <c r="BY233" s="263" t="str">
        <f t="shared" si="231"/>
        <v/>
      </c>
      <c r="BZ233" s="263"/>
      <c r="CA233" s="263" t="str">
        <f t="shared" si="182"/>
        <v/>
      </c>
      <c r="CB233" s="263" t="str">
        <f t="shared" si="232"/>
        <v/>
      </c>
      <c r="CC233" s="263" t="str">
        <f t="shared" si="183"/>
        <v/>
      </c>
      <c r="CD233" s="263" t="str">
        <f t="shared" si="233"/>
        <v/>
      </c>
      <c r="CE233" s="263" t="str">
        <f t="shared" si="241"/>
        <v/>
      </c>
      <c r="CF233" s="263" t="str">
        <f t="shared" si="184"/>
        <v/>
      </c>
      <c r="CG233" s="263" t="str">
        <f t="shared" si="185"/>
        <v/>
      </c>
      <c r="CH233" s="263"/>
      <c r="CI233" s="263" t="str">
        <f t="shared" si="234"/>
        <v/>
      </c>
      <c r="CJ233" s="263"/>
      <c r="CK233" s="263" t="str">
        <f t="shared" si="235"/>
        <v/>
      </c>
      <c r="CL233" s="264">
        <f t="shared" si="238"/>
        <v>0</v>
      </c>
      <c r="CM233" s="264">
        <f t="shared" si="236"/>
        <v>0</v>
      </c>
      <c r="CO233" s="265">
        <v>8.1600000000000006E-2</v>
      </c>
      <c r="CP233" s="265">
        <v>8.72E-2</v>
      </c>
      <c r="CQ233" s="265">
        <v>8.9200000000000002E-2</v>
      </c>
      <c r="CS233" s="265">
        <v>9.2850000000000002E-2</v>
      </c>
      <c r="CT233" s="265">
        <v>9.4600000000000004E-2</v>
      </c>
      <c r="CU233" s="265">
        <v>9.6600000000000005E-2</v>
      </c>
      <c r="CV233" s="265">
        <v>9.7599999999999992E-2</v>
      </c>
      <c r="CW233" s="265">
        <v>9.9299999999999999E-2</v>
      </c>
      <c r="CY233" s="265">
        <v>0.10243000000000001</v>
      </c>
      <c r="DA233" s="265">
        <v>0.10640000000000001</v>
      </c>
      <c r="DB233" s="265">
        <v>0.11006000000000001</v>
      </c>
      <c r="DC233" s="265">
        <v>0.10747</v>
      </c>
      <c r="DE233" s="265">
        <v>4.6500000000000007E-2</v>
      </c>
      <c r="DF233" s="265">
        <v>4.9419999999999999E-2</v>
      </c>
      <c r="DH233" s="265">
        <v>4.929E-2</v>
      </c>
      <c r="DI233" s="265">
        <v>4.9400000000000006E-2</v>
      </c>
      <c r="DJ233" s="265">
        <v>5.008E-2</v>
      </c>
      <c r="DL233" s="265">
        <v>4.7489999999999997E-2</v>
      </c>
      <c r="DO233" s="264" t="e">
        <f t="shared" si="244"/>
        <v>#N/A</v>
      </c>
      <c r="DP233" s="264" t="e" cm="1">
        <f t="array" ref="DP233">+INDEX(AH233:AV233,MATCH(DO233,AH233:AV233,1)+1)</f>
        <v>#N/A</v>
      </c>
      <c r="DQ233" s="265" t="e">
        <f t="shared" si="245"/>
        <v>#N/A</v>
      </c>
      <c r="DR233" s="267" t="e">
        <f t="shared" si="246"/>
        <v>#N/A</v>
      </c>
      <c r="DS233" s="267" t="e">
        <f t="shared" si="247"/>
        <v>#N/A</v>
      </c>
      <c r="DT233" s="268" t="e">
        <f t="shared" si="248"/>
        <v>#N/A</v>
      </c>
      <c r="DU233" s="268" t="e" cm="1">
        <f t="array" ref="DU233">+INDEX(AX233:BF233,MATCH(DT233,AX233:BF233,1)+1)</f>
        <v>#N/A</v>
      </c>
      <c r="DV233" s="267" t="e">
        <f t="shared" si="249"/>
        <v>#N/A</v>
      </c>
      <c r="DW233" s="267" t="e">
        <f t="shared" si="250"/>
        <v>#N/A</v>
      </c>
      <c r="DX233" s="267" t="e">
        <f t="shared" si="251"/>
        <v>#N/A</v>
      </c>
      <c r="DY233" s="267">
        <f t="shared" ref="DY233:DY243" si="253">+$EE$84</f>
        <v>6.1200000000000004E-2</v>
      </c>
      <c r="DZ233" s="205" t="e">
        <f t="shared" si="239"/>
        <v>#N/A</v>
      </c>
      <c r="EA233" s="205">
        <f t="shared" si="252"/>
        <v>0</v>
      </c>
    </row>
    <row r="234" spans="2:131">
      <c r="B234" s="272">
        <v>45546</v>
      </c>
      <c r="C234" s="271">
        <v>45546</v>
      </c>
      <c r="D234" s="263" t="e">
        <f>+SUMIFS(Tabla6[Nominal COP],Tabla6[Concepto],COSTO_OPORTUNIDAD!$B$18,Tabla6[Nemotécnico],COSTO_OPORTUNIDAD!D$16,Tabla6[Fecha Cumplimiento y/ liquidacion],COSTO_OPORTUNIDAD!$C234)/+SUMIFS(Tabla6[Nominal COP],Tabla6[Concepto],COSTO_OPORTUNIDAD!$B$18,Tabla6[Fecha Cumplimiento y/ liquidacion],COSTO_OPORTUNIDAD!$C234)</f>
        <v>#DIV/0!</v>
      </c>
      <c r="E234" s="263" t="e">
        <f>+SUMIFS(Tabla6[Nominal COP],Tabla6[Concepto],COSTO_OPORTUNIDAD!$B$18,Tabla6[Nemotécnico],COSTO_OPORTUNIDAD!E$16,Tabla6[Fecha Cumplimiento y/ liquidacion],COSTO_OPORTUNIDAD!$C234)/+SUMIFS(Tabla6[Nominal COP],Tabla6[Concepto],COSTO_OPORTUNIDAD!$B$18,Tabla6[Fecha Cumplimiento y/ liquidacion],COSTO_OPORTUNIDAD!$C234)</f>
        <v>#DIV/0!</v>
      </c>
      <c r="F234" s="263"/>
      <c r="G234" s="263"/>
      <c r="H234" s="263">
        <v>0</v>
      </c>
      <c r="I234" s="263"/>
      <c r="J234" s="263">
        <v>0.1</v>
      </c>
      <c r="K234" s="263">
        <v>0.1</v>
      </c>
      <c r="L234" s="263"/>
      <c r="M234" s="263">
        <v>0</v>
      </c>
      <c r="N234" s="263"/>
      <c r="O234" s="263"/>
      <c r="P234" s="263">
        <v>0</v>
      </c>
      <c r="Q234" s="263"/>
      <c r="R234" s="263">
        <v>0</v>
      </c>
      <c r="S234" s="263">
        <v>0.8</v>
      </c>
      <c r="T234" s="263">
        <v>0</v>
      </c>
      <c r="U234" s="263"/>
      <c r="V234" s="263">
        <v>0</v>
      </c>
      <c r="W234" s="263">
        <v>0</v>
      </c>
      <c r="X234" s="263">
        <v>0</v>
      </c>
      <c r="Y234" s="263"/>
      <c r="Z234" s="263">
        <v>0</v>
      </c>
      <c r="AA234" s="263">
        <v>0</v>
      </c>
      <c r="AB234" s="263">
        <v>0</v>
      </c>
      <c r="AC234" s="263"/>
      <c r="AD234" s="263">
        <v>0</v>
      </c>
      <c r="AE234" s="263"/>
      <c r="AF234" s="263"/>
      <c r="AG234" s="262"/>
      <c r="AH234" s="274">
        <f t="shared" si="201"/>
        <v>714</v>
      </c>
      <c r="AI234" s="274">
        <f t="shared" si="202"/>
        <v>1148</v>
      </c>
      <c r="AJ234" s="274">
        <f t="shared" si="203"/>
        <v>1325</v>
      </c>
      <c r="AK234" s="274">
        <f t="shared" si="198"/>
        <v>1806</v>
      </c>
      <c r="AL234" s="274">
        <f t="shared" si="204"/>
        <v>2198</v>
      </c>
      <c r="AM234" s="274">
        <f t="shared" si="205"/>
        <v>2387</v>
      </c>
      <c r="AN234" s="274">
        <f t="shared" si="206"/>
        <v>2849</v>
      </c>
      <c r="AO234" s="274">
        <f t="shared" si="242"/>
        <v>3073</v>
      </c>
      <c r="AP234" s="274">
        <f t="shared" si="207"/>
        <v>3689</v>
      </c>
      <c r="AQ234" s="274"/>
      <c r="AR234" s="274">
        <f t="shared" si="208"/>
        <v>4319</v>
      </c>
      <c r="AS234" s="274">
        <f t="shared" si="199"/>
        <v>5922</v>
      </c>
      <c r="AT234" s="274">
        <f t="shared" si="209"/>
        <v>6468</v>
      </c>
      <c r="AU234" s="274">
        <f t="shared" si="243"/>
        <v>7987</v>
      </c>
      <c r="AV234" s="274">
        <f t="shared" si="210"/>
        <v>9541</v>
      </c>
      <c r="AW234" s="274"/>
      <c r="AX234" s="274">
        <f t="shared" si="211"/>
        <v>238</v>
      </c>
      <c r="AY234" s="274">
        <f t="shared" si="212"/>
        <v>917</v>
      </c>
      <c r="AZ234" s="274">
        <f t="shared" si="213"/>
        <v>1680</v>
      </c>
      <c r="BA234" s="274"/>
      <c r="BB234" s="274">
        <f t="shared" si="214"/>
        <v>3117</v>
      </c>
      <c r="BC234" s="274">
        <f t="shared" si="215"/>
        <v>3857</v>
      </c>
      <c r="BD234" s="274">
        <f t="shared" si="216"/>
        <v>4550</v>
      </c>
      <c r="BE234" s="274"/>
      <c r="BF234" s="274">
        <f t="shared" si="217"/>
        <v>9044</v>
      </c>
      <c r="BG234" s="274"/>
      <c r="BH234" s="274"/>
      <c r="BI234" s="266">
        <f t="shared" si="218"/>
        <v>0</v>
      </c>
      <c r="BJ234" s="266" t="e">
        <f t="shared" si="219"/>
        <v>#DIV/0!</v>
      </c>
      <c r="BK234" s="263" t="str">
        <f t="shared" si="220"/>
        <v/>
      </c>
      <c r="BL234" s="263" t="str">
        <f t="shared" si="221"/>
        <v/>
      </c>
      <c r="BM234" s="263" t="str">
        <f t="shared" si="222"/>
        <v/>
      </c>
      <c r="BN234" s="263"/>
      <c r="BO234" s="263" t="str">
        <f t="shared" si="223"/>
        <v/>
      </c>
      <c r="BP234" s="263" t="str">
        <f t="shared" si="224"/>
        <v/>
      </c>
      <c r="BQ234" s="263" t="str">
        <f t="shared" si="225"/>
        <v/>
      </c>
      <c r="BR234" s="263" t="str">
        <f t="shared" si="226"/>
        <v/>
      </c>
      <c r="BS234" s="263" t="str">
        <f t="shared" si="227"/>
        <v/>
      </c>
      <c r="BT234" s="263" t="str">
        <f t="shared" si="228"/>
        <v/>
      </c>
      <c r="BU234" s="263" t="str">
        <f t="shared" si="229"/>
        <v/>
      </c>
      <c r="BV234" s="263"/>
      <c r="BW234" s="263" t="str">
        <f t="shared" si="230"/>
        <v/>
      </c>
      <c r="BX234" s="263" t="str">
        <f t="shared" si="237"/>
        <v/>
      </c>
      <c r="BY234" s="263" t="str">
        <f t="shared" si="231"/>
        <v/>
      </c>
      <c r="BZ234" s="263"/>
      <c r="CA234" s="263" t="str">
        <f t="shared" si="182"/>
        <v/>
      </c>
      <c r="CB234" s="263" t="str">
        <f t="shared" si="232"/>
        <v/>
      </c>
      <c r="CC234" s="263" t="str">
        <f t="shared" si="183"/>
        <v/>
      </c>
      <c r="CD234" s="263" t="str">
        <f t="shared" si="233"/>
        <v/>
      </c>
      <c r="CE234" s="263" t="str">
        <f t="shared" si="241"/>
        <v/>
      </c>
      <c r="CF234" s="263" t="str">
        <f t="shared" si="184"/>
        <v/>
      </c>
      <c r="CG234" s="263" t="str">
        <f t="shared" si="185"/>
        <v/>
      </c>
      <c r="CH234" s="263"/>
      <c r="CI234" s="263" t="str">
        <f t="shared" si="234"/>
        <v/>
      </c>
      <c r="CJ234" s="263"/>
      <c r="CK234" s="263" t="str">
        <f t="shared" si="235"/>
        <v/>
      </c>
      <c r="CL234" s="264">
        <f t="shared" si="238"/>
        <v>0</v>
      </c>
      <c r="CM234" s="264">
        <f t="shared" si="236"/>
        <v>0</v>
      </c>
      <c r="CO234" s="265">
        <v>8.1310000000000007E-2</v>
      </c>
      <c r="CP234" s="265">
        <v>8.6989999999999998E-2</v>
      </c>
      <c r="CQ234" s="265">
        <v>8.9169999999999999E-2</v>
      </c>
      <c r="CS234" s="265">
        <v>9.2390000000000014E-2</v>
      </c>
      <c r="CT234" s="265">
        <v>9.3610000000000013E-2</v>
      </c>
      <c r="CU234" s="265">
        <v>9.6199999999999994E-2</v>
      </c>
      <c r="CV234" s="265">
        <v>9.7349999999999992E-2</v>
      </c>
      <c r="CW234" s="265">
        <v>9.8460000000000006E-2</v>
      </c>
      <c r="CY234" s="265">
        <v>0.1017</v>
      </c>
      <c r="DA234" s="265">
        <v>0.1057</v>
      </c>
      <c r="DB234" s="265">
        <v>0.10857</v>
      </c>
      <c r="DC234" s="265">
        <v>0.1066</v>
      </c>
      <c r="DE234" s="265">
        <v>4.7649999999999998E-2</v>
      </c>
      <c r="DF234" s="265">
        <v>5.0160000000000003E-2</v>
      </c>
      <c r="DH234" s="265">
        <v>4.9599999999999998E-2</v>
      </c>
      <c r="DI234" s="265">
        <v>4.99E-2</v>
      </c>
      <c r="DJ234" s="265">
        <v>5.0959999999999998E-2</v>
      </c>
      <c r="DL234" s="265">
        <v>4.7560000000000005E-2</v>
      </c>
      <c r="DO234" s="264" t="e">
        <f t="shared" si="244"/>
        <v>#N/A</v>
      </c>
      <c r="DP234" s="264" t="e" cm="1">
        <f t="array" ref="DP234">+INDEX(AH234:AV234,MATCH(DO234,AH234:AV234,1)+1)</f>
        <v>#N/A</v>
      </c>
      <c r="DQ234" s="265" t="e">
        <f t="shared" si="245"/>
        <v>#N/A</v>
      </c>
      <c r="DR234" s="267" t="e">
        <f t="shared" si="246"/>
        <v>#N/A</v>
      </c>
      <c r="DS234" s="267" t="e">
        <f t="shared" si="247"/>
        <v>#N/A</v>
      </c>
      <c r="DT234" s="268" t="e">
        <f t="shared" si="248"/>
        <v>#N/A</v>
      </c>
      <c r="DU234" s="268" t="e" cm="1">
        <f t="array" ref="DU234">+INDEX(AX234:BF234,MATCH(DT234,AX234:BF234,1)+1)</f>
        <v>#N/A</v>
      </c>
      <c r="DV234" s="267" t="e">
        <f t="shared" si="249"/>
        <v>#N/A</v>
      </c>
      <c r="DW234" s="267" t="e">
        <f t="shared" si="250"/>
        <v>#N/A</v>
      </c>
      <c r="DX234" s="267" t="e">
        <f t="shared" si="251"/>
        <v>#N/A</v>
      </c>
      <c r="DY234" s="267">
        <f t="shared" si="253"/>
        <v>6.1200000000000004E-2</v>
      </c>
      <c r="DZ234" s="205" t="e">
        <f t="shared" si="239"/>
        <v>#N/A</v>
      </c>
      <c r="EA234" s="205">
        <f t="shared" si="252"/>
        <v>0</v>
      </c>
    </row>
    <row r="235" spans="2:131">
      <c r="B235" s="272">
        <v>45547</v>
      </c>
      <c r="C235" s="271">
        <v>45547</v>
      </c>
      <c r="D235" s="263" t="e">
        <f>+SUMIFS(Tabla6[Nominal COP],Tabla6[Concepto],COSTO_OPORTUNIDAD!$B$18,Tabla6[Nemotécnico],COSTO_OPORTUNIDAD!D$16,Tabla6[Fecha Cumplimiento y/ liquidacion],COSTO_OPORTUNIDAD!$C235)/+SUMIFS(Tabla6[Nominal COP],Tabla6[Concepto],COSTO_OPORTUNIDAD!$B$18,Tabla6[Fecha Cumplimiento y/ liquidacion],COSTO_OPORTUNIDAD!$C235)</f>
        <v>#DIV/0!</v>
      </c>
      <c r="E235" s="263" t="e">
        <f>+SUMIFS(Tabla6[Nominal COP],Tabla6[Concepto],COSTO_OPORTUNIDAD!$B$18,Tabla6[Nemotécnico],COSTO_OPORTUNIDAD!E$16,Tabla6[Fecha Cumplimiento y/ liquidacion],COSTO_OPORTUNIDAD!$C235)/+SUMIFS(Tabla6[Nominal COP],Tabla6[Concepto],COSTO_OPORTUNIDAD!$B$18,Tabla6[Fecha Cumplimiento y/ liquidacion],COSTO_OPORTUNIDAD!$C235)</f>
        <v>#DIV/0!</v>
      </c>
      <c r="F235" s="263"/>
      <c r="G235" s="263"/>
      <c r="H235" s="263">
        <v>0</v>
      </c>
      <c r="I235" s="263"/>
      <c r="J235" s="263">
        <v>0</v>
      </c>
      <c r="K235" s="263">
        <v>0.33695652173913043</v>
      </c>
      <c r="L235" s="263"/>
      <c r="M235" s="263">
        <v>0</v>
      </c>
      <c r="N235" s="263"/>
      <c r="O235" s="263"/>
      <c r="P235" s="263">
        <v>0</v>
      </c>
      <c r="Q235" s="263"/>
      <c r="R235" s="263">
        <v>0</v>
      </c>
      <c r="S235" s="263">
        <v>0.66304347826086951</v>
      </c>
      <c r="T235" s="263">
        <v>0</v>
      </c>
      <c r="U235" s="263"/>
      <c r="V235" s="263">
        <v>0</v>
      </c>
      <c r="W235" s="263">
        <v>0</v>
      </c>
      <c r="X235" s="263">
        <v>0</v>
      </c>
      <c r="Y235" s="263"/>
      <c r="Z235" s="263">
        <v>0</v>
      </c>
      <c r="AA235" s="263">
        <v>0</v>
      </c>
      <c r="AB235" s="263">
        <v>0</v>
      </c>
      <c r="AC235" s="263"/>
      <c r="AD235" s="263">
        <v>0</v>
      </c>
      <c r="AE235" s="263"/>
      <c r="AF235" s="263"/>
      <c r="AG235" s="262"/>
      <c r="AH235" s="274">
        <f t="shared" si="201"/>
        <v>713</v>
      </c>
      <c r="AI235" s="274">
        <f t="shared" si="202"/>
        <v>1147</v>
      </c>
      <c r="AJ235" s="274">
        <f t="shared" si="203"/>
        <v>1324</v>
      </c>
      <c r="AK235" s="274">
        <f t="shared" si="198"/>
        <v>1805</v>
      </c>
      <c r="AL235" s="274">
        <f t="shared" si="204"/>
        <v>2197</v>
      </c>
      <c r="AM235" s="274">
        <f t="shared" si="205"/>
        <v>2386</v>
      </c>
      <c r="AN235" s="274">
        <f t="shared" si="206"/>
        <v>2848</v>
      </c>
      <c r="AO235" s="274">
        <f t="shared" si="242"/>
        <v>3072</v>
      </c>
      <c r="AP235" s="274">
        <f t="shared" si="207"/>
        <v>3688</v>
      </c>
      <c r="AQ235" s="274"/>
      <c r="AR235" s="274">
        <f t="shared" si="208"/>
        <v>4318</v>
      </c>
      <c r="AS235" s="274">
        <f t="shared" si="199"/>
        <v>5921</v>
      </c>
      <c r="AT235" s="274">
        <f t="shared" si="209"/>
        <v>6467</v>
      </c>
      <c r="AU235" s="274">
        <f t="shared" si="243"/>
        <v>7986</v>
      </c>
      <c r="AV235" s="274">
        <f t="shared" si="210"/>
        <v>9540</v>
      </c>
      <c r="AW235" s="274"/>
      <c r="AX235" s="274">
        <f t="shared" si="211"/>
        <v>237</v>
      </c>
      <c r="AY235" s="274">
        <f t="shared" si="212"/>
        <v>916</v>
      </c>
      <c r="AZ235" s="274">
        <f t="shared" si="213"/>
        <v>1679</v>
      </c>
      <c r="BA235" s="274"/>
      <c r="BB235" s="274">
        <f t="shared" si="214"/>
        <v>3116</v>
      </c>
      <c r="BC235" s="274">
        <f t="shared" si="215"/>
        <v>3856</v>
      </c>
      <c r="BD235" s="274">
        <f t="shared" si="216"/>
        <v>4549</v>
      </c>
      <c r="BE235" s="274"/>
      <c r="BF235" s="274">
        <f t="shared" si="217"/>
        <v>9043</v>
      </c>
      <c r="BG235" s="274"/>
      <c r="BH235" s="274"/>
      <c r="BI235" s="266">
        <f t="shared" si="218"/>
        <v>0</v>
      </c>
      <c r="BJ235" s="266" t="e">
        <f t="shared" si="219"/>
        <v>#DIV/0!</v>
      </c>
      <c r="BK235" s="263" t="str">
        <f t="shared" si="220"/>
        <v/>
      </c>
      <c r="BL235" s="263" t="str">
        <f t="shared" si="221"/>
        <v/>
      </c>
      <c r="BM235" s="263" t="str">
        <f t="shared" si="222"/>
        <v/>
      </c>
      <c r="BN235" s="263"/>
      <c r="BO235" s="263" t="str">
        <f t="shared" si="223"/>
        <v/>
      </c>
      <c r="BP235" s="263" t="str">
        <f t="shared" si="224"/>
        <v/>
      </c>
      <c r="BQ235" s="263" t="str">
        <f t="shared" si="225"/>
        <v/>
      </c>
      <c r="BR235" s="263" t="str">
        <f t="shared" si="226"/>
        <v/>
      </c>
      <c r="BS235" s="263" t="str">
        <f t="shared" si="227"/>
        <v/>
      </c>
      <c r="BT235" s="263" t="str">
        <f t="shared" si="228"/>
        <v/>
      </c>
      <c r="BU235" s="263" t="str">
        <f t="shared" si="229"/>
        <v/>
      </c>
      <c r="BV235" s="263"/>
      <c r="BW235" s="263" t="str">
        <f t="shared" si="230"/>
        <v/>
      </c>
      <c r="BX235" s="263" t="str">
        <f t="shared" si="237"/>
        <v/>
      </c>
      <c r="BY235" s="263" t="str">
        <f t="shared" si="231"/>
        <v/>
      </c>
      <c r="BZ235" s="263"/>
      <c r="CA235" s="263" t="str">
        <f t="shared" si="182"/>
        <v/>
      </c>
      <c r="CB235" s="263" t="str">
        <f t="shared" si="232"/>
        <v/>
      </c>
      <c r="CC235" s="263" t="str">
        <f t="shared" si="183"/>
        <v/>
      </c>
      <c r="CD235" s="263" t="str">
        <f t="shared" si="233"/>
        <v/>
      </c>
      <c r="CE235" s="263" t="str">
        <f t="shared" si="241"/>
        <v/>
      </c>
      <c r="CF235" s="263" t="str">
        <f t="shared" si="184"/>
        <v/>
      </c>
      <c r="CG235" s="263" t="str">
        <f t="shared" si="185"/>
        <v/>
      </c>
      <c r="CH235" s="263"/>
      <c r="CI235" s="263" t="str">
        <f t="shared" si="234"/>
        <v/>
      </c>
      <c r="CJ235" s="263"/>
      <c r="CK235" s="263" t="str">
        <f t="shared" si="235"/>
        <v/>
      </c>
      <c r="CL235" s="264">
        <f t="shared" si="238"/>
        <v>0</v>
      </c>
      <c r="CM235" s="264">
        <f t="shared" si="236"/>
        <v>0</v>
      </c>
      <c r="CO235" s="265">
        <v>8.1750000000000003E-2</v>
      </c>
      <c r="CP235" s="265">
        <v>8.7449999999999986E-2</v>
      </c>
      <c r="CQ235" s="265">
        <v>9.0200000000000002E-2</v>
      </c>
      <c r="CS235" s="265">
        <v>9.3299999999999994E-2</v>
      </c>
      <c r="CT235" s="265">
        <v>9.5150000000000012E-2</v>
      </c>
      <c r="CU235" s="265">
        <v>9.6579999999999999E-2</v>
      </c>
      <c r="CV235" s="265">
        <v>9.784000000000001E-2</v>
      </c>
      <c r="CW235" s="265">
        <v>9.9399999999999988E-2</v>
      </c>
      <c r="CY235" s="265">
        <v>0.10205</v>
      </c>
      <c r="DA235" s="265">
        <v>0.1065</v>
      </c>
      <c r="DB235" s="265">
        <v>0.10886</v>
      </c>
      <c r="DC235" s="265">
        <v>0.1075</v>
      </c>
      <c r="DE235" s="265">
        <v>4.7400000000000005E-2</v>
      </c>
      <c r="DF235" s="265">
        <v>4.9599999999999998E-2</v>
      </c>
      <c r="DH235" s="265">
        <v>4.9599999999999998E-2</v>
      </c>
      <c r="DI235" s="265">
        <v>5.0300000000000004E-2</v>
      </c>
      <c r="DJ235" s="265">
        <v>5.0999999999999997E-2</v>
      </c>
      <c r="DL235" s="265">
        <v>4.7289999999999999E-2</v>
      </c>
      <c r="DO235" s="264" t="e">
        <f t="shared" si="244"/>
        <v>#N/A</v>
      </c>
      <c r="DP235" s="264" t="e" cm="1">
        <f t="array" ref="DP235">+INDEX(AH235:AV235,MATCH(DO235,AH235:AV235,1)+1)</f>
        <v>#N/A</v>
      </c>
      <c r="DQ235" s="265" t="e">
        <f t="shared" si="245"/>
        <v>#N/A</v>
      </c>
      <c r="DR235" s="267" t="e">
        <f t="shared" si="246"/>
        <v>#N/A</v>
      </c>
      <c r="DS235" s="267" t="e">
        <f t="shared" si="247"/>
        <v>#N/A</v>
      </c>
      <c r="DT235" s="268" t="e">
        <f t="shared" si="248"/>
        <v>#N/A</v>
      </c>
      <c r="DU235" s="268" t="e" cm="1">
        <f t="array" ref="DU235">+INDEX(AX235:BF235,MATCH(DT235,AX235:BF235,1)+1)</f>
        <v>#N/A</v>
      </c>
      <c r="DV235" s="267" t="e">
        <f t="shared" si="249"/>
        <v>#N/A</v>
      </c>
      <c r="DW235" s="267" t="e">
        <f t="shared" si="250"/>
        <v>#N/A</v>
      </c>
      <c r="DX235" s="267" t="e">
        <f t="shared" si="251"/>
        <v>#N/A</v>
      </c>
      <c r="DY235" s="267">
        <f t="shared" si="253"/>
        <v>6.1200000000000004E-2</v>
      </c>
      <c r="DZ235" s="205" t="e">
        <f t="shared" si="239"/>
        <v>#N/A</v>
      </c>
      <c r="EA235" s="205">
        <f t="shared" si="252"/>
        <v>0</v>
      </c>
    </row>
    <row r="236" spans="2:131">
      <c r="B236" s="272">
        <v>45548</v>
      </c>
      <c r="C236" s="271">
        <v>45548</v>
      </c>
      <c r="D236" s="263" t="e">
        <f>+SUMIFS(Tabla6[Nominal COP],Tabla6[Concepto],COSTO_OPORTUNIDAD!$B$18,Tabla6[Nemotécnico],COSTO_OPORTUNIDAD!D$16,Tabla6[Fecha Cumplimiento y/ liquidacion],COSTO_OPORTUNIDAD!$C236)/+SUMIFS(Tabla6[Nominal COP],Tabla6[Concepto],COSTO_OPORTUNIDAD!$B$18,Tabla6[Fecha Cumplimiento y/ liquidacion],COSTO_OPORTUNIDAD!$C236)</f>
        <v>#DIV/0!</v>
      </c>
      <c r="E236" s="263" t="e">
        <f>+SUMIFS(Tabla6[Nominal COP],Tabla6[Concepto],COSTO_OPORTUNIDAD!$B$18,Tabla6[Nemotécnico],COSTO_OPORTUNIDAD!E$16,Tabla6[Fecha Cumplimiento y/ liquidacion],COSTO_OPORTUNIDAD!$C236)/+SUMIFS(Tabla6[Nominal COP],Tabla6[Concepto],COSTO_OPORTUNIDAD!$B$18,Tabla6[Fecha Cumplimiento y/ liquidacion],COSTO_OPORTUNIDAD!$C236)</f>
        <v>#DIV/0!</v>
      </c>
      <c r="F236" s="263"/>
      <c r="G236" s="263"/>
      <c r="H236" s="263">
        <v>0</v>
      </c>
      <c r="I236" s="263"/>
      <c r="J236" s="263">
        <v>0</v>
      </c>
      <c r="K236" s="263">
        <v>0.28000000000000003</v>
      </c>
      <c r="L236" s="263"/>
      <c r="M236" s="263">
        <v>0</v>
      </c>
      <c r="N236" s="263"/>
      <c r="O236" s="263"/>
      <c r="P236" s="263">
        <v>0</v>
      </c>
      <c r="Q236" s="263"/>
      <c r="R236" s="263">
        <v>0</v>
      </c>
      <c r="S236" s="263">
        <v>0.72</v>
      </c>
      <c r="T236" s="263">
        <v>0</v>
      </c>
      <c r="U236" s="263"/>
      <c r="V236" s="263">
        <v>0</v>
      </c>
      <c r="W236" s="263">
        <v>0</v>
      </c>
      <c r="X236" s="263">
        <v>0</v>
      </c>
      <c r="Y236" s="263"/>
      <c r="Z236" s="263">
        <v>0</v>
      </c>
      <c r="AA236" s="263">
        <v>0</v>
      </c>
      <c r="AB236" s="263">
        <v>0</v>
      </c>
      <c r="AC236" s="263"/>
      <c r="AD236" s="263">
        <v>0</v>
      </c>
      <c r="AE236" s="263"/>
      <c r="AF236" s="263"/>
      <c r="AG236" s="262"/>
      <c r="AH236" s="274">
        <f t="shared" si="201"/>
        <v>712</v>
      </c>
      <c r="AI236" s="274">
        <f t="shared" si="202"/>
        <v>1146</v>
      </c>
      <c r="AJ236" s="274">
        <f t="shared" si="203"/>
        <v>1323</v>
      </c>
      <c r="AK236" s="274">
        <f t="shared" si="198"/>
        <v>1804</v>
      </c>
      <c r="AL236" s="274">
        <f t="shared" si="204"/>
        <v>2196</v>
      </c>
      <c r="AM236" s="274">
        <f t="shared" si="205"/>
        <v>2385</v>
      </c>
      <c r="AN236" s="274">
        <f t="shared" si="206"/>
        <v>2847</v>
      </c>
      <c r="AO236" s="274">
        <f t="shared" si="242"/>
        <v>3071</v>
      </c>
      <c r="AP236" s="274">
        <f t="shared" si="207"/>
        <v>3687</v>
      </c>
      <c r="AQ236" s="274"/>
      <c r="AR236" s="274">
        <f t="shared" si="208"/>
        <v>4317</v>
      </c>
      <c r="AS236" s="274">
        <f t="shared" si="199"/>
        <v>5920</v>
      </c>
      <c r="AT236" s="274">
        <f t="shared" si="209"/>
        <v>6466</v>
      </c>
      <c r="AU236" s="274">
        <f t="shared" si="243"/>
        <v>7985</v>
      </c>
      <c r="AV236" s="274">
        <f t="shared" si="210"/>
        <v>9539</v>
      </c>
      <c r="AW236" s="274"/>
      <c r="AX236" s="274">
        <f t="shared" si="211"/>
        <v>236</v>
      </c>
      <c r="AY236" s="274">
        <f t="shared" si="212"/>
        <v>915</v>
      </c>
      <c r="AZ236" s="274">
        <f t="shared" si="213"/>
        <v>1678</v>
      </c>
      <c r="BA236" s="274"/>
      <c r="BB236" s="274">
        <f t="shared" si="214"/>
        <v>3115</v>
      </c>
      <c r="BC236" s="274">
        <f t="shared" si="215"/>
        <v>3855</v>
      </c>
      <c r="BD236" s="274">
        <f t="shared" si="216"/>
        <v>4548</v>
      </c>
      <c r="BE236" s="274"/>
      <c r="BF236" s="274">
        <f t="shared" si="217"/>
        <v>9042</v>
      </c>
      <c r="BG236" s="274"/>
      <c r="BH236" s="274"/>
      <c r="BI236" s="266">
        <f t="shared" si="218"/>
        <v>0</v>
      </c>
      <c r="BJ236" s="266" t="e">
        <f t="shared" si="219"/>
        <v>#DIV/0!</v>
      </c>
      <c r="BK236" s="263" t="str">
        <f t="shared" si="220"/>
        <v/>
      </c>
      <c r="BL236" s="263" t="str">
        <f t="shared" si="221"/>
        <v/>
      </c>
      <c r="BM236" s="263" t="str">
        <f t="shared" si="222"/>
        <v/>
      </c>
      <c r="BN236" s="263"/>
      <c r="BO236" s="263" t="str">
        <f t="shared" si="223"/>
        <v/>
      </c>
      <c r="BP236" s="263" t="str">
        <f t="shared" si="224"/>
        <v/>
      </c>
      <c r="BQ236" s="263" t="str">
        <f t="shared" si="225"/>
        <v/>
      </c>
      <c r="BR236" s="263" t="str">
        <f t="shared" si="226"/>
        <v/>
      </c>
      <c r="BS236" s="263" t="str">
        <f t="shared" si="227"/>
        <v/>
      </c>
      <c r="BT236" s="263" t="str">
        <f t="shared" si="228"/>
        <v/>
      </c>
      <c r="BU236" s="263" t="str">
        <f t="shared" si="229"/>
        <v/>
      </c>
      <c r="BV236" s="263"/>
      <c r="BW236" s="263" t="str">
        <f t="shared" si="230"/>
        <v/>
      </c>
      <c r="BX236" s="263" t="str">
        <f t="shared" si="237"/>
        <v/>
      </c>
      <c r="BY236" s="263" t="str">
        <f t="shared" si="231"/>
        <v/>
      </c>
      <c r="BZ236" s="263"/>
      <c r="CA236" s="263" t="str">
        <f t="shared" si="182"/>
        <v/>
      </c>
      <c r="CB236" s="263" t="str">
        <f t="shared" si="232"/>
        <v/>
      </c>
      <c r="CC236" s="263" t="str">
        <f t="shared" si="183"/>
        <v/>
      </c>
      <c r="CD236" s="263" t="str">
        <f t="shared" si="233"/>
        <v/>
      </c>
      <c r="CE236" s="263" t="str">
        <f t="shared" si="241"/>
        <v/>
      </c>
      <c r="CF236" s="263" t="str">
        <f t="shared" si="184"/>
        <v/>
      </c>
      <c r="CG236" s="263" t="str">
        <f t="shared" si="185"/>
        <v/>
      </c>
      <c r="CH236" s="263"/>
      <c r="CI236" s="263" t="str">
        <f t="shared" si="234"/>
        <v/>
      </c>
      <c r="CJ236" s="263"/>
      <c r="CK236" s="263" t="str">
        <f t="shared" si="235"/>
        <v/>
      </c>
      <c r="CL236" s="264">
        <f t="shared" si="238"/>
        <v>0</v>
      </c>
      <c r="CM236" s="264">
        <f t="shared" si="236"/>
        <v>0</v>
      </c>
      <c r="CO236" s="265">
        <v>8.0700000000000008E-2</v>
      </c>
      <c r="CP236" s="265">
        <v>8.6620000000000003E-2</v>
      </c>
      <c r="CQ236" s="265">
        <v>8.9009999999999992E-2</v>
      </c>
      <c r="CS236" s="265">
        <v>9.2300000000000007E-2</v>
      </c>
      <c r="CT236" s="265">
        <v>9.4339999999999993E-2</v>
      </c>
      <c r="CU236" s="265">
        <v>9.5769999999999994E-2</v>
      </c>
      <c r="CV236" s="265">
        <v>9.6880000000000008E-2</v>
      </c>
      <c r="CW236" s="265">
        <v>9.8299999999999998E-2</v>
      </c>
      <c r="CY236" s="265">
        <v>0.10115</v>
      </c>
      <c r="DA236" s="265">
        <v>0.10579000000000001</v>
      </c>
      <c r="DB236" s="265">
        <v>0.10830000000000001</v>
      </c>
      <c r="DC236" s="265">
        <v>0.10679999999999999</v>
      </c>
      <c r="DE236" s="265">
        <v>4.7640000000000002E-2</v>
      </c>
      <c r="DF236" s="265">
        <v>4.9400000000000006E-2</v>
      </c>
      <c r="DH236" s="265">
        <v>4.9800000000000004E-2</v>
      </c>
      <c r="DI236" s="265">
        <v>4.9579999999999999E-2</v>
      </c>
      <c r="DJ236" s="265">
        <v>5.0810000000000001E-2</v>
      </c>
      <c r="DL236" s="265">
        <v>4.7160000000000001E-2</v>
      </c>
      <c r="DO236" s="264" t="e">
        <f t="shared" si="244"/>
        <v>#N/A</v>
      </c>
      <c r="DP236" s="264" t="e" cm="1">
        <f t="array" ref="DP236">+INDEX(AH236:AV236,MATCH(DO236,AH236:AV236,1)+1)</f>
        <v>#N/A</v>
      </c>
      <c r="DQ236" s="265" t="e">
        <f t="shared" si="245"/>
        <v>#N/A</v>
      </c>
      <c r="DR236" s="267" t="e">
        <f t="shared" si="246"/>
        <v>#N/A</v>
      </c>
      <c r="DS236" s="267" t="e">
        <f t="shared" si="247"/>
        <v>#N/A</v>
      </c>
      <c r="DT236" s="268" t="e">
        <f t="shared" si="248"/>
        <v>#N/A</v>
      </c>
      <c r="DU236" s="268" t="e" cm="1">
        <f t="array" ref="DU236">+INDEX(AX236:BF236,MATCH(DT236,AX236:BF236,1)+1)</f>
        <v>#N/A</v>
      </c>
      <c r="DV236" s="267" t="e">
        <f t="shared" si="249"/>
        <v>#N/A</v>
      </c>
      <c r="DW236" s="267" t="e">
        <f t="shared" si="250"/>
        <v>#N/A</v>
      </c>
      <c r="DX236" s="267" t="e">
        <f t="shared" si="251"/>
        <v>#N/A</v>
      </c>
      <c r="DY236" s="267">
        <f t="shared" si="253"/>
        <v>6.1200000000000004E-2</v>
      </c>
      <c r="DZ236" s="205" t="e">
        <f t="shared" si="239"/>
        <v>#N/A</v>
      </c>
      <c r="EA236" s="205">
        <f t="shared" si="252"/>
        <v>0</v>
      </c>
    </row>
    <row r="237" spans="2:131">
      <c r="B237" s="272">
        <v>45551</v>
      </c>
      <c r="C237" s="271">
        <v>45551</v>
      </c>
      <c r="D237" s="263" t="e">
        <f>+SUMIFS(Tabla6[Nominal COP],Tabla6[Concepto],COSTO_OPORTUNIDAD!$B$18,Tabla6[Nemotécnico],COSTO_OPORTUNIDAD!D$16,Tabla6[Fecha Cumplimiento y/ liquidacion],COSTO_OPORTUNIDAD!$C237)/+SUMIFS(Tabla6[Nominal COP],Tabla6[Concepto],COSTO_OPORTUNIDAD!$B$18,Tabla6[Fecha Cumplimiento y/ liquidacion],COSTO_OPORTUNIDAD!$C237)</f>
        <v>#DIV/0!</v>
      </c>
      <c r="E237" s="263" t="e">
        <f>+SUMIFS(Tabla6[Nominal COP],Tabla6[Concepto],COSTO_OPORTUNIDAD!$B$18,Tabla6[Nemotécnico],COSTO_OPORTUNIDAD!E$16,Tabla6[Fecha Cumplimiento y/ liquidacion],COSTO_OPORTUNIDAD!$C237)/+SUMIFS(Tabla6[Nominal COP],Tabla6[Concepto],COSTO_OPORTUNIDAD!$B$18,Tabla6[Fecha Cumplimiento y/ liquidacion],COSTO_OPORTUNIDAD!$C237)</f>
        <v>#DIV/0!</v>
      </c>
      <c r="F237" s="263"/>
      <c r="G237" s="263"/>
      <c r="H237" s="263">
        <v>0</v>
      </c>
      <c r="I237" s="263"/>
      <c r="J237" s="263">
        <v>0</v>
      </c>
      <c r="K237" s="263">
        <v>0</v>
      </c>
      <c r="L237" s="263"/>
      <c r="M237" s="263">
        <v>0</v>
      </c>
      <c r="N237" s="263"/>
      <c r="O237" s="263"/>
      <c r="P237" s="263">
        <v>0.15</v>
      </c>
      <c r="Q237" s="263"/>
      <c r="R237" s="263">
        <v>0</v>
      </c>
      <c r="S237" s="263">
        <v>0.85</v>
      </c>
      <c r="T237" s="263">
        <v>0</v>
      </c>
      <c r="U237" s="263"/>
      <c r="V237" s="263">
        <v>0</v>
      </c>
      <c r="W237" s="263">
        <v>0</v>
      </c>
      <c r="X237" s="263">
        <v>0</v>
      </c>
      <c r="Y237" s="263"/>
      <c r="Z237" s="263">
        <v>0</v>
      </c>
      <c r="AA237" s="263">
        <v>0</v>
      </c>
      <c r="AB237" s="263">
        <v>0</v>
      </c>
      <c r="AC237" s="263"/>
      <c r="AD237" s="263">
        <v>0</v>
      </c>
      <c r="AE237" s="263"/>
      <c r="AF237" s="263"/>
      <c r="AG237" s="262"/>
      <c r="AH237" s="274">
        <f t="shared" si="201"/>
        <v>709</v>
      </c>
      <c r="AI237" s="274">
        <f t="shared" si="202"/>
        <v>1143</v>
      </c>
      <c r="AJ237" s="274">
        <f t="shared" si="203"/>
        <v>1320</v>
      </c>
      <c r="AK237" s="274">
        <f t="shared" si="198"/>
        <v>1801</v>
      </c>
      <c r="AL237" s="274">
        <f t="shared" si="204"/>
        <v>2193</v>
      </c>
      <c r="AM237" s="274">
        <f t="shared" si="205"/>
        <v>2382</v>
      </c>
      <c r="AN237" s="274">
        <f t="shared" si="206"/>
        <v>2844</v>
      </c>
      <c r="AO237" s="274">
        <f t="shared" si="242"/>
        <v>3068</v>
      </c>
      <c r="AP237" s="274">
        <f t="shared" si="207"/>
        <v>3684</v>
      </c>
      <c r="AQ237" s="274"/>
      <c r="AR237" s="274">
        <f t="shared" si="208"/>
        <v>4314</v>
      </c>
      <c r="AS237" s="274">
        <f t="shared" si="199"/>
        <v>5917</v>
      </c>
      <c r="AT237" s="274">
        <f t="shared" si="209"/>
        <v>6463</v>
      </c>
      <c r="AU237" s="274">
        <f t="shared" si="243"/>
        <v>7982</v>
      </c>
      <c r="AV237" s="274">
        <f t="shared" si="210"/>
        <v>9536</v>
      </c>
      <c r="AW237" s="274"/>
      <c r="AX237" s="274">
        <f t="shared" si="211"/>
        <v>233</v>
      </c>
      <c r="AY237" s="274">
        <f t="shared" si="212"/>
        <v>912</v>
      </c>
      <c r="AZ237" s="274">
        <f t="shared" si="213"/>
        <v>1675</v>
      </c>
      <c r="BA237" s="274"/>
      <c r="BB237" s="274">
        <f t="shared" si="214"/>
        <v>3112</v>
      </c>
      <c r="BC237" s="274">
        <f t="shared" si="215"/>
        <v>3852</v>
      </c>
      <c r="BD237" s="274">
        <f t="shared" si="216"/>
        <v>4545</v>
      </c>
      <c r="BE237" s="274"/>
      <c r="BF237" s="274">
        <f t="shared" si="217"/>
        <v>9039</v>
      </c>
      <c r="BG237" s="274"/>
      <c r="BH237" s="274"/>
      <c r="BI237" s="266">
        <f t="shared" si="218"/>
        <v>0</v>
      </c>
      <c r="BJ237" s="266" t="e">
        <f t="shared" si="219"/>
        <v>#DIV/0!</v>
      </c>
      <c r="BK237" s="263" t="str">
        <f t="shared" si="220"/>
        <v/>
      </c>
      <c r="BL237" s="263" t="str">
        <f t="shared" si="221"/>
        <v/>
      </c>
      <c r="BM237" s="263" t="str">
        <f t="shared" si="222"/>
        <v/>
      </c>
      <c r="BN237" s="263"/>
      <c r="BO237" s="263" t="str">
        <f t="shared" si="223"/>
        <v/>
      </c>
      <c r="BP237" s="263" t="str">
        <f t="shared" si="224"/>
        <v/>
      </c>
      <c r="BQ237" s="263" t="str">
        <f t="shared" si="225"/>
        <v/>
      </c>
      <c r="BR237" s="263" t="str">
        <f t="shared" si="226"/>
        <v/>
      </c>
      <c r="BS237" s="263" t="str">
        <f t="shared" si="227"/>
        <v/>
      </c>
      <c r="BT237" s="263" t="str">
        <f t="shared" si="228"/>
        <v/>
      </c>
      <c r="BU237" s="263" t="str">
        <f t="shared" si="229"/>
        <v/>
      </c>
      <c r="BV237" s="263"/>
      <c r="BW237" s="263" t="str">
        <f t="shared" si="230"/>
        <v/>
      </c>
      <c r="BX237" s="263" t="str">
        <f t="shared" si="237"/>
        <v/>
      </c>
      <c r="BY237" s="263" t="str">
        <f t="shared" si="231"/>
        <v/>
      </c>
      <c r="BZ237" s="263"/>
      <c r="CA237" s="263" t="str">
        <f t="shared" si="182"/>
        <v/>
      </c>
      <c r="CB237" s="263" t="str">
        <f t="shared" si="232"/>
        <v/>
      </c>
      <c r="CC237" s="263" t="str">
        <f t="shared" si="183"/>
        <v/>
      </c>
      <c r="CD237" s="263" t="str">
        <f t="shared" si="233"/>
        <v/>
      </c>
      <c r="CE237" s="263" t="str">
        <f t="shared" si="241"/>
        <v/>
      </c>
      <c r="CF237" s="263" t="str">
        <f t="shared" si="184"/>
        <v/>
      </c>
      <c r="CG237" s="263" t="str">
        <f t="shared" si="185"/>
        <v/>
      </c>
      <c r="CH237" s="263"/>
      <c r="CI237" s="263" t="str">
        <f t="shared" si="234"/>
        <v/>
      </c>
      <c r="CJ237" s="263"/>
      <c r="CK237" s="263" t="str">
        <f t="shared" si="235"/>
        <v/>
      </c>
      <c r="CL237" s="264">
        <f t="shared" si="238"/>
        <v>0</v>
      </c>
      <c r="CM237" s="264">
        <f t="shared" si="236"/>
        <v>0</v>
      </c>
      <c r="CO237" s="265">
        <v>8.0909999999999996E-2</v>
      </c>
      <c r="CP237" s="265">
        <v>8.6309999999999998E-2</v>
      </c>
      <c r="CQ237" s="265">
        <v>8.9160000000000003E-2</v>
      </c>
      <c r="CS237" s="265">
        <v>9.2249999999999999E-2</v>
      </c>
      <c r="CT237" s="265">
        <v>9.3699999999999992E-2</v>
      </c>
      <c r="CU237" s="265">
        <v>9.5640000000000003E-2</v>
      </c>
      <c r="CV237" s="265">
        <v>9.6479999999999996E-2</v>
      </c>
      <c r="CW237" s="265">
        <v>9.8420000000000007E-2</v>
      </c>
      <c r="CY237" s="265">
        <v>0.10095999999999999</v>
      </c>
      <c r="DA237" s="265">
        <v>0.10532</v>
      </c>
      <c r="DB237" s="265">
        <v>0.10800000000000001</v>
      </c>
      <c r="DC237" s="265">
        <v>0.10622999999999999</v>
      </c>
      <c r="DE237" s="265">
        <v>4.7E-2</v>
      </c>
      <c r="DF237" s="265">
        <v>4.9149999999999999E-2</v>
      </c>
      <c r="DH237" s="265">
        <v>4.9699999999999994E-2</v>
      </c>
      <c r="DI237" s="265">
        <v>4.9699999999999994E-2</v>
      </c>
      <c r="DJ237" s="265">
        <v>5.0620000000000005E-2</v>
      </c>
      <c r="DL237" s="265">
        <v>4.7E-2</v>
      </c>
      <c r="DO237" s="264" t="e">
        <f t="shared" si="244"/>
        <v>#N/A</v>
      </c>
      <c r="DP237" s="264" t="e" cm="1">
        <f t="array" ref="DP237">+INDEX(AH237:AV237,MATCH(DO237,AH237:AV237,1)+1)</f>
        <v>#N/A</v>
      </c>
      <c r="DQ237" s="265" t="e">
        <f t="shared" si="245"/>
        <v>#N/A</v>
      </c>
      <c r="DR237" s="267" t="e">
        <f t="shared" si="246"/>
        <v>#N/A</v>
      </c>
      <c r="DS237" s="267" t="e">
        <f t="shared" si="247"/>
        <v>#N/A</v>
      </c>
      <c r="DT237" s="268" t="e">
        <f t="shared" si="248"/>
        <v>#N/A</v>
      </c>
      <c r="DU237" s="268" t="e" cm="1">
        <f t="array" ref="DU237">+INDEX(AX237:BF237,MATCH(DT237,AX237:BF237,1)+1)</f>
        <v>#N/A</v>
      </c>
      <c r="DV237" s="267" t="e">
        <f t="shared" si="249"/>
        <v>#N/A</v>
      </c>
      <c r="DW237" s="267" t="e">
        <f t="shared" si="250"/>
        <v>#N/A</v>
      </c>
      <c r="DX237" s="267" t="e">
        <f t="shared" si="251"/>
        <v>#N/A</v>
      </c>
      <c r="DY237" s="267">
        <f t="shared" si="253"/>
        <v>6.1200000000000004E-2</v>
      </c>
      <c r="DZ237" s="205" t="e">
        <f t="shared" si="239"/>
        <v>#N/A</v>
      </c>
      <c r="EA237" s="205">
        <f t="shared" si="252"/>
        <v>0</v>
      </c>
    </row>
    <row r="238" spans="2:131">
      <c r="B238" s="272">
        <v>45552</v>
      </c>
      <c r="C238" s="271">
        <v>45552</v>
      </c>
      <c r="D238" s="263" t="e">
        <f>+SUMIFS(Tabla6[Nominal COP],Tabla6[Concepto],COSTO_OPORTUNIDAD!$B$18,Tabla6[Nemotécnico],COSTO_OPORTUNIDAD!D$16,Tabla6[Fecha Cumplimiento y/ liquidacion],COSTO_OPORTUNIDAD!$C238)/+SUMIFS(Tabla6[Nominal COP],Tabla6[Concepto],COSTO_OPORTUNIDAD!$B$18,Tabla6[Fecha Cumplimiento y/ liquidacion],COSTO_OPORTUNIDAD!$C238)</f>
        <v>#DIV/0!</v>
      </c>
      <c r="E238" s="263" t="e">
        <f>+SUMIFS(Tabla6[Nominal COP],Tabla6[Concepto],COSTO_OPORTUNIDAD!$B$18,Tabla6[Nemotécnico],COSTO_OPORTUNIDAD!E$16,Tabla6[Fecha Cumplimiento y/ liquidacion],COSTO_OPORTUNIDAD!$C238)/+SUMIFS(Tabla6[Nominal COP],Tabla6[Concepto],COSTO_OPORTUNIDAD!$B$18,Tabla6[Fecha Cumplimiento y/ liquidacion],COSTO_OPORTUNIDAD!$C238)</f>
        <v>#DIV/0!</v>
      </c>
      <c r="F238" s="263"/>
      <c r="G238" s="263"/>
      <c r="H238" s="263">
        <v>0</v>
      </c>
      <c r="I238" s="263"/>
      <c r="J238" s="263">
        <v>0</v>
      </c>
      <c r="K238" s="263">
        <v>0</v>
      </c>
      <c r="L238" s="263"/>
      <c r="M238" s="263">
        <v>0</v>
      </c>
      <c r="N238" s="263"/>
      <c r="O238" s="263"/>
      <c r="P238" s="263">
        <v>0.15</v>
      </c>
      <c r="Q238" s="263"/>
      <c r="R238" s="263">
        <v>0</v>
      </c>
      <c r="S238" s="263">
        <v>0.85</v>
      </c>
      <c r="T238" s="263">
        <v>0</v>
      </c>
      <c r="U238" s="263"/>
      <c r="V238" s="263">
        <v>0</v>
      </c>
      <c r="W238" s="263">
        <v>0</v>
      </c>
      <c r="X238" s="263">
        <v>0</v>
      </c>
      <c r="Y238" s="263"/>
      <c r="Z238" s="263">
        <v>0</v>
      </c>
      <c r="AA238" s="263">
        <v>0</v>
      </c>
      <c r="AB238" s="263">
        <v>0</v>
      </c>
      <c r="AC238" s="263"/>
      <c r="AD238" s="263">
        <v>0</v>
      </c>
      <c r="AE238" s="263"/>
      <c r="AF238" s="263"/>
      <c r="AG238" s="262"/>
      <c r="AH238" s="274">
        <f t="shared" si="201"/>
        <v>708</v>
      </c>
      <c r="AI238" s="274">
        <f t="shared" si="202"/>
        <v>1142</v>
      </c>
      <c r="AJ238" s="274">
        <f t="shared" si="203"/>
        <v>1319</v>
      </c>
      <c r="AK238" s="274">
        <f t="shared" si="198"/>
        <v>1800</v>
      </c>
      <c r="AL238" s="274">
        <f t="shared" si="204"/>
        <v>2192</v>
      </c>
      <c r="AM238" s="274">
        <f t="shared" si="205"/>
        <v>2381</v>
      </c>
      <c r="AN238" s="274">
        <f t="shared" si="206"/>
        <v>2843</v>
      </c>
      <c r="AO238" s="274">
        <f t="shared" si="242"/>
        <v>3067</v>
      </c>
      <c r="AP238" s="274">
        <f t="shared" si="207"/>
        <v>3683</v>
      </c>
      <c r="AQ238" s="274"/>
      <c r="AR238" s="274">
        <f t="shared" si="208"/>
        <v>4313</v>
      </c>
      <c r="AS238" s="274">
        <f t="shared" si="199"/>
        <v>5916</v>
      </c>
      <c r="AT238" s="274">
        <f t="shared" si="209"/>
        <v>6462</v>
      </c>
      <c r="AU238" s="274">
        <f t="shared" si="243"/>
        <v>7981</v>
      </c>
      <c r="AV238" s="274">
        <f t="shared" si="210"/>
        <v>9535</v>
      </c>
      <c r="AW238" s="274"/>
      <c r="AX238" s="274">
        <f t="shared" si="211"/>
        <v>232</v>
      </c>
      <c r="AY238" s="274">
        <f t="shared" si="212"/>
        <v>911</v>
      </c>
      <c r="AZ238" s="274">
        <f t="shared" si="213"/>
        <v>1674</v>
      </c>
      <c r="BA238" s="274"/>
      <c r="BB238" s="274">
        <f t="shared" si="214"/>
        <v>3111</v>
      </c>
      <c r="BC238" s="274">
        <f t="shared" si="215"/>
        <v>3851</v>
      </c>
      <c r="BD238" s="274">
        <f t="shared" si="216"/>
        <v>4544</v>
      </c>
      <c r="BE238" s="274"/>
      <c r="BF238" s="274">
        <f t="shared" si="217"/>
        <v>9038</v>
      </c>
      <c r="BG238" s="274"/>
      <c r="BH238" s="274"/>
      <c r="BI238" s="266">
        <f t="shared" si="218"/>
        <v>0</v>
      </c>
      <c r="BJ238" s="266" t="e">
        <f t="shared" si="219"/>
        <v>#DIV/0!</v>
      </c>
      <c r="BK238" s="263" t="str">
        <f t="shared" si="220"/>
        <v/>
      </c>
      <c r="BL238" s="263" t="str">
        <f t="shared" si="221"/>
        <v/>
      </c>
      <c r="BM238" s="263" t="str">
        <f t="shared" si="222"/>
        <v/>
      </c>
      <c r="BN238" s="263"/>
      <c r="BO238" s="263" t="str">
        <f t="shared" si="223"/>
        <v/>
      </c>
      <c r="BP238" s="263" t="str">
        <f t="shared" si="224"/>
        <v/>
      </c>
      <c r="BQ238" s="263" t="str">
        <f t="shared" si="225"/>
        <v/>
      </c>
      <c r="BR238" s="263" t="str">
        <f t="shared" si="226"/>
        <v/>
      </c>
      <c r="BS238" s="263" t="str">
        <f t="shared" si="227"/>
        <v/>
      </c>
      <c r="BT238" s="263" t="str">
        <f t="shared" si="228"/>
        <v/>
      </c>
      <c r="BU238" s="263" t="str">
        <f t="shared" si="229"/>
        <v/>
      </c>
      <c r="BV238" s="263"/>
      <c r="BW238" s="263" t="str">
        <f t="shared" si="230"/>
        <v/>
      </c>
      <c r="BX238" s="263" t="str">
        <f t="shared" si="237"/>
        <v/>
      </c>
      <c r="BY238" s="263" t="str">
        <f t="shared" si="231"/>
        <v/>
      </c>
      <c r="BZ238" s="263"/>
      <c r="CA238" s="263" t="str">
        <f t="shared" si="182"/>
        <v/>
      </c>
      <c r="CB238" s="263" t="str">
        <f t="shared" si="232"/>
        <v/>
      </c>
      <c r="CC238" s="263" t="str">
        <f t="shared" si="183"/>
        <v/>
      </c>
      <c r="CD238" s="263" t="str">
        <f t="shared" si="233"/>
        <v/>
      </c>
      <c r="CE238" s="263" t="str">
        <f t="shared" si="241"/>
        <v/>
      </c>
      <c r="CF238" s="263" t="str">
        <f t="shared" si="184"/>
        <v/>
      </c>
      <c r="CG238" s="263" t="str">
        <f t="shared" si="185"/>
        <v/>
      </c>
      <c r="CH238" s="263"/>
      <c r="CI238" s="263" t="str">
        <f t="shared" si="234"/>
        <v/>
      </c>
      <c r="CJ238" s="263"/>
      <c r="CK238" s="263" t="str">
        <f t="shared" si="235"/>
        <v/>
      </c>
      <c r="CL238" s="264">
        <f t="shared" si="238"/>
        <v>0</v>
      </c>
      <c r="CM238" s="264">
        <f t="shared" si="236"/>
        <v>0</v>
      </c>
      <c r="CO238" s="265">
        <v>8.1220000000000001E-2</v>
      </c>
      <c r="CP238" s="265">
        <v>8.6249999999999993E-2</v>
      </c>
      <c r="CQ238" s="265">
        <v>8.9079999999999993E-2</v>
      </c>
      <c r="CS238" s="265">
        <v>9.2100000000000015E-2</v>
      </c>
      <c r="CT238" s="265">
        <v>9.3420000000000003E-2</v>
      </c>
      <c r="CU238" s="265">
        <v>9.5500000000000002E-2</v>
      </c>
      <c r="CV238" s="265">
        <v>9.6579999999999999E-2</v>
      </c>
      <c r="CW238" s="265">
        <v>9.8000000000000004E-2</v>
      </c>
      <c r="CY238" s="265">
        <v>0.10113</v>
      </c>
      <c r="DA238" s="265">
        <v>0.10557999999999999</v>
      </c>
      <c r="DB238" s="265">
        <v>0.10829000000000001</v>
      </c>
      <c r="DC238" s="265">
        <v>0.1065</v>
      </c>
      <c r="DE238" s="265">
        <v>4.7619999999999996E-2</v>
      </c>
      <c r="DF238" s="265">
        <v>4.9550000000000004E-2</v>
      </c>
      <c r="DH238" s="265">
        <v>4.9500000000000002E-2</v>
      </c>
      <c r="DI238" s="265">
        <v>4.9400000000000006E-2</v>
      </c>
      <c r="DJ238" s="265">
        <v>5.0720000000000001E-2</v>
      </c>
      <c r="DL238" s="265">
        <v>4.7320000000000001E-2</v>
      </c>
      <c r="DO238" s="264" t="e">
        <f t="shared" si="244"/>
        <v>#N/A</v>
      </c>
      <c r="DP238" s="264" t="e" cm="1">
        <f t="array" ref="DP238">+INDEX(AH238:AV238,MATCH(DO238,AH238:AV238,1)+1)</f>
        <v>#N/A</v>
      </c>
      <c r="DQ238" s="265" t="e">
        <f t="shared" si="245"/>
        <v>#N/A</v>
      </c>
      <c r="DR238" s="267" t="e">
        <f t="shared" si="246"/>
        <v>#N/A</v>
      </c>
      <c r="DS238" s="267" t="e">
        <f t="shared" si="247"/>
        <v>#N/A</v>
      </c>
      <c r="DT238" s="268" t="e">
        <f t="shared" si="248"/>
        <v>#N/A</v>
      </c>
      <c r="DU238" s="268" t="e" cm="1">
        <f t="array" ref="DU238">+INDEX(AX238:BF238,MATCH(DT238,AX238:BF238,1)+1)</f>
        <v>#N/A</v>
      </c>
      <c r="DV238" s="267" t="e">
        <f t="shared" si="249"/>
        <v>#N/A</v>
      </c>
      <c r="DW238" s="267" t="e">
        <f t="shared" si="250"/>
        <v>#N/A</v>
      </c>
      <c r="DX238" s="267" t="e">
        <f t="shared" si="251"/>
        <v>#N/A</v>
      </c>
      <c r="DY238" s="267">
        <f t="shared" si="253"/>
        <v>6.1200000000000004E-2</v>
      </c>
      <c r="DZ238" s="205" t="e">
        <f t="shared" si="239"/>
        <v>#N/A</v>
      </c>
      <c r="EA238" s="205">
        <f t="shared" si="252"/>
        <v>0</v>
      </c>
    </row>
    <row r="239" spans="2:131">
      <c r="B239" s="272">
        <v>45554</v>
      </c>
      <c r="C239" s="271">
        <v>45554</v>
      </c>
      <c r="D239" s="263" t="e">
        <f>+SUMIFS(Tabla6[Nominal COP],Tabla6[Concepto],COSTO_OPORTUNIDAD!$B$18,Tabla6[Nemotécnico],COSTO_OPORTUNIDAD!D$16,Tabla6[Fecha Cumplimiento y/ liquidacion],COSTO_OPORTUNIDAD!$C239)/+SUMIFS(Tabla6[Nominal COP],Tabla6[Concepto],COSTO_OPORTUNIDAD!$B$18,Tabla6[Fecha Cumplimiento y/ liquidacion],COSTO_OPORTUNIDAD!$C239)</f>
        <v>#DIV/0!</v>
      </c>
      <c r="E239" s="263" t="e">
        <f>+SUMIFS(Tabla6[Nominal COP],Tabla6[Concepto],COSTO_OPORTUNIDAD!$B$18,Tabla6[Nemotécnico],COSTO_OPORTUNIDAD!E$16,Tabla6[Fecha Cumplimiento y/ liquidacion],COSTO_OPORTUNIDAD!$C239)/+SUMIFS(Tabla6[Nominal COP],Tabla6[Concepto],COSTO_OPORTUNIDAD!$B$18,Tabla6[Fecha Cumplimiento y/ liquidacion],COSTO_OPORTUNIDAD!$C239)</f>
        <v>#DIV/0!</v>
      </c>
      <c r="F239" s="263"/>
      <c r="G239" s="263"/>
      <c r="H239" s="263">
        <v>0</v>
      </c>
      <c r="I239" s="263"/>
      <c r="J239" s="263">
        <v>0.05</v>
      </c>
      <c r="K239" s="263">
        <v>0.15</v>
      </c>
      <c r="L239" s="263"/>
      <c r="M239" s="263">
        <v>0</v>
      </c>
      <c r="N239" s="263"/>
      <c r="O239" s="263"/>
      <c r="P239" s="263">
        <v>0</v>
      </c>
      <c r="Q239" s="263"/>
      <c r="R239" s="263">
        <v>0</v>
      </c>
      <c r="S239" s="263">
        <v>0.8</v>
      </c>
      <c r="T239" s="263">
        <v>0</v>
      </c>
      <c r="U239" s="263"/>
      <c r="V239" s="263">
        <v>0</v>
      </c>
      <c r="W239" s="263">
        <v>0</v>
      </c>
      <c r="X239" s="263">
        <v>0</v>
      </c>
      <c r="Y239" s="263"/>
      <c r="Z239" s="263">
        <v>0</v>
      </c>
      <c r="AA239" s="263">
        <v>0</v>
      </c>
      <c r="AB239" s="263">
        <v>0</v>
      </c>
      <c r="AC239" s="263"/>
      <c r="AD239" s="263">
        <v>0</v>
      </c>
      <c r="AE239" s="263"/>
      <c r="AF239" s="263"/>
      <c r="AG239" s="262"/>
      <c r="AH239" s="274">
        <f t="shared" si="201"/>
        <v>706</v>
      </c>
      <c r="AI239" s="274">
        <f t="shared" si="202"/>
        <v>1140</v>
      </c>
      <c r="AJ239" s="274">
        <f t="shared" si="203"/>
        <v>1317</v>
      </c>
      <c r="AK239" s="274">
        <f t="shared" si="198"/>
        <v>1798</v>
      </c>
      <c r="AL239" s="274">
        <f t="shared" si="204"/>
        <v>2190</v>
      </c>
      <c r="AM239" s="274">
        <f t="shared" si="205"/>
        <v>2379</v>
      </c>
      <c r="AN239" s="274">
        <f t="shared" si="206"/>
        <v>2841</v>
      </c>
      <c r="AO239" s="274">
        <f t="shared" si="242"/>
        <v>3065</v>
      </c>
      <c r="AP239" s="274">
        <f t="shared" si="207"/>
        <v>3681</v>
      </c>
      <c r="AQ239" s="274"/>
      <c r="AR239" s="274">
        <f t="shared" si="208"/>
        <v>4311</v>
      </c>
      <c r="AS239" s="274">
        <f t="shared" si="199"/>
        <v>5914</v>
      </c>
      <c r="AT239" s="274">
        <f t="shared" si="209"/>
        <v>6460</v>
      </c>
      <c r="AU239" s="274">
        <f t="shared" si="243"/>
        <v>7979</v>
      </c>
      <c r="AV239" s="274">
        <f t="shared" si="210"/>
        <v>9533</v>
      </c>
      <c r="AW239" s="274"/>
      <c r="AX239" s="274">
        <f t="shared" si="211"/>
        <v>230</v>
      </c>
      <c r="AY239" s="274">
        <f t="shared" si="212"/>
        <v>909</v>
      </c>
      <c r="AZ239" s="274">
        <f t="shared" si="213"/>
        <v>1672</v>
      </c>
      <c r="BA239" s="274"/>
      <c r="BB239" s="274">
        <f t="shared" si="214"/>
        <v>3109</v>
      </c>
      <c r="BC239" s="274">
        <f t="shared" si="215"/>
        <v>3849</v>
      </c>
      <c r="BD239" s="274">
        <f t="shared" si="216"/>
        <v>4542</v>
      </c>
      <c r="BE239" s="274"/>
      <c r="BF239" s="274">
        <f t="shared" si="217"/>
        <v>9036</v>
      </c>
      <c r="BG239" s="274"/>
      <c r="BH239" s="274"/>
      <c r="BI239" s="266">
        <f t="shared" si="218"/>
        <v>0</v>
      </c>
      <c r="BJ239" s="266" t="e">
        <f t="shared" si="219"/>
        <v>#DIV/0!</v>
      </c>
      <c r="BK239" s="263" t="str">
        <f t="shared" si="220"/>
        <v/>
      </c>
      <c r="BL239" s="263" t="str">
        <f t="shared" si="221"/>
        <v/>
      </c>
      <c r="BM239" s="263" t="str">
        <f t="shared" si="222"/>
        <v/>
      </c>
      <c r="BN239" s="263"/>
      <c r="BO239" s="263" t="str">
        <f t="shared" si="223"/>
        <v/>
      </c>
      <c r="BP239" s="263" t="str">
        <f t="shared" si="224"/>
        <v/>
      </c>
      <c r="BQ239" s="263" t="str">
        <f t="shared" si="225"/>
        <v/>
      </c>
      <c r="BR239" s="263" t="str">
        <f t="shared" si="226"/>
        <v/>
      </c>
      <c r="BS239" s="263" t="str">
        <f t="shared" si="227"/>
        <v/>
      </c>
      <c r="BT239" s="263" t="str">
        <f t="shared" si="228"/>
        <v/>
      </c>
      <c r="BU239" s="263" t="str">
        <f t="shared" si="229"/>
        <v/>
      </c>
      <c r="BV239" s="263"/>
      <c r="BW239" s="263" t="str">
        <f t="shared" si="230"/>
        <v/>
      </c>
      <c r="BX239" s="263" t="str">
        <f t="shared" si="237"/>
        <v/>
      </c>
      <c r="BY239" s="263" t="str">
        <f t="shared" si="231"/>
        <v/>
      </c>
      <c r="BZ239" s="263"/>
      <c r="CA239" s="263" t="str">
        <f t="shared" si="182"/>
        <v/>
      </c>
      <c r="CB239" s="263" t="str">
        <f t="shared" si="232"/>
        <v/>
      </c>
      <c r="CC239" s="263" t="str">
        <f t="shared" si="183"/>
        <v/>
      </c>
      <c r="CD239" s="263" t="str">
        <f t="shared" si="233"/>
        <v/>
      </c>
      <c r="CE239" s="263" t="str">
        <f t="shared" si="241"/>
        <v/>
      </c>
      <c r="CF239" s="263" t="str">
        <f t="shared" si="184"/>
        <v/>
      </c>
      <c r="CG239" s="263" t="str">
        <f t="shared" si="185"/>
        <v/>
      </c>
      <c r="CH239" s="263"/>
      <c r="CI239" s="263" t="str">
        <f t="shared" si="234"/>
        <v/>
      </c>
      <c r="CJ239" s="263"/>
      <c r="CK239" s="263" t="str">
        <f t="shared" si="235"/>
        <v/>
      </c>
      <c r="CL239" s="264">
        <f t="shared" si="238"/>
        <v>0</v>
      </c>
      <c r="CM239" s="264">
        <f t="shared" si="236"/>
        <v>0</v>
      </c>
      <c r="CO239" s="265">
        <v>8.0799999999999997E-2</v>
      </c>
      <c r="CP239" s="265">
        <v>8.5999999999999993E-2</v>
      </c>
      <c r="CQ239" s="265">
        <v>8.8599999999999998E-2</v>
      </c>
      <c r="CS239" s="265">
        <v>9.1750000000000012E-2</v>
      </c>
      <c r="CT239" s="265">
        <v>9.3350000000000002E-2</v>
      </c>
      <c r="CU239" s="265">
        <v>9.5700000000000007E-2</v>
      </c>
      <c r="CV239" s="265">
        <v>9.6880000000000008E-2</v>
      </c>
      <c r="CW239" s="265">
        <v>9.8430000000000004E-2</v>
      </c>
      <c r="CY239" s="265">
        <v>0.1011</v>
      </c>
      <c r="DA239" s="265">
        <v>0.10557999999999999</v>
      </c>
      <c r="DB239" s="265">
        <v>0.10869999999999999</v>
      </c>
      <c r="DC239" s="265">
        <v>0.10686999999999999</v>
      </c>
      <c r="DE239" s="265">
        <v>4.6600000000000003E-2</v>
      </c>
      <c r="DF239" s="265">
        <v>4.9259999999999998E-2</v>
      </c>
      <c r="DH239" s="265">
        <v>4.9419999999999999E-2</v>
      </c>
      <c r="DI239" s="265">
        <v>4.99E-2</v>
      </c>
      <c r="DJ239" s="265">
        <v>5.0519999999999995E-2</v>
      </c>
      <c r="DL239" s="265">
        <v>4.8019999999999993E-2</v>
      </c>
      <c r="DO239" s="264" t="e">
        <f t="shared" si="244"/>
        <v>#N/A</v>
      </c>
      <c r="DP239" s="264" t="e" cm="1">
        <f t="array" ref="DP239">+INDEX(AH239:AV239,MATCH(DO239,AH239:AV239,1)+1)</f>
        <v>#N/A</v>
      </c>
      <c r="DQ239" s="265" t="e">
        <f t="shared" si="245"/>
        <v>#N/A</v>
      </c>
      <c r="DR239" s="267" t="e">
        <f t="shared" si="246"/>
        <v>#N/A</v>
      </c>
      <c r="DS239" s="267" t="e">
        <f t="shared" si="247"/>
        <v>#N/A</v>
      </c>
      <c r="DT239" s="268" t="e">
        <f t="shared" si="248"/>
        <v>#N/A</v>
      </c>
      <c r="DU239" s="268" t="e" cm="1">
        <f t="array" ref="DU239">+INDEX(AX239:BF239,MATCH(DT239,AX239:BF239,1)+1)</f>
        <v>#N/A</v>
      </c>
      <c r="DV239" s="267" t="e">
        <f t="shared" si="249"/>
        <v>#N/A</v>
      </c>
      <c r="DW239" s="267" t="e">
        <f t="shared" si="250"/>
        <v>#N/A</v>
      </c>
      <c r="DX239" s="267" t="e">
        <f t="shared" si="251"/>
        <v>#N/A</v>
      </c>
      <c r="DY239" s="267">
        <f t="shared" si="253"/>
        <v>6.1200000000000004E-2</v>
      </c>
      <c r="DZ239" s="205" t="e">
        <f t="shared" si="239"/>
        <v>#N/A</v>
      </c>
      <c r="EA239" s="205">
        <f t="shared" si="252"/>
        <v>0</v>
      </c>
    </row>
    <row r="240" spans="2:131">
      <c r="B240" s="272">
        <v>45555</v>
      </c>
      <c r="C240" s="271">
        <v>45555</v>
      </c>
      <c r="D240" s="263" t="e">
        <f>+SUMIFS(Tabla6[Nominal COP],Tabla6[Concepto],COSTO_OPORTUNIDAD!$B$18,Tabla6[Nemotécnico],COSTO_OPORTUNIDAD!D$16,Tabla6[Fecha Cumplimiento y/ liquidacion],COSTO_OPORTUNIDAD!$C240)/+SUMIFS(Tabla6[Nominal COP],Tabla6[Concepto],COSTO_OPORTUNIDAD!$B$18,Tabla6[Fecha Cumplimiento y/ liquidacion],COSTO_OPORTUNIDAD!$C240)</f>
        <v>#DIV/0!</v>
      </c>
      <c r="E240" s="263" t="e">
        <f>+SUMIFS(Tabla6[Nominal COP],Tabla6[Concepto],COSTO_OPORTUNIDAD!$B$18,Tabla6[Nemotécnico],COSTO_OPORTUNIDAD!E$16,Tabla6[Fecha Cumplimiento y/ liquidacion],COSTO_OPORTUNIDAD!$C240)/+SUMIFS(Tabla6[Nominal COP],Tabla6[Concepto],COSTO_OPORTUNIDAD!$B$18,Tabla6[Fecha Cumplimiento y/ liquidacion],COSTO_OPORTUNIDAD!$C240)</f>
        <v>#DIV/0!</v>
      </c>
      <c r="F240" s="263"/>
      <c r="G240" s="263"/>
      <c r="H240" s="263">
        <v>0</v>
      </c>
      <c r="I240" s="263"/>
      <c r="J240" s="263">
        <v>0.12269938650306748</v>
      </c>
      <c r="K240" s="263">
        <v>6.1349693251533742E-2</v>
      </c>
      <c r="L240" s="263"/>
      <c r="M240" s="263">
        <v>0</v>
      </c>
      <c r="N240" s="263"/>
      <c r="O240" s="263"/>
      <c r="P240" s="263">
        <v>0</v>
      </c>
      <c r="Q240" s="263"/>
      <c r="R240" s="263">
        <v>0</v>
      </c>
      <c r="S240" s="263">
        <v>0.81595092024539873</v>
      </c>
      <c r="T240" s="263">
        <v>0</v>
      </c>
      <c r="U240" s="263"/>
      <c r="V240" s="263">
        <v>0</v>
      </c>
      <c r="W240" s="263">
        <v>0</v>
      </c>
      <c r="X240" s="263">
        <v>0</v>
      </c>
      <c r="Y240" s="263"/>
      <c r="Z240" s="263">
        <v>0</v>
      </c>
      <c r="AA240" s="263">
        <v>0</v>
      </c>
      <c r="AB240" s="263">
        <v>0</v>
      </c>
      <c r="AC240" s="263"/>
      <c r="AD240" s="263">
        <v>0</v>
      </c>
      <c r="AE240" s="263"/>
      <c r="AF240" s="263"/>
      <c r="AG240" s="262"/>
      <c r="AH240" s="274">
        <f t="shared" si="201"/>
        <v>705</v>
      </c>
      <c r="AI240" s="274">
        <f t="shared" si="202"/>
        <v>1139</v>
      </c>
      <c r="AJ240" s="274">
        <f t="shared" si="203"/>
        <v>1316</v>
      </c>
      <c r="AK240" s="274">
        <f t="shared" si="198"/>
        <v>1797</v>
      </c>
      <c r="AL240" s="274">
        <f t="shared" si="204"/>
        <v>2189</v>
      </c>
      <c r="AM240" s="274">
        <f t="shared" si="205"/>
        <v>2378</v>
      </c>
      <c r="AN240" s="274">
        <f t="shared" si="206"/>
        <v>2840</v>
      </c>
      <c r="AO240" s="274">
        <f t="shared" si="242"/>
        <v>3064</v>
      </c>
      <c r="AP240" s="274">
        <f t="shared" si="207"/>
        <v>3680</v>
      </c>
      <c r="AQ240" s="274"/>
      <c r="AR240" s="274">
        <f t="shared" si="208"/>
        <v>4310</v>
      </c>
      <c r="AS240" s="274">
        <f t="shared" si="199"/>
        <v>5913</v>
      </c>
      <c r="AT240" s="274">
        <f t="shared" si="209"/>
        <v>6459</v>
      </c>
      <c r="AU240" s="274">
        <f t="shared" si="243"/>
        <v>7978</v>
      </c>
      <c r="AV240" s="274">
        <f t="shared" si="210"/>
        <v>9532</v>
      </c>
      <c r="AW240" s="274"/>
      <c r="AX240" s="274">
        <f t="shared" si="211"/>
        <v>229</v>
      </c>
      <c r="AY240" s="274">
        <f t="shared" si="212"/>
        <v>908</v>
      </c>
      <c r="AZ240" s="274">
        <f t="shared" si="213"/>
        <v>1671</v>
      </c>
      <c r="BA240" s="274"/>
      <c r="BB240" s="274">
        <f t="shared" si="214"/>
        <v>3108</v>
      </c>
      <c r="BC240" s="274">
        <f t="shared" si="215"/>
        <v>3848</v>
      </c>
      <c r="BD240" s="274">
        <f t="shared" si="216"/>
        <v>4541</v>
      </c>
      <c r="BE240" s="274"/>
      <c r="BF240" s="274">
        <f t="shared" si="217"/>
        <v>9035</v>
      </c>
      <c r="BG240" s="274"/>
      <c r="BH240" s="274"/>
      <c r="BI240" s="266">
        <f t="shared" si="218"/>
        <v>0</v>
      </c>
      <c r="BJ240" s="266" t="e">
        <f t="shared" si="219"/>
        <v>#DIV/0!</v>
      </c>
      <c r="BK240" s="263" t="str">
        <f t="shared" si="220"/>
        <v/>
      </c>
      <c r="BL240" s="263" t="str">
        <f t="shared" si="221"/>
        <v/>
      </c>
      <c r="BM240" s="263" t="str">
        <f t="shared" si="222"/>
        <v/>
      </c>
      <c r="BN240" s="263"/>
      <c r="BO240" s="263" t="str">
        <f t="shared" si="223"/>
        <v/>
      </c>
      <c r="BP240" s="263" t="str">
        <f t="shared" si="224"/>
        <v/>
      </c>
      <c r="BQ240" s="263" t="str">
        <f t="shared" si="225"/>
        <v/>
      </c>
      <c r="BR240" s="263" t="str">
        <f t="shared" si="226"/>
        <v/>
      </c>
      <c r="BS240" s="263" t="str">
        <f t="shared" si="227"/>
        <v/>
      </c>
      <c r="BT240" s="263" t="str">
        <f t="shared" si="228"/>
        <v/>
      </c>
      <c r="BU240" s="263" t="str">
        <f t="shared" si="229"/>
        <v/>
      </c>
      <c r="BV240" s="263"/>
      <c r="BW240" s="263" t="str">
        <f t="shared" si="230"/>
        <v/>
      </c>
      <c r="BX240" s="263" t="str">
        <f t="shared" si="237"/>
        <v/>
      </c>
      <c r="BY240" s="263" t="str">
        <f t="shared" si="231"/>
        <v/>
      </c>
      <c r="BZ240" s="263"/>
      <c r="CA240" s="263" t="str">
        <f t="shared" si="182"/>
        <v/>
      </c>
      <c r="CB240" s="263" t="str">
        <f t="shared" si="232"/>
        <v/>
      </c>
      <c r="CC240" s="263" t="str">
        <f t="shared" si="183"/>
        <v/>
      </c>
      <c r="CD240" s="263" t="str">
        <f t="shared" si="233"/>
        <v/>
      </c>
      <c r="CE240" s="263" t="str">
        <f t="shared" si="241"/>
        <v/>
      </c>
      <c r="CF240" s="263" t="str">
        <f t="shared" si="184"/>
        <v/>
      </c>
      <c r="CG240" s="263" t="str">
        <f t="shared" si="185"/>
        <v/>
      </c>
      <c r="CH240" s="263"/>
      <c r="CI240" s="263" t="str">
        <f t="shared" si="234"/>
        <v/>
      </c>
      <c r="CJ240" s="263"/>
      <c r="CK240" s="263" t="str">
        <f t="shared" si="235"/>
        <v/>
      </c>
      <c r="CL240" s="264">
        <f t="shared" si="238"/>
        <v>0</v>
      </c>
      <c r="CM240" s="264">
        <f t="shared" si="236"/>
        <v>0</v>
      </c>
      <c r="CO240" s="265">
        <v>8.1839999999999996E-2</v>
      </c>
      <c r="CP240" s="265">
        <v>8.6599999999999996E-2</v>
      </c>
      <c r="CQ240" s="265">
        <v>8.9570000000000011E-2</v>
      </c>
      <c r="CS240" s="265">
        <v>9.2499999999999999E-2</v>
      </c>
      <c r="CT240" s="265">
        <v>9.4049999999999995E-2</v>
      </c>
      <c r="CU240" s="265">
        <v>9.647E-2</v>
      </c>
      <c r="CV240" s="265">
        <v>9.7850000000000006E-2</v>
      </c>
      <c r="CW240" s="265">
        <v>9.8699999999999996E-2</v>
      </c>
      <c r="CY240" s="265">
        <v>0.10182000000000001</v>
      </c>
      <c r="DA240" s="265">
        <v>0.10630000000000001</v>
      </c>
      <c r="DB240" s="265">
        <v>0.1091</v>
      </c>
      <c r="DC240" s="265">
        <v>0.10731</v>
      </c>
      <c r="DE240" s="265">
        <v>4.6100000000000002E-2</v>
      </c>
      <c r="DF240" s="265">
        <v>4.8499999999999995E-2</v>
      </c>
      <c r="DH240" s="265">
        <v>4.9400000000000006E-2</v>
      </c>
      <c r="DI240" s="265">
        <v>4.9200000000000001E-2</v>
      </c>
      <c r="DJ240" s="265">
        <v>4.9690000000000005E-2</v>
      </c>
      <c r="DL240" s="265">
        <v>4.7E-2</v>
      </c>
      <c r="DO240" s="264" t="e">
        <f t="shared" si="244"/>
        <v>#N/A</v>
      </c>
      <c r="DP240" s="264" t="e" cm="1">
        <f t="array" ref="DP240">+INDEX(AH240:AV240,MATCH(DO240,AH240:AV240,1)+1)</f>
        <v>#N/A</v>
      </c>
      <c r="DQ240" s="265" t="e">
        <f t="shared" si="245"/>
        <v>#N/A</v>
      </c>
      <c r="DR240" s="267" t="e">
        <f t="shared" si="246"/>
        <v>#N/A</v>
      </c>
      <c r="DS240" s="267" t="e">
        <f t="shared" si="247"/>
        <v>#N/A</v>
      </c>
      <c r="DT240" s="268" t="e">
        <f t="shared" si="248"/>
        <v>#N/A</v>
      </c>
      <c r="DU240" s="268" t="e" cm="1">
        <f t="array" ref="DU240">+INDEX(AX240:BF240,MATCH(DT240,AX240:BF240,1)+1)</f>
        <v>#N/A</v>
      </c>
      <c r="DV240" s="267" t="e">
        <f t="shared" si="249"/>
        <v>#N/A</v>
      </c>
      <c r="DW240" s="267" t="e">
        <f t="shared" si="250"/>
        <v>#N/A</v>
      </c>
      <c r="DX240" s="267" t="e">
        <f t="shared" si="251"/>
        <v>#N/A</v>
      </c>
      <c r="DY240" s="267">
        <f t="shared" si="253"/>
        <v>6.1200000000000004E-2</v>
      </c>
      <c r="DZ240" s="205" t="e">
        <f t="shared" si="239"/>
        <v>#N/A</v>
      </c>
      <c r="EA240" s="205">
        <f t="shared" si="252"/>
        <v>0</v>
      </c>
    </row>
    <row r="241" spans="2:131">
      <c r="B241" s="272">
        <v>45559</v>
      </c>
      <c r="C241" s="271">
        <v>45559</v>
      </c>
      <c r="D241" s="263" t="e">
        <f>+SUMIFS(Tabla6[Nominal COP],Tabla6[Concepto],COSTO_OPORTUNIDAD!$B$18,Tabla6[Nemotécnico],COSTO_OPORTUNIDAD!D$16,Tabla6[Fecha Cumplimiento y/ liquidacion],COSTO_OPORTUNIDAD!$C241)/+SUMIFS(Tabla6[Nominal COP],Tabla6[Concepto],COSTO_OPORTUNIDAD!$B$18,Tabla6[Fecha Cumplimiento y/ liquidacion],COSTO_OPORTUNIDAD!$C241)</f>
        <v>#DIV/0!</v>
      </c>
      <c r="E241" s="263" t="e">
        <f>+SUMIFS(Tabla6[Nominal COP],Tabla6[Concepto],COSTO_OPORTUNIDAD!$B$18,Tabla6[Nemotécnico],COSTO_OPORTUNIDAD!E$16,Tabla6[Fecha Cumplimiento y/ liquidacion],COSTO_OPORTUNIDAD!$C241)/+SUMIFS(Tabla6[Nominal COP],Tabla6[Concepto],COSTO_OPORTUNIDAD!$B$18,Tabla6[Fecha Cumplimiento y/ liquidacion],COSTO_OPORTUNIDAD!$C241)</f>
        <v>#DIV/0!</v>
      </c>
      <c r="F241" s="263"/>
      <c r="G241" s="263"/>
      <c r="H241" s="263">
        <v>0</v>
      </c>
      <c r="I241" s="263"/>
      <c r="J241" s="263">
        <v>0</v>
      </c>
      <c r="K241" s="263">
        <v>0.15</v>
      </c>
      <c r="L241" s="263"/>
      <c r="M241" s="263">
        <v>0</v>
      </c>
      <c r="N241" s="263"/>
      <c r="O241" s="263"/>
      <c r="P241" s="263">
        <v>0</v>
      </c>
      <c r="Q241" s="263"/>
      <c r="R241" s="263">
        <v>0</v>
      </c>
      <c r="S241" s="263">
        <v>0.85</v>
      </c>
      <c r="T241" s="263">
        <v>0</v>
      </c>
      <c r="U241" s="263"/>
      <c r="V241" s="263">
        <v>0</v>
      </c>
      <c r="W241" s="263">
        <v>0</v>
      </c>
      <c r="X241" s="263">
        <v>0</v>
      </c>
      <c r="Y241" s="263"/>
      <c r="Z241" s="263">
        <v>0</v>
      </c>
      <c r="AA241" s="263">
        <v>0</v>
      </c>
      <c r="AB241" s="263">
        <v>0</v>
      </c>
      <c r="AC241" s="263"/>
      <c r="AD241" s="263">
        <v>0</v>
      </c>
      <c r="AE241" s="263"/>
      <c r="AF241" s="263"/>
      <c r="AG241" s="262"/>
      <c r="AH241" s="274">
        <f t="shared" si="201"/>
        <v>701</v>
      </c>
      <c r="AI241" s="274">
        <f t="shared" si="202"/>
        <v>1135</v>
      </c>
      <c r="AJ241" s="274">
        <f t="shared" si="203"/>
        <v>1312</v>
      </c>
      <c r="AK241" s="274">
        <f t="shared" si="198"/>
        <v>1793</v>
      </c>
      <c r="AL241" s="274">
        <f t="shared" si="204"/>
        <v>2185</v>
      </c>
      <c r="AM241" s="274">
        <f t="shared" si="205"/>
        <v>2374</v>
      </c>
      <c r="AN241" s="274">
        <f t="shared" si="206"/>
        <v>2836</v>
      </c>
      <c r="AO241" s="274">
        <f t="shared" si="242"/>
        <v>3060</v>
      </c>
      <c r="AP241" s="274">
        <f t="shared" si="207"/>
        <v>3676</v>
      </c>
      <c r="AQ241" s="274"/>
      <c r="AR241" s="274">
        <f t="shared" si="208"/>
        <v>4306</v>
      </c>
      <c r="AS241" s="274">
        <f t="shared" si="199"/>
        <v>5909</v>
      </c>
      <c r="AT241" s="274">
        <f t="shared" si="209"/>
        <v>6455</v>
      </c>
      <c r="AU241" s="274">
        <f t="shared" si="243"/>
        <v>7974</v>
      </c>
      <c r="AV241" s="274">
        <f t="shared" si="210"/>
        <v>9528</v>
      </c>
      <c r="AW241" s="274"/>
      <c r="AX241" s="274">
        <f t="shared" si="211"/>
        <v>225</v>
      </c>
      <c r="AY241" s="274">
        <f t="shared" si="212"/>
        <v>904</v>
      </c>
      <c r="AZ241" s="274">
        <f t="shared" si="213"/>
        <v>1667</v>
      </c>
      <c r="BA241" s="274"/>
      <c r="BB241" s="274">
        <f t="shared" si="214"/>
        <v>3104</v>
      </c>
      <c r="BC241" s="274">
        <f t="shared" si="215"/>
        <v>3844</v>
      </c>
      <c r="BD241" s="274">
        <f t="shared" si="216"/>
        <v>4537</v>
      </c>
      <c r="BE241" s="274"/>
      <c r="BF241" s="274">
        <f t="shared" si="217"/>
        <v>9031</v>
      </c>
      <c r="BG241" s="274"/>
      <c r="BH241" s="274"/>
      <c r="BI241" s="266">
        <f t="shared" si="218"/>
        <v>0</v>
      </c>
      <c r="BJ241" s="266" t="e">
        <f t="shared" si="219"/>
        <v>#DIV/0!</v>
      </c>
      <c r="BK241" s="263" t="str">
        <f t="shared" si="220"/>
        <v/>
      </c>
      <c r="BL241" s="263" t="str">
        <f t="shared" si="221"/>
        <v/>
      </c>
      <c r="BM241" s="263" t="str">
        <f t="shared" si="222"/>
        <v/>
      </c>
      <c r="BN241" s="263"/>
      <c r="BO241" s="263" t="str">
        <f t="shared" si="223"/>
        <v/>
      </c>
      <c r="BP241" s="263" t="str">
        <f t="shared" si="224"/>
        <v/>
      </c>
      <c r="BQ241" s="263" t="str">
        <f t="shared" si="225"/>
        <v/>
      </c>
      <c r="BR241" s="263" t="str">
        <f t="shared" si="226"/>
        <v/>
      </c>
      <c r="BS241" s="263" t="str">
        <f t="shared" si="227"/>
        <v/>
      </c>
      <c r="BT241" s="263" t="str">
        <f t="shared" si="228"/>
        <v/>
      </c>
      <c r="BU241" s="263" t="str">
        <f t="shared" si="229"/>
        <v/>
      </c>
      <c r="BV241" s="263"/>
      <c r="BW241" s="263" t="str">
        <f t="shared" si="230"/>
        <v/>
      </c>
      <c r="BX241" s="263" t="str">
        <f t="shared" si="237"/>
        <v/>
      </c>
      <c r="BY241" s="263" t="str">
        <f t="shared" si="231"/>
        <v/>
      </c>
      <c r="BZ241" s="263"/>
      <c r="CA241" s="263" t="str">
        <f t="shared" si="182"/>
        <v/>
      </c>
      <c r="CB241" s="263" t="str">
        <f t="shared" si="232"/>
        <v/>
      </c>
      <c r="CC241" s="263" t="str">
        <f t="shared" si="183"/>
        <v/>
      </c>
      <c r="CD241" s="263" t="str">
        <f t="shared" si="233"/>
        <v/>
      </c>
      <c r="CE241" s="263" t="str">
        <f t="shared" si="241"/>
        <v/>
      </c>
      <c r="CF241" s="263" t="str">
        <f t="shared" si="184"/>
        <v/>
      </c>
      <c r="CG241" s="263" t="str">
        <f t="shared" si="185"/>
        <v/>
      </c>
      <c r="CH241" s="263"/>
      <c r="CI241" s="263" t="str">
        <f t="shared" si="234"/>
        <v/>
      </c>
      <c r="CJ241" s="263"/>
      <c r="CK241" s="263" t="str">
        <f t="shared" si="235"/>
        <v/>
      </c>
      <c r="CL241" s="264">
        <f t="shared" si="238"/>
        <v>0</v>
      </c>
      <c r="CM241" s="264">
        <f t="shared" si="236"/>
        <v>0</v>
      </c>
      <c r="CO241" s="265">
        <v>8.1679999999999989E-2</v>
      </c>
      <c r="CP241" s="265">
        <v>8.7400000000000005E-2</v>
      </c>
      <c r="CQ241" s="265">
        <v>9.0200000000000002E-2</v>
      </c>
      <c r="CS241" s="265">
        <v>9.3399999999999997E-2</v>
      </c>
      <c r="CT241" s="265">
        <v>9.461E-2</v>
      </c>
      <c r="CU241" s="265">
        <v>9.6750000000000003E-2</v>
      </c>
      <c r="CV241" s="265">
        <v>9.845000000000001E-2</v>
      </c>
      <c r="CW241" s="265">
        <v>9.955E-2</v>
      </c>
      <c r="CY241" s="265">
        <v>0.10255</v>
      </c>
      <c r="DA241" s="265">
        <v>0.10688</v>
      </c>
      <c r="DB241" s="265">
        <v>0.1091</v>
      </c>
      <c r="DC241" s="265">
        <v>0.10804</v>
      </c>
      <c r="DE241" s="265">
        <v>4.6799999999999994E-2</v>
      </c>
      <c r="DF241" s="265">
        <v>4.8049999999999995E-2</v>
      </c>
      <c r="DH241" s="265">
        <v>4.8949999999999994E-2</v>
      </c>
      <c r="DI241" s="265">
        <v>4.9100000000000005E-2</v>
      </c>
      <c r="DJ241" s="265">
        <v>4.9480000000000003E-2</v>
      </c>
      <c r="DL241" s="265">
        <v>4.7400000000000005E-2</v>
      </c>
      <c r="DO241" s="264" t="e">
        <f t="shared" si="244"/>
        <v>#N/A</v>
      </c>
      <c r="DP241" s="264" t="e" cm="1">
        <f t="array" ref="DP241">+INDEX(AH241:AV241,MATCH(DO241,AH241:AV241,1)+1)</f>
        <v>#N/A</v>
      </c>
      <c r="DQ241" s="265" t="e">
        <f t="shared" si="245"/>
        <v>#N/A</v>
      </c>
      <c r="DR241" s="267" t="e">
        <f t="shared" si="246"/>
        <v>#N/A</v>
      </c>
      <c r="DS241" s="267" t="e">
        <f t="shared" si="247"/>
        <v>#N/A</v>
      </c>
      <c r="DT241" s="268" t="e">
        <f t="shared" si="248"/>
        <v>#N/A</v>
      </c>
      <c r="DU241" s="268" t="e" cm="1">
        <f t="array" ref="DU241">+INDEX(AX241:BF241,MATCH(DT241,AX241:BF241,1)+1)</f>
        <v>#N/A</v>
      </c>
      <c r="DV241" s="267" t="e">
        <f t="shared" si="249"/>
        <v>#N/A</v>
      </c>
      <c r="DW241" s="267" t="e">
        <f t="shared" si="250"/>
        <v>#N/A</v>
      </c>
      <c r="DX241" s="267" t="e">
        <f t="shared" si="251"/>
        <v>#N/A</v>
      </c>
      <c r="DY241" s="267">
        <f t="shared" si="253"/>
        <v>6.1200000000000004E-2</v>
      </c>
      <c r="DZ241" s="205" t="e">
        <f t="shared" si="239"/>
        <v>#N/A</v>
      </c>
      <c r="EA241" s="205">
        <f t="shared" si="252"/>
        <v>0</v>
      </c>
    </row>
    <row r="242" spans="2:131">
      <c r="B242" s="272">
        <v>45560</v>
      </c>
      <c r="C242" s="271">
        <v>45560</v>
      </c>
      <c r="D242" s="263" t="e">
        <f>+SUMIFS(Tabla6[Nominal COP],Tabla6[Concepto],COSTO_OPORTUNIDAD!$B$18,Tabla6[Nemotécnico],COSTO_OPORTUNIDAD!D$16,Tabla6[Fecha Cumplimiento y/ liquidacion],COSTO_OPORTUNIDAD!$C242)/+SUMIFS(Tabla6[Nominal COP],Tabla6[Concepto],COSTO_OPORTUNIDAD!$B$18,Tabla6[Fecha Cumplimiento y/ liquidacion],COSTO_OPORTUNIDAD!$C242)</f>
        <v>#DIV/0!</v>
      </c>
      <c r="E242" s="263" t="e">
        <f>+SUMIFS(Tabla6[Nominal COP],Tabla6[Concepto],COSTO_OPORTUNIDAD!$B$18,Tabla6[Nemotécnico],COSTO_OPORTUNIDAD!E$16,Tabla6[Fecha Cumplimiento y/ liquidacion],COSTO_OPORTUNIDAD!$C242)/+SUMIFS(Tabla6[Nominal COP],Tabla6[Concepto],COSTO_OPORTUNIDAD!$B$18,Tabla6[Fecha Cumplimiento y/ liquidacion],COSTO_OPORTUNIDAD!$C242)</f>
        <v>#DIV/0!</v>
      </c>
      <c r="F242" s="263"/>
      <c r="G242" s="263"/>
      <c r="H242" s="263">
        <v>0</v>
      </c>
      <c r="I242" s="263"/>
      <c r="J242" s="263">
        <v>6.4935064935064929E-2</v>
      </c>
      <c r="K242" s="263">
        <v>0.1038961038961039</v>
      </c>
      <c r="L242" s="263"/>
      <c r="M242" s="263">
        <v>0</v>
      </c>
      <c r="N242" s="263"/>
      <c r="O242" s="263"/>
      <c r="P242" s="263">
        <v>0</v>
      </c>
      <c r="Q242" s="263"/>
      <c r="R242" s="263">
        <v>0</v>
      </c>
      <c r="S242" s="263">
        <v>0.83116883116883122</v>
      </c>
      <c r="T242" s="263">
        <v>0</v>
      </c>
      <c r="U242" s="263"/>
      <c r="V242" s="263">
        <v>0</v>
      </c>
      <c r="W242" s="263">
        <v>0</v>
      </c>
      <c r="X242" s="263">
        <v>0</v>
      </c>
      <c r="Y242" s="263"/>
      <c r="Z242" s="263">
        <v>0</v>
      </c>
      <c r="AA242" s="263">
        <v>0</v>
      </c>
      <c r="AB242" s="263">
        <v>0</v>
      </c>
      <c r="AC242" s="263"/>
      <c r="AD242" s="263">
        <v>0</v>
      </c>
      <c r="AE242" s="263"/>
      <c r="AF242" s="263"/>
      <c r="AG242" s="262"/>
      <c r="AH242" s="274">
        <f t="shared" si="201"/>
        <v>700</v>
      </c>
      <c r="AI242" s="274">
        <f t="shared" si="202"/>
        <v>1134</v>
      </c>
      <c r="AJ242" s="274">
        <f t="shared" si="203"/>
        <v>1311</v>
      </c>
      <c r="AK242" s="274">
        <f t="shared" si="198"/>
        <v>1792</v>
      </c>
      <c r="AL242" s="274">
        <f t="shared" si="204"/>
        <v>2184</v>
      </c>
      <c r="AM242" s="274">
        <f t="shared" si="205"/>
        <v>2373</v>
      </c>
      <c r="AN242" s="274">
        <f t="shared" si="206"/>
        <v>2835</v>
      </c>
      <c r="AO242" s="274">
        <f t="shared" si="242"/>
        <v>3059</v>
      </c>
      <c r="AP242" s="274">
        <f t="shared" si="207"/>
        <v>3675</v>
      </c>
      <c r="AQ242" s="274"/>
      <c r="AR242" s="274">
        <f t="shared" si="208"/>
        <v>4305</v>
      </c>
      <c r="AS242" s="274">
        <f t="shared" si="199"/>
        <v>5908</v>
      </c>
      <c r="AT242" s="274">
        <f t="shared" si="209"/>
        <v>6454</v>
      </c>
      <c r="AU242" s="274">
        <f t="shared" si="243"/>
        <v>7973</v>
      </c>
      <c r="AV242" s="274">
        <f t="shared" si="210"/>
        <v>9527</v>
      </c>
      <c r="AW242" s="274"/>
      <c r="AX242" s="274">
        <f t="shared" si="211"/>
        <v>224</v>
      </c>
      <c r="AY242" s="274">
        <f t="shared" si="212"/>
        <v>903</v>
      </c>
      <c r="AZ242" s="274">
        <f t="shared" si="213"/>
        <v>1666</v>
      </c>
      <c r="BA242" s="274"/>
      <c r="BB242" s="274">
        <f t="shared" si="214"/>
        <v>3103</v>
      </c>
      <c r="BC242" s="274">
        <f t="shared" si="215"/>
        <v>3843</v>
      </c>
      <c r="BD242" s="274">
        <f t="shared" si="216"/>
        <v>4536</v>
      </c>
      <c r="BE242" s="274"/>
      <c r="BF242" s="274">
        <f t="shared" si="217"/>
        <v>9030</v>
      </c>
      <c r="BG242" s="274"/>
      <c r="BH242" s="274"/>
      <c r="BI242" s="266">
        <f t="shared" si="218"/>
        <v>0</v>
      </c>
      <c r="BJ242" s="266" t="e">
        <f t="shared" si="219"/>
        <v>#DIV/0!</v>
      </c>
      <c r="BK242" s="263" t="str">
        <f t="shared" si="220"/>
        <v/>
      </c>
      <c r="BL242" s="263" t="str">
        <f t="shared" si="221"/>
        <v/>
      </c>
      <c r="BM242" s="263" t="str">
        <f t="shared" si="222"/>
        <v/>
      </c>
      <c r="BN242" s="263"/>
      <c r="BO242" s="263" t="str">
        <f t="shared" si="223"/>
        <v/>
      </c>
      <c r="BP242" s="263" t="str">
        <f t="shared" si="224"/>
        <v/>
      </c>
      <c r="BQ242" s="263" t="str">
        <f t="shared" si="225"/>
        <v/>
      </c>
      <c r="BR242" s="263" t="str">
        <f t="shared" si="226"/>
        <v/>
      </c>
      <c r="BS242" s="263" t="str">
        <f t="shared" si="227"/>
        <v/>
      </c>
      <c r="BT242" s="263" t="str">
        <f t="shared" si="228"/>
        <v/>
      </c>
      <c r="BU242" s="263" t="str">
        <f t="shared" si="229"/>
        <v/>
      </c>
      <c r="BV242" s="263"/>
      <c r="BW242" s="263" t="str">
        <f t="shared" si="230"/>
        <v/>
      </c>
      <c r="BX242" s="263" t="str">
        <f t="shared" si="237"/>
        <v/>
      </c>
      <c r="BY242" s="263" t="str">
        <f t="shared" si="231"/>
        <v/>
      </c>
      <c r="BZ242" s="263"/>
      <c r="CA242" s="263" t="str">
        <f t="shared" si="182"/>
        <v/>
      </c>
      <c r="CB242" s="263" t="str">
        <f t="shared" si="232"/>
        <v/>
      </c>
      <c r="CC242" s="263" t="str">
        <f t="shared" si="183"/>
        <v/>
      </c>
      <c r="CD242" s="263" t="str">
        <f t="shared" si="233"/>
        <v/>
      </c>
      <c r="CE242" s="263" t="str">
        <f t="shared" si="241"/>
        <v/>
      </c>
      <c r="CF242" s="263" t="str">
        <f t="shared" si="184"/>
        <v/>
      </c>
      <c r="CG242" s="263" t="str">
        <f t="shared" si="185"/>
        <v/>
      </c>
      <c r="CH242" s="263"/>
      <c r="CI242" s="263" t="str">
        <f t="shared" si="234"/>
        <v/>
      </c>
      <c r="CJ242" s="263"/>
      <c r="CK242" s="263" t="str">
        <f t="shared" si="235"/>
        <v/>
      </c>
      <c r="CL242" s="264">
        <f t="shared" si="238"/>
        <v>0</v>
      </c>
      <c r="CM242" s="264">
        <f t="shared" si="236"/>
        <v>0</v>
      </c>
      <c r="CO242" s="265">
        <v>8.2959999999999992E-2</v>
      </c>
      <c r="CP242" s="265">
        <v>8.8599999999999998E-2</v>
      </c>
      <c r="CQ242" s="265">
        <v>9.1489999999999988E-2</v>
      </c>
      <c r="CS242" s="265">
        <v>9.3820000000000001E-2</v>
      </c>
      <c r="CT242" s="265">
        <v>9.5509999999999998E-2</v>
      </c>
      <c r="CU242" s="265">
        <v>9.6750000000000003E-2</v>
      </c>
      <c r="CV242" s="265">
        <v>9.8979999999999999E-2</v>
      </c>
      <c r="CW242" s="265">
        <v>0.10039999999999999</v>
      </c>
      <c r="CY242" s="265">
        <v>0.105</v>
      </c>
      <c r="DA242" s="265">
        <v>0.10840999999999999</v>
      </c>
      <c r="DB242" s="265">
        <v>0.1105</v>
      </c>
      <c r="DC242" s="265">
        <v>0.1105</v>
      </c>
      <c r="DE242" s="265">
        <v>4.7489999999999997E-2</v>
      </c>
      <c r="DF242" s="265">
        <v>4.8899999999999999E-2</v>
      </c>
      <c r="DH242" s="265">
        <v>4.8949999999999994E-2</v>
      </c>
      <c r="DI242" s="265">
        <v>4.9100000000000005E-2</v>
      </c>
      <c r="DJ242" s="265">
        <v>5.1040000000000002E-2</v>
      </c>
      <c r="DL242" s="265">
        <v>4.8520000000000001E-2</v>
      </c>
      <c r="DO242" s="264" t="e">
        <f t="shared" si="244"/>
        <v>#N/A</v>
      </c>
      <c r="DP242" s="264" t="e" cm="1">
        <f t="array" ref="DP242">+INDEX(AH242:AV242,MATCH(DO242,AH242:AV242,1)+1)</f>
        <v>#N/A</v>
      </c>
      <c r="DQ242" s="265" t="e">
        <f t="shared" si="245"/>
        <v>#N/A</v>
      </c>
      <c r="DR242" s="267" t="e">
        <f t="shared" si="246"/>
        <v>#N/A</v>
      </c>
      <c r="DS242" s="267" t="e">
        <f t="shared" si="247"/>
        <v>#N/A</v>
      </c>
      <c r="DT242" s="268" t="e">
        <f t="shared" si="248"/>
        <v>#N/A</v>
      </c>
      <c r="DU242" s="268" t="e" cm="1">
        <f t="array" ref="DU242">+INDEX(AX242:BF242,MATCH(DT242,AX242:BF242,1)+1)</f>
        <v>#N/A</v>
      </c>
      <c r="DV242" s="267" t="e">
        <f t="shared" si="249"/>
        <v>#N/A</v>
      </c>
      <c r="DW242" s="267" t="e">
        <f t="shared" si="250"/>
        <v>#N/A</v>
      </c>
      <c r="DX242" s="267" t="e">
        <f t="shared" si="251"/>
        <v>#N/A</v>
      </c>
      <c r="DY242" s="267">
        <f t="shared" si="253"/>
        <v>6.1200000000000004E-2</v>
      </c>
      <c r="DZ242" s="205" t="e">
        <f t="shared" si="239"/>
        <v>#N/A</v>
      </c>
      <c r="EA242" s="205">
        <f t="shared" si="252"/>
        <v>0</v>
      </c>
    </row>
    <row r="243" spans="2:131">
      <c r="B243" s="272">
        <v>45569</v>
      </c>
      <c r="C243" s="271">
        <v>45569</v>
      </c>
      <c r="D243" s="263" t="e">
        <f>+SUMIFS(Tabla6[Nominal COP],Tabla6[Concepto],COSTO_OPORTUNIDAD!$B$18,Tabla6[Nemotécnico],COSTO_OPORTUNIDAD!D$16,Tabla6[Fecha Cumplimiento y/ liquidacion],COSTO_OPORTUNIDAD!$C243)/+SUMIFS(Tabla6[Nominal COP],Tabla6[Concepto],COSTO_OPORTUNIDAD!$B$18,Tabla6[Fecha Cumplimiento y/ liquidacion],COSTO_OPORTUNIDAD!$C243)</f>
        <v>#DIV/0!</v>
      </c>
      <c r="E243" s="263" t="e">
        <f>+SUMIFS(Tabla6[Nominal COP],Tabla6[Concepto],COSTO_OPORTUNIDAD!$B$18,Tabla6[Nemotécnico],COSTO_OPORTUNIDAD!E$16,Tabla6[Fecha Cumplimiento y/ liquidacion],COSTO_OPORTUNIDAD!$C243)/+SUMIFS(Tabla6[Nominal COP],Tabla6[Concepto],COSTO_OPORTUNIDAD!$B$18,Tabla6[Fecha Cumplimiento y/ liquidacion],COSTO_OPORTUNIDAD!$C243)</f>
        <v>#DIV/0!</v>
      </c>
      <c r="F243" s="263"/>
      <c r="G243" s="263"/>
      <c r="H243" s="263">
        <v>0</v>
      </c>
      <c r="I243" s="263"/>
      <c r="J243" s="263">
        <v>0.10351966873706005</v>
      </c>
      <c r="K243" s="263">
        <v>0</v>
      </c>
      <c r="L243" s="263"/>
      <c r="M243" s="263">
        <v>0</v>
      </c>
      <c r="N243" s="263"/>
      <c r="O243" s="263"/>
      <c r="P243" s="263">
        <v>0</v>
      </c>
      <c r="Q243" s="263"/>
      <c r="R243" s="263">
        <v>0</v>
      </c>
      <c r="S243" s="263">
        <v>0.89648033126293991</v>
      </c>
      <c r="T243" s="263">
        <v>0</v>
      </c>
      <c r="U243" s="263"/>
      <c r="V243" s="263">
        <v>0</v>
      </c>
      <c r="W243" s="263">
        <v>0</v>
      </c>
      <c r="X243" s="263">
        <v>0</v>
      </c>
      <c r="Y243" s="263"/>
      <c r="Z243" s="263">
        <v>0</v>
      </c>
      <c r="AA243" s="263">
        <v>0</v>
      </c>
      <c r="AB243" s="263">
        <v>0</v>
      </c>
      <c r="AC243" s="263"/>
      <c r="AD243" s="263">
        <v>0</v>
      </c>
      <c r="AE243" s="263"/>
      <c r="AF243" s="263"/>
      <c r="AG243" s="262"/>
      <c r="AH243" s="274">
        <f t="shared" si="201"/>
        <v>691</v>
      </c>
      <c r="AI243" s="274">
        <f t="shared" si="202"/>
        <v>1125</v>
      </c>
      <c r="AJ243" s="274">
        <f t="shared" si="203"/>
        <v>1302</v>
      </c>
      <c r="AK243" s="274">
        <f t="shared" si="198"/>
        <v>1783</v>
      </c>
      <c r="AL243" s="274">
        <f t="shared" si="204"/>
        <v>2175</v>
      </c>
      <c r="AM243" s="274">
        <f t="shared" si="205"/>
        <v>2364</v>
      </c>
      <c r="AN243" s="274">
        <f t="shared" si="206"/>
        <v>2826</v>
      </c>
      <c r="AO243" s="274">
        <f t="shared" si="242"/>
        <v>3050</v>
      </c>
      <c r="AP243" s="274">
        <f t="shared" si="207"/>
        <v>3666</v>
      </c>
      <c r="AQ243" s="274"/>
      <c r="AR243" s="274">
        <f t="shared" si="208"/>
        <v>4296</v>
      </c>
      <c r="AS243" s="274">
        <f t="shared" si="199"/>
        <v>5899</v>
      </c>
      <c r="AT243" s="274">
        <f t="shared" si="209"/>
        <v>6445</v>
      </c>
      <c r="AU243" s="274">
        <f t="shared" si="243"/>
        <v>7964</v>
      </c>
      <c r="AV243" s="274">
        <f t="shared" si="210"/>
        <v>9518</v>
      </c>
      <c r="AW243" s="274"/>
      <c r="AX243" s="274">
        <f t="shared" si="211"/>
        <v>215</v>
      </c>
      <c r="AY243" s="274">
        <f t="shared" si="212"/>
        <v>894</v>
      </c>
      <c r="AZ243" s="274">
        <f t="shared" si="213"/>
        <v>1657</v>
      </c>
      <c r="BA243" s="274"/>
      <c r="BB243" s="274">
        <f t="shared" si="214"/>
        <v>3094</v>
      </c>
      <c r="BC243" s="274">
        <f t="shared" si="215"/>
        <v>3834</v>
      </c>
      <c r="BD243" s="274">
        <f t="shared" si="216"/>
        <v>4527</v>
      </c>
      <c r="BE243" s="274"/>
      <c r="BF243" s="274">
        <f t="shared" si="217"/>
        <v>9021</v>
      </c>
      <c r="BG243" s="274"/>
      <c r="BH243" s="274"/>
      <c r="BI243" s="266">
        <f t="shared" si="218"/>
        <v>0</v>
      </c>
      <c r="BJ243" s="266" t="e">
        <f t="shared" si="219"/>
        <v>#DIV/0!</v>
      </c>
      <c r="BK243" s="263" t="str">
        <f t="shared" si="220"/>
        <v/>
      </c>
      <c r="BL243" s="263" t="str">
        <f t="shared" si="221"/>
        <v/>
      </c>
      <c r="BM243" s="263" t="str">
        <f t="shared" si="222"/>
        <v/>
      </c>
      <c r="BN243" s="263"/>
      <c r="BO243" s="263" t="str">
        <f t="shared" si="223"/>
        <v/>
      </c>
      <c r="BP243" s="263" t="str">
        <f t="shared" si="224"/>
        <v/>
      </c>
      <c r="BQ243" s="263" t="str">
        <f t="shared" si="225"/>
        <v/>
      </c>
      <c r="BR243" s="263" t="str">
        <f t="shared" si="226"/>
        <v/>
      </c>
      <c r="BS243" s="263" t="str">
        <f t="shared" si="227"/>
        <v/>
      </c>
      <c r="BT243" s="263" t="str">
        <f t="shared" si="228"/>
        <v/>
      </c>
      <c r="BU243" s="263" t="str">
        <f t="shared" si="229"/>
        <v/>
      </c>
      <c r="BV243" s="263"/>
      <c r="BW243" s="263" t="str">
        <f t="shared" si="230"/>
        <v/>
      </c>
      <c r="BX243" s="263" t="str">
        <f t="shared" si="237"/>
        <v/>
      </c>
      <c r="BY243" s="263" t="str">
        <f t="shared" si="231"/>
        <v/>
      </c>
      <c r="BZ243" s="263"/>
      <c r="CA243" s="263" t="str">
        <f t="shared" ref="CA243:CA304" si="254">IFERROR(V243/$BI243,"")</f>
        <v/>
      </c>
      <c r="CB243" s="263" t="str">
        <f t="shared" si="232"/>
        <v/>
      </c>
      <c r="CC243" s="263" t="str">
        <f t="shared" ref="CC243:CC304" si="255">IFERROR(X243/$BI243,"")</f>
        <v/>
      </c>
      <c r="CD243" s="263" t="str">
        <f t="shared" si="233"/>
        <v/>
      </c>
      <c r="CE243" s="263" t="str">
        <f t="shared" si="241"/>
        <v/>
      </c>
      <c r="CF243" s="263" t="str">
        <f t="shared" ref="CF243:CF304" si="256">IFERROR(AA243/$BI243,"")</f>
        <v/>
      </c>
      <c r="CG243" s="263" t="str">
        <f t="shared" ref="CG243:CG304" si="257">IFERROR(AB243/$BI243,"")</f>
        <v/>
      </c>
      <c r="CH243" s="263"/>
      <c r="CI243" s="263" t="str">
        <f t="shared" si="234"/>
        <v/>
      </c>
      <c r="CJ243" s="263"/>
      <c r="CK243" s="263" t="str">
        <f t="shared" si="235"/>
        <v/>
      </c>
      <c r="CL243" s="264">
        <f t="shared" si="238"/>
        <v>0</v>
      </c>
      <c r="CM243" s="264">
        <f t="shared" si="236"/>
        <v>0</v>
      </c>
      <c r="CO243" s="265">
        <v>8.3589999999999998E-2</v>
      </c>
      <c r="CP243" s="265">
        <v>8.9499999999999996E-2</v>
      </c>
      <c r="CQ243" s="265">
        <v>9.2360000000000012E-2</v>
      </c>
      <c r="CS243" s="265">
        <v>9.5449999999999993E-2</v>
      </c>
      <c r="CT243" s="265">
        <v>9.7200000000000009E-2</v>
      </c>
      <c r="CU243" s="265">
        <v>9.8699999999999996E-2</v>
      </c>
      <c r="CV243" s="265">
        <v>0.10127000000000001</v>
      </c>
      <c r="CW243" s="265">
        <v>0.10279999999999999</v>
      </c>
      <c r="CY243" s="265">
        <v>0.105</v>
      </c>
      <c r="DA243" s="265">
        <v>0.109</v>
      </c>
      <c r="DB243" s="265">
        <v>0.1108</v>
      </c>
      <c r="DC243" s="265">
        <v>0.1096</v>
      </c>
      <c r="DE243" s="265">
        <v>4.8809999999999999E-2</v>
      </c>
      <c r="DF243" s="265">
        <v>5.0099999999999999E-2</v>
      </c>
      <c r="DH243" s="265">
        <v>5.0450000000000002E-2</v>
      </c>
      <c r="DI243" s="265">
        <v>0.05</v>
      </c>
      <c r="DJ243" s="265">
        <v>5.0450000000000002E-2</v>
      </c>
      <c r="DL243" s="265">
        <v>4.9770000000000002E-2</v>
      </c>
      <c r="DO243" s="264" t="e">
        <f t="shared" si="244"/>
        <v>#N/A</v>
      </c>
      <c r="DP243" s="264" t="e" cm="1">
        <f t="array" ref="DP243">+INDEX(AH243:AV243,MATCH(DO243,AH243:AV243,1)+1)</f>
        <v>#N/A</v>
      </c>
      <c r="DQ243" s="265" t="e">
        <f t="shared" si="245"/>
        <v>#N/A</v>
      </c>
      <c r="DR243" s="267" t="e">
        <f t="shared" si="246"/>
        <v>#N/A</v>
      </c>
      <c r="DS243" s="267" t="e">
        <f t="shared" si="247"/>
        <v>#N/A</v>
      </c>
      <c r="DT243" s="268" t="e">
        <f t="shared" si="248"/>
        <v>#N/A</v>
      </c>
      <c r="DU243" s="268" t="e" cm="1">
        <f t="array" ref="DU243">+INDEX(AX243:BF243,MATCH(DT243,AX243:BF243,1)+1)</f>
        <v>#N/A</v>
      </c>
      <c r="DV243" s="267" t="e">
        <f t="shared" si="249"/>
        <v>#N/A</v>
      </c>
      <c r="DW243" s="267" t="e">
        <f t="shared" si="250"/>
        <v>#N/A</v>
      </c>
      <c r="DX243" s="267" t="e">
        <f t="shared" si="251"/>
        <v>#N/A</v>
      </c>
      <c r="DY243" s="267">
        <f t="shared" si="253"/>
        <v>6.1200000000000004E-2</v>
      </c>
      <c r="DZ243" s="205" t="e">
        <f t="shared" si="239"/>
        <v>#N/A</v>
      </c>
      <c r="EA243" s="205">
        <f t="shared" si="252"/>
        <v>0</v>
      </c>
    </row>
    <row r="244" spans="2:131">
      <c r="B244" s="272">
        <v>45574</v>
      </c>
      <c r="C244" s="271">
        <v>45574</v>
      </c>
      <c r="D244" s="263" t="e">
        <f>+SUMIFS(Tabla6[Nominal COP],Tabla6[Concepto],COSTO_OPORTUNIDAD!$B$18,Tabla6[Nemotécnico],COSTO_OPORTUNIDAD!D$16,Tabla6[Fecha Cumplimiento y/ liquidacion],COSTO_OPORTUNIDAD!$C244)/+SUMIFS(Tabla6[Nominal COP],Tabla6[Concepto],COSTO_OPORTUNIDAD!$B$18,Tabla6[Fecha Cumplimiento y/ liquidacion],COSTO_OPORTUNIDAD!$C244)</f>
        <v>#DIV/0!</v>
      </c>
      <c r="E244" s="263" t="e">
        <f>+SUMIFS(Tabla6[Nominal COP],Tabla6[Concepto],COSTO_OPORTUNIDAD!$B$18,Tabla6[Nemotécnico],COSTO_OPORTUNIDAD!E$16,Tabla6[Fecha Cumplimiento y/ liquidacion],COSTO_OPORTUNIDAD!$C244)/+SUMIFS(Tabla6[Nominal COP],Tabla6[Concepto],COSTO_OPORTUNIDAD!$B$18,Tabla6[Fecha Cumplimiento y/ liquidacion],COSTO_OPORTUNIDAD!$C244)</f>
        <v>#DIV/0!</v>
      </c>
      <c r="F244" s="263"/>
      <c r="G244" s="263"/>
      <c r="H244" s="263">
        <v>0</v>
      </c>
      <c r="I244" s="263"/>
      <c r="J244" s="263">
        <v>0.125</v>
      </c>
      <c r="K244" s="263">
        <v>0</v>
      </c>
      <c r="L244" s="263"/>
      <c r="M244" s="263">
        <v>0</v>
      </c>
      <c r="N244" s="263"/>
      <c r="O244" s="263"/>
      <c r="P244" s="263">
        <v>0</v>
      </c>
      <c r="Q244" s="263"/>
      <c r="R244" s="263">
        <v>0</v>
      </c>
      <c r="S244" s="263">
        <v>0.875</v>
      </c>
      <c r="T244" s="263">
        <v>0</v>
      </c>
      <c r="U244" s="263"/>
      <c r="V244" s="263">
        <v>0</v>
      </c>
      <c r="W244" s="263">
        <v>0</v>
      </c>
      <c r="X244" s="263">
        <v>0</v>
      </c>
      <c r="Y244" s="263"/>
      <c r="Z244" s="263">
        <v>0</v>
      </c>
      <c r="AA244" s="263">
        <v>0</v>
      </c>
      <c r="AB244" s="263">
        <v>0</v>
      </c>
      <c r="AC244" s="263"/>
      <c r="AD244" s="263">
        <v>0</v>
      </c>
      <c r="AE244" s="263"/>
      <c r="AF244" s="263"/>
      <c r="AG244" s="262"/>
      <c r="AH244" s="274">
        <f t="shared" si="201"/>
        <v>686</v>
      </c>
      <c r="AI244" s="274">
        <f t="shared" si="202"/>
        <v>1120</v>
      </c>
      <c r="AJ244" s="274">
        <f t="shared" si="203"/>
        <v>1297</v>
      </c>
      <c r="AK244" s="274">
        <f t="shared" si="198"/>
        <v>1778</v>
      </c>
      <c r="AL244" s="274">
        <f t="shared" si="204"/>
        <v>2170</v>
      </c>
      <c r="AM244" s="274">
        <f t="shared" si="205"/>
        <v>2359</v>
      </c>
      <c r="AN244" s="274">
        <f t="shared" si="206"/>
        <v>2821</v>
      </c>
      <c r="AO244" s="274">
        <f t="shared" si="242"/>
        <v>3045</v>
      </c>
      <c r="AP244" s="274">
        <f t="shared" si="207"/>
        <v>3661</v>
      </c>
      <c r="AQ244" s="274"/>
      <c r="AR244" s="274">
        <f t="shared" si="208"/>
        <v>4291</v>
      </c>
      <c r="AS244" s="274">
        <f t="shared" si="199"/>
        <v>5894</v>
      </c>
      <c r="AT244" s="274">
        <f t="shared" si="209"/>
        <v>6440</v>
      </c>
      <c r="AU244" s="274">
        <f t="shared" si="243"/>
        <v>7959</v>
      </c>
      <c r="AV244" s="274">
        <f t="shared" si="210"/>
        <v>9513</v>
      </c>
      <c r="AW244" s="274"/>
      <c r="AX244" s="274">
        <f t="shared" si="211"/>
        <v>210</v>
      </c>
      <c r="AY244" s="274">
        <f t="shared" si="212"/>
        <v>889</v>
      </c>
      <c r="AZ244" s="274">
        <f t="shared" si="213"/>
        <v>1652</v>
      </c>
      <c r="BA244" s="274"/>
      <c r="BB244" s="274">
        <f t="shared" si="214"/>
        <v>3089</v>
      </c>
      <c r="BC244" s="274">
        <f t="shared" si="215"/>
        <v>3829</v>
      </c>
      <c r="BD244" s="274">
        <f t="shared" si="216"/>
        <v>4522</v>
      </c>
      <c r="BE244" s="274"/>
      <c r="BF244" s="274">
        <f t="shared" si="217"/>
        <v>9016</v>
      </c>
      <c r="BG244" s="274"/>
      <c r="BH244" s="274"/>
      <c r="BI244" s="266">
        <f t="shared" si="218"/>
        <v>0</v>
      </c>
      <c r="BJ244" s="266" t="e">
        <f t="shared" si="219"/>
        <v>#DIV/0!</v>
      </c>
      <c r="BK244" s="263" t="str">
        <f t="shared" si="220"/>
        <v/>
      </c>
      <c r="BL244" s="263" t="str">
        <f t="shared" si="221"/>
        <v/>
      </c>
      <c r="BM244" s="263" t="str">
        <f t="shared" si="222"/>
        <v/>
      </c>
      <c r="BN244" s="263"/>
      <c r="BO244" s="263" t="str">
        <f t="shared" si="223"/>
        <v/>
      </c>
      <c r="BP244" s="263" t="str">
        <f t="shared" si="224"/>
        <v/>
      </c>
      <c r="BQ244" s="263" t="str">
        <f t="shared" si="225"/>
        <v/>
      </c>
      <c r="BR244" s="263" t="str">
        <f t="shared" si="226"/>
        <v/>
      </c>
      <c r="BS244" s="263" t="str">
        <f t="shared" si="227"/>
        <v/>
      </c>
      <c r="BT244" s="263" t="str">
        <f t="shared" si="228"/>
        <v/>
      </c>
      <c r="BU244" s="263" t="str">
        <f t="shared" si="229"/>
        <v/>
      </c>
      <c r="BV244" s="263"/>
      <c r="BW244" s="263" t="str">
        <f t="shared" si="230"/>
        <v/>
      </c>
      <c r="BX244" s="263" t="str">
        <f t="shared" ref="BX244:BX275" si="258">IFERROR(S244/$BJ244,"")</f>
        <v/>
      </c>
      <c r="BY244" s="263" t="str">
        <f t="shared" si="231"/>
        <v/>
      </c>
      <c r="BZ244" s="263"/>
      <c r="CA244" s="263" t="str">
        <f t="shared" si="254"/>
        <v/>
      </c>
      <c r="CB244" s="263" t="str">
        <f t="shared" si="232"/>
        <v/>
      </c>
      <c r="CC244" s="263" t="str">
        <f t="shared" si="255"/>
        <v/>
      </c>
      <c r="CD244" s="263" t="str">
        <f t="shared" si="233"/>
        <v/>
      </c>
      <c r="CE244" s="263" t="str">
        <f t="shared" si="241"/>
        <v/>
      </c>
      <c r="CF244" s="263" t="str">
        <f t="shared" si="256"/>
        <v/>
      </c>
      <c r="CG244" s="263" t="str">
        <f t="shared" si="257"/>
        <v/>
      </c>
      <c r="CH244" s="263"/>
      <c r="CI244" s="263" t="str">
        <f t="shared" si="234"/>
        <v/>
      </c>
      <c r="CJ244" s="263"/>
      <c r="CK244" s="263" t="str">
        <f t="shared" si="235"/>
        <v/>
      </c>
      <c r="CL244" s="264">
        <f t="shared" ref="CL244:CL275" si="259">ROUND(IFERROR((_xlfn.DAYS($F$17,B244)*BK244),0)+IFERROR((_xlfn.DAYS($G$17,B244)*BL244),0)+IFERROR((_xlfn.DAYS($H$17,B244)*BM244),0)+IFERROR((_xlfn.DAYS($J$17,B244)*BO244),0)+IFERROR((_xlfn.DAYS($K$17,B244)*BP244),0)+IFERROR((_xlfn.DAYS($L$17,B244)*BQ244),0)+IFERROR((_xlfn.DAYS($M$17,B244)*BR244),0)+IFERROR((_xlfn.DAYS($N$17,B244)*BS244),0)+IFERROR((_xlfn.DAYS($P$17,B244)*BU244),0)+IFERROR((_xlfn.DAYS($R$17,B244)*BW244),0)+IFERROR((_xlfn.DAYS($S$17,B244)*BX244),0)+IFERROR((_xlfn.DAYS($T$17,B244)*BY244),0),0)</f>
        <v>0</v>
      </c>
      <c r="CM244" s="264">
        <f t="shared" si="236"/>
        <v>0</v>
      </c>
      <c r="CO244" s="265">
        <v>8.3760000000000001E-2</v>
      </c>
      <c r="CP244" s="265">
        <v>0.09</v>
      </c>
      <c r="CQ244" s="265">
        <v>9.3170000000000003E-2</v>
      </c>
      <c r="CS244" s="265">
        <v>9.6549999999999997E-2</v>
      </c>
      <c r="CT244" s="265">
        <v>9.845000000000001E-2</v>
      </c>
      <c r="CU244" s="265">
        <v>9.9499999999999991E-2</v>
      </c>
      <c r="CV244" s="265">
        <v>0.10175000000000001</v>
      </c>
      <c r="CW244" s="265">
        <v>0.10273</v>
      </c>
      <c r="CY244" s="265">
        <v>0.10615000000000001</v>
      </c>
      <c r="DA244" s="265">
        <v>0.11</v>
      </c>
      <c r="DB244" s="265">
        <v>0.11207</v>
      </c>
      <c r="DC244" s="265">
        <v>0.11129</v>
      </c>
      <c r="DE244" s="265">
        <v>4.9699999999999994E-2</v>
      </c>
      <c r="DF244" s="265">
        <v>5.0499999999999996E-2</v>
      </c>
      <c r="DH244" s="265">
        <v>5.0250000000000003E-2</v>
      </c>
      <c r="DI244" s="265">
        <v>5.1299999999999998E-2</v>
      </c>
      <c r="DJ244" s="265">
        <v>5.194E-2</v>
      </c>
      <c r="DL244" s="265">
        <v>5.0300000000000004E-2</v>
      </c>
      <c r="DO244" s="264" t="e">
        <f t="shared" si="244"/>
        <v>#N/A</v>
      </c>
      <c r="DP244" s="264" t="e" cm="1">
        <f t="array" ref="DP244">+INDEX(AH244:AV244,MATCH(DO244,AH244:AV244,1)+1)</f>
        <v>#N/A</v>
      </c>
      <c r="DQ244" s="265" t="e">
        <f t="shared" si="245"/>
        <v>#N/A</v>
      </c>
      <c r="DR244" s="267" t="e">
        <f t="shared" si="246"/>
        <v>#N/A</v>
      </c>
      <c r="DS244" s="267" t="e">
        <f t="shared" si="247"/>
        <v>#N/A</v>
      </c>
      <c r="DT244" s="268" t="e">
        <f t="shared" si="248"/>
        <v>#N/A</v>
      </c>
      <c r="DU244" s="268" t="e" cm="1">
        <f t="array" ref="DU244">+INDEX(AX244:BF244,MATCH(DT244,AX244:BF244,1)+1)</f>
        <v>#N/A</v>
      </c>
      <c r="DV244" s="267" t="e">
        <f t="shared" si="249"/>
        <v>#N/A</v>
      </c>
      <c r="DW244" s="267" t="e">
        <f t="shared" si="250"/>
        <v>#N/A</v>
      </c>
      <c r="DX244" s="267" t="e">
        <f t="shared" si="251"/>
        <v>#N/A</v>
      </c>
      <c r="DY244" s="267">
        <f>+$EE$85</f>
        <v>5.8099999999999999E-2</v>
      </c>
      <c r="DZ244" s="205" t="e">
        <f t="shared" si="239"/>
        <v>#N/A</v>
      </c>
      <c r="EA244" s="205">
        <f t="shared" si="252"/>
        <v>0</v>
      </c>
    </row>
    <row r="245" spans="2:131">
      <c r="B245" s="272">
        <v>45575</v>
      </c>
      <c r="C245" s="271">
        <v>45575</v>
      </c>
      <c r="D245" s="263" t="e">
        <f>+SUMIFS(Tabla6[Nominal COP],Tabla6[Concepto],COSTO_OPORTUNIDAD!$B$18,Tabla6[Nemotécnico],COSTO_OPORTUNIDAD!D$16,Tabla6[Fecha Cumplimiento y/ liquidacion],COSTO_OPORTUNIDAD!$C245)/+SUMIFS(Tabla6[Nominal COP],Tabla6[Concepto],COSTO_OPORTUNIDAD!$B$18,Tabla6[Fecha Cumplimiento y/ liquidacion],COSTO_OPORTUNIDAD!$C245)</f>
        <v>#DIV/0!</v>
      </c>
      <c r="E245" s="263" t="e">
        <f>+SUMIFS(Tabla6[Nominal COP],Tabla6[Concepto],COSTO_OPORTUNIDAD!$B$18,Tabla6[Nemotécnico],COSTO_OPORTUNIDAD!E$16,Tabla6[Fecha Cumplimiento y/ liquidacion],COSTO_OPORTUNIDAD!$C245)/+SUMIFS(Tabla6[Nominal COP],Tabla6[Concepto],COSTO_OPORTUNIDAD!$B$18,Tabla6[Fecha Cumplimiento y/ liquidacion],COSTO_OPORTUNIDAD!$C245)</f>
        <v>#DIV/0!</v>
      </c>
      <c r="F245" s="263"/>
      <c r="G245" s="263"/>
      <c r="H245" s="263">
        <v>0</v>
      </c>
      <c r="I245" s="263"/>
      <c r="J245" s="263">
        <v>0</v>
      </c>
      <c r="K245" s="263">
        <v>0</v>
      </c>
      <c r="L245" s="263"/>
      <c r="M245" s="263">
        <v>0</v>
      </c>
      <c r="N245" s="263"/>
      <c r="O245" s="263"/>
      <c r="P245" s="263">
        <v>0</v>
      </c>
      <c r="Q245" s="263"/>
      <c r="R245" s="263">
        <v>0</v>
      </c>
      <c r="S245" s="263">
        <v>1</v>
      </c>
      <c r="T245" s="263">
        <v>0</v>
      </c>
      <c r="U245" s="263"/>
      <c r="V245" s="263">
        <v>0</v>
      </c>
      <c r="W245" s="263">
        <v>0</v>
      </c>
      <c r="X245" s="263">
        <v>0</v>
      </c>
      <c r="Y245" s="263"/>
      <c r="Z245" s="263">
        <v>0</v>
      </c>
      <c r="AA245" s="263">
        <v>0</v>
      </c>
      <c r="AB245" s="263">
        <v>0</v>
      </c>
      <c r="AC245" s="263"/>
      <c r="AD245" s="263">
        <v>0</v>
      </c>
      <c r="AE245" s="263"/>
      <c r="AF245" s="263"/>
      <c r="AG245" s="262"/>
      <c r="AH245" s="274">
        <f t="shared" si="201"/>
        <v>685</v>
      </c>
      <c r="AI245" s="274">
        <f t="shared" si="202"/>
        <v>1119</v>
      </c>
      <c r="AJ245" s="274">
        <f t="shared" si="203"/>
        <v>1296</v>
      </c>
      <c r="AK245" s="274">
        <f t="shared" si="198"/>
        <v>1777</v>
      </c>
      <c r="AL245" s="274">
        <f t="shared" si="204"/>
        <v>2169</v>
      </c>
      <c r="AM245" s="274">
        <f t="shared" si="205"/>
        <v>2358</v>
      </c>
      <c r="AN245" s="274">
        <f t="shared" si="206"/>
        <v>2820</v>
      </c>
      <c r="AO245" s="274">
        <f t="shared" si="242"/>
        <v>3044</v>
      </c>
      <c r="AP245" s="274">
        <f t="shared" si="207"/>
        <v>3660</v>
      </c>
      <c r="AQ245" s="274"/>
      <c r="AR245" s="274">
        <f t="shared" si="208"/>
        <v>4290</v>
      </c>
      <c r="AS245" s="274">
        <f t="shared" si="199"/>
        <v>5893</v>
      </c>
      <c r="AT245" s="274">
        <f t="shared" si="209"/>
        <v>6439</v>
      </c>
      <c r="AU245" s="274">
        <f t="shared" si="243"/>
        <v>7958</v>
      </c>
      <c r="AV245" s="274">
        <f t="shared" si="210"/>
        <v>9512</v>
      </c>
      <c r="AW245" s="274"/>
      <c r="AX245" s="274">
        <f t="shared" si="211"/>
        <v>209</v>
      </c>
      <c r="AY245" s="274">
        <f t="shared" si="212"/>
        <v>888</v>
      </c>
      <c r="AZ245" s="274">
        <f t="shared" si="213"/>
        <v>1651</v>
      </c>
      <c r="BA245" s="274"/>
      <c r="BB245" s="274">
        <f t="shared" si="214"/>
        <v>3088</v>
      </c>
      <c r="BC245" s="274">
        <f t="shared" si="215"/>
        <v>3828</v>
      </c>
      <c r="BD245" s="274">
        <f t="shared" si="216"/>
        <v>4521</v>
      </c>
      <c r="BE245" s="274"/>
      <c r="BF245" s="274">
        <f t="shared" si="217"/>
        <v>9015</v>
      </c>
      <c r="BG245" s="274"/>
      <c r="BH245" s="274"/>
      <c r="BI245" s="266">
        <f t="shared" si="218"/>
        <v>0</v>
      </c>
      <c r="BJ245" s="266" t="e">
        <f t="shared" si="219"/>
        <v>#DIV/0!</v>
      </c>
      <c r="BK245" s="263" t="str">
        <f t="shared" si="220"/>
        <v/>
      </c>
      <c r="BL245" s="263" t="str">
        <f t="shared" si="221"/>
        <v/>
      </c>
      <c r="BM245" s="263" t="str">
        <f t="shared" si="222"/>
        <v/>
      </c>
      <c r="BN245" s="263"/>
      <c r="BO245" s="263" t="str">
        <f t="shared" si="223"/>
        <v/>
      </c>
      <c r="BP245" s="263" t="str">
        <f t="shared" si="224"/>
        <v/>
      </c>
      <c r="BQ245" s="263" t="str">
        <f t="shared" si="225"/>
        <v/>
      </c>
      <c r="BR245" s="263" t="str">
        <f t="shared" si="226"/>
        <v/>
      </c>
      <c r="BS245" s="263" t="str">
        <f t="shared" si="227"/>
        <v/>
      </c>
      <c r="BT245" s="263" t="str">
        <f t="shared" si="228"/>
        <v/>
      </c>
      <c r="BU245" s="263" t="str">
        <f t="shared" si="229"/>
        <v/>
      </c>
      <c r="BV245" s="263"/>
      <c r="BW245" s="263" t="str">
        <f t="shared" si="230"/>
        <v/>
      </c>
      <c r="BX245" s="263" t="str">
        <f t="shared" si="258"/>
        <v/>
      </c>
      <c r="BY245" s="263" t="str">
        <f t="shared" si="231"/>
        <v/>
      </c>
      <c r="BZ245" s="263"/>
      <c r="CA245" s="263" t="str">
        <f t="shared" si="254"/>
        <v/>
      </c>
      <c r="CB245" s="263" t="str">
        <f t="shared" si="232"/>
        <v/>
      </c>
      <c r="CC245" s="263" t="str">
        <f t="shared" si="255"/>
        <v/>
      </c>
      <c r="CD245" s="263" t="str">
        <f t="shared" si="233"/>
        <v/>
      </c>
      <c r="CE245" s="263" t="str">
        <f t="shared" si="241"/>
        <v/>
      </c>
      <c r="CF245" s="263" t="str">
        <f t="shared" si="256"/>
        <v/>
      </c>
      <c r="CG245" s="263" t="str">
        <f t="shared" si="257"/>
        <v/>
      </c>
      <c r="CH245" s="263"/>
      <c r="CI245" s="263" t="str">
        <f t="shared" si="234"/>
        <v/>
      </c>
      <c r="CJ245" s="263"/>
      <c r="CK245" s="263" t="str">
        <f t="shared" si="235"/>
        <v/>
      </c>
      <c r="CL245" s="264">
        <f t="shared" si="259"/>
        <v>0</v>
      </c>
      <c r="CM245" s="264">
        <f t="shared" si="236"/>
        <v>0</v>
      </c>
      <c r="CO245" s="265">
        <v>8.4199999999999997E-2</v>
      </c>
      <c r="CP245" s="265">
        <v>9.0150000000000008E-2</v>
      </c>
      <c r="CQ245" s="265">
        <v>9.3170000000000003E-2</v>
      </c>
      <c r="CS245" s="265">
        <v>9.6590000000000009E-2</v>
      </c>
      <c r="CT245" s="265">
        <v>9.8610000000000003E-2</v>
      </c>
      <c r="CU245" s="265">
        <v>0.10064999999999999</v>
      </c>
      <c r="CV245" s="265">
        <v>0.10209</v>
      </c>
      <c r="CW245" s="265">
        <v>0.10390000000000001</v>
      </c>
      <c r="CY245" s="265">
        <v>0.106</v>
      </c>
      <c r="DA245" s="265">
        <v>0.11037000000000001</v>
      </c>
      <c r="DB245" s="265">
        <v>0.11210000000000001</v>
      </c>
      <c r="DC245" s="265">
        <v>0.11070000000000001</v>
      </c>
      <c r="DE245" s="265">
        <v>5.0099999999999999E-2</v>
      </c>
      <c r="DF245" s="265">
        <v>5.0750000000000003E-2</v>
      </c>
      <c r="DH245" s="265">
        <v>5.0250000000000003E-2</v>
      </c>
      <c r="DI245" s="265">
        <v>5.1909999999999998E-2</v>
      </c>
      <c r="DJ245" s="265">
        <v>5.2400000000000002E-2</v>
      </c>
      <c r="DL245" s="265">
        <v>5.0309999999999994E-2</v>
      </c>
      <c r="DO245" s="264" t="e">
        <f t="shared" si="244"/>
        <v>#N/A</v>
      </c>
      <c r="DP245" s="264" t="e" cm="1">
        <f t="array" ref="DP245">+INDEX(AH245:AV245,MATCH(DO245,AH245:AV245,1)+1)</f>
        <v>#N/A</v>
      </c>
      <c r="DQ245" s="265" t="e">
        <f t="shared" si="245"/>
        <v>#N/A</v>
      </c>
      <c r="DR245" s="267" t="e">
        <f t="shared" si="246"/>
        <v>#N/A</v>
      </c>
      <c r="DS245" s="267" t="e">
        <f t="shared" si="247"/>
        <v>#N/A</v>
      </c>
      <c r="DT245" s="268" t="e">
        <f t="shared" si="248"/>
        <v>#N/A</v>
      </c>
      <c r="DU245" s="268" t="e" cm="1">
        <f t="array" ref="DU245">+INDEX(AX245:BF245,MATCH(DT245,AX245:BF245,1)+1)</f>
        <v>#N/A</v>
      </c>
      <c r="DV245" s="267" t="e">
        <f t="shared" si="249"/>
        <v>#N/A</v>
      </c>
      <c r="DW245" s="267" t="e">
        <f t="shared" si="250"/>
        <v>#N/A</v>
      </c>
      <c r="DX245" s="267" t="e">
        <f t="shared" si="251"/>
        <v>#N/A</v>
      </c>
      <c r="DY245" s="267">
        <f t="shared" ref="DY245:DY250" si="260">+$EE$85</f>
        <v>5.8099999999999999E-2</v>
      </c>
      <c r="DZ245" s="205" t="e">
        <f t="shared" si="239"/>
        <v>#N/A</v>
      </c>
      <c r="EA245" s="205">
        <f t="shared" si="252"/>
        <v>0</v>
      </c>
    </row>
    <row r="246" spans="2:131">
      <c r="B246" s="272">
        <v>45576</v>
      </c>
      <c r="C246" s="271">
        <v>45576</v>
      </c>
      <c r="D246" s="263" t="e">
        <f>+SUMIFS(Tabla6[Nominal COP],Tabla6[Concepto],COSTO_OPORTUNIDAD!$B$18,Tabla6[Nemotécnico],COSTO_OPORTUNIDAD!D$16,Tabla6[Fecha Cumplimiento y/ liquidacion],COSTO_OPORTUNIDAD!$C246)/+SUMIFS(Tabla6[Nominal COP],Tabla6[Concepto],COSTO_OPORTUNIDAD!$B$18,Tabla6[Fecha Cumplimiento y/ liquidacion],COSTO_OPORTUNIDAD!$C246)</f>
        <v>#DIV/0!</v>
      </c>
      <c r="E246" s="263" t="e">
        <f>+SUMIFS(Tabla6[Nominal COP],Tabla6[Concepto],COSTO_OPORTUNIDAD!$B$18,Tabla6[Nemotécnico],COSTO_OPORTUNIDAD!E$16,Tabla6[Fecha Cumplimiento y/ liquidacion],COSTO_OPORTUNIDAD!$C246)/+SUMIFS(Tabla6[Nominal COP],Tabla6[Concepto],COSTO_OPORTUNIDAD!$B$18,Tabla6[Fecha Cumplimiento y/ liquidacion],COSTO_OPORTUNIDAD!$C246)</f>
        <v>#DIV/0!</v>
      </c>
      <c r="F246" s="263"/>
      <c r="G246" s="263"/>
      <c r="H246" s="263">
        <v>0</v>
      </c>
      <c r="I246" s="263"/>
      <c r="J246" s="263">
        <v>0</v>
      </c>
      <c r="K246" s="263">
        <v>1.002004008016032E-2</v>
      </c>
      <c r="L246" s="263"/>
      <c r="M246" s="263">
        <v>0</v>
      </c>
      <c r="N246" s="263"/>
      <c r="O246" s="263"/>
      <c r="P246" s="263">
        <v>0</v>
      </c>
      <c r="Q246" s="263"/>
      <c r="R246" s="263">
        <v>0</v>
      </c>
      <c r="S246" s="263">
        <v>0.98997995991983967</v>
      </c>
      <c r="T246" s="263">
        <v>0</v>
      </c>
      <c r="U246" s="263"/>
      <c r="V246" s="263">
        <v>0</v>
      </c>
      <c r="W246" s="263">
        <v>0</v>
      </c>
      <c r="X246" s="263">
        <v>0</v>
      </c>
      <c r="Y246" s="263"/>
      <c r="Z246" s="263">
        <v>0</v>
      </c>
      <c r="AA246" s="263">
        <v>0</v>
      </c>
      <c r="AB246" s="263">
        <v>0</v>
      </c>
      <c r="AC246" s="263"/>
      <c r="AD246" s="263">
        <v>0</v>
      </c>
      <c r="AE246" s="263"/>
      <c r="AF246" s="263"/>
      <c r="AG246" s="262"/>
      <c r="AH246" s="274">
        <f t="shared" si="201"/>
        <v>684</v>
      </c>
      <c r="AI246" s="274">
        <f t="shared" si="202"/>
        <v>1118</v>
      </c>
      <c r="AJ246" s="274">
        <f t="shared" si="203"/>
        <v>1295</v>
      </c>
      <c r="AK246" s="274">
        <f t="shared" si="198"/>
        <v>1776</v>
      </c>
      <c r="AL246" s="274">
        <f t="shared" si="204"/>
        <v>2168</v>
      </c>
      <c r="AM246" s="274">
        <f t="shared" si="205"/>
        <v>2357</v>
      </c>
      <c r="AN246" s="274">
        <f t="shared" si="206"/>
        <v>2819</v>
      </c>
      <c r="AO246" s="274">
        <f t="shared" si="242"/>
        <v>3043</v>
      </c>
      <c r="AP246" s="274">
        <f t="shared" si="207"/>
        <v>3659</v>
      </c>
      <c r="AQ246" s="274"/>
      <c r="AR246" s="274">
        <f t="shared" si="208"/>
        <v>4289</v>
      </c>
      <c r="AS246" s="274">
        <f t="shared" si="199"/>
        <v>5892</v>
      </c>
      <c r="AT246" s="274">
        <f t="shared" si="209"/>
        <v>6438</v>
      </c>
      <c r="AU246" s="274">
        <f t="shared" si="243"/>
        <v>7957</v>
      </c>
      <c r="AV246" s="274">
        <f t="shared" si="210"/>
        <v>9511</v>
      </c>
      <c r="AW246" s="274"/>
      <c r="AX246" s="274">
        <f t="shared" si="211"/>
        <v>208</v>
      </c>
      <c r="AY246" s="274">
        <f t="shared" si="212"/>
        <v>887</v>
      </c>
      <c r="AZ246" s="274">
        <f t="shared" si="213"/>
        <v>1650</v>
      </c>
      <c r="BA246" s="274"/>
      <c r="BB246" s="274">
        <f t="shared" si="214"/>
        <v>3087</v>
      </c>
      <c r="BC246" s="274">
        <f t="shared" si="215"/>
        <v>3827</v>
      </c>
      <c r="BD246" s="274">
        <f t="shared" si="216"/>
        <v>4520</v>
      </c>
      <c r="BE246" s="274"/>
      <c r="BF246" s="274">
        <f t="shared" si="217"/>
        <v>9014</v>
      </c>
      <c r="BG246" s="274"/>
      <c r="BH246" s="274"/>
      <c r="BI246" s="266">
        <f t="shared" si="218"/>
        <v>0</v>
      </c>
      <c r="BJ246" s="266" t="e">
        <f t="shared" si="219"/>
        <v>#DIV/0!</v>
      </c>
      <c r="BK246" s="263" t="str">
        <f t="shared" si="220"/>
        <v/>
      </c>
      <c r="BL246" s="263" t="str">
        <f t="shared" si="221"/>
        <v/>
      </c>
      <c r="BM246" s="263" t="str">
        <f t="shared" si="222"/>
        <v/>
      </c>
      <c r="BN246" s="263"/>
      <c r="BO246" s="263" t="str">
        <f t="shared" si="223"/>
        <v/>
      </c>
      <c r="BP246" s="263" t="str">
        <f t="shared" si="224"/>
        <v/>
      </c>
      <c r="BQ246" s="263" t="str">
        <f t="shared" si="225"/>
        <v/>
      </c>
      <c r="BR246" s="263" t="str">
        <f t="shared" si="226"/>
        <v/>
      </c>
      <c r="BS246" s="263" t="str">
        <f t="shared" si="227"/>
        <v/>
      </c>
      <c r="BT246" s="263" t="str">
        <f t="shared" si="228"/>
        <v/>
      </c>
      <c r="BU246" s="263" t="str">
        <f t="shared" si="229"/>
        <v/>
      </c>
      <c r="BV246" s="263"/>
      <c r="BW246" s="263" t="str">
        <f t="shared" si="230"/>
        <v/>
      </c>
      <c r="BX246" s="263" t="str">
        <f t="shared" si="258"/>
        <v/>
      </c>
      <c r="BY246" s="263" t="str">
        <f t="shared" si="231"/>
        <v/>
      </c>
      <c r="BZ246" s="263"/>
      <c r="CA246" s="263" t="str">
        <f t="shared" si="254"/>
        <v/>
      </c>
      <c r="CB246" s="263" t="str">
        <f t="shared" si="232"/>
        <v/>
      </c>
      <c r="CC246" s="263" t="str">
        <f t="shared" si="255"/>
        <v/>
      </c>
      <c r="CD246" s="263" t="str">
        <f t="shared" si="233"/>
        <v/>
      </c>
      <c r="CE246" s="263" t="str">
        <f t="shared" si="241"/>
        <v/>
      </c>
      <c r="CF246" s="263" t="str">
        <f t="shared" si="256"/>
        <v/>
      </c>
      <c r="CG246" s="263" t="str">
        <f t="shared" si="257"/>
        <v/>
      </c>
      <c r="CH246" s="263"/>
      <c r="CI246" s="263" t="str">
        <f t="shared" si="234"/>
        <v/>
      </c>
      <c r="CJ246" s="263"/>
      <c r="CK246" s="263" t="str">
        <f t="shared" si="235"/>
        <v/>
      </c>
      <c r="CL246" s="264">
        <f t="shared" si="259"/>
        <v>0</v>
      </c>
      <c r="CM246" s="264">
        <f t="shared" si="236"/>
        <v>0</v>
      </c>
      <c r="CO246" s="265">
        <v>8.4220000000000003E-2</v>
      </c>
      <c r="CP246" s="265">
        <v>9.0510000000000007E-2</v>
      </c>
      <c r="CQ246" s="265">
        <v>9.3390000000000001E-2</v>
      </c>
      <c r="CS246" s="265">
        <v>9.6750000000000003E-2</v>
      </c>
      <c r="CT246" s="265">
        <v>9.8729999999999998E-2</v>
      </c>
      <c r="CU246" s="265">
        <v>0.10064999999999999</v>
      </c>
      <c r="CV246" s="265">
        <v>0.10199</v>
      </c>
      <c r="CW246" s="265">
        <v>0.10390000000000001</v>
      </c>
      <c r="CY246" s="265">
        <v>0.10585000000000001</v>
      </c>
      <c r="DA246" s="265">
        <v>0.11026</v>
      </c>
      <c r="DB246" s="265">
        <v>0.11205</v>
      </c>
      <c r="DC246" s="265">
        <v>0.1103</v>
      </c>
      <c r="DE246" s="265">
        <v>5.0330000000000007E-2</v>
      </c>
      <c r="DF246" s="265">
        <v>5.0999999999999997E-2</v>
      </c>
      <c r="DH246" s="265">
        <v>5.0250000000000003E-2</v>
      </c>
      <c r="DI246" s="265">
        <v>5.2249999999999998E-2</v>
      </c>
      <c r="DJ246" s="265">
        <v>5.2569999999999999E-2</v>
      </c>
      <c r="DL246" s="265">
        <v>5.0039999999999994E-2</v>
      </c>
      <c r="DO246" s="264" t="e">
        <f t="shared" si="244"/>
        <v>#N/A</v>
      </c>
      <c r="DP246" s="264" t="e" cm="1">
        <f t="array" ref="DP246">+INDEX(AH246:AV246,MATCH(DO246,AH246:AV246,1)+1)</f>
        <v>#N/A</v>
      </c>
      <c r="DQ246" s="265" t="e">
        <f t="shared" si="245"/>
        <v>#N/A</v>
      </c>
      <c r="DR246" s="267" t="e">
        <f t="shared" si="246"/>
        <v>#N/A</v>
      </c>
      <c r="DS246" s="267" t="e">
        <f t="shared" si="247"/>
        <v>#N/A</v>
      </c>
      <c r="DT246" s="268" t="e">
        <f t="shared" si="248"/>
        <v>#N/A</v>
      </c>
      <c r="DU246" s="268" t="e" cm="1">
        <f t="array" ref="DU246">+INDEX(AX246:BF246,MATCH(DT246,AX246:BF246,1)+1)</f>
        <v>#N/A</v>
      </c>
      <c r="DV246" s="267" t="e">
        <f t="shared" si="249"/>
        <v>#N/A</v>
      </c>
      <c r="DW246" s="267" t="e">
        <f t="shared" si="250"/>
        <v>#N/A</v>
      </c>
      <c r="DX246" s="267" t="e">
        <f t="shared" si="251"/>
        <v>#N/A</v>
      </c>
      <c r="DY246" s="267">
        <f t="shared" si="260"/>
        <v>5.8099999999999999E-2</v>
      </c>
      <c r="DZ246" s="205" t="e">
        <f t="shared" si="239"/>
        <v>#N/A</v>
      </c>
      <c r="EA246" s="205">
        <f t="shared" si="252"/>
        <v>0</v>
      </c>
    </row>
    <row r="247" spans="2:131">
      <c r="B247" s="272">
        <v>45580</v>
      </c>
      <c r="C247" s="271">
        <v>45580</v>
      </c>
      <c r="D247" s="263" t="e">
        <f>+SUMIFS(Tabla6[Nominal COP],Tabla6[Concepto],COSTO_OPORTUNIDAD!$B$18,Tabla6[Nemotécnico],COSTO_OPORTUNIDAD!D$16,Tabla6[Fecha Cumplimiento y/ liquidacion],COSTO_OPORTUNIDAD!$C247)/+SUMIFS(Tabla6[Nominal COP],Tabla6[Concepto],COSTO_OPORTUNIDAD!$B$18,Tabla6[Fecha Cumplimiento y/ liquidacion],COSTO_OPORTUNIDAD!$C247)</f>
        <v>#DIV/0!</v>
      </c>
      <c r="E247" s="263" t="e">
        <f>+SUMIFS(Tabla6[Nominal COP],Tabla6[Concepto],COSTO_OPORTUNIDAD!$B$18,Tabla6[Nemotécnico],COSTO_OPORTUNIDAD!E$16,Tabla6[Fecha Cumplimiento y/ liquidacion],COSTO_OPORTUNIDAD!$C247)/+SUMIFS(Tabla6[Nominal COP],Tabla6[Concepto],COSTO_OPORTUNIDAD!$B$18,Tabla6[Fecha Cumplimiento y/ liquidacion],COSTO_OPORTUNIDAD!$C247)</f>
        <v>#DIV/0!</v>
      </c>
      <c r="F247" s="263"/>
      <c r="G247" s="263"/>
      <c r="H247" s="263">
        <v>0</v>
      </c>
      <c r="I247" s="263"/>
      <c r="J247" s="263">
        <v>9.0909090909090912E-2</v>
      </c>
      <c r="K247" s="263">
        <v>0</v>
      </c>
      <c r="L247" s="263"/>
      <c r="M247" s="263">
        <v>0</v>
      </c>
      <c r="N247" s="263"/>
      <c r="O247" s="263"/>
      <c r="P247" s="263">
        <v>0</v>
      </c>
      <c r="Q247" s="263"/>
      <c r="R247" s="263">
        <v>0</v>
      </c>
      <c r="S247" s="263">
        <v>0.90909090909090906</v>
      </c>
      <c r="T247" s="263">
        <v>0</v>
      </c>
      <c r="U247" s="263"/>
      <c r="V247" s="263">
        <v>0</v>
      </c>
      <c r="W247" s="263">
        <v>0</v>
      </c>
      <c r="X247" s="263">
        <v>0</v>
      </c>
      <c r="Y247" s="263"/>
      <c r="Z247" s="263">
        <v>0</v>
      </c>
      <c r="AA247" s="263">
        <v>0</v>
      </c>
      <c r="AB247" s="263">
        <v>0</v>
      </c>
      <c r="AC247" s="263"/>
      <c r="AD247" s="263">
        <v>0</v>
      </c>
      <c r="AE247" s="263"/>
      <c r="AF247" s="263"/>
      <c r="AG247" s="262"/>
      <c r="AH247" s="274">
        <f t="shared" si="201"/>
        <v>680</v>
      </c>
      <c r="AI247" s="274">
        <f t="shared" si="202"/>
        <v>1114</v>
      </c>
      <c r="AJ247" s="274">
        <f t="shared" si="203"/>
        <v>1291</v>
      </c>
      <c r="AK247" s="274">
        <f t="shared" si="198"/>
        <v>1772</v>
      </c>
      <c r="AL247" s="274">
        <f t="shared" si="204"/>
        <v>2164</v>
      </c>
      <c r="AM247" s="274">
        <f t="shared" si="205"/>
        <v>2353</v>
      </c>
      <c r="AN247" s="274">
        <f t="shared" si="206"/>
        <v>2815</v>
      </c>
      <c r="AO247" s="274">
        <f t="shared" si="242"/>
        <v>3039</v>
      </c>
      <c r="AP247" s="274">
        <f t="shared" si="207"/>
        <v>3655</v>
      </c>
      <c r="AQ247" s="274"/>
      <c r="AR247" s="274">
        <f t="shared" si="208"/>
        <v>4285</v>
      </c>
      <c r="AS247" s="274">
        <f t="shared" si="199"/>
        <v>5888</v>
      </c>
      <c r="AT247" s="274">
        <f t="shared" si="209"/>
        <v>6434</v>
      </c>
      <c r="AU247" s="274">
        <f t="shared" si="243"/>
        <v>7953</v>
      </c>
      <c r="AV247" s="274">
        <f t="shared" si="210"/>
        <v>9507</v>
      </c>
      <c r="AW247" s="274"/>
      <c r="AX247" s="274">
        <f t="shared" si="211"/>
        <v>204</v>
      </c>
      <c r="AY247" s="274">
        <f t="shared" si="212"/>
        <v>883</v>
      </c>
      <c r="AZ247" s="274">
        <f t="shared" si="213"/>
        <v>1646</v>
      </c>
      <c r="BA247" s="274"/>
      <c r="BB247" s="274">
        <f t="shared" si="214"/>
        <v>3083</v>
      </c>
      <c r="BC247" s="274">
        <f t="shared" si="215"/>
        <v>3823</v>
      </c>
      <c r="BD247" s="274">
        <f t="shared" si="216"/>
        <v>4516</v>
      </c>
      <c r="BE247" s="274"/>
      <c r="BF247" s="274">
        <f t="shared" si="217"/>
        <v>9010</v>
      </c>
      <c r="BG247" s="274"/>
      <c r="BH247" s="274"/>
      <c r="BI247" s="266">
        <f t="shared" si="218"/>
        <v>0</v>
      </c>
      <c r="BJ247" s="266" t="e">
        <f t="shared" si="219"/>
        <v>#DIV/0!</v>
      </c>
      <c r="BK247" s="263" t="str">
        <f t="shared" si="220"/>
        <v/>
      </c>
      <c r="BL247" s="263" t="str">
        <f t="shared" si="221"/>
        <v/>
      </c>
      <c r="BM247" s="263" t="str">
        <f t="shared" si="222"/>
        <v/>
      </c>
      <c r="BN247" s="263"/>
      <c r="BO247" s="263" t="str">
        <f t="shared" si="223"/>
        <v/>
      </c>
      <c r="BP247" s="263" t="str">
        <f t="shared" si="224"/>
        <v/>
      </c>
      <c r="BQ247" s="263" t="str">
        <f t="shared" si="225"/>
        <v/>
      </c>
      <c r="BR247" s="263" t="str">
        <f t="shared" si="226"/>
        <v/>
      </c>
      <c r="BS247" s="263" t="str">
        <f t="shared" si="227"/>
        <v/>
      </c>
      <c r="BT247" s="263" t="str">
        <f t="shared" si="228"/>
        <v/>
      </c>
      <c r="BU247" s="263" t="str">
        <f t="shared" si="229"/>
        <v/>
      </c>
      <c r="BV247" s="263"/>
      <c r="BW247" s="263" t="str">
        <f t="shared" si="230"/>
        <v/>
      </c>
      <c r="BX247" s="263" t="str">
        <f t="shared" si="258"/>
        <v/>
      </c>
      <c r="BY247" s="263" t="str">
        <f t="shared" si="231"/>
        <v/>
      </c>
      <c r="BZ247" s="263"/>
      <c r="CA247" s="263" t="str">
        <f t="shared" si="254"/>
        <v/>
      </c>
      <c r="CB247" s="263" t="str">
        <f t="shared" si="232"/>
        <v/>
      </c>
      <c r="CC247" s="263" t="str">
        <f t="shared" si="255"/>
        <v/>
      </c>
      <c r="CD247" s="263" t="str">
        <f t="shared" si="233"/>
        <v/>
      </c>
      <c r="CE247" s="263" t="str">
        <f t="shared" si="241"/>
        <v/>
      </c>
      <c r="CF247" s="263" t="str">
        <f t="shared" si="256"/>
        <v/>
      </c>
      <c r="CG247" s="263" t="str">
        <f t="shared" si="257"/>
        <v/>
      </c>
      <c r="CH247" s="263"/>
      <c r="CI247" s="263" t="str">
        <f t="shared" si="234"/>
        <v/>
      </c>
      <c r="CJ247" s="263"/>
      <c r="CK247" s="263" t="str">
        <f t="shared" si="235"/>
        <v/>
      </c>
      <c r="CL247" s="264">
        <f t="shared" si="259"/>
        <v>0</v>
      </c>
      <c r="CM247" s="264">
        <f t="shared" si="236"/>
        <v>0</v>
      </c>
      <c r="CO247" s="265">
        <v>8.3979999999999999E-2</v>
      </c>
      <c r="CP247" s="265">
        <v>9.1400000000000009E-2</v>
      </c>
      <c r="CQ247" s="265">
        <v>9.3949999999999992E-2</v>
      </c>
      <c r="CS247" s="265">
        <v>9.7299999999999998E-2</v>
      </c>
      <c r="CT247" s="265">
        <v>9.8780000000000007E-2</v>
      </c>
      <c r="CU247" s="265">
        <v>0.10055</v>
      </c>
      <c r="CV247" s="265">
        <v>0.10247000000000001</v>
      </c>
      <c r="CW247" s="265">
        <v>0.10400999999999999</v>
      </c>
      <c r="CY247" s="265">
        <v>0.10639</v>
      </c>
      <c r="DA247" s="265">
        <v>0.11015000000000001</v>
      </c>
      <c r="DB247" s="265">
        <v>0.11221</v>
      </c>
      <c r="DC247" s="265">
        <v>0.11034000000000001</v>
      </c>
      <c r="DE247" s="265">
        <v>5.0499999999999996E-2</v>
      </c>
      <c r="DF247" s="265">
        <v>5.1299999999999998E-2</v>
      </c>
      <c r="DH247" s="265">
        <v>5.1689999999999993E-2</v>
      </c>
      <c r="DI247" s="265">
        <v>5.2290000000000003E-2</v>
      </c>
      <c r="DJ247" s="265">
        <v>5.2919999999999995E-2</v>
      </c>
      <c r="DL247" s="265">
        <v>5.0339999999999996E-2</v>
      </c>
      <c r="DO247" s="264" t="e">
        <f t="shared" si="244"/>
        <v>#N/A</v>
      </c>
      <c r="DP247" s="264" t="e" cm="1">
        <f t="array" ref="DP247">+INDEX(AH247:AV247,MATCH(DO247,AH247:AV247,1)+1)</f>
        <v>#N/A</v>
      </c>
      <c r="DQ247" s="265" t="e">
        <f t="shared" si="245"/>
        <v>#N/A</v>
      </c>
      <c r="DR247" s="267" t="e">
        <f t="shared" si="246"/>
        <v>#N/A</v>
      </c>
      <c r="DS247" s="267" t="e">
        <f t="shared" si="247"/>
        <v>#N/A</v>
      </c>
      <c r="DT247" s="268" t="e">
        <f t="shared" si="248"/>
        <v>#N/A</v>
      </c>
      <c r="DU247" s="268" t="e" cm="1">
        <f t="array" ref="DU247">+INDEX(AX247:BF247,MATCH(DT247,AX247:BF247,1)+1)</f>
        <v>#N/A</v>
      </c>
      <c r="DV247" s="267" t="e">
        <f t="shared" si="249"/>
        <v>#N/A</v>
      </c>
      <c r="DW247" s="267" t="e">
        <f t="shared" si="250"/>
        <v>#N/A</v>
      </c>
      <c r="DX247" s="267" t="e">
        <f t="shared" si="251"/>
        <v>#N/A</v>
      </c>
      <c r="DY247" s="267">
        <f t="shared" si="260"/>
        <v>5.8099999999999999E-2</v>
      </c>
      <c r="DZ247" s="205" t="e">
        <f t="shared" si="239"/>
        <v>#N/A</v>
      </c>
      <c r="EA247" s="205">
        <f t="shared" si="252"/>
        <v>0</v>
      </c>
    </row>
    <row r="248" spans="2:131">
      <c r="B248" s="272">
        <v>45581</v>
      </c>
      <c r="C248" s="271">
        <v>45581</v>
      </c>
      <c r="D248" s="263" t="e">
        <f>+SUMIFS(Tabla6[Nominal COP],Tabla6[Concepto],COSTO_OPORTUNIDAD!$B$18,Tabla6[Nemotécnico],COSTO_OPORTUNIDAD!D$16,Tabla6[Fecha Cumplimiento y/ liquidacion],COSTO_OPORTUNIDAD!$C248)/+SUMIFS(Tabla6[Nominal COP],Tabla6[Concepto],COSTO_OPORTUNIDAD!$B$18,Tabla6[Fecha Cumplimiento y/ liquidacion],COSTO_OPORTUNIDAD!$C248)</f>
        <v>#DIV/0!</v>
      </c>
      <c r="E248" s="263" t="e">
        <f>+SUMIFS(Tabla6[Nominal COP],Tabla6[Concepto],COSTO_OPORTUNIDAD!$B$18,Tabla6[Nemotécnico],COSTO_OPORTUNIDAD!E$16,Tabla6[Fecha Cumplimiento y/ liquidacion],COSTO_OPORTUNIDAD!$C248)/+SUMIFS(Tabla6[Nominal COP],Tabla6[Concepto],COSTO_OPORTUNIDAD!$B$18,Tabla6[Fecha Cumplimiento y/ liquidacion],COSTO_OPORTUNIDAD!$C248)</f>
        <v>#DIV/0!</v>
      </c>
      <c r="F248" s="263"/>
      <c r="G248" s="263"/>
      <c r="H248" s="263">
        <v>0</v>
      </c>
      <c r="I248" s="263"/>
      <c r="J248" s="263">
        <v>0</v>
      </c>
      <c r="K248" s="263">
        <v>0</v>
      </c>
      <c r="L248" s="263"/>
      <c r="M248" s="263">
        <v>0</v>
      </c>
      <c r="N248" s="263"/>
      <c r="O248" s="263"/>
      <c r="P248" s="263">
        <v>0</v>
      </c>
      <c r="Q248" s="263"/>
      <c r="R248" s="263">
        <v>0</v>
      </c>
      <c r="S248" s="263">
        <v>1</v>
      </c>
      <c r="T248" s="263">
        <v>0</v>
      </c>
      <c r="U248" s="263"/>
      <c r="V248" s="263">
        <v>0</v>
      </c>
      <c r="W248" s="263">
        <v>0</v>
      </c>
      <c r="X248" s="263">
        <v>0</v>
      </c>
      <c r="Y248" s="263"/>
      <c r="Z248" s="263">
        <v>0</v>
      </c>
      <c r="AA248" s="263">
        <v>0</v>
      </c>
      <c r="AB248" s="263">
        <v>0</v>
      </c>
      <c r="AC248" s="263"/>
      <c r="AD248" s="263">
        <v>0</v>
      </c>
      <c r="AE248" s="263"/>
      <c r="AF248" s="263"/>
      <c r="AG248" s="262"/>
      <c r="AH248" s="274">
        <f t="shared" si="201"/>
        <v>679</v>
      </c>
      <c r="AI248" s="274">
        <f t="shared" si="202"/>
        <v>1113</v>
      </c>
      <c r="AJ248" s="274">
        <f t="shared" si="203"/>
        <v>1290</v>
      </c>
      <c r="AK248" s="274">
        <f t="shared" si="198"/>
        <v>1771</v>
      </c>
      <c r="AL248" s="274">
        <f t="shared" si="204"/>
        <v>2163</v>
      </c>
      <c r="AM248" s="274">
        <f t="shared" si="205"/>
        <v>2352</v>
      </c>
      <c r="AN248" s="274">
        <f t="shared" si="206"/>
        <v>2814</v>
      </c>
      <c r="AO248" s="274">
        <f t="shared" si="242"/>
        <v>3038</v>
      </c>
      <c r="AP248" s="274">
        <f t="shared" si="207"/>
        <v>3654</v>
      </c>
      <c r="AQ248" s="274"/>
      <c r="AR248" s="274">
        <f t="shared" si="208"/>
        <v>4284</v>
      </c>
      <c r="AS248" s="274">
        <f t="shared" si="199"/>
        <v>5887</v>
      </c>
      <c r="AT248" s="274">
        <f t="shared" si="209"/>
        <v>6433</v>
      </c>
      <c r="AU248" s="274">
        <f t="shared" si="243"/>
        <v>7952</v>
      </c>
      <c r="AV248" s="274">
        <f t="shared" si="210"/>
        <v>9506</v>
      </c>
      <c r="AW248" s="274"/>
      <c r="AX248" s="274">
        <f t="shared" si="211"/>
        <v>203</v>
      </c>
      <c r="AY248" s="274">
        <f t="shared" si="212"/>
        <v>882</v>
      </c>
      <c r="AZ248" s="274">
        <f t="shared" si="213"/>
        <v>1645</v>
      </c>
      <c r="BA248" s="274"/>
      <c r="BB248" s="274">
        <f t="shared" si="214"/>
        <v>3082</v>
      </c>
      <c r="BC248" s="274">
        <f t="shared" si="215"/>
        <v>3822</v>
      </c>
      <c r="BD248" s="274">
        <f t="shared" si="216"/>
        <v>4515</v>
      </c>
      <c r="BE248" s="274"/>
      <c r="BF248" s="274">
        <f t="shared" si="217"/>
        <v>9009</v>
      </c>
      <c r="BG248" s="274"/>
      <c r="BH248" s="274"/>
      <c r="BI248" s="266">
        <f t="shared" si="218"/>
        <v>0</v>
      </c>
      <c r="BJ248" s="266" t="e">
        <f t="shared" si="219"/>
        <v>#DIV/0!</v>
      </c>
      <c r="BK248" s="263" t="str">
        <f t="shared" si="220"/>
        <v/>
      </c>
      <c r="BL248" s="263" t="str">
        <f t="shared" si="221"/>
        <v/>
      </c>
      <c r="BM248" s="263" t="str">
        <f t="shared" si="222"/>
        <v/>
      </c>
      <c r="BN248" s="263"/>
      <c r="BO248" s="263" t="str">
        <f t="shared" si="223"/>
        <v/>
      </c>
      <c r="BP248" s="263" t="str">
        <f t="shared" si="224"/>
        <v/>
      </c>
      <c r="BQ248" s="263" t="str">
        <f t="shared" si="225"/>
        <v/>
      </c>
      <c r="BR248" s="263" t="str">
        <f t="shared" si="226"/>
        <v/>
      </c>
      <c r="BS248" s="263" t="str">
        <f t="shared" si="227"/>
        <v/>
      </c>
      <c r="BT248" s="263" t="str">
        <f t="shared" si="228"/>
        <v/>
      </c>
      <c r="BU248" s="263" t="str">
        <f t="shared" si="229"/>
        <v/>
      </c>
      <c r="BV248" s="263"/>
      <c r="BW248" s="263" t="str">
        <f t="shared" si="230"/>
        <v/>
      </c>
      <c r="BX248" s="263" t="str">
        <f t="shared" si="258"/>
        <v/>
      </c>
      <c r="BY248" s="263" t="str">
        <f t="shared" si="231"/>
        <v/>
      </c>
      <c r="BZ248" s="263"/>
      <c r="CA248" s="263" t="str">
        <f t="shared" si="254"/>
        <v/>
      </c>
      <c r="CB248" s="263" t="str">
        <f t="shared" si="232"/>
        <v/>
      </c>
      <c r="CC248" s="263" t="str">
        <f t="shared" si="255"/>
        <v/>
      </c>
      <c r="CD248" s="263" t="str">
        <f t="shared" si="233"/>
        <v/>
      </c>
      <c r="CE248" s="263" t="str">
        <f t="shared" si="241"/>
        <v/>
      </c>
      <c r="CF248" s="263" t="str">
        <f t="shared" si="256"/>
        <v/>
      </c>
      <c r="CG248" s="263" t="str">
        <f t="shared" si="257"/>
        <v/>
      </c>
      <c r="CH248" s="263"/>
      <c r="CI248" s="263" t="str">
        <f t="shared" si="234"/>
        <v/>
      </c>
      <c r="CJ248" s="263"/>
      <c r="CK248" s="263" t="str">
        <f t="shared" si="235"/>
        <v/>
      </c>
      <c r="CL248" s="264">
        <f t="shared" si="259"/>
        <v>0</v>
      </c>
      <c r="CM248" s="264">
        <f t="shared" si="236"/>
        <v>0</v>
      </c>
      <c r="CO248" s="265">
        <v>8.4190000000000001E-2</v>
      </c>
      <c r="CP248" s="265">
        <v>9.0859999999999996E-2</v>
      </c>
      <c r="CQ248" s="265">
        <v>9.3800000000000008E-2</v>
      </c>
      <c r="CS248" s="265">
        <v>9.7100000000000006E-2</v>
      </c>
      <c r="CT248" s="265">
        <v>9.9010000000000001E-2</v>
      </c>
      <c r="CU248" s="265">
        <v>0.10055</v>
      </c>
      <c r="CV248" s="265">
        <v>0.10249000000000001</v>
      </c>
      <c r="CW248" s="265">
        <v>0.1041</v>
      </c>
      <c r="CY248" s="265">
        <v>0.10604</v>
      </c>
      <c r="DA248" s="265">
        <v>0.1106</v>
      </c>
      <c r="DB248" s="265">
        <v>0.11227000000000001</v>
      </c>
      <c r="DC248" s="265">
        <v>0.1105</v>
      </c>
      <c r="DE248" s="265">
        <v>4.9800000000000004E-2</v>
      </c>
      <c r="DF248" s="265">
        <v>5.0959999999999998E-2</v>
      </c>
      <c r="DH248" s="265">
        <v>5.1689999999999993E-2</v>
      </c>
      <c r="DI248" s="265">
        <v>5.2300000000000006E-2</v>
      </c>
      <c r="DJ248" s="265">
        <v>5.2699999999999997E-2</v>
      </c>
      <c r="DL248" s="265">
        <v>5.0119999999999998E-2</v>
      </c>
      <c r="DO248" s="264" t="e">
        <f t="shared" si="244"/>
        <v>#N/A</v>
      </c>
      <c r="DP248" s="264" t="e" cm="1">
        <f t="array" ref="DP248">+INDEX(AH248:AV248,MATCH(DO248,AH248:AV248,1)+1)</f>
        <v>#N/A</v>
      </c>
      <c r="DQ248" s="265" t="e">
        <f t="shared" si="245"/>
        <v>#N/A</v>
      </c>
      <c r="DR248" s="267" t="e">
        <f t="shared" si="246"/>
        <v>#N/A</v>
      </c>
      <c r="DS248" s="267" t="e">
        <f t="shared" si="247"/>
        <v>#N/A</v>
      </c>
      <c r="DT248" s="268" t="e">
        <f t="shared" si="248"/>
        <v>#N/A</v>
      </c>
      <c r="DU248" s="268" t="e" cm="1">
        <f t="array" ref="DU248">+INDEX(AX248:BF248,MATCH(DT248,AX248:BF248,1)+1)</f>
        <v>#N/A</v>
      </c>
      <c r="DV248" s="267" t="e">
        <f t="shared" si="249"/>
        <v>#N/A</v>
      </c>
      <c r="DW248" s="267" t="e">
        <f t="shared" si="250"/>
        <v>#N/A</v>
      </c>
      <c r="DX248" s="267" t="e">
        <f t="shared" si="251"/>
        <v>#N/A</v>
      </c>
      <c r="DY248" s="267">
        <f t="shared" si="260"/>
        <v>5.8099999999999999E-2</v>
      </c>
      <c r="DZ248" s="205" t="e">
        <f t="shared" si="239"/>
        <v>#N/A</v>
      </c>
      <c r="EA248" s="205">
        <f t="shared" si="252"/>
        <v>0</v>
      </c>
    </row>
    <row r="249" spans="2:131">
      <c r="B249" s="272">
        <v>45582</v>
      </c>
      <c r="C249" s="271">
        <v>45582</v>
      </c>
      <c r="D249" s="263" t="e">
        <f>+SUMIFS(Tabla6[Nominal COP],Tabla6[Concepto],COSTO_OPORTUNIDAD!$B$18,Tabla6[Nemotécnico],COSTO_OPORTUNIDAD!D$16,Tabla6[Fecha Cumplimiento y/ liquidacion],COSTO_OPORTUNIDAD!$C249)/+SUMIFS(Tabla6[Nominal COP],Tabla6[Concepto],COSTO_OPORTUNIDAD!$B$18,Tabla6[Fecha Cumplimiento y/ liquidacion],COSTO_OPORTUNIDAD!$C249)</f>
        <v>#DIV/0!</v>
      </c>
      <c r="E249" s="263" t="e">
        <f>+SUMIFS(Tabla6[Nominal COP],Tabla6[Concepto],COSTO_OPORTUNIDAD!$B$18,Tabla6[Nemotécnico],COSTO_OPORTUNIDAD!E$16,Tabla6[Fecha Cumplimiento y/ liquidacion],COSTO_OPORTUNIDAD!$C249)/+SUMIFS(Tabla6[Nominal COP],Tabla6[Concepto],COSTO_OPORTUNIDAD!$B$18,Tabla6[Fecha Cumplimiento y/ liquidacion],COSTO_OPORTUNIDAD!$C249)</f>
        <v>#DIV/0!</v>
      </c>
      <c r="F249" s="263"/>
      <c r="G249" s="263"/>
      <c r="H249" s="263">
        <v>0</v>
      </c>
      <c r="I249" s="263"/>
      <c r="J249" s="263">
        <v>5.1546391752577317E-2</v>
      </c>
      <c r="K249" s="263">
        <v>0</v>
      </c>
      <c r="L249" s="263"/>
      <c r="M249" s="263">
        <v>0</v>
      </c>
      <c r="N249" s="263"/>
      <c r="O249" s="263"/>
      <c r="P249" s="263">
        <v>0</v>
      </c>
      <c r="Q249" s="263"/>
      <c r="R249" s="263">
        <v>0</v>
      </c>
      <c r="S249" s="263">
        <v>0.94845360824742264</v>
      </c>
      <c r="T249" s="263">
        <v>0</v>
      </c>
      <c r="U249" s="263"/>
      <c r="V249" s="263">
        <v>0</v>
      </c>
      <c r="W249" s="263">
        <v>0</v>
      </c>
      <c r="X249" s="263">
        <v>0</v>
      </c>
      <c r="Y249" s="263"/>
      <c r="Z249" s="263">
        <v>0</v>
      </c>
      <c r="AA249" s="263">
        <v>0</v>
      </c>
      <c r="AB249" s="263">
        <v>0</v>
      </c>
      <c r="AC249" s="263"/>
      <c r="AD249" s="263">
        <v>0</v>
      </c>
      <c r="AE249" s="263"/>
      <c r="AF249" s="263"/>
      <c r="AG249" s="262"/>
      <c r="AH249" s="274">
        <f t="shared" si="201"/>
        <v>678</v>
      </c>
      <c r="AI249" s="274">
        <f t="shared" si="202"/>
        <v>1112</v>
      </c>
      <c r="AJ249" s="274">
        <f t="shared" si="203"/>
        <v>1289</v>
      </c>
      <c r="AK249" s="274">
        <f t="shared" si="198"/>
        <v>1770</v>
      </c>
      <c r="AL249" s="274">
        <f t="shared" si="204"/>
        <v>2162</v>
      </c>
      <c r="AM249" s="274">
        <f t="shared" si="205"/>
        <v>2351</v>
      </c>
      <c r="AN249" s="274">
        <f t="shared" si="206"/>
        <v>2813</v>
      </c>
      <c r="AO249" s="274">
        <f t="shared" si="242"/>
        <v>3037</v>
      </c>
      <c r="AP249" s="274">
        <f t="shared" si="207"/>
        <v>3653</v>
      </c>
      <c r="AQ249" s="274"/>
      <c r="AR249" s="274">
        <f t="shared" si="208"/>
        <v>4283</v>
      </c>
      <c r="AS249" s="274">
        <f t="shared" si="199"/>
        <v>5886</v>
      </c>
      <c r="AT249" s="274">
        <f t="shared" si="209"/>
        <v>6432</v>
      </c>
      <c r="AU249" s="274">
        <f t="shared" si="243"/>
        <v>7951</v>
      </c>
      <c r="AV249" s="274">
        <f t="shared" si="210"/>
        <v>9505</v>
      </c>
      <c r="AW249" s="274"/>
      <c r="AX249" s="274">
        <f t="shared" si="211"/>
        <v>202</v>
      </c>
      <c r="AY249" s="274">
        <f t="shared" si="212"/>
        <v>881</v>
      </c>
      <c r="AZ249" s="274">
        <f t="shared" si="213"/>
        <v>1644</v>
      </c>
      <c r="BA249" s="274"/>
      <c r="BB249" s="274">
        <f t="shared" si="214"/>
        <v>3081</v>
      </c>
      <c r="BC249" s="274">
        <f t="shared" si="215"/>
        <v>3821</v>
      </c>
      <c r="BD249" s="274">
        <f t="shared" si="216"/>
        <v>4514</v>
      </c>
      <c r="BE249" s="274"/>
      <c r="BF249" s="274">
        <f t="shared" si="217"/>
        <v>9008</v>
      </c>
      <c r="BG249" s="274"/>
      <c r="BH249" s="274"/>
      <c r="BI249" s="266">
        <f t="shared" si="218"/>
        <v>0</v>
      </c>
      <c r="BJ249" s="266" t="e">
        <f t="shared" si="219"/>
        <v>#DIV/0!</v>
      </c>
      <c r="BK249" s="263" t="str">
        <f t="shared" si="220"/>
        <v/>
      </c>
      <c r="BL249" s="263" t="str">
        <f t="shared" si="221"/>
        <v/>
      </c>
      <c r="BM249" s="263" t="str">
        <f t="shared" si="222"/>
        <v/>
      </c>
      <c r="BN249" s="263"/>
      <c r="BO249" s="263" t="str">
        <f t="shared" si="223"/>
        <v/>
      </c>
      <c r="BP249" s="263" t="str">
        <f t="shared" si="224"/>
        <v/>
      </c>
      <c r="BQ249" s="263" t="str">
        <f t="shared" si="225"/>
        <v/>
      </c>
      <c r="BR249" s="263" t="str">
        <f t="shared" si="226"/>
        <v/>
      </c>
      <c r="BS249" s="263" t="str">
        <f t="shared" si="227"/>
        <v/>
      </c>
      <c r="BT249" s="263" t="str">
        <f t="shared" si="228"/>
        <v/>
      </c>
      <c r="BU249" s="263" t="str">
        <f t="shared" si="229"/>
        <v/>
      </c>
      <c r="BV249" s="263"/>
      <c r="BW249" s="263" t="str">
        <f t="shared" si="230"/>
        <v/>
      </c>
      <c r="BX249" s="263" t="str">
        <f t="shared" si="258"/>
        <v/>
      </c>
      <c r="BY249" s="263" t="str">
        <f t="shared" si="231"/>
        <v/>
      </c>
      <c r="BZ249" s="263"/>
      <c r="CA249" s="263" t="str">
        <f t="shared" si="254"/>
        <v/>
      </c>
      <c r="CB249" s="263" t="str">
        <f t="shared" si="232"/>
        <v/>
      </c>
      <c r="CC249" s="263" t="str">
        <f t="shared" si="255"/>
        <v/>
      </c>
      <c r="CD249" s="263" t="str">
        <f t="shared" si="233"/>
        <v/>
      </c>
      <c r="CE249" s="263" t="str">
        <f t="shared" si="241"/>
        <v/>
      </c>
      <c r="CF249" s="263" t="str">
        <f t="shared" si="256"/>
        <v/>
      </c>
      <c r="CG249" s="263" t="str">
        <f t="shared" si="257"/>
        <v/>
      </c>
      <c r="CH249" s="263"/>
      <c r="CI249" s="263" t="str">
        <f t="shared" si="234"/>
        <v/>
      </c>
      <c r="CJ249" s="263"/>
      <c r="CK249" s="263" t="str">
        <f t="shared" si="235"/>
        <v/>
      </c>
      <c r="CL249" s="264">
        <f t="shared" si="259"/>
        <v>0</v>
      </c>
      <c r="CM249" s="264">
        <f t="shared" si="236"/>
        <v>0</v>
      </c>
      <c r="CO249" s="265">
        <v>8.4900000000000003E-2</v>
      </c>
      <c r="CP249" s="265">
        <v>9.1460000000000014E-2</v>
      </c>
      <c r="CQ249" s="265">
        <v>9.484999999999999E-2</v>
      </c>
      <c r="CS249" s="265">
        <v>9.7609999999999988E-2</v>
      </c>
      <c r="CT249" s="265">
        <v>0.1</v>
      </c>
      <c r="CU249" s="265">
        <v>0.1014</v>
      </c>
      <c r="CV249" s="265">
        <v>0.10321</v>
      </c>
      <c r="CW249" s="265">
        <v>0.1051</v>
      </c>
      <c r="CY249" s="265">
        <v>0.1076</v>
      </c>
      <c r="DA249" s="265">
        <v>0.11159000000000001</v>
      </c>
      <c r="DB249" s="265">
        <v>0.11329</v>
      </c>
      <c r="DC249" s="265">
        <v>0.11172</v>
      </c>
      <c r="DE249" s="265">
        <v>4.9820000000000003E-2</v>
      </c>
      <c r="DF249" s="265">
        <v>5.1249999999999997E-2</v>
      </c>
      <c r="DH249" s="265">
        <v>5.1689999999999993E-2</v>
      </c>
      <c r="DI249" s="265">
        <v>5.2499999999999998E-2</v>
      </c>
      <c r="DJ249" s="265">
        <v>5.2900000000000003E-2</v>
      </c>
      <c r="DL249" s="265">
        <v>5.0590000000000003E-2</v>
      </c>
      <c r="DO249" s="264" t="e">
        <f t="shared" si="244"/>
        <v>#N/A</v>
      </c>
      <c r="DP249" s="264" t="e" cm="1">
        <f t="array" ref="DP249">+INDEX(AH249:AV249,MATCH(DO249,AH249:AV249,1)+1)</f>
        <v>#N/A</v>
      </c>
      <c r="DQ249" s="265" t="e">
        <f t="shared" si="245"/>
        <v>#N/A</v>
      </c>
      <c r="DR249" s="267" t="e">
        <f t="shared" si="246"/>
        <v>#N/A</v>
      </c>
      <c r="DS249" s="267" t="e">
        <f t="shared" si="247"/>
        <v>#N/A</v>
      </c>
      <c r="DT249" s="268" t="e">
        <f t="shared" si="248"/>
        <v>#N/A</v>
      </c>
      <c r="DU249" s="268" t="e" cm="1">
        <f t="array" ref="DU249">+INDEX(AX249:BF249,MATCH(DT249,AX249:BF249,1)+1)</f>
        <v>#N/A</v>
      </c>
      <c r="DV249" s="267" t="e">
        <f t="shared" si="249"/>
        <v>#N/A</v>
      </c>
      <c r="DW249" s="267" t="e">
        <f t="shared" si="250"/>
        <v>#N/A</v>
      </c>
      <c r="DX249" s="267" t="e">
        <f t="shared" si="251"/>
        <v>#N/A</v>
      </c>
      <c r="DY249" s="267">
        <f t="shared" si="260"/>
        <v>5.8099999999999999E-2</v>
      </c>
      <c r="DZ249" s="205" t="e">
        <f t="shared" si="239"/>
        <v>#N/A</v>
      </c>
      <c r="EA249" s="205">
        <f t="shared" si="252"/>
        <v>0</v>
      </c>
    </row>
    <row r="250" spans="2:131">
      <c r="B250" s="272">
        <v>45583</v>
      </c>
      <c r="C250" s="271">
        <v>45583</v>
      </c>
      <c r="D250" s="263" t="e">
        <f>+SUMIFS(Tabla6[Nominal COP],Tabla6[Concepto],COSTO_OPORTUNIDAD!$B$18,Tabla6[Nemotécnico],COSTO_OPORTUNIDAD!D$16,Tabla6[Fecha Cumplimiento y/ liquidacion],COSTO_OPORTUNIDAD!$C250)/+SUMIFS(Tabla6[Nominal COP],Tabla6[Concepto],COSTO_OPORTUNIDAD!$B$18,Tabla6[Fecha Cumplimiento y/ liquidacion],COSTO_OPORTUNIDAD!$C250)</f>
        <v>#DIV/0!</v>
      </c>
      <c r="E250" s="263" t="e">
        <f>+SUMIFS(Tabla6[Nominal COP],Tabla6[Concepto],COSTO_OPORTUNIDAD!$B$18,Tabla6[Nemotécnico],COSTO_OPORTUNIDAD!E$16,Tabla6[Fecha Cumplimiento y/ liquidacion],COSTO_OPORTUNIDAD!$C250)/+SUMIFS(Tabla6[Nominal COP],Tabla6[Concepto],COSTO_OPORTUNIDAD!$B$18,Tabla6[Fecha Cumplimiento y/ liquidacion],COSTO_OPORTUNIDAD!$C250)</f>
        <v>#DIV/0!</v>
      </c>
      <c r="F250" s="263"/>
      <c r="G250" s="263"/>
      <c r="H250" s="263">
        <v>0</v>
      </c>
      <c r="I250" s="263"/>
      <c r="J250" s="263">
        <v>0</v>
      </c>
      <c r="K250" s="263">
        <v>0</v>
      </c>
      <c r="L250" s="263"/>
      <c r="M250" s="263">
        <v>0</v>
      </c>
      <c r="N250" s="263"/>
      <c r="O250" s="263"/>
      <c r="P250" s="263">
        <v>0</v>
      </c>
      <c r="Q250" s="263"/>
      <c r="R250" s="263">
        <v>0</v>
      </c>
      <c r="S250" s="263">
        <v>1</v>
      </c>
      <c r="T250" s="263">
        <v>0</v>
      </c>
      <c r="U250" s="263"/>
      <c r="V250" s="263">
        <v>0</v>
      </c>
      <c r="W250" s="263">
        <v>0</v>
      </c>
      <c r="X250" s="263">
        <v>0</v>
      </c>
      <c r="Y250" s="263"/>
      <c r="Z250" s="263">
        <v>0</v>
      </c>
      <c r="AA250" s="263">
        <v>0</v>
      </c>
      <c r="AB250" s="263">
        <v>0</v>
      </c>
      <c r="AC250" s="263"/>
      <c r="AD250" s="263">
        <v>0</v>
      </c>
      <c r="AE250" s="263"/>
      <c r="AF250" s="263"/>
      <c r="AG250" s="262"/>
      <c r="AH250" s="274">
        <f t="shared" si="201"/>
        <v>677</v>
      </c>
      <c r="AI250" s="274">
        <f t="shared" si="202"/>
        <v>1111</v>
      </c>
      <c r="AJ250" s="274">
        <f t="shared" si="203"/>
        <v>1288</v>
      </c>
      <c r="AK250" s="274">
        <f t="shared" si="198"/>
        <v>1769</v>
      </c>
      <c r="AL250" s="274">
        <f t="shared" si="204"/>
        <v>2161</v>
      </c>
      <c r="AM250" s="274">
        <f t="shared" si="205"/>
        <v>2350</v>
      </c>
      <c r="AN250" s="274">
        <f t="shared" si="206"/>
        <v>2812</v>
      </c>
      <c r="AO250" s="274">
        <f t="shared" ref="AO250:AO255" si="261">(M$17-$B250)</f>
        <v>3036</v>
      </c>
      <c r="AP250" s="274">
        <f t="shared" si="207"/>
        <v>3652</v>
      </c>
      <c r="AQ250" s="274"/>
      <c r="AR250" s="274">
        <f t="shared" si="208"/>
        <v>4282</v>
      </c>
      <c r="AS250" s="274">
        <f t="shared" si="199"/>
        <v>5885</v>
      </c>
      <c r="AT250" s="274">
        <f t="shared" si="209"/>
        <v>6431</v>
      </c>
      <c r="AU250" s="274">
        <f t="shared" si="243"/>
        <v>7950</v>
      </c>
      <c r="AV250" s="274">
        <f t="shared" si="210"/>
        <v>9504</v>
      </c>
      <c r="AW250" s="274"/>
      <c r="AX250" s="274">
        <f t="shared" si="211"/>
        <v>201</v>
      </c>
      <c r="AY250" s="274">
        <f t="shared" si="212"/>
        <v>880</v>
      </c>
      <c r="AZ250" s="274">
        <f t="shared" si="213"/>
        <v>1643</v>
      </c>
      <c r="BA250" s="274"/>
      <c r="BB250" s="274">
        <f t="shared" si="214"/>
        <v>3080</v>
      </c>
      <c r="BC250" s="274">
        <f t="shared" si="215"/>
        <v>3820</v>
      </c>
      <c r="BD250" s="274">
        <f t="shared" si="216"/>
        <v>4513</v>
      </c>
      <c r="BE250" s="274"/>
      <c r="BF250" s="274">
        <f t="shared" si="217"/>
        <v>9007</v>
      </c>
      <c r="BG250" s="274"/>
      <c r="BH250" s="274"/>
      <c r="BI250" s="266">
        <f t="shared" si="218"/>
        <v>0</v>
      </c>
      <c r="BJ250" s="266" t="e">
        <f t="shared" si="219"/>
        <v>#DIV/0!</v>
      </c>
      <c r="BK250" s="263" t="str">
        <f t="shared" si="220"/>
        <v/>
      </c>
      <c r="BL250" s="263" t="str">
        <f t="shared" si="221"/>
        <v/>
      </c>
      <c r="BM250" s="263" t="str">
        <f t="shared" si="222"/>
        <v/>
      </c>
      <c r="BN250" s="263"/>
      <c r="BO250" s="263" t="str">
        <f t="shared" si="223"/>
        <v/>
      </c>
      <c r="BP250" s="263" t="str">
        <f t="shared" si="224"/>
        <v/>
      </c>
      <c r="BQ250" s="263" t="str">
        <f t="shared" si="225"/>
        <v/>
      </c>
      <c r="BR250" s="263" t="str">
        <f t="shared" si="226"/>
        <v/>
      </c>
      <c r="BS250" s="263" t="str">
        <f t="shared" si="227"/>
        <v/>
      </c>
      <c r="BT250" s="263" t="str">
        <f t="shared" si="228"/>
        <v/>
      </c>
      <c r="BU250" s="263" t="str">
        <f t="shared" si="229"/>
        <v/>
      </c>
      <c r="BV250" s="263"/>
      <c r="BW250" s="263" t="str">
        <f t="shared" si="230"/>
        <v/>
      </c>
      <c r="BX250" s="263" t="str">
        <f t="shared" si="258"/>
        <v/>
      </c>
      <c r="BY250" s="263" t="str">
        <f t="shared" si="231"/>
        <v/>
      </c>
      <c r="BZ250" s="263"/>
      <c r="CA250" s="263" t="str">
        <f t="shared" si="254"/>
        <v/>
      </c>
      <c r="CB250" s="263" t="str">
        <f t="shared" si="232"/>
        <v/>
      </c>
      <c r="CC250" s="263" t="str">
        <f t="shared" si="255"/>
        <v/>
      </c>
      <c r="CD250" s="263" t="str">
        <f t="shared" si="233"/>
        <v/>
      </c>
      <c r="CE250" s="263" t="str">
        <f t="shared" si="241"/>
        <v/>
      </c>
      <c r="CF250" s="263" t="str">
        <f t="shared" si="256"/>
        <v/>
      </c>
      <c r="CG250" s="263" t="str">
        <f t="shared" si="257"/>
        <v/>
      </c>
      <c r="CH250" s="263"/>
      <c r="CI250" s="263" t="str">
        <f t="shared" si="234"/>
        <v/>
      </c>
      <c r="CJ250" s="263"/>
      <c r="CK250" s="263" t="str">
        <f t="shared" si="235"/>
        <v/>
      </c>
      <c r="CL250" s="264">
        <f t="shared" si="259"/>
        <v>0</v>
      </c>
      <c r="CM250" s="264">
        <f t="shared" si="236"/>
        <v>0</v>
      </c>
      <c r="CO250" s="265">
        <v>8.4940000000000002E-2</v>
      </c>
      <c r="CP250" s="265">
        <v>9.2189999999999994E-2</v>
      </c>
      <c r="CQ250" s="265">
        <v>9.5239999999999991E-2</v>
      </c>
      <c r="CS250" s="265">
        <v>9.824999999999999E-2</v>
      </c>
      <c r="CT250" s="265">
        <v>0.10000999999999999</v>
      </c>
      <c r="CU250" s="265">
        <v>0.10195</v>
      </c>
      <c r="CV250" s="265">
        <v>0.10400000000000001</v>
      </c>
      <c r="CW250" s="265">
        <v>0.10580000000000001</v>
      </c>
      <c r="CY250" s="265">
        <v>0.10861000000000001</v>
      </c>
      <c r="DA250" s="265">
        <v>0.11247</v>
      </c>
      <c r="DB250" s="265">
        <v>0.11380000000000001</v>
      </c>
      <c r="DC250" s="265">
        <v>0.11263999999999999</v>
      </c>
      <c r="DE250" s="265">
        <v>4.9790000000000001E-2</v>
      </c>
      <c r="DF250" s="265">
        <v>5.1200000000000002E-2</v>
      </c>
      <c r="DH250" s="265">
        <v>5.2549999999999999E-2</v>
      </c>
      <c r="DI250" s="265">
        <v>5.2199999999999996E-2</v>
      </c>
      <c r="DJ250" s="265">
        <v>5.3499999999999999E-2</v>
      </c>
      <c r="DL250" s="265">
        <v>5.1249999999999997E-2</v>
      </c>
      <c r="DO250" s="264" t="e">
        <f t="shared" si="244"/>
        <v>#N/A</v>
      </c>
      <c r="DP250" s="264" t="e" cm="1">
        <f t="array" ref="DP250">+INDEX(AH250:AV250,MATCH(DO250,AH250:AV250,1)+1)</f>
        <v>#N/A</v>
      </c>
      <c r="DQ250" s="265" t="e">
        <f t="shared" si="245"/>
        <v>#N/A</v>
      </c>
      <c r="DR250" s="267" t="e">
        <f t="shared" si="246"/>
        <v>#N/A</v>
      </c>
      <c r="DS250" s="267" t="e">
        <f t="shared" si="247"/>
        <v>#N/A</v>
      </c>
      <c r="DT250" s="268" t="e">
        <f t="shared" si="248"/>
        <v>#N/A</v>
      </c>
      <c r="DU250" s="268" t="e" cm="1">
        <f t="array" ref="DU250">+INDEX(AX250:BF250,MATCH(DT250,AX250:BF250,1)+1)</f>
        <v>#N/A</v>
      </c>
      <c r="DV250" s="267" t="e">
        <f t="shared" si="249"/>
        <v>#N/A</v>
      </c>
      <c r="DW250" s="267" t="e">
        <f t="shared" si="250"/>
        <v>#N/A</v>
      </c>
      <c r="DX250" s="267" t="e">
        <f t="shared" si="251"/>
        <v>#N/A</v>
      </c>
      <c r="DY250" s="267">
        <f t="shared" si="260"/>
        <v>5.8099999999999999E-2</v>
      </c>
      <c r="DZ250" s="205" t="e">
        <f t="shared" si="239"/>
        <v>#N/A</v>
      </c>
      <c r="EA250" s="205">
        <f t="shared" si="252"/>
        <v>0</v>
      </c>
    </row>
    <row r="251" spans="2:131">
      <c r="B251" s="272">
        <v>45604</v>
      </c>
      <c r="C251" s="271">
        <v>45604</v>
      </c>
      <c r="D251" s="263" t="e">
        <f>+SUMIFS(Tabla6[Nominal COP],Tabla6[Concepto],COSTO_OPORTUNIDAD!$B$18,Tabla6[Nemotécnico],COSTO_OPORTUNIDAD!D$16,Tabla6[Fecha Cumplimiento y/ liquidacion],COSTO_OPORTUNIDAD!$C251)/+SUMIFS(Tabla6[Nominal COP],Tabla6[Concepto],COSTO_OPORTUNIDAD!$B$18,Tabla6[Fecha Cumplimiento y/ liquidacion],COSTO_OPORTUNIDAD!$C251)</f>
        <v>#DIV/0!</v>
      </c>
      <c r="E251" s="263" t="e">
        <f>+SUMIFS(Tabla6[Nominal COP],Tabla6[Concepto],COSTO_OPORTUNIDAD!$B$18,Tabla6[Nemotécnico],COSTO_OPORTUNIDAD!E$16,Tabla6[Fecha Cumplimiento y/ liquidacion],COSTO_OPORTUNIDAD!$C251)/+SUMIFS(Tabla6[Nominal COP],Tabla6[Concepto],COSTO_OPORTUNIDAD!$B$18,Tabla6[Fecha Cumplimiento y/ liquidacion],COSTO_OPORTUNIDAD!$C251)</f>
        <v>#DIV/0!</v>
      </c>
      <c r="F251" s="263"/>
      <c r="G251" s="263"/>
      <c r="H251" s="263">
        <v>0</v>
      </c>
      <c r="I251" s="263"/>
      <c r="J251" s="263">
        <v>1.5706806282722512E-2</v>
      </c>
      <c r="K251" s="263">
        <v>7.8534031413612565E-2</v>
      </c>
      <c r="L251" s="263"/>
      <c r="M251" s="263">
        <v>0</v>
      </c>
      <c r="N251" s="263"/>
      <c r="O251" s="263"/>
      <c r="P251" s="263">
        <v>0</v>
      </c>
      <c r="Q251" s="263"/>
      <c r="R251" s="263">
        <v>0</v>
      </c>
      <c r="S251" s="263">
        <v>0.90575916230366493</v>
      </c>
      <c r="T251" s="263">
        <v>0</v>
      </c>
      <c r="U251" s="263"/>
      <c r="V251" s="263">
        <v>0</v>
      </c>
      <c r="W251" s="263">
        <v>0</v>
      </c>
      <c r="X251" s="263">
        <v>0</v>
      </c>
      <c r="Y251" s="263"/>
      <c r="Z251" s="263">
        <v>0</v>
      </c>
      <c r="AA251" s="263">
        <v>0</v>
      </c>
      <c r="AB251" s="263">
        <v>0</v>
      </c>
      <c r="AC251" s="263"/>
      <c r="AD251" s="263">
        <v>0</v>
      </c>
      <c r="AE251" s="263"/>
      <c r="AF251" s="263"/>
      <c r="AG251" s="262"/>
      <c r="AH251" s="274">
        <f t="shared" si="201"/>
        <v>656</v>
      </c>
      <c r="AI251" s="274">
        <f t="shared" si="202"/>
        <v>1090</v>
      </c>
      <c r="AJ251" s="274">
        <f t="shared" si="203"/>
        <v>1267</v>
      </c>
      <c r="AK251" s="274">
        <f t="shared" si="198"/>
        <v>1748</v>
      </c>
      <c r="AL251" s="274">
        <f t="shared" si="204"/>
        <v>2140</v>
      </c>
      <c r="AM251" s="274">
        <f t="shared" si="205"/>
        <v>2329</v>
      </c>
      <c r="AN251" s="274">
        <f t="shared" si="206"/>
        <v>2791</v>
      </c>
      <c r="AO251" s="274">
        <f t="shared" si="261"/>
        <v>3015</v>
      </c>
      <c r="AP251" s="274">
        <f t="shared" si="207"/>
        <v>3631</v>
      </c>
      <c r="AQ251" s="274"/>
      <c r="AR251" s="274">
        <f t="shared" si="208"/>
        <v>4261</v>
      </c>
      <c r="AS251" s="274">
        <f t="shared" si="199"/>
        <v>5864</v>
      </c>
      <c r="AT251" s="274">
        <f t="shared" si="209"/>
        <v>6410</v>
      </c>
      <c r="AU251" s="274">
        <f t="shared" si="243"/>
        <v>7929</v>
      </c>
      <c r="AV251" s="274">
        <f t="shared" si="210"/>
        <v>9483</v>
      </c>
      <c r="AW251" s="274"/>
      <c r="AX251" s="274">
        <f t="shared" si="211"/>
        <v>180</v>
      </c>
      <c r="AY251" s="274">
        <f t="shared" si="212"/>
        <v>859</v>
      </c>
      <c r="AZ251" s="274">
        <f t="shared" si="213"/>
        <v>1622</v>
      </c>
      <c r="BA251" s="274"/>
      <c r="BB251" s="274">
        <f t="shared" si="214"/>
        <v>3059</v>
      </c>
      <c r="BC251" s="274">
        <f t="shared" si="215"/>
        <v>3799</v>
      </c>
      <c r="BD251" s="274">
        <f t="shared" si="216"/>
        <v>4492</v>
      </c>
      <c r="BE251" s="274"/>
      <c r="BF251" s="274">
        <f t="shared" si="217"/>
        <v>8986</v>
      </c>
      <c r="BG251" s="274"/>
      <c r="BH251" s="274"/>
      <c r="BI251" s="266">
        <f t="shared" si="218"/>
        <v>0</v>
      </c>
      <c r="BJ251" s="266" t="e">
        <f t="shared" si="219"/>
        <v>#DIV/0!</v>
      </c>
      <c r="BK251" s="263" t="str">
        <f t="shared" si="220"/>
        <v/>
      </c>
      <c r="BL251" s="263" t="str">
        <f t="shared" si="221"/>
        <v/>
      </c>
      <c r="BM251" s="263" t="str">
        <f t="shared" si="222"/>
        <v/>
      </c>
      <c r="BN251" s="263"/>
      <c r="BO251" s="263" t="str">
        <f t="shared" si="223"/>
        <v/>
      </c>
      <c r="BP251" s="263" t="str">
        <f t="shared" si="224"/>
        <v/>
      </c>
      <c r="BQ251" s="263" t="str">
        <f t="shared" si="225"/>
        <v/>
      </c>
      <c r="BR251" s="263" t="str">
        <f t="shared" si="226"/>
        <v/>
      </c>
      <c r="BS251" s="263" t="str">
        <f t="shared" si="227"/>
        <v/>
      </c>
      <c r="BT251" s="263" t="str">
        <f t="shared" si="228"/>
        <v/>
      </c>
      <c r="BU251" s="263" t="str">
        <f t="shared" si="229"/>
        <v/>
      </c>
      <c r="BV251" s="263"/>
      <c r="BW251" s="263" t="str">
        <f t="shared" si="230"/>
        <v/>
      </c>
      <c r="BX251" s="263" t="str">
        <f t="shared" si="258"/>
        <v/>
      </c>
      <c r="BY251" s="263" t="str">
        <f t="shared" si="231"/>
        <v/>
      </c>
      <c r="BZ251" s="263"/>
      <c r="CA251" s="263" t="str">
        <f t="shared" si="254"/>
        <v/>
      </c>
      <c r="CB251" s="263" t="str">
        <f t="shared" si="232"/>
        <v/>
      </c>
      <c r="CC251" s="263" t="str">
        <f t="shared" si="255"/>
        <v/>
      </c>
      <c r="CD251" s="263" t="str">
        <f t="shared" si="233"/>
        <v/>
      </c>
      <c r="CE251" s="263" t="str">
        <f t="shared" si="241"/>
        <v/>
      </c>
      <c r="CF251" s="263" t="str">
        <f t="shared" si="256"/>
        <v/>
      </c>
      <c r="CG251" s="263" t="str">
        <f t="shared" si="257"/>
        <v/>
      </c>
      <c r="CH251" s="263"/>
      <c r="CI251" s="263" t="str">
        <f t="shared" si="234"/>
        <v/>
      </c>
      <c r="CJ251" s="263"/>
      <c r="CK251" s="263" t="str">
        <f t="shared" si="235"/>
        <v/>
      </c>
      <c r="CL251" s="264">
        <f t="shared" si="259"/>
        <v>0</v>
      </c>
      <c r="CM251" s="264">
        <f t="shared" si="236"/>
        <v>0</v>
      </c>
      <c r="CO251" s="265">
        <v>8.5089999999999999E-2</v>
      </c>
      <c r="CP251" s="265">
        <v>9.2200000000000004E-2</v>
      </c>
      <c r="CQ251" s="265">
        <v>9.5399999999999985E-2</v>
      </c>
      <c r="CS251" s="265">
        <v>9.9299999999999999E-2</v>
      </c>
      <c r="CT251" s="265">
        <v>0.10108</v>
      </c>
      <c r="CU251" s="265">
        <v>0.10319</v>
      </c>
      <c r="CV251" s="265">
        <v>0.1048</v>
      </c>
      <c r="CW251" s="265">
        <v>0.107</v>
      </c>
      <c r="CY251" s="265">
        <v>0.10832000000000001</v>
      </c>
      <c r="DA251" s="265">
        <v>0.11117</v>
      </c>
      <c r="DB251" s="265">
        <v>0.11315</v>
      </c>
      <c r="DC251" s="265">
        <v>0.11257</v>
      </c>
      <c r="DE251" s="265">
        <v>4.9340000000000002E-2</v>
      </c>
      <c r="DF251" s="265">
        <v>5.0990000000000001E-2</v>
      </c>
      <c r="DH251" s="265">
        <v>5.1799999999999999E-2</v>
      </c>
      <c r="DI251" s="265">
        <v>5.2740000000000002E-2</v>
      </c>
      <c r="DJ251" s="265">
        <v>5.21E-2</v>
      </c>
      <c r="DL251" s="265">
        <v>4.8399999999999999E-2</v>
      </c>
      <c r="DO251" s="264" t="e">
        <f t="shared" si="244"/>
        <v>#N/A</v>
      </c>
      <c r="DP251" s="264" t="e" cm="1">
        <f t="array" ref="DP251">+INDEX(AH251:AV251,MATCH(DO251,AH251:AV251,1)+1)</f>
        <v>#N/A</v>
      </c>
      <c r="DQ251" s="265" t="e">
        <f t="shared" si="245"/>
        <v>#N/A</v>
      </c>
      <c r="DR251" s="267" t="e">
        <f t="shared" si="246"/>
        <v>#N/A</v>
      </c>
      <c r="DS251" s="267" t="e">
        <f t="shared" si="247"/>
        <v>#N/A</v>
      </c>
      <c r="DT251" s="268" t="e">
        <f t="shared" si="248"/>
        <v>#N/A</v>
      </c>
      <c r="DU251" s="268" t="e" cm="1">
        <f t="array" ref="DU251">+INDEX(AX251:BF251,MATCH(DT251,AX251:BF251,1)+1)</f>
        <v>#N/A</v>
      </c>
      <c r="DV251" s="267" t="e">
        <f t="shared" si="249"/>
        <v>#N/A</v>
      </c>
      <c r="DW251" s="267" t="e">
        <f t="shared" si="250"/>
        <v>#N/A</v>
      </c>
      <c r="DX251" s="267" t="e">
        <f t="shared" si="251"/>
        <v>#N/A</v>
      </c>
      <c r="DY251" s="267">
        <f>+$EE$86</f>
        <v>5.4100000000000002E-2</v>
      </c>
      <c r="DZ251" s="205" t="e">
        <f t="shared" si="239"/>
        <v>#N/A</v>
      </c>
      <c r="EA251" s="205">
        <f t="shared" si="252"/>
        <v>0</v>
      </c>
    </row>
    <row r="252" spans="2:131">
      <c r="B252" s="272">
        <v>45610</v>
      </c>
      <c r="C252" s="271">
        <v>45610</v>
      </c>
      <c r="D252" s="263" t="e">
        <f>+SUMIFS(Tabla6[Nominal COP],Tabla6[Concepto],COSTO_OPORTUNIDAD!$B$18,Tabla6[Nemotécnico],COSTO_OPORTUNIDAD!D$16,Tabla6[Fecha Cumplimiento y/ liquidacion],COSTO_OPORTUNIDAD!$C252)/+SUMIFS(Tabla6[Nominal COP],Tabla6[Concepto],COSTO_OPORTUNIDAD!$B$18,Tabla6[Fecha Cumplimiento y/ liquidacion],COSTO_OPORTUNIDAD!$C252)</f>
        <v>#DIV/0!</v>
      </c>
      <c r="E252" s="263" t="e">
        <f>+SUMIFS(Tabla6[Nominal COP],Tabla6[Concepto],COSTO_OPORTUNIDAD!$B$18,Tabla6[Nemotécnico],COSTO_OPORTUNIDAD!E$16,Tabla6[Fecha Cumplimiento y/ liquidacion],COSTO_OPORTUNIDAD!$C252)/+SUMIFS(Tabla6[Nominal COP],Tabla6[Concepto],COSTO_OPORTUNIDAD!$B$18,Tabla6[Fecha Cumplimiento y/ liquidacion],COSTO_OPORTUNIDAD!$C252)</f>
        <v>#DIV/0!</v>
      </c>
      <c r="F252" s="263"/>
      <c r="G252" s="263"/>
      <c r="H252" s="263">
        <v>0</v>
      </c>
      <c r="I252" s="263"/>
      <c r="J252" s="263">
        <v>3.1446540880503145E-2</v>
      </c>
      <c r="K252" s="263">
        <v>7.337526205450734E-2</v>
      </c>
      <c r="L252" s="263"/>
      <c r="M252" s="263">
        <v>0</v>
      </c>
      <c r="N252" s="263"/>
      <c r="O252" s="263"/>
      <c r="P252" s="263">
        <v>0</v>
      </c>
      <c r="Q252" s="263"/>
      <c r="R252" s="263">
        <v>0</v>
      </c>
      <c r="S252" s="263">
        <v>0.89517819706498947</v>
      </c>
      <c r="T252" s="263">
        <v>0</v>
      </c>
      <c r="U252" s="263"/>
      <c r="V252" s="263">
        <v>0</v>
      </c>
      <c r="W252" s="263">
        <v>0</v>
      </c>
      <c r="X252" s="263">
        <v>0</v>
      </c>
      <c r="Y252" s="263"/>
      <c r="Z252" s="263">
        <v>0</v>
      </c>
      <c r="AA252" s="263">
        <v>0</v>
      </c>
      <c r="AB252" s="263">
        <v>0</v>
      </c>
      <c r="AC252" s="263"/>
      <c r="AD252" s="263">
        <v>0</v>
      </c>
      <c r="AE252" s="263"/>
      <c r="AF252" s="263"/>
      <c r="AG252" s="262"/>
      <c r="AH252" s="274">
        <f t="shared" si="201"/>
        <v>650</v>
      </c>
      <c r="AI252" s="274">
        <f t="shared" si="202"/>
        <v>1084</v>
      </c>
      <c r="AJ252" s="274">
        <f t="shared" si="203"/>
        <v>1261</v>
      </c>
      <c r="AK252" s="274">
        <f t="shared" si="198"/>
        <v>1742</v>
      </c>
      <c r="AL252" s="274">
        <f t="shared" si="204"/>
        <v>2134</v>
      </c>
      <c r="AM252" s="274">
        <f t="shared" si="205"/>
        <v>2323</v>
      </c>
      <c r="AN252" s="274">
        <f t="shared" si="206"/>
        <v>2785</v>
      </c>
      <c r="AO252" s="274">
        <f t="shared" si="261"/>
        <v>3009</v>
      </c>
      <c r="AP252" s="274">
        <f t="shared" si="207"/>
        <v>3625</v>
      </c>
      <c r="AQ252" s="274"/>
      <c r="AR252" s="274">
        <f t="shared" si="208"/>
        <v>4255</v>
      </c>
      <c r="AS252" s="274">
        <f t="shared" si="199"/>
        <v>5858</v>
      </c>
      <c r="AT252" s="274">
        <f t="shared" si="209"/>
        <v>6404</v>
      </c>
      <c r="AU252" s="274">
        <f t="shared" si="243"/>
        <v>7923</v>
      </c>
      <c r="AV252" s="274">
        <f t="shared" si="210"/>
        <v>9477</v>
      </c>
      <c r="AW252" s="274"/>
      <c r="AX252" s="274">
        <f t="shared" si="211"/>
        <v>174</v>
      </c>
      <c r="AY252" s="274">
        <f t="shared" si="212"/>
        <v>853</v>
      </c>
      <c r="AZ252" s="274">
        <f t="shared" si="213"/>
        <v>1616</v>
      </c>
      <c r="BA252" s="274"/>
      <c r="BB252" s="274">
        <f t="shared" si="214"/>
        <v>3053</v>
      </c>
      <c r="BC252" s="274">
        <f t="shared" si="215"/>
        <v>3793</v>
      </c>
      <c r="BD252" s="274">
        <f t="shared" si="216"/>
        <v>4486</v>
      </c>
      <c r="BE252" s="274"/>
      <c r="BF252" s="274">
        <f t="shared" si="217"/>
        <v>8980</v>
      </c>
      <c r="BG252" s="274"/>
      <c r="BH252" s="274"/>
      <c r="BI252" s="266">
        <f t="shared" si="218"/>
        <v>0</v>
      </c>
      <c r="BJ252" s="266" t="e">
        <f t="shared" si="219"/>
        <v>#DIV/0!</v>
      </c>
      <c r="BK252" s="263" t="str">
        <f t="shared" si="220"/>
        <v/>
      </c>
      <c r="BL252" s="263" t="str">
        <f t="shared" si="221"/>
        <v/>
      </c>
      <c r="BM252" s="263" t="str">
        <f t="shared" si="222"/>
        <v/>
      </c>
      <c r="BN252" s="263"/>
      <c r="BO252" s="263" t="str">
        <f t="shared" si="223"/>
        <v/>
      </c>
      <c r="BP252" s="263" t="str">
        <f t="shared" si="224"/>
        <v/>
      </c>
      <c r="BQ252" s="263" t="str">
        <f t="shared" si="225"/>
        <v/>
      </c>
      <c r="BR252" s="263" t="str">
        <f t="shared" si="226"/>
        <v/>
      </c>
      <c r="BS252" s="263" t="str">
        <f t="shared" si="227"/>
        <v/>
      </c>
      <c r="BT252" s="263" t="str">
        <f t="shared" si="228"/>
        <v/>
      </c>
      <c r="BU252" s="263" t="str">
        <f t="shared" si="229"/>
        <v/>
      </c>
      <c r="BV252" s="263"/>
      <c r="BW252" s="263" t="str">
        <f t="shared" si="230"/>
        <v/>
      </c>
      <c r="BX252" s="263" t="str">
        <f t="shared" si="258"/>
        <v/>
      </c>
      <c r="BY252" s="263" t="str">
        <f t="shared" si="231"/>
        <v/>
      </c>
      <c r="BZ252" s="263"/>
      <c r="CA252" s="263" t="str">
        <f t="shared" si="254"/>
        <v/>
      </c>
      <c r="CB252" s="263" t="str">
        <f t="shared" si="232"/>
        <v/>
      </c>
      <c r="CC252" s="263" t="str">
        <f t="shared" si="255"/>
        <v/>
      </c>
      <c r="CD252" s="263" t="str">
        <f t="shared" si="233"/>
        <v/>
      </c>
      <c r="CE252" s="263" t="str">
        <f t="shared" si="241"/>
        <v/>
      </c>
      <c r="CF252" s="263" t="str">
        <f t="shared" si="256"/>
        <v/>
      </c>
      <c r="CG252" s="263" t="str">
        <f t="shared" si="257"/>
        <v/>
      </c>
      <c r="CH252" s="263"/>
      <c r="CI252" s="263" t="str">
        <f t="shared" si="234"/>
        <v/>
      </c>
      <c r="CJ252" s="263"/>
      <c r="CK252" s="263" t="str">
        <f t="shared" si="235"/>
        <v/>
      </c>
      <c r="CL252" s="264">
        <f t="shared" si="259"/>
        <v>0</v>
      </c>
      <c r="CM252" s="264">
        <f t="shared" si="236"/>
        <v>0</v>
      </c>
      <c r="CO252" s="265">
        <v>8.5500000000000007E-2</v>
      </c>
      <c r="CP252" s="265">
        <v>9.3000000000000013E-2</v>
      </c>
      <c r="CQ252" s="265">
        <v>9.5799999999999996E-2</v>
      </c>
      <c r="CS252" s="265">
        <v>0.1</v>
      </c>
      <c r="CT252" s="265">
        <v>0.10220000000000001</v>
      </c>
      <c r="CU252" s="265">
        <v>0.10428000000000001</v>
      </c>
      <c r="CV252" s="265">
        <v>0.1057</v>
      </c>
      <c r="CW252" s="265">
        <v>0.1067</v>
      </c>
      <c r="CY252" s="265">
        <v>0.109</v>
      </c>
      <c r="DA252" s="265">
        <v>0.11199999999999999</v>
      </c>
      <c r="DB252" s="265">
        <v>0.11410000000000001</v>
      </c>
      <c r="DC252" s="265">
        <v>0.11230000000000001</v>
      </c>
      <c r="DE252" s="265">
        <v>5.1070000000000004E-2</v>
      </c>
      <c r="DF252" s="265">
        <v>5.2400000000000002E-2</v>
      </c>
      <c r="DH252" s="265">
        <v>5.1699999999999996E-2</v>
      </c>
      <c r="DI252" s="265">
        <v>5.2300000000000006E-2</v>
      </c>
      <c r="DJ252" s="265">
        <v>5.3089999999999998E-2</v>
      </c>
      <c r="DL252" s="265">
        <v>4.9690000000000005E-2</v>
      </c>
      <c r="DO252" s="264" t="e">
        <f t="shared" si="244"/>
        <v>#N/A</v>
      </c>
      <c r="DP252" s="264" t="e" cm="1">
        <f t="array" ref="DP252">+INDEX(AH252:AV252,MATCH(DO252,AH252:AV252,1)+1)</f>
        <v>#N/A</v>
      </c>
      <c r="DQ252" s="265" t="e">
        <f t="shared" si="245"/>
        <v>#N/A</v>
      </c>
      <c r="DR252" s="267" t="e">
        <f t="shared" si="246"/>
        <v>#N/A</v>
      </c>
      <c r="DS252" s="267" t="e">
        <f t="shared" si="247"/>
        <v>#N/A</v>
      </c>
      <c r="DT252" s="268" t="e">
        <f t="shared" si="248"/>
        <v>#N/A</v>
      </c>
      <c r="DU252" s="268" t="e" cm="1">
        <f t="array" ref="DU252">+INDEX(AX252:BF252,MATCH(DT252,AX252:BF252,1)+1)</f>
        <v>#N/A</v>
      </c>
      <c r="DV252" s="267" t="e">
        <f t="shared" si="249"/>
        <v>#N/A</v>
      </c>
      <c r="DW252" s="267" t="e">
        <f t="shared" si="250"/>
        <v>#N/A</v>
      </c>
      <c r="DX252" s="267" t="e">
        <f t="shared" si="251"/>
        <v>#N/A</v>
      </c>
      <c r="DY252" s="267">
        <f t="shared" ref="DY252:DY261" si="262">+$EE$86</f>
        <v>5.4100000000000002E-2</v>
      </c>
      <c r="DZ252" s="205" t="e">
        <f t="shared" si="239"/>
        <v>#N/A</v>
      </c>
      <c r="EA252" s="205">
        <f t="shared" si="252"/>
        <v>0</v>
      </c>
    </row>
    <row r="253" spans="2:131">
      <c r="B253" s="272">
        <v>45611</v>
      </c>
      <c r="C253" s="271">
        <v>45611</v>
      </c>
      <c r="D253" s="263" t="e">
        <f>+SUMIFS(Tabla6[Nominal COP],Tabla6[Concepto],COSTO_OPORTUNIDAD!$B$18,Tabla6[Nemotécnico],COSTO_OPORTUNIDAD!D$16,Tabla6[Fecha Cumplimiento y/ liquidacion],COSTO_OPORTUNIDAD!$C253)/+SUMIFS(Tabla6[Nominal COP],Tabla6[Concepto],COSTO_OPORTUNIDAD!$B$18,Tabla6[Fecha Cumplimiento y/ liquidacion],COSTO_OPORTUNIDAD!$C253)</f>
        <v>#DIV/0!</v>
      </c>
      <c r="E253" s="263" t="e">
        <f>+SUMIFS(Tabla6[Nominal COP],Tabla6[Concepto],COSTO_OPORTUNIDAD!$B$18,Tabla6[Nemotécnico],COSTO_OPORTUNIDAD!E$16,Tabla6[Fecha Cumplimiento y/ liquidacion],COSTO_OPORTUNIDAD!$C253)/+SUMIFS(Tabla6[Nominal COP],Tabla6[Concepto],COSTO_OPORTUNIDAD!$B$18,Tabla6[Fecha Cumplimiento y/ liquidacion],COSTO_OPORTUNIDAD!$C253)</f>
        <v>#DIV/0!</v>
      </c>
      <c r="F253" s="263"/>
      <c r="G253" s="263"/>
      <c r="H253" s="263">
        <v>0</v>
      </c>
      <c r="I253" s="263"/>
      <c r="J253" s="263">
        <v>8.5714285714285715E-2</v>
      </c>
      <c r="K253" s="263">
        <v>5.7142857142857141E-2</v>
      </c>
      <c r="L253" s="263"/>
      <c r="M253" s="263">
        <v>0</v>
      </c>
      <c r="N253" s="263"/>
      <c r="O253" s="263"/>
      <c r="P253" s="263">
        <v>0</v>
      </c>
      <c r="Q253" s="263"/>
      <c r="R253" s="263">
        <v>0</v>
      </c>
      <c r="S253" s="263">
        <v>0.8571428571428571</v>
      </c>
      <c r="T253" s="263">
        <v>0</v>
      </c>
      <c r="U253" s="263"/>
      <c r="V253" s="263">
        <v>0</v>
      </c>
      <c r="W253" s="263">
        <v>0</v>
      </c>
      <c r="X253" s="263">
        <v>0</v>
      </c>
      <c r="Y253" s="263"/>
      <c r="Z253" s="263">
        <v>0</v>
      </c>
      <c r="AA253" s="263">
        <v>0</v>
      </c>
      <c r="AB253" s="263">
        <v>0</v>
      </c>
      <c r="AC253" s="263"/>
      <c r="AD253" s="263">
        <v>0</v>
      </c>
      <c r="AE253" s="263"/>
      <c r="AF253" s="263"/>
      <c r="AG253" s="262"/>
      <c r="AH253" s="274">
        <f t="shared" si="201"/>
        <v>649</v>
      </c>
      <c r="AI253" s="274">
        <f t="shared" si="202"/>
        <v>1083</v>
      </c>
      <c r="AJ253" s="274">
        <f t="shared" si="203"/>
        <v>1260</v>
      </c>
      <c r="AK253" s="274">
        <f t="shared" si="198"/>
        <v>1741</v>
      </c>
      <c r="AL253" s="274">
        <f t="shared" si="204"/>
        <v>2133</v>
      </c>
      <c r="AM253" s="274">
        <f t="shared" si="205"/>
        <v>2322</v>
      </c>
      <c r="AN253" s="274">
        <f t="shared" si="206"/>
        <v>2784</v>
      </c>
      <c r="AO253" s="274">
        <f t="shared" si="261"/>
        <v>3008</v>
      </c>
      <c r="AP253" s="274">
        <f t="shared" si="207"/>
        <v>3624</v>
      </c>
      <c r="AQ253" s="274"/>
      <c r="AR253" s="274">
        <f t="shared" si="208"/>
        <v>4254</v>
      </c>
      <c r="AS253" s="274">
        <f t="shared" si="199"/>
        <v>5857</v>
      </c>
      <c r="AT253" s="274">
        <f t="shared" si="209"/>
        <v>6403</v>
      </c>
      <c r="AU253" s="274">
        <f t="shared" si="243"/>
        <v>7922</v>
      </c>
      <c r="AV253" s="274">
        <f t="shared" si="210"/>
        <v>9476</v>
      </c>
      <c r="AW253" s="274"/>
      <c r="AX253" s="274">
        <f t="shared" si="211"/>
        <v>173</v>
      </c>
      <c r="AY253" s="274">
        <f t="shared" si="212"/>
        <v>852</v>
      </c>
      <c r="AZ253" s="274">
        <f t="shared" si="213"/>
        <v>1615</v>
      </c>
      <c r="BA253" s="274"/>
      <c r="BB253" s="274">
        <f t="shared" si="214"/>
        <v>3052</v>
      </c>
      <c r="BC253" s="274">
        <f t="shared" si="215"/>
        <v>3792</v>
      </c>
      <c r="BD253" s="274">
        <f t="shared" si="216"/>
        <v>4485</v>
      </c>
      <c r="BE253" s="274"/>
      <c r="BF253" s="274">
        <f t="shared" si="217"/>
        <v>8979</v>
      </c>
      <c r="BG253" s="274"/>
      <c r="BH253" s="274"/>
      <c r="BI253" s="266">
        <f t="shared" si="218"/>
        <v>0</v>
      </c>
      <c r="BJ253" s="266" t="e">
        <f t="shared" si="219"/>
        <v>#DIV/0!</v>
      </c>
      <c r="BK253" s="263" t="str">
        <f t="shared" si="220"/>
        <v/>
      </c>
      <c r="BL253" s="263" t="str">
        <f t="shared" si="221"/>
        <v/>
      </c>
      <c r="BM253" s="263" t="str">
        <f t="shared" si="222"/>
        <v/>
      </c>
      <c r="BN253" s="263"/>
      <c r="BO253" s="263" t="str">
        <f t="shared" si="223"/>
        <v/>
      </c>
      <c r="BP253" s="263" t="str">
        <f t="shared" si="224"/>
        <v/>
      </c>
      <c r="BQ253" s="263" t="str">
        <f t="shared" si="225"/>
        <v/>
      </c>
      <c r="BR253" s="263" t="str">
        <f t="shared" si="226"/>
        <v/>
      </c>
      <c r="BS253" s="263" t="str">
        <f t="shared" si="227"/>
        <v/>
      </c>
      <c r="BT253" s="263" t="str">
        <f t="shared" si="228"/>
        <v/>
      </c>
      <c r="BU253" s="263" t="str">
        <f t="shared" si="229"/>
        <v/>
      </c>
      <c r="BV253" s="263"/>
      <c r="BW253" s="263" t="str">
        <f t="shared" si="230"/>
        <v/>
      </c>
      <c r="BX253" s="263" t="str">
        <f t="shared" si="258"/>
        <v/>
      </c>
      <c r="BY253" s="263" t="str">
        <f t="shared" si="231"/>
        <v/>
      </c>
      <c r="BZ253" s="263"/>
      <c r="CA253" s="263" t="str">
        <f t="shared" si="254"/>
        <v/>
      </c>
      <c r="CB253" s="263" t="str">
        <f t="shared" si="232"/>
        <v/>
      </c>
      <c r="CC253" s="263" t="str">
        <f t="shared" si="255"/>
        <v/>
      </c>
      <c r="CD253" s="263" t="str">
        <f t="shared" si="233"/>
        <v/>
      </c>
      <c r="CE253" s="263" t="str">
        <f t="shared" si="241"/>
        <v/>
      </c>
      <c r="CF253" s="263" t="str">
        <f t="shared" si="256"/>
        <v/>
      </c>
      <c r="CG253" s="263" t="str">
        <f t="shared" si="257"/>
        <v/>
      </c>
      <c r="CH253" s="263"/>
      <c r="CI253" s="263" t="str">
        <f t="shared" si="234"/>
        <v/>
      </c>
      <c r="CJ253" s="263"/>
      <c r="CK253" s="263" t="str">
        <f t="shared" si="235"/>
        <v/>
      </c>
      <c r="CL253" s="264">
        <f t="shared" si="259"/>
        <v>0</v>
      </c>
      <c r="CM253" s="264">
        <f t="shared" si="236"/>
        <v>0</v>
      </c>
      <c r="CO253" s="265">
        <v>8.5199999999999998E-2</v>
      </c>
      <c r="CP253" s="265">
        <v>9.3190000000000009E-2</v>
      </c>
      <c r="CQ253" s="265">
        <v>9.6300000000000011E-2</v>
      </c>
      <c r="CS253" s="265">
        <v>0.10003000000000001</v>
      </c>
      <c r="CT253" s="265">
        <v>0.1024</v>
      </c>
      <c r="CU253" s="265">
        <v>0.10417999999999999</v>
      </c>
      <c r="CV253" s="265">
        <v>0.10585000000000001</v>
      </c>
      <c r="CW253" s="265">
        <v>0.10699</v>
      </c>
      <c r="CY253" s="265">
        <v>0.10944000000000001</v>
      </c>
      <c r="DA253" s="265">
        <v>0.11254</v>
      </c>
      <c r="DB253" s="265">
        <v>0.11499000000000001</v>
      </c>
      <c r="DC253" s="265">
        <v>0.1134</v>
      </c>
      <c r="DE253" s="265">
        <v>5.1490000000000001E-2</v>
      </c>
      <c r="DF253" s="265">
        <v>5.3099999999999994E-2</v>
      </c>
      <c r="DH253" s="265">
        <v>5.2999999999999999E-2</v>
      </c>
      <c r="DI253" s="265">
        <v>5.3600000000000002E-2</v>
      </c>
      <c r="DJ253" s="265">
        <v>5.3150000000000003E-2</v>
      </c>
      <c r="DL253" s="265">
        <v>4.9020000000000001E-2</v>
      </c>
      <c r="DO253" s="264" t="e">
        <f t="shared" si="244"/>
        <v>#N/A</v>
      </c>
      <c r="DP253" s="264" t="e" cm="1">
        <f t="array" ref="DP253">+INDEX(AH253:AV253,MATCH(DO253,AH253:AV253,1)+1)</f>
        <v>#N/A</v>
      </c>
      <c r="DQ253" s="265" t="e">
        <f t="shared" si="245"/>
        <v>#N/A</v>
      </c>
      <c r="DR253" s="267" t="e">
        <f t="shared" si="246"/>
        <v>#N/A</v>
      </c>
      <c r="DS253" s="267" t="e">
        <f t="shared" si="247"/>
        <v>#N/A</v>
      </c>
      <c r="DT253" s="268" t="e">
        <f t="shared" si="248"/>
        <v>#N/A</v>
      </c>
      <c r="DU253" s="268" t="e" cm="1">
        <f t="array" ref="DU253">+INDEX(AX253:BF253,MATCH(DT253,AX253:BF253,1)+1)</f>
        <v>#N/A</v>
      </c>
      <c r="DV253" s="267" t="e">
        <f t="shared" si="249"/>
        <v>#N/A</v>
      </c>
      <c r="DW253" s="267" t="e">
        <f t="shared" si="250"/>
        <v>#N/A</v>
      </c>
      <c r="DX253" s="267" t="e">
        <f t="shared" si="251"/>
        <v>#N/A</v>
      </c>
      <c r="DY253" s="267">
        <f t="shared" si="262"/>
        <v>5.4100000000000002E-2</v>
      </c>
      <c r="DZ253" s="205" t="e">
        <f t="shared" si="239"/>
        <v>#N/A</v>
      </c>
      <c r="EA253" s="205">
        <f t="shared" si="252"/>
        <v>0</v>
      </c>
    </row>
    <row r="254" spans="2:131">
      <c r="B254" s="272">
        <v>45614</v>
      </c>
      <c r="C254" s="271">
        <v>45614</v>
      </c>
      <c r="D254" s="263" t="e">
        <f>+SUMIFS(Tabla6[Nominal COP],Tabla6[Concepto],COSTO_OPORTUNIDAD!$B$18,Tabla6[Nemotécnico],COSTO_OPORTUNIDAD!D$16,Tabla6[Fecha Cumplimiento y/ liquidacion],COSTO_OPORTUNIDAD!$C254)/+SUMIFS(Tabla6[Nominal COP],Tabla6[Concepto],COSTO_OPORTUNIDAD!$B$18,Tabla6[Fecha Cumplimiento y/ liquidacion],COSTO_OPORTUNIDAD!$C254)</f>
        <v>#DIV/0!</v>
      </c>
      <c r="E254" s="263" t="e">
        <f>+SUMIFS(Tabla6[Nominal COP],Tabla6[Concepto],COSTO_OPORTUNIDAD!$B$18,Tabla6[Nemotécnico],COSTO_OPORTUNIDAD!E$16,Tabla6[Fecha Cumplimiento y/ liquidacion],COSTO_OPORTUNIDAD!$C254)/+SUMIFS(Tabla6[Nominal COP],Tabla6[Concepto],COSTO_OPORTUNIDAD!$B$18,Tabla6[Fecha Cumplimiento y/ liquidacion],COSTO_OPORTUNIDAD!$C254)</f>
        <v>#DIV/0!</v>
      </c>
      <c r="F254" s="263"/>
      <c r="G254" s="263"/>
      <c r="H254" s="263">
        <v>0</v>
      </c>
      <c r="I254" s="263"/>
      <c r="J254" s="263">
        <v>0</v>
      </c>
      <c r="K254" s="263">
        <v>5.7692307692307696E-2</v>
      </c>
      <c r="L254" s="263"/>
      <c r="M254" s="263">
        <v>0</v>
      </c>
      <c r="N254" s="263"/>
      <c r="O254" s="263"/>
      <c r="P254" s="263">
        <v>0</v>
      </c>
      <c r="Q254" s="263"/>
      <c r="R254" s="263">
        <v>0</v>
      </c>
      <c r="S254" s="263">
        <v>0.94230769230769229</v>
      </c>
      <c r="T254" s="263">
        <v>0</v>
      </c>
      <c r="U254" s="263"/>
      <c r="V254" s="263">
        <v>0</v>
      </c>
      <c r="W254" s="263">
        <v>0</v>
      </c>
      <c r="X254" s="263">
        <v>0</v>
      </c>
      <c r="Y254" s="263"/>
      <c r="Z254" s="263">
        <v>0</v>
      </c>
      <c r="AA254" s="263">
        <v>0</v>
      </c>
      <c r="AB254" s="263">
        <v>0</v>
      </c>
      <c r="AC254" s="263"/>
      <c r="AD254" s="263">
        <v>0</v>
      </c>
      <c r="AE254" s="263"/>
      <c r="AF254" s="263"/>
      <c r="AG254" s="262"/>
      <c r="AH254" s="274">
        <f t="shared" si="201"/>
        <v>646</v>
      </c>
      <c r="AI254" s="274">
        <f t="shared" si="202"/>
        <v>1080</v>
      </c>
      <c r="AJ254" s="274">
        <f t="shared" si="203"/>
        <v>1257</v>
      </c>
      <c r="AK254" s="274">
        <f t="shared" si="198"/>
        <v>1738</v>
      </c>
      <c r="AL254" s="274">
        <f t="shared" si="204"/>
        <v>2130</v>
      </c>
      <c r="AM254" s="274">
        <f t="shared" si="205"/>
        <v>2319</v>
      </c>
      <c r="AN254" s="274">
        <f t="shared" si="206"/>
        <v>2781</v>
      </c>
      <c r="AO254" s="274">
        <f t="shared" si="261"/>
        <v>3005</v>
      </c>
      <c r="AP254" s="274">
        <f t="shared" si="207"/>
        <v>3621</v>
      </c>
      <c r="AQ254" s="274"/>
      <c r="AR254" s="274">
        <f t="shared" si="208"/>
        <v>4251</v>
      </c>
      <c r="AS254" s="274">
        <f t="shared" si="199"/>
        <v>5854</v>
      </c>
      <c r="AT254" s="274">
        <f t="shared" si="209"/>
        <v>6400</v>
      </c>
      <c r="AU254" s="274">
        <f t="shared" si="243"/>
        <v>7919</v>
      </c>
      <c r="AV254" s="274">
        <f t="shared" si="210"/>
        <v>9473</v>
      </c>
      <c r="AW254" s="274"/>
      <c r="AX254" s="274">
        <f t="shared" si="211"/>
        <v>170</v>
      </c>
      <c r="AY254" s="274">
        <f t="shared" si="212"/>
        <v>849</v>
      </c>
      <c r="AZ254" s="274">
        <f t="shared" si="213"/>
        <v>1612</v>
      </c>
      <c r="BA254" s="274"/>
      <c r="BB254" s="274">
        <f t="shared" si="214"/>
        <v>3049</v>
      </c>
      <c r="BC254" s="274">
        <f t="shared" si="215"/>
        <v>3789</v>
      </c>
      <c r="BD254" s="274">
        <f t="shared" si="216"/>
        <v>4482</v>
      </c>
      <c r="BE254" s="274"/>
      <c r="BF254" s="274">
        <f t="shared" si="217"/>
        <v>8976</v>
      </c>
      <c r="BG254" s="274"/>
      <c r="BH254" s="274"/>
      <c r="BI254" s="266">
        <f t="shared" si="218"/>
        <v>0</v>
      </c>
      <c r="BJ254" s="266" t="e">
        <f t="shared" si="219"/>
        <v>#DIV/0!</v>
      </c>
      <c r="BK254" s="263" t="str">
        <f t="shared" si="220"/>
        <v/>
      </c>
      <c r="BL254" s="263" t="str">
        <f t="shared" si="221"/>
        <v/>
      </c>
      <c r="BM254" s="263" t="str">
        <f t="shared" si="222"/>
        <v/>
      </c>
      <c r="BN254" s="263"/>
      <c r="BO254" s="263" t="str">
        <f t="shared" si="223"/>
        <v/>
      </c>
      <c r="BP254" s="263" t="str">
        <f t="shared" si="224"/>
        <v/>
      </c>
      <c r="BQ254" s="263" t="str">
        <f t="shared" si="225"/>
        <v/>
      </c>
      <c r="BR254" s="263" t="str">
        <f t="shared" si="226"/>
        <v/>
      </c>
      <c r="BS254" s="263" t="str">
        <f t="shared" si="227"/>
        <v/>
      </c>
      <c r="BT254" s="263" t="str">
        <f t="shared" si="228"/>
        <v/>
      </c>
      <c r="BU254" s="263" t="str">
        <f t="shared" si="229"/>
        <v/>
      </c>
      <c r="BV254" s="263"/>
      <c r="BW254" s="263" t="str">
        <f t="shared" si="230"/>
        <v/>
      </c>
      <c r="BX254" s="263" t="str">
        <f t="shared" si="258"/>
        <v/>
      </c>
      <c r="BY254" s="263" t="str">
        <f t="shared" si="231"/>
        <v/>
      </c>
      <c r="BZ254" s="263"/>
      <c r="CA254" s="263" t="str">
        <f t="shared" si="254"/>
        <v/>
      </c>
      <c r="CB254" s="263" t="str">
        <f t="shared" si="232"/>
        <v/>
      </c>
      <c r="CC254" s="263" t="str">
        <f t="shared" si="255"/>
        <v/>
      </c>
      <c r="CD254" s="263" t="str">
        <f t="shared" si="233"/>
        <v/>
      </c>
      <c r="CE254" s="263" t="str">
        <f t="shared" si="241"/>
        <v/>
      </c>
      <c r="CF254" s="263" t="str">
        <f t="shared" si="256"/>
        <v/>
      </c>
      <c r="CG254" s="263" t="str">
        <f t="shared" si="257"/>
        <v/>
      </c>
      <c r="CH254" s="263"/>
      <c r="CI254" s="263" t="str">
        <f t="shared" si="234"/>
        <v/>
      </c>
      <c r="CJ254" s="263"/>
      <c r="CK254" s="263" t="str">
        <f t="shared" si="235"/>
        <v/>
      </c>
      <c r="CL254" s="264">
        <f t="shared" si="259"/>
        <v>0</v>
      </c>
      <c r="CM254" s="264">
        <f t="shared" si="236"/>
        <v>0</v>
      </c>
      <c r="CO254" s="265">
        <v>8.4890000000000007E-2</v>
      </c>
      <c r="CP254" s="265">
        <v>9.3219999999999997E-2</v>
      </c>
      <c r="CQ254" s="265">
        <v>9.64E-2</v>
      </c>
      <c r="CS254" s="265">
        <v>0.10039999999999999</v>
      </c>
      <c r="CT254" s="265">
        <v>0.10226</v>
      </c>
      <c r="CU254" s="265">
        <v>0.10423</v>
      </c>
      <c r="CV254" s="265">
        <v>0.10585000000000001</v>
      </c>
      <c r="CW254" s="265">
        <v>0.1069</v>
      </c>
      <c r="CY254" s="265">
        <v>0.10901999999999999</v>
      </c>
      <c r="DA254" s="265">
        <v>0.11247</v>
      </c>
      <c r="DB254" s="265">
        <v>0.11509</v>
      </c>
      <c r="DC254" s="265">
        <v>0.11327999999999999</v>
      </c>
      <c r="DE254" s="265">
        <v>5.2450000000000004E-2</v>
      </c>
      <c r="DF254" s="265">
        <v>5.3350000000000002E-2</v>
      </c>
      <c r="DH254" s="265">
        <v>5.3800000000000001E-2</v>
      </c>
      <c r="DI254" s="265">
        <v>5.3800000000000001E-2</v>
      </c>
      <c r="DJ254" s="265">
        <v>5.3719999999999997E-2</v>
      </c>
      <c r="DL254" s="265">
        <v>4.8949999999999994E-2</v>
      </c>
      <c r="DO254" s="264" t="e">
        <f t="shared" si="244"/>
        <v>#N/A</v>
      </c>
      <c r="DP254" s="264" t="e" cm="1">
        <f t="array" ref="DP254">+INDEX(AH254:AV254,MATCH(DO254,AH254:AV254,1)+1)</f>
        <v>#N/A</v>
      </c>
      <c r="DQ254" s="265" t="e">
        <f t="shared" si="245"/>
        <v>#N/A</v>
      </c>
      <c r="DR254" s="267" t="e">
        <f t="shared" si="246"/>
        <v>#N/A</v>
      </c>
      <c r="DS254" s="267" t="e">
        <f t="shared" si="247"/>
        <v>#N/A</v>
      </c>
      <c r="DT254" s="268" t="e">
        <f t="shared" si="248"/>
        <v>#N/A</v>
      </c>
      <c r="DU254" s="268" t="e" cm="1">
        <f t="array" ref="DU254">+INDEX(AX254:BF254,MATCH(DT254,AX254:BF254,1)+1)</f>
        <v>#N/A</v>
      </c>
      <c r="DV254" s="267" t="e">
        <f t="shared" si="249"/>
        <v>#N/A</v>
      </c>
      <c r="DW254" s="267" t="e">
        <f t="shared" si="250"/>
        <v>#N/A</v>
      </c>
      <c r="DX254" s="267" t="e">
        <f t="shared" si="251"/>
        <v>#N/A</v>
      </c>
      <c r="DY254" s="267">
        <f t="shared" si="262"/>
        <v>5.4100000000000002E-2</v>
      </c>
      <c r="DZ254" s="205" t="e">
        <f t="shared" si="239"/>
        <v>#N/A</v>
      </c>
      <c r="EA254" s="205">
        <f t="shared" si="252"/>
        <v>0</v>
      </c>
    </row>
    <row r="255" spans="2:131">
      <c r="B255" s="272">
        <v>45615</v>
      </c>
      <c r="C255" s="271">
        <v>45615</v>
      </c>
      <c r="D255" s="263" t="e">
        <f>+SUMIFS(Tabla6[Nominal COP],Tabla6[Concepto],COSTO_OPORTUNIDAD!$B$18,Tabla6[Nemotécnico],COSTO_OPORTUNIDAD!D$16,Tabla6[Fecha Cumplimiento y/ liquidacion],COSTO_OPORTUNIDAD!$C255)/+SUMIFS(Tabla6[Nominal COP],Tabla6[Concepto],COSTO_OPORTUNIDAD!$B$18,Tabla6[Fecha Cumplimiento y/ liquidacion],COSTO_OPORTUNIDAD!$C255)</f>
        <v>#DIV/0!</v>
      </c>
      <c r="E255" s="263" t="e">
        <f>+SUMIFS(Tabla6[Nominal COP],Tabla6[Concepto],COSTO_OPORTUNIDAD!$B$18,Tabla6[Nemotécnico],COSTO_OPORTUNIDAD!E$16,Tabla6[Fecha Cumplimiento y/ liquidacion],COSTO_OPORTUNIDAD!$C255)/+SUMIFS(Tabla6[Nominal COP],Tabla6[Concepto],COSTO_OPORTUNIDAD!$B$18,Tabla6[Fecha Cumplimiento y/ liquidacion],COSTO_OPORTUNIDAD!$C255)</f>
        <v>#DIV/0!</v>
      </c>
      <c r="F255" s="263"/>
      <c r="G255" s="263"/>
      <c r="H255" s="263">
        <v>0</v>
      </c>
      <c r="I255" s="263"/>
      <c r="J255" s="263">
        <v>6.4143681847338039E-3</v>
      </c>
      <c r="K255" s="263">
        <v>5.1314945477870431E-2</v>
      </c>
      <c r="L255" s="263"/>
      <c r="M255" s="263">
        <v>0</v>
      </c>
      <c r="N255" s="263"/>
      <c r="O255" s="263"/>
      <c r="P255" s="263">
        <v>0</v>
      </c>
      <c r="Q255" s="263"/>
      <c r="R255" s="263">
        <v>0</v>
      </c>
      <c r="S255" s="263">
        <v>0.94227068633739575</v>
      </c>
      <c r="T255" s="263">
        <v>0</v>
      </c>
      <c r="U255" s="263"/>
      <c r="V255" s="263">
        <v>0</v>
      </c>
      <c r="W255" s="263">
        <v>0</v>
      </c>
      <c r="X255" s="263">
        <v>0</v>
      </c>
      <c r="Y255" s="263"/>
      <c r="Z255" s="263">
        <v>0</v>
      </c>
      <c r="AA255" s="263">
        <v>0</v>
      </c>
      <c r="AB255" s="263">
        <v>0</v>
      </c>
      <c r="AC255" s="263"/>
      <c r="AD255" s="263">
        <v>0</v>
      </c>
      <c r="AE255" s="263"/>
      <c r="AF255" s="263"/>
      <c r="AG255" s="262"/>
      <c r="AH255" s="274">
        <f t="shared" si="201"/>
        <v>645</v>
      </c>
      <c r="AI255" s="274">
        <f t="shared" si="202"/>
        <v>1079</v>
      </c>
      <c r="AJ255" s="274">
        <f t="shared" si="203"/>
        <v>1256</v>
      </c>
      <c r="AK255" s="274">
        <f t="shared" si="198"/>
        <v>1737</v>
      </c>
      <c r="AL255" s="274">
        <f t="shared" si="204"/>
        <v>2129</v>
      </c>
      <c r="AM255" s="274">
        <f t="shared" si="205"/>
        <v>2318</v>
      </c>
      <c r="AN255" s="274">
        <f t="shared" si="206"/>
        <v>2780</v>
      </c>
      <c r="AO255" s="274">
        <f t="shared" si="261"/>
        <v>3004</v>
      </c>
      <c r="AP255" s="274">
        <f t="shared" si="207"/>
        <v>3620</v>
      </c>
      <c r="AQ255" s="274"/>
      <c r="AR255" s="274">
        <f t="shared" si="208"/>
        <v>4250</v>
      </c>
      <c r="AS255" s="274">
        <f t="shared" si="199"/>
        <v>5853</v>
      </c>
      <c r="AT255" s="274">
        <f t="shared" si="209"/>
        <v>6399</v>
      </c>
      <c r="AU255" s="274">
        <f t="shared" si="243"/>
        <v>7918</v>
      </c>
      <c r="AV255" s="274">
        <f t="shared" si="210"/>
        <v>9472</v>
      </c>
      <c r="AW255" s="274"/>
      <c r="AX255" s="274">
        <f t="shared" si="211"/>
        <v>169</v>
      </c>
      <c r="AY255" s="274">
        <f t="shared" si="212"/>
        <v>848</v>
      </c>
      <c r="AZ255" s="274">
        <f t="shared" si="213"/>
        <v>1611</v>
      </c>
      <c r="BA255" s="274"/>
      <c r="BB255" s="274">
        <f t="shared" si="214"/>
        <v>3048</v>
      </c>
      <c r="BC255" s="274">
        <f t="shared" si="215"/>
        <v>3788</v>
      </c>
      <c r="BD255" s="274">
        <f t="shared" si="216"/>
        <v>4481</v>
      </c>
      <c r="BE255" s="274"/>
      <c r="BF255" s="274">
        <f t="shared" si="217"/>
        <v>8975</v>
      </c>
      <c r="BG255" s="274"/>
      <c r="BH255" s="274"/>
      <c r="BI255" s="266">
        <f t="shared" si="218"/>
        <v>0</v>
      </c>
      <c r="BJ255" s="266" t="e">
        <f t="shared" si="219"/>
        <v>#DIV/0!</v>
      </c>
      <c r="BK255" s="263" t="str">
        <f t="shared" si="220"/>
        <v/>
      </c>
      <c r="BL255" s="263" t="str">
        <f t="shared" si="221"/>
        <v/>
      </c>
      <c r="BM255" s="263" t="str">
        <f t="shared" si="222"/>
        <v/>
      </c>
      <c r="BN255" s="263"/>
      <c r="BO255" s="263" t="str">
        <f t="shared" si="223"/>
        <v/>
      </c>
      <c r="BP255" s="263" t="str">
        <f t="shared" si="224"/>
        <v/>
      </c>
      <c r="BQ255" s="263" t="str">
        <f t="shared" si="225"/>
        <v/>
      </c>
      <c r="BR255" s="263" t="str">
        <f t="shared" si="226"/>
        <v/>
      </c>
      <c r="BS255" s="263" t="str">
        <f t="shared" si="227"/>
        <v/>
      </c>
      <c r="BT255" s="263" t="str">
        <f t="shared" si="228"/>
        <v/>
      </c>
      <c r="BU255" s="263" t="str">
        <f t="shared" si="229"/>
        <v/>
      </c>
      <c r="BV255" s="263"/>
      <c r="BW255" s="263" t="str">
        <f t="shared" si="230"/>
        <v/>
      </c>
      <c r="BX255" s="263" t="str">
        <f t="shared" si="258"/>
        <v/>
      </c>
      <c r="BY255" s="263" t="str">
        <f t="shared" si="231"/>
        <v/>
      </c>
      <c r="BZ255" s="263"/>
      <c r="CA255" s="263" t="str">
        <f t="shared" si="254"/>
        <v/>
      </c>
      <c r="CB255" s="263" t="str">
        <f t="shared" si="232"/>
        <v/>
      </c>
      <c r="CC255" s="263" t="str">
        <f t="shared" si="255"/>
        <v/>
      </c>
      <c r="CD255" s="263" t="str">
        <f t="shared" si="233"/>
        <v/>
      </c>
      <c r="CE255" s="263" t="str">
        <f t="shared" si="241"/>
        <v/>
      </c>
      <c r="CF255" s="263" t="str">
        <f t="shared" si="256"/>
        <v/>
      </c>
      <c r="CG255" s="263" t="str">
        <f t="shared" si="257"/>
        <v/>
      </c>
      <c r="CH255" s="263"/>
      <c r="CI255" s="263" t="str">
        <f t="shared" si="234"/>
        <v/>
      </c>
      <c r="CJ255" s="263"/>
      <c r="CK255" s="263" t="str">
        <f t="shared" si="235"/>
        <v/>
      </c>
      <c r="CL255" s="264">
        <f t="shared" si="259"/>
        <v>0</v>
      </c>
      <c r="CM255" s="264">
        <f t="shared" si="236"/>
        <v>0</v>
      </c>
      <c r="CO255" s="265">
        <v>8.4320000000000006E-2</v>
      </c>
      <c r="CP255" s="265">
        <v>9.2699999999999991E-2</v>
      </c>
      <c r="CQ255" s="265">
        <v>9.6099999999999991E-2</v>
      </c>
      <c r="CS255" s="265">
        <v>0.10007999999999999</v>
      </c>
      <c r="CT255" s="265">
        <v>0.10210000000000001</v>
      </c>
      <c r="CU255" s="265">
        <v>0.10369999999999999</v>
      </c>
      <c r="CV255" s="265">
        <v>0.10529999999999999</v>
      </c>
      <c r="CW255" s="265">
        <v>0.10653</v>
      </c>
      <c r="CY255" s="265">
        <v>0.10868</v>
      </c>
      <c r="DA255" s="265">
        <v>0.11237999999999999</v>
      </c>
      <c r="DB255" s="265">
        <v>0.11497</v>
      </c>
      <c r="DC255" s="265">
        <v>0.11288000000000001</v>
      </c>
      <c r="DE255" s="265">
        <v>5.2519999999999997E-2</v>
      </c>
      <c r="DF255" s="265">
        <v>5.28E-2</v>
      </c>
      <c r="DH255" s="265">
        <v>5.3699999999999998E-2</v>
      </c>
      <c r="DI255" s="265">
        <v>5.3399999999999996E-2</v>
      </c>
      <c r="DJ255" s="265">
        <v>5.3490000000000003E-2</v>
      </c>
      <c r="DL255" s="265">
        <v>4.8399999999999999E-2</v>
      </c>
      <c r="DO255" s="264" t="e">
        <f t="shared" si="244"/>
        <v>#N/A</v>
      </c>
      <c r="DP255" s="264" t="e" cm="1">
        <f t="array" ref="DP255">+INDEX(AH255:AV255,MATCH(DO255,AH255:AV255,1)+1)</f>
        <v>#N/A</v>
      </c>
      <c r="DQ255" s="265" t="e">
        <f t="shared" si="245"/>
        <v>#N/A</v>
      </c>
      <c r="DR255" s="267" t="e">
        <f t="shared" si="246"/>
        <v>#N/A</v>
      </c>
      <c r="DS255" s="267" t="e">
        <f t="shared" si="247"/>
        <v>#N/A</v>
      </c>
      <c r="DT255" s="268" t="e">
        <f t="shared" si="248"/>
        <v>#N/A</v>
      </c>
      <c r="DU255" s="268" t="e" cm="1">
        <f t="array" ref="DU255">+INDEX(AX255:BF255,MATCH(DT255,AX255:BF255,1)+1)</f>
        <v>#N/A</v>
      </c>
      <c r="DV255" s="267" t="e">
        <f t="shared" si="249"/>
        <v>#N/A</v>
      </c>
      <c r="DW255" s="267" t="e">
        <f t="shared" si="250"/>
        <v>#N/A</v>
      </c>
      <c r="DX255" s="267" t="e">
        <f t="shared" si="251"/>
        <v>#N/A</v>
      </c>
      <c r="DY255" s="267">
        <f t="shared" si="262"/>
        <v>5.4100000000000002E-2</v>
      </c>
      <c r="DZ255" s="205" t="e">
        <f t="shared" si="239"/>
        <v>#N/A</v>
      </c>
      <c r="EA255" s="205">
        <f t="shared" si="252"/>
        <v>0</v>
      </c>
    </row>
    <row r="256" spans="2:131">
      <c r="B256" s="272">
        <v>45616</v>
      </c>
      <c r="C256" s="271">
        <v>45616</v>
      </c>
      <c r="D256" s="263" t="e">
        <f>+SUMIFS(Tabla6[Nominal COP],Tabla6[Concepto],COSTO_OPORTUNIDAD!$B$18,Tabla6[Nemotécnico],COSTO_OPORTUNIDAD!D$16,Tabla6[Fecha Cumplimiento y/ liquidacion],COSTO_OPORTUNIDAD!$C256)/+SUMIFS(Tabla6[Nominal COP],Tabla6[Concepto],COSTO_OPORTUNIDAD!$B$18,Tabla6[Fecha Cumplimiento y/ liquidacion],COSTO_OPORTUNIDAD!$C256)</f>
        <v>#DIV/0!</v>
      </c>
      <c r="E256" s="263" t="e">
        <f>+SUMIFS(Tabla6[Nominal COP],Tabla6[Concepto],COSTO_OPORTUNIDAD!$B$18,Tabla6[Nemotécnico],COSTO_OPORTUNIDAD!E$16,Tabla6[Fecha Cumplimiento y/ liquidacion],COSTO_OPORTUNIDAD!$C256)/+SUMIFS(Tabla6[Nominal COP],Tabla6[Concepto],COSTO_OPORTUNIDAD!$B$18,Tabla6[Fecha Cumplimiento y/ liquidacion],COSTO_OPORTUNIDAD!$C256)</f>
        <v>#DIV/0!</v>
      </c>
      <c r="F256" s="263"/>
      <c r="G256" s="263"/>
      <c r="H256" s="263">
        <v>0</v>
      </c>
      <c r="I256" s="263"/>
      <c r="J256" s="263">
        <v>1.5566625155666251E-2</v>
      </c>
      <c r="K256" s="263">
        <v>4.9813200498132003E-2</v>
      </c>
      <c r="L256" s="263"/>
      <c r="M256" s="263">
        <v>0</v>
      </c>
      <c r="N256" s="263"/>
      <c r="O256" s="263"/>
      <c r="P256" s="263">
        <v>0</v>
      </c>
      <c r="Q256" s="263"/>
      <c r="R256" s="263">
        <v>0</v>
      </c>
      <c r="S256" s="263">
        <v>0.9346201743462017</v>
      </c>
      <c r="T256" s="263">
        <v>0</v>
      </c>
      <c r="U256" s="263"/>
      <c r="V256" s="263">
        <v>0</v>
      </c>
      <c r="W256" s="263">
        <v>0</v>
      </c>
      <c r="X256" s="263">
        <v>0</v>
      </c>
      <c r="Y256" s="263"/>
      <c r="Z256" s="263">
        <v>0</v>
      </c>
      <c r="AA256" s="263">
        <v>0</v>
      </c>
      <c r="AB256" s="263">
        <v>0</v>
      </c>
      <c r="AC256" s="263"/>
      <c r="AD256" s="263">
        <v>0</v>
      </c>
      <c r="AE256" s="263"/>
      <c r="AF256" s="263"/>
      <c r="AG256" s="262"/>
      <c r="AH256" s="274">
        <f t="shared" ref="AH256:AJ261" si="263">(F$17-$B256)</f>
        <v>644</v>
      </c>
      <c r="AI256" s="274">
        <f t="shared" si="263"/>
        <v>1078</v>
      </c>
      <c r="AJ256" s="274">
        <f t="shared" si="263"/>
        <v>1255</v>
      </c>
      <c r="AK256" s="274">
        <f t="shared" si="198"/>
        <v>1736</v>
      </c>
      <c r="AL256" s="274">
        <f t="shared" ref="AL256:AP261" si="264">(J$17-$B256)</f>
        <v>2128</v>
      </c>
      <c r="AM256" s="274">
        <f t="shared" si="264"/>
        <v>2317</v>
      </c>
      <c r="AN256" s="274">
        <f t="shared" si="264"/>
        <v>2779</v>
      </c>
      <c r="AO256" s="274">
        <f t="shared" si="264"/>
        <v>3003</v>
      </c>
      <c r="AP256" s="274">
        <f t="shared" si="264"/>
        <v>3619</v>
      </c>
      <c r="AQ256" s="274"/>
      <c r="AR256" s="274">
        <f t="shared" si="208"/>
        <v>4249</v>
      </c>
      <c r="AS256" s="274">
        <f t="shared" si="199"/>
        <v>5852</v>
      </c>
      <c r="AT256" s="274">
        <f t="shared" ref="AT256:AV261" si="265">(R$17-$B256)</f>
        <v>6398</v>
      </c>
      <c r="AU256" s="274">
        <f t="shared" si="265"/>
        <v>7917</v>
      </c>
      <c r="AV256" s="274">
        <f t="shared" si="265"/>
        <v>9471</v>
      </c>
      <c r="AW256" s="274"/>
      <c r="AX256" s="274">
        <f t="shared" ref="AX256:AY261" si="266">(V$17-$B256)</f>
        <v>168</v>
      </c>
      <c r="AY256" s="274">
        <f t="shared" si="266"/>
        <v>847</v>
      </c>
      <c r="AZ256" s="274">
        <f t="shared" ref="AZ256:AZ291" si="267">(X$17-$B256)</f>
        <v>1610</v>
      </c>
      <c r="BA256" s="274"/>
      <c r="BB256" s="274">
        <f t="shared" si="214"/>
        <v>3047</v>
      </c>
      <c r="BC256" s="274">
        <f t="shared" si="215"/>
        <v>3787</v>
      </c>
      <c r="BD256" s="274">
        <f t="shared" si="216"/>
        <v>4480</v>
      </c>
      <c r="BE256" s="274"/>
      <c r="BF256" s="274">
        <f t="shared" si="217"/>
        <v>8974</v>
      </c>
      <c r="BG256" s="274"/>
      <c r="BH256" s="274"/>
      <c r="BI256" s="266">
        <f t="shared" si="218"/>
        <v>0</v>
      </c>
      <c r="BJ256" s="266" t="e">
        <f t="shared" si="219"/>
        <v>#DIV/0!</v>
      </c>
      <c r="BK256" s="263" t="str">
        <f t="shared" si="220"/>
        <v/>
      </c>
      <c r="BL256" s="263" t="str">
        <f t="shared" si="221"/>
        <v/>
      </c>
      <c r="BM256" s="263" t="str">
        <f t="shared" si="222"/>
        <v/>
      </c>
      <c r="BN256" s="263"/>
      <c r="BO256" s="263" t="str">
        <f t="shared" si="223"/>
        <v/>
      </c>
      <c r="BP256" s="263" t="str">
        <f t="shared" si="224"/>
        <v/>
      </c>
      <c r="BQ256" s="263" t="str">
        <f t="shared" si="225"/>
        <v/>
      </c>
      <c r="BR256" s="263" t="str">
        <f t="shared" si="226"/>
        <v/>
      </c>
      <c r="BS256" s="263" t="str">
        <f t="shared" si="227"/>
        <v/>
      </c>
      <c r="BT256" s="263" t="str">
        <f t="shared" si="228"/>
        <v/>
      </c>
      <c r="BU256" s="263" t="str">
        <f t="shared" si="229"/>
        <v/>
      </c>
      <c r="BV256" s="263"/>
      <c r="BW256" s="263" t="str">
        <f t="shared" si="230"/>
        <v/>
      </c>
      <c r="BX256" s="263" t="str">
        <f t="shared" si="258"/>
        <v/>
      </c>
      <c r="BY256" s="263" t="str">
        <f t="shared" si="231"/>
        <v/>
      </c>
      <c r="BZ256" s="263"/>
      <c r="CA256" s="263" t="str">
        <f t="shared" si="254"/>
        <v/>
      </c>
      <c r="CB256" s="263" t="str">
        <f t="shared" si="232"/>
        <v/>
      </c>
      <c r="CC256" s="263" t="str">
        <f t="shared" si="255"/>
        <v/>
      </c>
      <c r="CD256" s="263" t="str">
        <f t="shared" si="233"/>
        <v/>
      </c>
      <c r="CE256" s="263" t="str">
        <f t="shared" si="241"/>
        <v/>
      </c>
      <c r="CF256" s="263" t="str">
        <f t="shared" si="256"/>
        <v/>
      </c>
      <c r="CG256" s="263" t="str">
        <f t="shared" si="257"/>
        <v/>
      </c>
      <c r="CH256" s="263"/>
      <c r="CI256" s="263" t="str">
        <f t="shared" si="234"/>
        <v/>
      </c>
      <c r="CJ256" s="263"/>
      <c r="CK256" s="263" t="str">
        <f t="shared" si="235"/>
        <v/>
      </c>
      <c r="CL256" s="264">
        <f t="shared" si="259"/>
        <v>0</v>
      </c>
      <c r="CM256" s="264">
        <f t="shared" si="236"/>
        <v>0</v>
      </c>
      <c r="CO256" s="265">
        <v>8.3849999999999994E-2</v>
      </c>
      <c r="CP256" s="265">
        <v>9.1630000000000003E-2</v>
      </c>
      <c r="CQ256" s="265">
        <v>9.5100000000000004E-2</v>
      </c>
      <c r="CS256" s="265">
        <v>9.9030000000000007E-2</v>
      </c>
      <c r="CT256" s="265">
        <v>0.10152</v>
      </c>
      <c r="CU256" s="265">
        <v>0.10249999999999999</v>
      </c>
      <c r="CV256" s="265">
        <v>0.1043</v>
      </c>
      <c r="CW256" s="265">
        <v>0.10542</v>
      </c>
      <c r="CY256" s="265">
        <v>0.1074</v>
      </c>
      <c r="DA256" s="265">
        <v>0.11189</v>
      </c>
      <c r="DB256" s="265">
        <v>0.11478999999999999</v>
      </c>
      <c r="DC256" s="265">
        <v>0.11254</v>
      </c>
      <c r="DE256" s="265">
        <v>5.1500000000000004E-2</v>
      </c>
      <c r="DF256" s="265">
        <v>5.2000000000000005E-2</v>
      </c>
      <c r="DH256" s="265">
        <v>5.2939999999999994E-2</v>
      </c>
      <c r="DI256" s="265">
        <v>5.2990000000000002E-2</v>
      </c>
      <c r="DJ256" s="265">
        <v>5.2699999999999997E-2</v>
      </c>
      <c r="DL256" s="265">
        <v>4.8209999999999996E-2</v>
      </c>
      <c r="DO256" s="264" t="e">
        <f t="shared" ref="DO256:DO287" si="268">+INDEX(AH256:AV256,MATCH(CL256,AH256:AV256,1))</f>
        <v>#N/A</v>
      </c>
      <c r="DP256" s="264" t="e" cm="1">
        <f t="array" ref="DP256">+INDEX(AH256:AV256,MATCH(DO256,AH256:AV256,1)+1)</f>
        <v>#N/A</v>
      </c>
      <c r="DQ256" s="265" t="e">
        <f t="shared" ref="DQ256:DQ287" si="269">+INDEX(CO256:DC256,MATCH(DO256,AH256:AV256,1))</f>
        <v>#N/A</v>
      </c>
      <c r="DR256" s="267" t="e">
        <f t="shared" ref="DR256:DR287" si="270">+INDEX(CO256:DC256,MATCH(DP256,AH256:AV256,1))</f>
        <v>#N/A</v>
      </c>
      <c r="DS256" s="267" t="e">
        <f t="shared" ref="DS256:DS262" si="271">ROUND(DQ256+((CL256-DO256)/(DP256-DO256))*(DR256-DQ256),5)</f>
        <v>#N/A</v>
      </c>
      <c r="DT256" s="268" t="e">
        <f t="shared" ref="DT256:DT261" si="272">+INDEX(AX256:BF256,MATCH(CM256,AX256:BF256,1))</f>
        <v>#N/A</v>
      </c>
      <c r="DU256" s="268" t="e" cm="1">
        <f t="array" ref="DU256">+INDEX(AX256:BF256,MATCH(DT256,AX256:BF256,1)+1)</f>
        <v>#N/A</v>
      </c>
      <c r="DV256" s="267" t="e">
        <f t="shared" si="249"/>
        <v>#N/A</v>
      </c>
      <c r="DW256" s="267" t="e">
        <f t="shared" ref="DW256:DW261" si="273">+INDEX(DE256:DL256,MATCH(DU256,AX256:BF256,1))</f>
        <v>#N/A</v>
      </c>
      <c r="DX256" s="267" t="e">
        <f t="shared" ref="DX256:DX276" si="274">ROUND(DV256+((CM256-DT256)/(DU256-DT256))*(DW256-DV256),5)</f>
        <v>#N/A</v>
      </c>
      <c r="DY256" s="267">
        <f t="shared" si="262"/>
        <v>5.4100000000000002E-2</v>
      </c>
      <c r="DZ256" s="205" t="e">
        <f t="shared" si="239"/>
        <v>#N/A</v>
      </c>
      <c r="EA256" s="205">
        <f t="shared" si="252"/>
        <v>0</v>
      </c>
    </row>
    <row r="257" spans="2:131">
      <c r="B257" s="272">
        <v>45618</v>
      </c>
      <c r="C257" s="271">
        <v>45618</v>
      </c>
      <c r="D257" s="263" t="e">
        <f>+SUMIFS(Tabla6[Nominal COP],Tabla6[Concepto],COSTO_OPORTUNIDAD!$B$18,Tabla6[Nemotécnico],COSTO_OPORTUNIDAD!D$16,Tabla6[Fecha Cumplimiento y/ liquidacion],COSTO_OPORTUNIDAD!$C257)/+SUMIFS(Tabla6[Nominal COP],Tabla6[Concepto],COSTO_OPORTUNIDAD!$B$18,Tabla6[Fecha Cumplimiento y/ liquidacion],COSTO_OPORTUNIDAD!$C257)</f>
        <v>#DIV/0!</v>
      </c>
      <c r="E257" s="263" t="e">
        <f>+SUMIFS(Tabla6[Nominal COP],Tabla6[Concepto],COSTO_OPORTUNIDAD!$B$18,Tabla6[Nemotécnico],COSTO_OPORTUNIDAD!E$16,Tabla6[Fecha Cumplimiento y/ liquidacion],COSTO_OPORTUNIDAD!$C257)/+SUMIFS(Tabla6[Nominal COP],Tabla6[Concepto],COSTO_OPORTUNIDAD!$B$18,Tabla6[Fecha Cumplimiento y/ liquidacion],COSTO_OPORTUNIDAD!$C257)</f>
        <v>#DIV/0!</v>
      </c>
      <c r="F257" s="263"/>
      <c r="G257" s="263"/>
      <c r="H257" s="263">
        <v>0</v>
      </c>
      <c r="I257" s="263"/>
      <c r="J257" s="263">
        <v>0</v>
      </c>
      <c r="K257" s="263">
        <v>0.35294117647058826</v>
      </c>
      <c r="L257" s="263"/>
      <c r="M257" s="263">
        <v>0</v>
      </c>
      <c r="N257" s="263"/>
      <c r="O257" s="263"/>
      <c r="P257" s="263">
        <v>0</v>
      </c>
      <c r="Q257" s="263"/>
      <c r="R257" s="263">
        <v>0</v>
      </c>
      <c r="S257" s="263">
        <v>0.6470588235294118</v>
      </c>
      <c r="T257" s="263">
        <v>0</v>
      </c>
      <c r="U257" s="263"/>
      <c r="V257" s="263">
        <v>0</v>
      </c>
      <c r="W257" s="263">
        <v>0</v>
      </c>
      <c r="X257" s="263">
        <v>0</v>
      </c>
      <c r="Y257" s="263"/>
      <c r="Z257" s="263">
        <v>0</v>
      </c>
      <c r="AA257" s="263">
        <v>0</v>
      </c>
      <c r="AB257" s="263">
        <v>0</v>
      </c>
      <c r="AC257" s="263"/>
      <c r="AD257" s="263">
        <v>0</v>
      </c>
      <c r="AE257" s="263"/>
      <c r="AF257" s="263"/>
      <c r="AG257" s="262"/>
      <c r="AH257" s="274">
        <f t="shared" si="263"/>
        <v>642</v>
      </c>
      <c r="AI257" s="274">
        <f t="shared" si="263"/>
        <v>1076</v>
      </c>
      <c r="AJ257" s="274">
        <f t="shared" si="263"/>
        <v>1253</v>
      </c>
      <c r="AK257" s="274">
        <f t="shared" si="198"/>
        <v>1734</v>
      </c>
      <c r="AL257" s="274">
        <f t="shared" si="264"/>
        <v>2126</v>
      </c>
      <c r="AM257" s="274">
        <f t="shared" si="264"/>
        <v>2315</v>
      </c>
      <c r="AN257" s="274">
        <f t="shared" si="264"/>
        <v>2777</v>
      </c>
      <c r="AO257" s="274">
        <f t="shared" si="264"/>
        <v>3001</v>
      </c>
      <c r="AP257" s="274">
        <f t="shared" si="264"/>
        <v>3617</v>
      </c>
      <c r="AQ257" s="274"/>
      <c r="AR257" s="274">
        <f t="shared" si="208"/>
        <v>4247</v>
      </c>
      <c r="AS257" s="274">
        <f t="shared" si="199"/>
        <v>5850</v>
      </c>
      <c r="AT257" s="274">
        <f t="shared" si="265"/>
        <v>6396</v>
      </c>
      <c r="AU257" s="274">
        <f t="shared" si="265"/>
        <v>7915</v>
      </c>
      <c r="AV257" s="274">
        <f t="shared" si="265"/>
        <v>9469</v>
      </c>
      <c r="AW257" s="274"/>
      <c r="AX257" s="274">
        <f t="shared" si="266"/>
        <v>166</v>
      </c>
      <c r="AY257" s="274">
        <f t="shared" si="266"/>
        <v>845</v>
      </c>
      <c r="AZ257" s="274">
        <f t="shared" si="267"/>
        <v>1608</v>
      </c>
      <c r="BA257" s="274"/>
      <c r="BB257" s="274">
        <f t="shared" si="214"/>
        <v>3045</v>
      </c>
      <c r="BC257" s="274">
        <f t="shared" si="215"/>
        <v>3785</v>
      </c>
      <c r="BD257" s="274">
        <f t="shared" si="216"/>
        <v>4478</v>
      </c>
      <c r="BE257" s="274"/>
      <c r="BF257" s="274">
        <f t="shared" si="217"/>
        <v>8972</v>
      </c>
      <c r="BG257" s="274"/>
      <c r="BH257" s="274"/>
      <c r="BI257" s="266">
        <f t="shared" si="218"/>
        <v>0</v>
      </c>
      <c r="BJ257" s="266" t="e">
        <f t="shared" si="219"/>
        <v>#DIV/0!</v>
      </c>
      <c r="BK257" s="263" t="str">
        <f t="shared" si="220"/>
        <v/>
      </c>
      <c r="BL257" s="263" t="str">
        <f t="shared" si="221"/>
        <v/>
      </c>
      <c r="BM257" s="263" t="str">
        <f t="shared" si="222"/>
        <v/>
      </c>
      <c r="BN257" s="263"/>
      <c r="BO257" s="263" t="str">
        <f t="shared" si="223"/>
        <v/>
      </c>
      <c r="BP257" s="263" t="str">
        <f t="shared" si="224"/>
        <v/>
      </c>
      <c r="BQ257" s="263" t="str">
        <f t="shared" si="225"/>
        <v/>
      </c>
      <c r="BR257" s="263" t="str">
        <f t="shared" si="226"/>
        <v/>
      </c>
      <c r="BS257" s="263" t="str">
        <f t="shared" si="227"/>
        <v/>
      </c>
      <c r="BT257" s="263" t="str">
        <f t="shared" si="228"/>
        <v/>
      </c>
      <c r="BU257" s="263" t="str">
        <f t="shared" si="229"/>
        <v/>
      </c>
      <c r="BV257" s="263"/>
      <c r="BW257" s="263" t="str">
        <f t="shared" si="230"/>
        <v/>
      </c>
      <c r="BX257" s="263" t="str">
        <f t="shared" si="258"/>
        <v/>
      </c>
      <c r="BY257" s="263" t="str">
        <f t="shared" si="231"/>
        <v/>
      </c>
      <c r="BZ257" s="263"/>
      <c r="CA257" s="263" t="str">
        <f t="shared" si="254"/>
        <v/>
      </c>
      <c r="CB257" s="263" t="str">
        <f t="shared" si="232"/>
        <v/>
      </c>
      <c r="CC257" s="263" t="str">
        <f t="shared" si="255"/>
        <v/>
      </c>
      <c r="CD257" s="263" t="str">
        <f t="shared" si="233"/>
        <v/>
      </c>
      <c r="CE257" s="263" t="str">
        <f t="shared" si="241"/>
        <v/>
      </c>
      <c r="CF257" s="263" t="str">
        <f t="shared" si="256"/>
        <v/>
      </c>
      <c r="CG257" s="263" t="str">
        <f t="shared" si="257"/>
        <v/>
      </c>
      <c r="CH257" s="263"/>
      <c r="CI257" s="263" t="str">
        <f t="shared" si="234"/>
        <v/>
      </c>
      <c r="CJ257" s="263"/>
      <c r="CK257" s="263" t="str">
        <f t="shared" si="235"/>
        <v/>
      </c>
      <c r="CL257" s="264">
        <f t="shared" si="259"/>
        <v>0</v>
      </c>
      <c r="CM257" s="264">
        <f t="shared" si="236"/>
        <v>0</v>
      </c>
      <c r="CO257" s="265">
        <v>8.4010000000000001E-2</v>
      </c>
      <c r="CP257" s="265">
        <v>9.2300000000000007E-2</v>
      </c>
      <c r="CQ257" s="265">
        <v>9.5329999999999998E-2</v>
      </c>
      <c r="CS257" s="265">
        <v>9.9499999999999991E-2</v>
      </c>
      <c r="CT257" s="265">
        <v>0.10185000000000001</v>
      </c>
      <c r="CU257" s="265">
        <v>0.10339999999999999</v>
      </c>
      <c r="CV257" s="265">
        <v>0.10471999999999999</v>
      </c>
      <c r="CW257" s="265">
        <v>0.10619999999999999</v>
      </c>
      <c r="CY257" s="265">
        <v>0.1085</v>
      </c>
      <c r="DA257" s="265">
        <v>0.11199999999999999</v>
      </c>
      <c r="DB257" s="265">
        <v>0.11451</v>
      </c>
      <c r="DC257" s="265">
        <v>0.11268</v>
      </c>
      <c r="DE257" s="265">
        <v>5.0599999999999999E-2</v>
      </c>
      <c r="DF257" s="265">
        <v>5.1060000000000001E-2</v>
      </c>
      <c r="DH257" s="265">
        <v>5.1119999999999999E-2</v>
      </c>
      <c r="DI257" s="265">
        <v>5.1799999999999999E-2</v>
      </c>
      <c r="DJ257" s="265">
        <v>5.1900000000000002E-2</v>
      </c>
      <c r="DL257" s="265">
        <v>4.7629999999999999E-2</v>
      </c>
      <c r="DO257" s="264" t="e">
        <f t="shared" si="268"/>
        <v>#N/A</v>
      </c>
      <c r="DP257" s="264" t="e" cm="1">
        <f t="array" ref="DP257">+INDEX(AH257:AV257,MATCH(DO257,AH257:AV257,1)+1)</f>
        <v>#N/A</v>
      </c>
      <c r="DQ257" s="265" t="e">
        <f t="shared" si="269"/>
        <v>#N/A</v>
      </c>
      <c r="DR257" s="267" t="e">
        <f t="shared" si="270"/>
        <v>#N/A</v>
      </c>
      <c r="DS257" s="267" t="e">
        <f t="shared" si="271"/>
        <v>#N/A</v>
      </c>
      <c r="DT257" s="268" t="e">
        <f t="shared" si="272"/>
        <v>#N/A</v>
      </c>
      <c r="DU257" s="268" t="e" cm="1">
        <f t="array" ref="DU257">+INDEX(AX257:BF257,MATCH(DT257,AX257:BF257,1)+1)</f>
        <v>#N/A</v>
      </c>
      <c r="DV257" s="267" t="e">
        <f t="shared" si="249"/>
        <v>#N/A</v>
      </c>
      <c r="DW257" s="267" t="e">
        <f t="shared" si="273"/>
        <v>#N/A</v>
      </c>
      <c r="DX257" s="267" t="e">
        <f t="shared" si="274"/>
        <v>#N/A</v>
      </c>
      <c r="DY257" s="267">
        <f t="shared" si="262"/>
        <v>5.4100000000000002E-2</v>
      </c>
      <c r="DZ257" s="205" t="e">
        <f t="shared" si="239"/>
        <v>#N/A</v>
      </c>
      <c r="EA257" s="205">
        <f t="shared" si="252"/>
        <v>0</v>
      </c>
    </row>
    <row r="258" spans="2:131">
      <c r="B258" s="272">
        <v>45621</v>
      </c>
      <c r="C258" s="271">
        <v>45621</v>
      </c>
      <c r="D258" s="263" t="e">
        <f>+SUMIFS(Tabla6[Nominal COP],Tabla6[Concepto],COSTO_OPORTUNIDAD!$B$18,Tabla6[Nemotécnico],COSTO_OPORTUNIDAD!D$16,Tabla6[Fecha Cumplimiento y/ liquidacion],COSTO_OPORTUNIDAD!$C258)/+SUMIFS(Tabla6[Nominal COP],Tabla6[Concepto],COSTO_OPORTUNIDAD!$B$18,Tabla6[Fecha Cumplimiento y/ liquidacion],COSTO_OPORTUNIDAD!$C258)</f>
        <v>#DIV/0!</v>
      </c>
      <c r="E258" s="263" t="e">
        <f>+SUMIFS(Tabla6[Nominal COP],Tabla6[Concepto],COSTO_OPORTUNIDAD!$B$18,Tabla6[Nemotécnico],COSTO_OPORTUNIDAD!E$16,Tabla6[Fecha Cumplimiento y/ liquidacion],COSTO_OPORTUNIDAD!$C258)/+SUMIFS(Tabla6[Nominal COP],Tabla6[Concepto],COSTO_OPORTUNIDAD!$B$18,Tabla6[Fecha Cumplimiento y/ liquidacion],COSTO_OPORTUNIDAD!$C258)</f>
        <v>#DIV/0!</v>
      </c>
      <c r="F258" s="263"/>
      <c r="G258" s="263"/>
      <c r="H258" s="263">
        <v>0</v>
      </c>
      <c r="I258" s="263"/>
      <c r="J258" s="263">
        <v>0</v>
      </c>
      <c r="K258" s="263">
        <v>0.18292682926829268</v>
      </c>
      <c r="L258" s="263"/>
      <c r="M258" s="263">
        <v>0</v>
      </c>
      <c r="N258" s="263"/>
      <c r="O258" s="263"/>
      <c r="P258" s="263">
        <v>0</v>
      </c>
      <c r="Q258" s="263"/>
      <c r="R258" s="263">
        <v>0</v>
      </c>
      <c r="S258" s="263">
        <v>0.81707317073170727</v>
      </c>
      <c r="T258" s="263">
        <v>0</v>
      </c>
      <c r="U258" s="263"/>
      <c r="V258" s="263">
        <v>0</v>
      </c>
      <c r="W258" s="263">
        <v>0</v>
      </c>
      <c r="X258" s="263">
        <v>0</v>
      </c>
      <c r="Y258" s="263"/>
      <c r="Z258" s="263">
        <v>0</v>
      </c>
      <c r="AA258" s="263">
        <v>0</v>
      </c>
      <c r="AB258" s="263">
        <v>0</v>
      </c>
      <c r="AC258" s="263"/>
      <c r="AD258" s="263">
        <v>0</v>
      </c>
      <c r="AE258" s="263"/>
      <c r="AF258" s="263"/>
      <c r="AG258" s="262"/>
      <c r="AH258" s="274">
        <f t="shared" si="263"/>
        <v>639</v>
      </c>
      <c r="AI258" s="274">
        <f t="shared" si="263"/>
        <v>1073</v>
      </c>
      <c r="AJ258" s="274">
        <f t="shared" si="263"/>
        <v>1250</v>
      </c>
      <c r="AK258" s="274">
        <f t="shared" si="198"/>
        <v>1731</v>
      </c>
      <c r="AL258" s="274">
        <f t="shared" si="264"/>
        <v>2123</v>
      </c>
      <c r="AM258" s="274">
        <f t="shared" si="264"/>
        <v>2312</v>
      </c>
      <c r="AN258" s="274">
        <f t="shared" si="264"/>
        <v>2774</v>
      </c>
      <c r="AO258" s="274">
        <f t="shared" si="264"/>
        <v>2998</v>
      </c>
      <c r="AP258" s="274">
        <f t="shared" si="264"/>
        <v>3614</v>
      </c>
      <c r="AQ258" s="274"/>
      <c r="AR258" s="274">
        <f t="shared" si="208"/>
        <v>4244</v>
      </c>
      <c r="AS258" s="274">
        <f t="shared" si="199"/>
        <v>5847</v>
      </c>
      <c r="AT258" s="274">
        <f t="shared" si="265"/>
        <v>6393</v>
      </c>
      <c r="AU258" s="274">
        <f t="shared" si="265"/>
        <v>7912</v>
      </c>
      <c r="AV258" s="274">
        <f t="shared" si="265"/>
        <v>9466</v>
      </c>
      <c r="AW258" s="274"/>
      <c r="AX258" s="274">
        <f t="shared" si="266"/>
        <v>163</v>
      </c>
      <c r="AY258" s="274">
        <f t="shared" si="266"/>
        <v>842</v>
      </c>
      <c r="AZ258" s="274">
        <f t="shared" si="267"/>
        <v>1605</v>
      </c>
      <c r="BA258" s="274"/>
      <c r="BB258" s="274">
        <f t="shared" si="214"/>
        <v>3042</v>
      </c>
      <c r="BC258" s="274">
        <f t="shared" si="215"/>
        <v>3782</v>
      </c>
      <c r="BD258" s="274">
        <f t="shared" si="216"/>
        <v>4475</v>
      </c>
      <c r="BE258" s="274"/>
      <c r="BF258" s="274">
        <f t="shared" si="217"/>
        <v>8969</v>
      </c>
      <c r="BG258" s="274"/>
      <c r="BH258" s="274"/>
      <c r="BI258" s="266">
        <f t="shared" si="218"/>
        <v>0</v>
      </c>
      <c r="BJ258" s="266" t="e">
        <f t="shared" si="219"/>
        <v>#DIV/0!</v>
      </c>
      <c r="BK258" s="263" t="str">
        <f t="shared" si="220"/>
        <v/>
      </c>
      <c r="BL258" s="263" t="str">
        <f t="shared" si="221"/>
        <v/>
      </c>
      <c r="BM258" s="263" t="str">
        <f t="shared" si="222"/>
        <v/>
      </c>
      <c r="BN258" s="263"/>
      <c r="BO258" s="263" t="str">
        <f t="shared" si="223"/>
        <v/>
      </c>
      <c r="BP258" s="263" t="str">
        <f t="shared" si="224"/>
        <v/>
      </c>
      <c r="BQ258" s="263" t="str">
        <f t="shared" si="225"/>
        <v/>
      </c>
      <c r="BR258" s="263" t="str">
        <f t="shared" si="226"/>
        <v/>
      </c>
      <c r="BS258" s="263" t="str">
        <f t="shared" si="227"/>
        <v/>
      </c>
      <c r="BT258" s="263" t="str">
        <f t="shared" si="228"/>
        <v/>
      </c>
      <c r="BU258" s="263" t="str">
        <f t="shared" si="229"/>
        <v/>
      </c>
      <c r="BV258" s="263"/>
      <c r="BW258" s="263" t="str">
        <f t="shared" si="230"/>
        <v/>
      </c>
      <c r="BX258" s="263" t="str">
        <f t="shared" si="258"/>
        <v/>
      </c>
      <c r="BY258" s="263" t="str">
        <f t="shared" si="231"/>
        <v/>
      </c>
      <c r="BZ258" s="263"/>
      <c r="CA258" s="263" t="str">
        <f t="shared" si="254"/>
        <v/>
      </c>
      <c r="CB258" s="263" t="str">
        <f t="shared" si="232"/>
        <v/>
      </c>
      <c r="CC258" s="263" t="str">
        <f t="shared" si="255"/>
        <v/>
      </c>
      <c r="CD258" s="263" t="str">
        <f t="shared" si="233"/>
        <v/>
      </c>
      <c r="CE258" s="263" t="str">
        <f t="shared" si="241"/>
        <v/>
      </c>
      <c r="CF258" s="263" t="str">
        <f t="shared" si="256"/>
        <v/>
      </c>
      <c r="CG258" s="263" t="str">
        <f t="shared" si="257"/>
        <v/>
      </c>
      <c r="CH258" s="263"/>
      <c r="CI258" s="263" t="str">
        <f t="shared" si="234"/>
        <v/>
      </c>
      <c r="CJ258" s="263"/>
      <c r="CK258" s="263" t="str">
        <f t="shared" si="235"/>
        <v/>
      </c>
      <c r="CL258" s="264">
        <f t="shared" si="259"/>
        <v>0</v>
      </c>
      <c r="CM258" s="264">
        <f t="shared" si="236"/>
        <v>0</v>
      </c>
      <c r="CO258" s="265">
        <v>8.4190000000000001E-2</v>
      </c>
      <c r="CP258" s="265">
        <v>9.2399999999999996E-2</v>
      </c>
      <c r="CQ258" s="265">
        <v>9.5649999999999999E-2</v>
      </c>
      <c r="CS258" s="265">
        <v>0.1007</v>
      </c>
      <c r="CT258" s="265">
        <v>0.10260999999999999</v>
      </c>
      <c r="CU258" s="265">
        <v>0.1042</v>
      </c>
      <c r="CV258" s="265">
        <v>0.1047</v>
      </c>
      <c r="CW258" s="265">
        <v>0.10619999999999999</v>
      </c>
      <c r="CY258" s="265">
        <v>0.10948000000000001</v>
      </c>
      <c r="DA258" s="265">
        <v>0.11308</v>
      </c>
      <c r="DB258" s="265">
        <v>0.11589000000000001</v>
      </c>
      <c r="DC258" s="265">
        <v>0.11323999999999999</v>
      </c>
      <c r="DE258" s="265">
        <v>5.0599999999999999E-2</v>
      </c>
      <c r="DF258" s="265">
        <v>5.1589999999999997E-2</v>
      </c>
      <c r="DH258" s="265">
        <v>5.1479999999999998E-2</v>
      </c>
      <c r="DI258" s="265">
        <v>5.1269999999999996E-2</v>
      </c>
      <c r="DJ258" s="265">
        <v>5.1799999999999999E-2</v>
      </c>
      <c r="DL258" s="265">
        <v>4.7729999999999995E-2</v>
      </c>
      <c r="DO258" s="264" t="e">
        <f t="shared" si="268"/>
        <v>#N/A</v>
      </c>
      <c r="DP258" s="264" t="e" cm="1">
        <f t="array" ref="DP258">+INDEX(AH258:AV258,MATCH(DO258,AH258:AV258,1)+1)</f>
        <v>#N/A</v>
      </c>
      <c r="DQ258" s="265" t="e">
        <f t="shared" si="269"/>
        <v>#N/A</v>
      </c>
      <c r="DR258" s="267" t="e">
        <f t="shared" si="270"/>
        <v>#N/A</v>
      </c>
      <c r="DS258" s="267" t="e">
        <f t="shared" si="271"/>
        <v>#N/A</v>
      </c>
      <c r="DT258" s="268" t="e">
        <f t="shared" si="272"/>
        <v>#N/A</v>
      </c>
      <c r="DU258" s="268" t="e" cm="1">
        <f t="array" ref="DU258">+INDEX(AX258:BF258,MATCH(DT258,AX258:BF258,1)+1)</f>
        <v>#N/A</v>
      </c>
      <c r="DV258" s="267" t="e">
        <f t="shared" si="249"/>
        <v>#N/A</v>
      </c>
      <c r="DW258" s="267" t="e">
        <f t="shared" si="273"/>
        <v>#N/A</v>
      </c>
      <c r="DX258" s="267" t="e">
        <f t="shared" si="274"/>
        <v>#N/A</v>
      </c>
      <c r="DY258" s="267">
        <f t="shared" si="262"/>
        <v>5.4100000000000002E-2</v>
      </c>
      <c r="DZ258" s="205" t="e">
        <f t="shared" si="239"/>
        <v>#N/A</v>
      </c>
      <c r="EA258" s="205">
        <f t="shared" si="252"/>
        <v>0</v>
      </c>
    </row>
    <row r="259" spans="2:131">
      <c r="B259" s="272">
        <v>45622</v>
      </c>
      <c r="C259" s="271">
        <v>45622</v>
      </c>
      <c r="D259" s="263" t="e">
        <f>+SUMIFS(Tabla6[Nominal COP],Tabla6[Concepto],COSTO_OPORTUNIDAD!$B$18,Tabla6[Nemotécnico],COSTO_OPORTUNIDAD!D$16,Tabla6[Fecha Cumplimiento y/ liquidacion],COSTO_OPORTUNIDAD!$C259)/+SUMIFS(Tabla6[Nominal COP],Tabla6[Concepto],COSTO_OPORTUNIDAD!$B$18,Tabla6[Fecha Cumplimiento y/ liquidacion],COSTO_OPORTUNIDAD!$C259)</f>
        <v>#DIV/0!</v>
      </c>
      <c r="E259" s="263" t="e">
        <f>+SUMIFS(Tabla6[Nominal COP],Tabla6[Concepto],COSTO_OPORTUNIDAD!$B$18,Tabla6[Nemotécnico],COSTO_OPORTUNIDAD!E$16,Tabla6[Fecha Cumplimiento y/ liquidacion],COSTO_OPORTUNIDAD!$C259)/+SUMIFS(Tabla6[Nominal COP],Tabla6[Concepto],COSTO_OPORTUNIDAD!$B$18,Tabla6[Fecha Cumplimiento y/ liquidacion],COSTO_OPORTUNIDAD!$C259)</f>
        <v>#DIV/0!</v>
      </c>
      <c r="F259" s="263"/>
      <c r="G259" s="263"/>
      <c r="H259" s="263">
        <v>0</v>
      </c>
      <c r="I259" s="263"/>
      <c r="J259" s="263">
        <v>0</v>
      </c>
      <c r="K259" s="263">
        <v>0</v>
      </c>
      <c r="L259" s="263"/>
      <c r="M259" s="263">
        <v>0</v>
      </c>
      <c r="N259" s="263"/>
      <c r="O259" s="263"/>
      <c r="P259" s="263">
        <v>0</v>
      </c>
      <c r="Q259" s="263"/>
      <c r="R259" s="263">
        <v>0</v>
      </c>
      <c r="S259" s="263">
        <v>1</v>
      </c>
      <c r="T259" s="263">
        <v>0</v>
      </c>
      <c r="U259" s="263"/>
      <c r="V259" s="263">
        <v>0</v>
      </c>
      <c r="W259" s="263">
        <v>0</v>
      </c>
      <c r="X259" s="263">
        <v>0</v>
      </c>
      <c r="Y259" s="263"/>
      <c r="Z259" s="263">
        <v>0</v>
      </c>
      <c r="AA259" s="263">
        <v>0</v>
      </c>
      <c r="AB259" s="263">
        <v>0</v>
      </c>
      <c r="AC259" s="263"/>
      <c r="AD259" s="263">
        <v>0</v>
      </c>
      <c r="AE259" s="263"/>
      <c r="AF259" s="263"/>
      <c r="AG259" s="262"/>
      <c r="AH259" s="274">
        <f t="shared" si="263"/>
        <v>638</v>
      </c>
      <c r="AI259" s="274">
        <f t="shared" si="263"/>
        <v>1072</v>
      </c>
      <c r="AJ259" s="274">
        <f t="shared" si="263"/>
        <v>1249</v>
      </c>
      <c r="AK259" s="274">
        <f t="shared" si="198"/>
        <v>1730</v>
      </c>
      <c r="AL259" s="274">
        <f t="shared" si="264"/>
        <v>2122</v>
      </c>
      <c r="AM259" s="274">
        <f t="shared" si="264"/>
        <v>2311</v>
      </c>
      <c r="AN259" s="274">
        <f t="shared" si="264"/>
        <v>2773</v>
      </c>
      <c r="AO259" s="274">
        <f t="shared" si="264"/>
        <v>2997</v>
      </c>
      <c r="AP259" s="274">
        <f t="shared" si="264"/>
        <v>3613</v>
      </c>
      <c r="AQ259" s="274"/>
      <c r="AR259" s="274">
        <f t="shared" si="208"/>
        <v>4243</v>
      </c>
      <c r="AS259" s="274">
        <f t="shared" si="199"/>
        <v>5846</v>
      </c>
      <c r="AT259" s="274">
        <f t="shared" si="265"/>
        <v>6392</v>
      </c>
      <c r="AU259" s="274">
        <f t="shared" si="265"/>
        <v>7911</v>
      </c>
      <c r="AV259" s="274">
        <f t="shared" si="265"/>
        <v>9465</v>
      </c>
      <c r="AW259" s="274"/>
      <c r="AX259" s="274">
        <f t="shared" si="266"/>
        <v>162</v>
      </c>
      <c r="AY259" s="274">
        <f t="shared" si="266"/>
        <v>841</v>
      </c>
      <c r="AZ259" s="274">
        <f t="shared" si="267"/>
        <v>1604</v>
      </c>
      <c r="BA259" s="274"/>
      <c r="BB259" s="274">
        <f t="shared" si="214"/>
        <v>3041</v>
      </c>
      <c r="BC259" s="274">
        <f t="shared" si="215"/>
        <v>3781</v>
      </c>
      <c r="BD259" s="274">
        <f t="shared" si="216"/>
        <v>4474</v>
      </c>
      <c r="BE259" s="274"/>
      <c r="BF259" s="274">
        <f t="shared" si="217"/>
        <v>8968</v>
      </c>
      <c r="BG259" s="274"/>
      <c r="BH259" s="274"/>
      <c r="BI259" s="266">
        <f t="shared" si="218"/>
        <v>0</v>
      </c>
      <c r="BJ259" s="266" t="e">
        <f t="shared" si="219"/>
        <v>#DIV/0!</v>
      </c>
      <c r="BK259" s="263" t="str">
        <f t="shared" si="220"/>
        <v/>
      </c>
      <c r="BL259" s="263" t="str">
        <f t="shared" si="221"/>
        <v/>
      </c>
      <c r="BM259" s="263" t="str">
        <f t="shared" si="222"/>
        <v/>
      </c>
      <c r="BN259" s="263"/>
      <c r="BO259" s="263" t="str">
        <f t="shared" si="223"/>
        <v/>
      </c>
      <c r="BP259" s="263" t="str">
        <f t="shared" si="224"/>
        <v/>
      </c>
      <c r="BQ259" s="263" t="str">
        <f t="shared" si="225"/>
        <v/>
      </c>
      <c r="BR259" s="263" t="str">
        <f t="shared" si="226"/>
        <v/>
      </c>
      <c r="BS259" s="263" t="str">
        <f t="shared" si="227"/>
        <v/>
      </c>
      <c r="BT259" s="263" t="str">
        <f t="shared" si="228"/>
        <v/>
      </c>
      <c r="BU259" s="263" t="str">
        <f t="shared" si="229"/>
        <v/>
      </c>
      <c r="BV259" s="263"/>
      <c r="BW259" s="263" t="str">
        <f t="shared" si="230"/>
        <v/>
      </c>
      <c r="BX259" s="263" t="str">
        <f t="shared" si="258"/>
        <v/>
      </c>
      <c r="BY259" s="263" t="str">
        <f t="shared" si="231"/>
        <v/>
      </c>
      <c r="BZ259" s="263"/>
      <c r="CA259" s="263" t="str">
        <f t="shared" si="254"/>
        <v/>
      </c>
      <c r="CB259" s="263" t="str">
        <f t="shared" si="232"/>
        <v/>
      </c>
      <c r="CC259" s="263" t="str">
        <f t="shared" si="255"/>
        <v/>
      </c>
      <c r="CD259" s="263" t="str">
        <f t="shared" si="233"/>
        <v/>
      </c>
      <c r="CE259" s="263" t="str">
        <f t="shared" si="241"/>
        <v/>
      </c>
      <c r="CF259" s="263" t="str">
        <f t="shared" si="256"/>
        <v/>
      </c>
      <c r="CG259" s="263" t="str">
        <f t="shared" si="257"/>
        <v/>
      </c>
      <c r="CH259" s="263"/>
      <c r="CI259" s="263" t="str">
        <f t="shared" si="234"/>
        <v/>
      </c>
      <c r="CJ259" s="263"/>
      <c r="CK259" s="263" t="str">
        <f t="shared" si="235"/>
        <v/>
      </c>
      <c r="CL259" s="264">
        <f t="shared" si="259"/>
        <v>0</v>
      </c>
      <c r="CM259" s="264">
        <f t="shared" si="236"/>
        <v>0</v>
      </c>
      <c r="CO259" s="265">
        <v>8.5180000000000006E-2</v>
      </c>
      <c r="CP259" s="265">
        <v>9.3369999999999995E-2</v>
      </c>
      <c r="CQ259" s="265">
        <v>9.638999999999999E-2</v>
      </c>
      <c r="CS259" s="265">
        <v>0.1016</v>
      </c>
      <c r="CT259" s="265">
        <v>0.1032</v>
      </c>
      <c r="CU259" s="265">
        <v>0.10474</v>
      </c>
      <c r="CV259" s="265">
        <v>0.10615999999999999</v>
      </c>
      <c r="CW259" s="265">
        <v>0.1084</v>
      </c>
      <c r="CY259" s="265">
        <v>0.11015000000000001</v>
      </c>
      <c r="DA259" s="265">
        <v>0.11449999999999999</v>
      </c>
      <c r="DB259" s="265">
        <v>0.11699</v>
      </c>
      <c r="DC259" s="265">
        <v>0.11496000000000001</v>
      </c>
      <c r="DE259" s="265">
        <v>5.0849999999999999E-2</v>
      </c>
      <c r="DF259" s="265">
        <v>5.16E-2</v>
      </c>
      <c r="DH259" s="265">
        <v>5.1479999999999998E-2</v>
      </c>
      <c r="DI259" s="265">
        <v>5.1269999999999996E-2</v>
      </c>
      <c r="DJ259" s="265">
        <v>5.2949999999999997E-2</v>
      </c>
      <c r="DL259" s="265">
        <v>4.7919999999999997E-2</v>
      </c>
      <c r="DO259" s="264" t="e">
        <f t="shared" si="268"/>
        <v>#N/A</v>
      </c>
      <c r="DP259" s="264" t="e" cm="1">
        <f t="array" ref="DP259">+INDEX(AH259:AV259,MATCH(DO259,AH259:AV259,1)+1)</f>
        <v>#N/A</v>
      </c>
      <c r="DQ259" s="265" t="e">
        <f t="shared" si="269"/>
        <v>#N/A</v>
      </c>
      <c r="DR259" s="267" t="e">
        <f t="shared" si="270"/>
        <v>#N/A</v>
      </c>
      <c r="DS259" s="267" t="e">
        <f t="shared" si="271"/>
        <v>#N/A</v>
      </c>
      <c r="DT259" s="268" t="e">
        <f t="shared" si="272"/>
        <v>#N/A</v>
      </c>
      <c r="DU259" s="268" t="e" cm="1">
        <f t="array" ref="DU259">+INDEX(AX259:BF259,MATCH(DT259,AX259:BF259,1)+1)</f>
        <v>#N/A</v>
      </c>
      <c r="DV259" s="267" t="e">
        <f t="shared" si="249"/>
        <v>#N/A</v>
      </c>
      <c r="DW259" s="267" t="e">
        <f t="shared" si="273"/>
        <v>#N/A</v>
      </c>
      <c r="DX259" s="267" t="e">
        <f t="shared" si="274"/>
        <v>#N/A</v>
      </c>
      <c r="DY259" s="267">
        <f t="shared" si="262"/>
        <v>5.4100000000000002E-2</v>
      </c>
      <c r="DZ259" s="205" t="e">
        <f t="shared" si="239"/>
        <v>#N/A</v>
      </c>
      <c r="EA259" s="205">
        <f t="shared" si="252"/>
        <v>0</v>
      </c>
    </row>
    <row r="260" spans="2:131">
      <c r="B260" s="272">
        <v>45623</v>
      </c>
      <c r="C260" s="271">
        <v>45623</v>
      </c>
      <c r="D260" s="263" t="e">
        <f>+SUMIFS(Tabla6[Nominal COP],Tabla6[Concepto],COSTO_OPORTUNIDAD!$B$18,Tabla6[Nemotécnico],COSTO_OPORTUNIDAD!D$16,Tabla6[Fecha Cumplimiento y/ liquidacion],COSTO_OPORTUNIDAD!$C260)/+SUMIFS(Tabla6[Nominal COP],Tabla6[Concepto],COSTO_OPORTUNIDAD!$B$18,Tabla6[Fecha Cumplimiento y/ liquidacion],COSTO_OPORTUNIDAD!$C260)</f>
        <v>#DIV/0!</v>
      </c>
      <c r="E260" s="263" t="e">
        <f>+SUMIFS(Tabla6[Nominal COP],Tabla6[Concepto],COSTO_OPORTUNIDAD!$B$18,Tabla6[Nemotécnico],COSTO_OPORTUNIDAD!E$16,Tabla6[Fecha Cumplimiento y/ liquidacion],COSTO_OPORTUNIDAD!$C260)/+SUMIFS(Tabla6[Nominal COP],Tabla6[Concepto],COSTO_OPORTUNIDAD!$B$18,Tabla6[Fecha Cumplimiento y/ liquidacion],COSTO_OPORTUNIDAD!$C260)</f>
        <v>#DIV/0!</v>
      </c>
      <c r="F260" s="263"/>
      <c r="G260" s="263"/>
      <c r="H260" s="263">
        <v>0</v>
      </c>
      <c r="I260" s="263"/>
      <c r="J260" s="263">
        <v>6.4338235294117641E-2</v>
      </c>
      <c r="K260" s="263">
        <v>6.6176470588235295E-2</v>
      </c>
      <c r="L260" s="263"/>
      <c r="M260" s="263">
        <v>0</v>
      </c>
      <c r="N260" s="263"/>
      <c r="O260" s="263"/>
      <c r="P260" s="263">
        <v>0</v>
      </c>
      <c r="Q260" s="263"/>
      <c r="R260" s="263">
        <v>0</v>
      </c>
      <c r="S260" s="263">
        <v>0.86948529411764708</v>
      </c>
      <c r="T260" s="263">
        <v>0</v>
      </c>
      <c r="U260" s="263"/>
      <c r="V260" s="263">
        <v>0</v>
      </c>
      <c r="W260" s="263">
        <v>0</v>
      </c>
      <c r="X260" s="263">
        <v>0</v>
      </c>
      <c r="Y260" s="263"/>
      <c r="Z260" s="263">
        <v>0</v>
      </c>
      <c r="AA260" s="263">
        <v>0</v>
      </c>
      <c r="AB260" s="263">
        <v>0</v>
      </c>
      <c r="AC260" s="263"/>
      <c r="AD260" s="263">
        <v>0</v>
      </c>
      <c r="AE260" s="263"/>
      <c r="AF260" s="263"/>
      <c r="AG260" s="262"/>
      <c r="AH260" s="274">
        <f t="shared" si="263"/>
        <v>637</v>
      </c>
      <c r="AI260" s="274">
        <f t="shared" si="263"/>
        <v>1071</v>
      </c>
      <c r="AJ260" s="274">
        <f t="shared" si="263"/>
        <v>1248</v>
      </c>
      <c r="AK260" s="274">
        <f t="shared" si="198"/>
        <v>1729</v>
      </c>
      <c r="AL260" s="274">
        <f t="shared" si="264"/>
        <v>2121</v>
      </c>
      <c r="AM260" s="274">
        <f t="shared" si="264"/>
        <v>2310</v>
      </c>
      <c r="AN260" s="274">
        <f t="shared" si="264"/>
        <v>2772</v>
      </c>
      <c r="AO260" s="274">
        <f t="shared" si="264"/>
        <v>2996</v>
      </c>
      <c r="AP260" s="274">
        <f t="shared" si="264"/>
        <v>3612</v>
      </c>
      <c r="AQ260" s="274"/>
      <c r="AR260" s="274">
        <f t="shared" si="208"/>
        <v>4242</v>
      </c>
      <c r="AS260" s="274">
        <f t="shared" si="199"/>
        <v>5845</v>
      </c>
      <c r="AT260" s="274">
        <f t="shared" si="265"/>
        <v>6391</v>
      </c>
      <c r="AU260" s="274">
        <f t="shared" si="265"/>
        <v>7910</v>
      </c>
      <c r="AV260" s="274">
        <f t="shared" si="265"/>
        <v>9464</v>
      </c>
      <c r="AW260" s="274"/>
      <c r="AX260" s="274">
        <f t="shared" si="266"/>
        <v>161</v>
      </c>
      <c r="AY260" s="274">
        <f t="shared" si="266"/>
        <v>840</v>
      </c>
      <c r="AZ260" s="274">
        <f t="shared" si="267"/>
        <v>1603</v>
      </c>
      <c r="BA260" s="274"/>
      <c r="BB260" s="274">
        <f t="shared" si="214"/>
        <v>3040</v>
      </c>
      <c r="BC260" s="274">
        <f t="shared" si="215"/>
        <v>3780</v>
      </c>
      <c r="BD260" s="274">
        <f t="shared" si="216"/>
        <v>4473</v>
      </c>
      <c r="BE260" s="274"/>
      <c r="BF260" s="274">
        <f t="shared" si="217"/>
        <v>8967</v>
      </c>
      <c r="BG260" s="274"/>
      <c r="BH260" s="274"/>
      <c r="BI260" s="266">
        <f t="shared" si="218"/>
        <v>0</v>
      </c>
      <c r="BJ260" s="266" t="e">
        <f t="shared" si="219"/>
        <v>#DIV/0!</v>
      </c>
      <c r="BK260" s="263" t="str">
        <f t="shared" si="220"/>
        <v/>
      </c>
      <c r="BL260" s="263" t="str">
        <f t="shared" si="221"/>
        <v/>
      </c>
      <c r="BM260" s="263" t="str">
        <f t="shared" si="222"/>
        <v/>
      </c>
      <c r="BN260" s="263"/>
      <c r="BO260" s="263" t="str">
        <f t="shared" si="223"/>
        <v/>
      </c>
      <c r="BP260" s="263" t="str">
        <f t="shared" si="224"/>
        <v/>
      </c>
      <c r="BQ260" s="263" t="str">
        <f t="shared" si="225"/>
        <v/>
      </c>
      <c r="BR260" s="263" t="str">
        <f t="shared" si="226"/>
        <v/>
      </c>
      <c r="BS260" s="263" t="str">
        <f t="shared" si="227"/>
        <v/>
      </c>
      <c r="BT260" s="263" t="str">
        <f t="shared" si="228"/>
        <v/>
      </c>
      <c r="BU260" s="263" t="str">
        <f t="shared" si="229"/>
        <v/>
      </c>
      <c r="BV260" s="263"/>
      <c r="BW260" s="263" t="str">
        <f t="shared" si="230"/>
        <v/>
      </c>
      <c r="BX260" s="263" t="str">
        <f t="shared" si="258"/>
        <v/>
      </c>
      <c r="BY260" s="263" t="str">
        <f t="shared" si="231"/>
        <v/>
      </c>
      <c r="BZ260" s="263"/>
      <c r="CA260" s="263" t="str">
        <f t="shared" si="254"/>
        <v/>
      </c>
      <c r="CB260" s="263" t="str">
        <f t="shared" si="232"/>
        <v/>
      </c>
      <c r="CC260" s="263" t="str">
        <f t="shared" si="255"/>
        <v/>
      </c>
      <c r="CD260" s="263" t="str">
        <f t="shared" si="233"/>
        <v/>
      </c>
      <c r="CE260" s="263" t="str">
        <f t="shared" si="241"/>
        <v/>
      </c>
      <c r="CF260" s="263" t="str">
        <f t="shared" si="256"/>
        <v/>
      </c>
      <c r="CG260" s="263" t="str">
        <f t="shared" si="257"/>
        <v/>
      </c>
      <c r="CH260" s="263"/>
      <c r="CI260" s="263" t="str">
        <f t="shared" si="234"/>
        <v/>
      </c>
      <c r="CJ260" s="263"/>
      <c r="CK260" s="263" t="str">
        <f t="shared" si="235"/>
        <v/>
      </c>
      <c r="CL260" s="264">
        <f t="shared" si="259"/>
        <v>0</v>
      </c>
      <c r="CM260" s="264">
        <f t="shared" si="236"/>
        <v>0</v>
      </c>
      <c r="CO260" s="265">
        <v>8.3989999999999995E-2</v>
      </c>
      <c r="CP260" s="265">
        <v>9.3000000000000013E-2</v>
      </c>
      <c r="CQ260" s="265">
        <v>9.5899999999999999E-2</v>
      </c>
      <c r="CS260" s="265">
        <v>0.10150000000000001</v>
      </c>
      <c r="CT260" s="265">
        <v>0.10382</v>
      </c>
      <c r="CU260" s="265">
        <v>0.10471</v>
      </c>
      <c r="CV260" s="265">
        <v>0.10561999999999999</v>
      </c>
      <c r="CW260" s="265">
        <v>0.10800000000000001</v>
      </c>
      <c r="CY260" s="265">
        <v>0.11048999999999999</v>
      </c>
      <c r="DA260" s="265">
        <v>0.11459</v>
      </c>
      <c r="DB260" s="265">
        <v>0.11699999999999999</v>
      </c>
      <c r="DC260" s="265">
        <v>0.1152</v>
      </c>
      <c r="DE260" s="265">
        <v>5.1790000000000003E-2</v>
      </c>
      <c r="DF260" s="265">
        <v>5.1980000000000005E-2</v>
      </c>
      <c r="DH260" s="265">
        <v>5.2350000000000001E-2</v>
      </c>
      <c r="DI260" s="265">
        <v>5.2199999999999996E-2</v>
      </c>
      <c r="DJ260" s="265">
        <v>5.2569999999999999E-2</v>
      </c>
      <c r="DL260" s="265">
        <v>4.7800000000000002E-2</v>
      </c>
      <c r="DO260" s="264" t="e">
        <f t="shared" si="268"/>
        <v>#N/A</v>
      </c>
      <c r="DP260" s="264" t="e" cm="1">
        <f t="array" ref="DP260">+INDEX(AH260:AV260,MATCH(DO260,AH260:AV260,1)+1)</f>
        <v>#N/A</v>
      </c>
      <c r="DQ260" s="265" t="e">
        <f t="shared" si="269"/>
        <v>#N/A</v>
      </c>
      <c r="DR260" s="267" t="e">
        <f t="shared" si="270"/>
        <v>#N/A</v>
      </c>
      <c r="DS260" s="267" t="e">
        <f t="shared" si="271"/>
        <v>#N/A</v>
      </c>
      <c r="DT260" s="268" t="e">
        <f t="shared" si="272"/>
        <v>#N/A</v>
      </c>
      <c r="DU260" s="268" t="e" cm="1">
        <f t="array" ref="DU260">+INDEX(AX260:BF260,MATCH(DT260,AX260:BF260,1)+1)</f>
        <v>#N/A</v>
      </c>
      <c r="DV260" s="267" t="e">
        <f t="shared" si="249"/>
        <v>#N/A</v>
      </c>
      <c r="DW260" s="267" t="e">
        <f t="shared" si="273"/>
        <v>#N/A</v>
      </c>
      <c r="DX260" s="267" t="e">
        <f t="shared" si="274"/>
        <v>#N/A</v>
      </c>
      <c r="DY260" s="267">
        <f t="shared" si="262"/>
        <v>5.4100000000000002E-2</v>
      </c>
      <c r="DZ260" s="205" t="e">
        <f t="shared" si="239"/>
        <v>#N/A</v>
      </c>
      <c r="EA260" s="205">
        <f t="shared" si="252"/>
        <v>0</v>
      </c>
    </row>
    <row r="261" spans="2:131">
      <c r="B261" s="272">
        <v>45625</v>
      </c>
      <c r="C261" s="271">
        <v>45625</v>
      </c>
      <c r="D261" s="263" t="e">
        <f>+SUMIFS(Tabla6[Nominal COP],Tabla6[Concepto],COSTO_OPORTUNIDAD!$B$18,Tabla6[Nemotécnico],COSTO_OPORTUNIDAD!D$16,Tabla6[Fecha Cumplimiento y/ liquidacion],COSTO_OPORTUNIDAD!$C261)/+SUMIFS(Tabla6[Nominal COP],Tabla6[Concepto],COSTO_OPORTUNIDAD!$B$18,Tabla6[Fecha Cumplimiento y/ liquidacion],COSTO_OPORTUNIDAD!$C261)</f>
        <v>#DIV/0!</v>
      </c>
      <c r="E261" s="263" t="e">
        <f>+SUMIFS(Tabla6[Nominal COP],Tabla6[Concepto],COSTO_OPORTUNIDAD!$B$18,Tabla6[Nemotécnico],COSTO_OPORTUNIDAD!E$16,Tabla6[Fecha Cumplimiento y/ liquidacion],COSTO_OPORTUNIDAD!$C261)/+SUMIFS(Tabla6[Nominal COP],Tabla6[Concepto],COSTO_OPORTUNIDAD!$B$18,Tabla6[Fecha Cumplimiento y/ liquidacion],COSTO_OPORTUNIDAD!$C261)</f>
        <v>#DIV/0!</v>
      </c>
      <c r="F261" s="263"/>
      <c r="G261" s="263"/>
      <c r="H261" s="263">
        <v>0</v>
      </c>
      <c r="I261" s="263"/>
      <c r="J261" s="263">
        <v>9.9800399201596807E-2</v>
      </c>
      <c r="K261" s="263">
        <v>9.9800399201596807E-2</v>
      </c>
      <c r="L261" s="263"/>
      <c r="M261" s="263">
        <v>0</v>
      </c>
      <c r="N261" s="263"/>
      <c r="O261" s="263"/>
      <c r="P261" s="263">
        <v>0</v>
      </c>
      <c r="Q261" s="263"/>
      <c r="R261" s="263">
        <v>0</v>
      </c>
      <c r="S261" s="263">
        <v>0.80039920159680644</v>
      </c>
      <c r="T261" s="263">
        <v>0</v>
      </c>
      <c r="U261" s="263"/>
      <c r="V261" s="263">
        <v>0</v>
      </c>
      <c r="W261" s="263">
        <v>0</v>
      </c>
      <c r="X261" s="263">
        <v>0</v>
      </c>
      <c r="Y261" s="263"/>
      <c r="Z261" s="263">
        <v>0</v>
      </c>
      <c r="AA261" s="263">
        <v>0</v>
      </c>
      <c r="AB261" s="263">
        <v>0</v>
      </c>
      <c r="AC261" s="263"/>
      <c r="AD261" s="263">
        <v>0</v>
      </c>
      <c r="AE261" s="263"/>
      <c r="AF261" s="263"/>
      <c r="AG261" s="262"/>
      <c r="AH261" s="274">
        <f t="shared" si="263"/>
        <v>635</v>
      </c>
      <c r="AI261" s="274">
        <f t="shared" si="263"/>
        <v>1069</v>
      </c>
      <c r="AJ261" s="274">
        <f t="shared" si="263"/>
        <v>1246</v>
      </c>
      <c r="AK261" s="274">
        <f t="shared" si="198"/>
        <v>1727</v>
      </c>
      <c r="AL261" s="274">
        <f t="shared" si="264"/>
        <v>2119</v>
      </c>
      <c r="AM261" s="274">
        <f t="shared" si="264"/>
        <v>2308</v>
      </c>
      <c r="AN261" s="274">
        <f t="shared" si="264"/>
        <v>2770</v>
      </c>
      <c r="AO261" s="274">
        <f t="shared" si="264"/>
        <v>2994</v>
      </c>
      <c r="AP261" s="274">
        <f t="shared" si="264"/>
        <v>3610</v>
      </c>
      <c r="AQ261" s="274"/>
      <c r="AR261" s="274">
        <f t="shared" si="208"/>
        <v>4240</v>
      </c>
      <c r="AS261" s="274">
        <f t="shared" si="199"/>
        <v>5843</v>
      </c>
      <c r="AT261" s="274">
        <f t="shared" si="265"/>
        <v>6389</v>
      </c>
      <c r="AU261" s="274">
        <f t="shared" si="265"/>
        <v>7908</v>
      </c>
      <c r="AV261" s="274">
        <f t="shared" si="265"/>
        <v>9462</v>
      </c>
      <c r="AW261" s="274"/>
      <c r="AX261" s="274">
        <f t="shared" si="266"/>
        <v>159</v>
      </c>
      <c r="AY261" s="274">
        <f t="shared" si="266"/>
        <v>838</v>
      </c>
      <c r="AZ261" s="274">
        <f t="shared" si="267"/>
        <v>1601</v>
      </c>
      <c r="BA261" s="274"/>
      <c r="BB261" s="274">
        <f t="shared" si="214"/>
        <v>3038</v>
      </c>
      <c r="BC261" s="274">
        <f t="shared" si="215"/>
        <v>3778</v>
      </c>
      <c r="BD261" s="274">
        <f t="shared" si="216"/>
        <v>4471</v>
      </c>
      <c r="BE261" s="274"/>
      <c r="BF261" s="274">
        <f t="shared" si="217"/>
        <v>8965</v>
      </c>
      <c r="BG261" s="274"/>
      <c r="BH261" s="274"/>
      <c r="BI261" s="266">
        <f t="shared" si="218"/>
        <v>0</v>
      </c>
      <c r="BJ261" s="266" t="e">
        <f t="shared" si="219"/>
        <v>#DIV/0!</v>
      </c>
      <c r="BK261" s="263" t="str">
        <f t="shared" si="220"/>
        <v/>
      </c>
      <c r="BL261" s="263" t="str">
        <f t="shared" si="221"/>
        <v/>
      </c>
      <c r="BM261" s="263" t="str">
        <f t="shared" si="222"/>
        <v/>
      </c>
      <c r="BN261" s="263"/>
      <c r="BO261" s="263" t="str">
        <f t="shared" si="223"/>
        <v/>
      </c>
      <c r="BP261" s="263" t="str">
        <f t="shared" si="224"/>
        <v/>
      </c>
      <c r="BQ261" s="263" t="str">
        <f t="shared" si="225"/>
        <v/>
      </c>
      <c r="BR261" s="263" t="str">
        <f t="shared" si="226"/>
        <v/>
      </c>
      <c r="BS261" s="263" t="str">
        <f t="shared" si="227"/>
        <v/>
      </c>
      <c r="BT261" s="263" t="str">
        <f t="shared" si="228"/>
        <v/>
      </c>
      <c r="BU261" s="263" t="str">
        <f t="shared" si="229"/>
        <v/>
      </c>
      <c r="BV261" s="263"/>
      <c r="BW261" s="263" t="str">
        <f t="shared" si="230"/>
        <v/>
      </c>
      <c r="BX261" s="263" t="str">
        <f t="shared" si="258"/>
        <v/>
      </c>
      <c r="BY261" s="263" t="str">
        <f t="shared" si="231"/>
        <v/>
      </c>
      <c r="BZ261" s="263"/>
      <c r="CA261" s="263" t="str">
        <f t="shared" si="254"/>
        <v/>
      </c>
      <c r="CB261" s="263" t="str">
        <f t="shared" si="232"/>
        <v/>
      </c>
      <c r="CC261" s="263" t="str">
        <f t="shared" si="255"/>
        <v/>
      </c>
      <c r="CD261" s="263" t="str">
        <f t="shared" si="233"/>
        <v/>
      </c>
      <c r="CE261" s="263" t="str">
        <f t="shared" si="241"/>
        <v/>
      </c>
      <c r="CF261" s="263" t="str">
        <f t="shared" si="256"/>
        <v/>
      </c>
      <c r="CG261" s="263" t="str">
        <f t="shared" si="257"/>
        <v/>
      </c>
      <c r="CH261" s="263"/>
      <c r="CI261" s="263" t="str">
        <f t="shared" si="234"/>
        <v/>
      </c>
      <c r="CJ261" s="263"/>
      <c r="CK261" s="263" t="str">
        <f t="shared" si="235"/>
        <v/>
      </c>
      <c r="CL261" s="264">
        <f t="shared" si="259"/>
        <v>0</v>
      </c>
      <c r="CM261" s="264">
        <f t="shared" si="236"/>
        <v>0</v>
      </c>
      <c r="CO261" s="265">
        <v>8.3800000000000013E-2</v>
      </c>
      <c r="CP261" s="265">
        <v>9.3439999999999995E-2</v>
      </c>
      <c r="CQ261" s="265">
        <v>9.605000000000001E-2</v>
      </c>
      <c r="CS261" s="265">
        <v>0.10164999999999999</v>
      </c>
      <c r="CT261" s="265">
        <v>0.10452</v>
      </c>
      <c r="CU261" s="265">
        <v>0.10566</v>
      </c>
      <c r="CV261" s="265">
        <v>0.10705000000000001</v>
      </c>
      <c r="CW261" s="265">
        <v>0.10920000000000001</v>
      </c>
      <c r="CY261" s="265">
        <v>0.11112</v>
      </c>
      <c r="DA261" s="265">
        <v>0.11560000000000001</v>
      </c>
      <c r="DB261" s="265">
        <v>0.11849999999999999</v>
      </c>
      <c r="DC261" s="265">
        <v>0.11630000000000001</v>
      </c>
      <c r="DE261" s="265">
        <v>5.1150000000000001E-2</v>
      </c>
      <c r="DF261" s="265">
        <v>5.1630000000000002E-2</v>
      </c>
      <c r="DH261" s="265">
        <v>5.1970000000000002E-2</v>
      </c>
      <c r="DI261" s="265">
        <v>5.2199999999999996E-2</v>
      </c>
      <c r="DJ261" s="265">
        <v>5.2690000000000001E-2</v>
      </c>
      <c r="DL261" s="265">
        <v>4.7710000000000002E-2</v>
      </c>
      <c r="DO261" s="264" t="e">
        <f t="shared" si="268"/>
        <v>#N/A</v>
      </c>
      <c r="DP261" s="264" t="e" cm="1">
        <f t="array" ref="DP261">+INDEX(AH261:AV261,MATCH(DO261,AH261:AV261,1)+1)</f>
        <v>#N/A</v>
      </c>
      <c r="DQ261" s="265" t="e">
        <f t="shared" si="269"/>
        <v>#N/A</v>
      </c>
      <c r="DR261" s="267" t="e">
        <f t="shared" si="270"/>
        <v>#N/A</v>
      </c>
      <c r="DS261" s="267" t="e">
        <f t="shared" si="271"/>
        <v>#N/A</v>
      </c>
      <c r="DT261" s="268" t="e">
        <f t="shared" si="272"/>
        <v>#N/A</v>
      </c>
      <c r="DU261" s="268" t="e" cm="1">
        <f t="array" ref="DU261">+INDEX(AX261:BF261,MATCH(DT261,AX261:BF261,1)+1)</f>
        <v>#N/A</v>
      </c>
      <c r="DV261" s="267" t="e">
        <f t="shared" si="249"/>
        <v>#N/A</v>
      </c>
      <c r="DW261" s="267" t="e">
        <f t="shared" si="273"/>
        <v>#N/A</v>
      </c>
      <c r="DX261" s="267" t="e">
        <f t="shared" si="274"/>
        <v>#N/A</v>
      </c>
      <c r="DY261" s="267">
        <f t="shared" si="262"/>
        <v>5.4100000000000002E-2</v>
      </c>
      <c r="DZ261" s="205" t="e">
        <f t="shared" si="239"/>
        <v>#N/A</v>
      </c>
      <c r="EA261" s="205">
        <f t="shared" si="252"/>
        <v>0</v>
      </c>
    </row>
    <row r="262" spans="2:131">
      <c r="B262" s="272">
        <v>45700</v>
      </c>
      <c r="C262" s="271">
        <v>45700</v>
      </c>
      <c r="D262" s="263">
        <f>+SUMIFS(Tabla6[Nominal COP],Tabla6[Concepto],COSTO_OPORTUNIDAD!$B$18,Tabla6[Nemotécnico],COSTO_OPORTUNIDAD!D$16,Tabla6[Fecha Cumplimiento y/ liquidacion],COSTO_OPORTUNIDAD!$C262)/+SUMIFS(Tabla6[Nominal COP],Tabla6[Concepto],COSTO_OPORTUNIDAD!$B$18,Tabla6[Fecha Cumplimiento y/ liquidacion],COSTO_OPORTUNIDAD!$C262)</f>
        <v>0</v>
      </c>
      <c r="E262" s="263">
        <f>+SUMIFS(Tabla6[Nominal COP],Tabla6[Concepto],COSTO_OPORTUNIDAD!$B$18,Tabla6[Nemotécnico],COSTO_OPORTUNIDAD!E$16,Tabla6[Fecha Cumplimiento y/ liquidacion],COSTO_OPORTUNIDAD!$C262)/+SUMIFS(Tabla6[Nominal COP],Tabla6[Concepto],COSTO_OPORTUNIDAD!$B$18,Tabla6[Fecha Cumplimiento y/ liquidacion],COSTO_OPORTUNIDAD!$C262)</f>
        <v>0</v>
      </c>
      <c r="F262" s="263">
        <f>+SUMIFS(Tabla6[Nominal COP],Tabla6[Concepto],COSTO_OPORTUNIDAD!$B$18,Tabla6[Nemotécnico],COSTO_OPORTUNIDAD!F$16,Tabla6[Fecha Cumplimiento y/ liquidacion],COSTO_OPORTUNIDAD!$C262)/+SUMIFS(Tabla6[Nominal COP],Tabla6[Concepto],COSTO_OPORTUNIDAD!$B$18,Tabla6[Fecha Cumplimiento y/ liquidacion],COSTO_OPORTUNIDAD!$C262)</f>
        <v>0</v>
      </c>
      <c r="G262" s="263">
        <f>+SUMIFS(Tabla6[Nominal COP],Tabla6[Concepto],COSTO_OPORTUNIDAD!$B$18,Tabla6[Nemotécnico],COSTO_OPORTUNIDAD!G$16,Tabla6[Fecha Cumplimiento y/ liquidacion],COSTO_OPORTUNIDAD!$C262)/+SUMIFS(Tabla6[Nominal COP],Tabla6[Concepto],COSTO_OPORTUNIDAD!$B$18,Tabla6[Fecha Cumplimiento y/ liquidacion],COSTO_OPORTUNIDAD!$C262)</f>
        <v>0</v>
      </c>
      <c r="H262" s="263">
        <f>+SUMIFS(Tabla6[Nominal COP],Tabla6[Concepto],COSTO_OPORTUNIDAD!$B$18,Tabla6[Nemotécnico],COSTO_OPORTUNIDAD!H$16,Tabla6[Fecha Cumplimiento y/ liquidacion],COSTO_OPORTUNIDAD!$C262)/+SUMIFS(Tabla6[Nominal COP],Tabla6[Concepto],COSTO_OPORTUNIDAD!$B$18,Tabla6[Fecha Cumplimiento y/ liquidacion],COSTO_OPORTUNIDAD!$C262)</f>
        <v>0</v>
      </c>
      <c r="I262" s="263"/>
      <c r="J262" s="263">
        <f>+SUMIFS(Tabla6[Nominal COP],Tabla6[Concepto],COSTO_OPORTUNIDAD!$B$18,Tabla6[Nemotécnico],COSTO_OPORTUNIDAD!J$16,Tabla6[Fecha Cumplimiento y/ liquidacion],COSTO_OPORTUNIDAD!$C262)/+SUMIFS(Tabla6[Nominal COP],Tabla6[Concepto],COSTO_OPORTUNIDAD!$B$18,Tabla6[Fecha Cumplimiento y/ liquidacion],COSTO_OPORTUNIDAD!$C262)</f>
        <v>0</v>
      </c>
      <c r="K262" s="263">
        <f>+SUMIFS(Tabla6[Nominal COP],Tabla6[Concepto],COSTO_OPORTUNIDAD!$B$18,Tabla6[Nemotécnico],COSTO_OPORTUNIDAD!K$16,Tabla6[Fecha Cumplimiento y/ liquidacion],COSTO_OPORTUNIDAD!$C262)/+SUMIFS(Tabla6[Nominal COP],Tabla6[Concepto],COSTO_OPORTUNIDAD!$B$18,Tabla6[Fecha Cumplimiento y/ liquidacion],COSTO_OPORTUNIDAD!$C262)</f>
        <v>0</v>
      </c>
      <c r="L262" s="263">
        <f>+SUMIFS(Tabla6[Nominal COP],Tabla6[Concepto],COSTO_OPORTUNIDAD!$B$18,Tabla6[Nemotécnico],COSTO_OPORTUNIDAD!L$16,Tabla6[Fecha Cumplimiento y/ liquidacion],COSTO_OPORTUNIDAD!$C262)/+SUMIFS(Tabla6[Nominal COP],Tabla6[Concepto],COSTO_OPORTUNIDAD!$B$18,Tabla6[Fecha Cumplimiento y/ liquidacion],COSTO_OPORTUNIDAD!$C262)</f>
        <v>0</v>
      </c>
      <c r="M262" s="263">
        <f>+SUMIFS(Tabla6[Nominal COP],Tabla6[Concepto],COSTO_OPORTUNIDAD!$B$18,Tabla6[Nemotécnico],COSTO_OPORTUNIDAD!M$16,Tabla6[Fecha Cumplimiento y/ liquidacion],COSTO_OPORTUNIDAD!$C262)/+SUMIFS(Tabla6[Nominal COP],Tabla6[Concepto],COSTO_OPORTUNIDAD!$B$18,Tabla6[Fecha Cumplimiento y/ liquidacion],COSTO_OPORTUNIDAD!$C262)</f>
        <v>0</v>
      </c>
      <c r="N262" s="263">
        <f>+SUMIFS(Tabla6[Nominal COP],Tabla6[Concepto],COSTO_OPORTUNIDAD!$B$18,Tabla6[Nemotécnico],COSTO_OPORTUNIDAD!N$16,Tabla6[Fecha Cumplimiento y/ liquidacion],COSTO_OPORTUNIDAD!$C262)/+SUMIFS(Tabla6[Nominal COP],Tabla6[Concepto],COSTO_OPORTUNIDAD!$B$18,Tabla6[Fecha Cumplimiento y/ liquidacion],COSTO_OPORTUNIDAD!$C262)</f>
        <v>0</v>
      </c>
      <c r="O262" s="263"/>
      <c r="P262" s="263">
        <f>+SUMIFS(Tabla6[Nominal COP],Tabla6[Concepto],COSTO_OPORTUNIDAD!$B$18,Tabla6[Nemotécnico],COSTO_OPORTUNIDAD!P$16,Tabla6[Fecha Cumplimiento y/ liquidacion],COSTO_OPORTUNIDAD!$C262)/+SUMIFS(Tabla6[Nominal COP],Tabla6[Concepto],COSTO_OPORTUNIDAD!$B$18,Tabla6[Fecha Cumplimiento y/ liquidacion],COSTO_OPORTUNIDAD!$C262)</f>
        <v>0</v>
      </c>
      <c r="Q262" s="263"/>
      <c r="R262" s="263">
        <f>+SUMIFS(Tabla6[Nominal COP],Tabla6[Concepto],COSTO_OPORTUNIDAD!$B$18,Tabla6[Nemotécnico],COSTO_OPORTUNIDAD!R$16,Tabla6[Fecha Cumplimiento y/ liquidacion],COSTO_OPORTUNIDAD!$C262)/+SUMIFS(Tabla6[Nominal COP],Tabla6[Concepto],COSTO_OPORTUNIDAD!$B$18,Tabla6[Fecha Cumplimiento y/ liquidacion],COSTO_OPORTUNIDAD!$C262)</f>
        <v>0</v>
      </c>
      <c r="S262" s="263">
        <f>+SUMIFS(Tabla6[Nominal COP],Tabla6[Concepto],COSTO_OPORTUNIDAD!$B$18,Tabla6[Nemotécnico],COSTO_OPORTUNIDAD!S$16,Tabla6[Fecha Cumplimiento y/ liquidacion],COSTO_OPORTUNIDAD!$C262)/+SUMIFS(Tabla6[Nominal COP],Tabla6[Concepto],COSTO_OPORTUNIDAD!$B$18,Tabla6[Fecha Cumplimiento y/ liquidacion],COSTO_OPORTUNIDAD!$C262)</f>
        <v>1</v>
      </c>
      <c r="T262" s="263">
        <f>+SUMIFS(Tabla6[Nominal COP],Tabla6[Concepto],COSTO_OPORTUNIDAD!$B$18,Tabla6[Nemotécnico],COSTO_OPORTUNIDAD!T$16,Tabla6[Fecha Cumplimiento y/ liquidacion],COSTO_OPORTUNIDAD!$C262)/+SUMIFS(Tabla6[Nominal COP],Tabla6[Concepto],COSTO_OPORTUNIDAD!$B$18,Tabla6[Fecha Cumplimiento y/ liquidacion],COSTO_OPORTUNIDAD!$C262)</f>
        <v>0</v>
      </c>
      <c r="U262" s="263"/>
      <c r="V262" s="263">
        <f>+SUMIFS(Tabla6[Nominal COP],Tabla6[Concepto],COSTO_OPORTUNIDAD!$B$18,Tabla6[Nemotécnico],COSTO_OPORTUNIDAD!V$16,Tabla6[Fecha Cumplimiento y/ liquidacion],COSTO_OPORTUNIDAD!$C262)/+SUMIFS(Tabla6[Nominal COP],Tabla6[Concepto],COSTO_OPORTUNIDAD!$B$18,Tabla6[Fecha Cumplimiento y/ liquidacion],COSTO_OPORTUNIDAD!$C262)</f>
        <v>0</v>
      </c>
      <c r="W262" s="263">
        <f>+SUMIFS(Tabla6[Nominal COP],Tabla6[Concepto],COSTO_OPORTUNIDAD!$B$18,Tabla6[Nemotécnico],COSTO_OPORTUNIDAD!W$16,Tabla6[Fecha Cumplimiento y/ liquidacion],COSTO_OPORTUNIDAD!$C262)/+SUMIFS(Tabla6[Nominal COP],Tabla6[Concepto],COSTO_OPORTUNIDAD!$B$18,Tabla6[Fecha Cumplimiento y/ liquidacion],COSTO_OPORTUNIDAD!$C262)</f>
        <v>0</v>
      </c>
      <c r="X262" s="263">
        <f>+SUMIFS(Tabla6[Nominal COP],Tabla6[Concepto],COSTO_OPORTUNIDAD!$B$18,Tabla6[Nemotécnico],COSTO_OPORTUNIDAD!X$16,Tabla6[Fecha Cumplimiento y/ liquidacion],COSTO_OPORTUNIDAD!$C262)/+SUMIFS(Tabla6[Nominal COP],Tabla6[Concepto],COSTO_OPORTUNIDAD!$B$18,Tabla6[Fecha Cumplimiento y/ liquidacion],COSTO_OPORTUNIDAD!$C262)</f>
        <v>0</v>
      </c>
      <c r="Y262" s="263"/>
      <c r="Z262" s="263">
        <f>+SUMIFS(Tabla6[Nominal COP],Tabla6[Concepto],COSTO_OPORTUNIDAD!$B$18,Tabla6[Nemotécnico],COSTO_OPORTUNIDAD!Z$16,Tabla6[Fecha Cumplimiento y/ liquidacion],COSTO_OPORTUNIDAD!$C262)/+SUMIFS(Tabla6[Nominal COP],Tabla6[Concepto],COSTO_OPORTUNIDAD!$B$18,Tabla6[Fecha Cumplimiento y/ liquidacion],COSTO_OPORTUNIDAD!$C262)</f>
        <v>0</v>
      </c>
      <c r="AA262" s="263">
        <f>+SUMIFS(Tabla6[Nominal COP],Tabla6[Concepto],COSTO_OPORTUNIDAD!$B$18,Tabla6[Nemotécnico],COSTO_OPORTUNIDAD!AA$16,Tabla6[Fecha Cumplimiento y/ liquidacion],COSTO_OPORTUNIDAD!$C262)/+SUMIFS(Tabla6[Nominal COP],Tabla6[Concepto],COSTO_OPORTUNIDAD!$B$18,Tabla6[Fecha Cumplimiento y/ liquidacion],COSTO_OPORTUNIDAD!$C262)</f>
        <v>0</v>
      </c>
      <c r="AB262" s="263">
        <f>+SUMIFS(Tabla6[Nominal COP],Tabla6[Concepto],COSTO_OPORTUNIDAD!$B$18,Tabla6[Nemotécnico],COSTO_OPORTUNIDAD!AB$16,Tabla6[Fecha Cumplimiento y/ liquidacion],COSTO_OPORTUNIDAD!$C262)/+SUMIFS(Tabla6[Nominal COP],Tabla6[Concepto],COSTO_OPORTUNIDAD!$B$18,Tabla6[Fecha Cumplimiento y/ liquidacion],COSTO_OPORTUNIDAD!$C262)</f>
        <v>0</v>
      </c>
      <c r="AC262" s="263">
        <f>+SUMIFS(Tabla6[Nominal COP],Tabla6[Concepto],COSTO_OPORTUNIDAD!$B$18,Tabla6[Nemotécnico],COSTO_OPORTUNIDAD!AC$16,Tabla6[Fecha Cumplimiento y/ liquidacion],COSTO_OPORTUNIDAD!$C262)/+SUMIFS(Tabla6[Nominal COP],Tabla6[Concepto],COSTO_OPORTUNIDAD!$B$18,Tabla6[Fecha Cumplimiento y/ liquidacion],COSTO_OPORTUNIDAD!$C262)</f>
        <v>0</v>
      </c>
      <c r="AD262" s="263">
        <f>+SUMIFS(Tabla6[Nominal COP],Tabla6[Concepto],COSTO_OPORTUNIDAD!$B$18,Tabla6[Nemotécnico],COSTO_OPORTUNIDAD!AC$16,Tabla6[Fecha Cumplimiento y/ liquidacion],COSTO_OPORTUNIDAD!$C262)/+SUMIFS(Tabla6[Nominal COP],Tabla6[Concepto],COSTO_OPORTUNIDAD!$B$18,Tabla6[Fecha Cumplimiento y/ liquidacion],COSTO_OPORTUNIDAD!$C262)</f>
        <v>0</v>
      </c>
      <c r="AE262" s="263">
        <f>+SUMIFS(Tabla6[Nominal COP],Tabla6[Concepto],COSTO_OPORTUNIDAD!$B$18,Tabla6[Nemotécnico],COSTO_OPORTUNIDAD!AE$16,Tabla6[Fecha Cumplimiento y/ liquidacion],COSTO_OPORTUNIDAD!$C262)/+SUMIFS(Tabla6[Nominal COP],Tabla6[Concepto],COSTO_OPORTUNIDAD!$B$18,Tabla6[Fecha Cumplimiento y/ liquidacion],COSTO_OPORTUNIDAD!$C262)</f>
        <v>0</v>
      </c>
      <c r="AF262" s="263"/>
      <c r="AG262" s="262"/>
      <c r="AH262" s="274">
        <f t="shared" ref="AH262:AH281" si="275">(F$17-$B262)</f>
        <v>560</v>
      </c>
      <c r="AI262" s="274">
        <f t="shared" ref="AI262:AI281" si="276">(G$17-$B262)</f>
        <v>994</v>
      </c>
      <c r="AJ262" s="274">
        <f t="shared" ref="AJ262:AJ281" si="277">(H$17-$B262)</f>
        <v>1171</v>
      </c>
      <c r="AK262" s="274">
        <f t="shared" si="198"/>
        <v>1652</v>
      </c>
      <c r="AL262" s="274">
        <f t="shared" ref="AL262:AL291" si="278">(J$17-$B262)</f>
        <v>2044</v>
      </c>
      <c r="AM262" s="274">
        <f t="shared" ref="AM262:AM291" si="279">(K$17-$B262)</f>
        <v>2233</v>
      </c>
      <c r="AN262" s="274">
        <f t="shared" ref="AN262:AN291" si="280">(L$17-$B262)</f>
        <v>2695</v>
      </c>
      <c r="AO262" s="274">
        <f t="shared" ref="AO262:AO291" si="281">(M$17-$B262)</f>
        <v>2919</v>
      </c>
      <c r="AP262" s="274">
        <f t="shared" ref="AP262:AP291" si="282">(N$17-$B262)</f>
        <v>3535</v>
      </c>
      <c r="AQ262" s="274"/>
      <c r="AR262" s="274">
        <f t="shared" si="208"/>
        <v>4165</v>
      </c>
      <c r="AS262" s="274">
        <f t="shared" si="199"/>
        <v>5768</v>
      </c>
      <c r="AT262" s="274">
        <f t="shared" ref="AT262:AT304" si="283">(R$17-$B262)</f>
        <v>6314</v>
      </c>
      <c r="AU262" s="274">
        <f t="shared" ref="AU262:AU304" si="284">(S$17-$B262)</f>
        <v>7833</v>
      </c>
      <c r="AV262" s="274">
        <f t="shared" ref="AV262:AV304" si="285">(T$17-$B262)</f>
        <v>9387</v>
      </c>
      <c r="AW262" s="274"/>
      <c r="AX262" s="274">
        <f t="shared" ref="AX262:AX291" si="286">(V$17-$B262)</f>
        <v>84</v>
      </c>
      <c r="AY262" s="274">
        <f t="shared" ref="AY262:AY291" si="287">(W$17-$B262)</f>
        <v>763</v>
      </c>
      <c r="AZ262" s="274">
        <f t="shared" si="267"/>
        <v>1526</v>
      </c>
      <c r="BA262" s="274"/>
      <c r="BB262" s="274">
        <f t="shared" si="214"/>
        <v>2963</v>
      </c>
      <c r="BC262" s="274">
        <f t="shared" si="215"/>
        <v>3703</v>
      </c>
      <c r="BD262" s="274">
        <f t="shared" si="216"/>
        <v>4396</v>
      </c>
      <c r="BE262" s="274">
        <f t="shared" ref="BE262:BE291" si="288">(AC$17-$B262)</f>
        <v>5880</v>
      </c>
      <c r="BF262" s="274">
        <f t="shared" si="217"/>
        <v>8890</v>
      </c>
      <c r="BG262" s="274">
        <f t="shared" ref="BG262:BG289" si="289">(AE$17-$B262)</f>
        <v>11053</v>
      </c>
      <c r="BH262" s="274"/>
      <c r="BI262" s="266">
        <f t="shared" si="218"/>
        <v>0</v>
      </c>
      <c r="BJ262" s="266">
        <f t="shared" si="219"/>
        <v>1</v>
      </c>
      <c r="BK262" s="263">
        <f t="shared" si="220"/>
        <v>0</v>
      </c>
      <c r="BL262" s="263">
        <f t="shared" si="221"/>
        <v>0</v>
      </c>
      <c r="BM262" s="263">
        <f t="shared" si="222"/>
        <v>0</v>
      </c>
      <c r="BN262" s="263"/>
      <c r="BO262" s="263">
        <f t="shared" si="223"/>
        <v>0</v>
      </c>
      <c r="BP262" s="263">
        <f t="shared" si="224"/>
        <v>0</v>
      </c>
      <c r="BQ262" s="263">
        <f t="shared" si="225"/>
        <v>0</v>
      </c>
      <c r="BR262" s="263">
        <f t="shared" si="226"/>
        <v>0</v>
      </c>
      <c r="BS262" s="263">
        <f t="shared" si="227"/>
        <v>0</v>
      </c>
      <c r="BT262" s="263">
        <f t="shared" si="228"/>
        <v>0</v>
      </c>
      <c r="BU262" s="263">
        <f t="shared" si="229"/>
        <v>0</v>
      </c>
      <c r="BV262" s="263"/>
      <c r="BW262" s="263">
        <f t="shared" si="230"/>
        <v>0</v>
      </c>
      <c r="BX262" s="263">
        <f t="shared" si="258"/>
        <v>1</v>
      </c>
      <c r="BY262" s="263">
        <f t="shared" si="231"/>
        <v>0</v>
      </c>
      <c r="BZ262" s="263"/>
      <c r="CA262" s="263" t="str">
        <f t="shared" si="254"/>
        <v/>
      </c>
      <c r="CB262" s="263" t="str">
        <f t="shared" si="232"/>
        <v/>
      </c>
      <c r="CC262" s="263" t="str">
        <f t="shared" si="255"/>
        <v/>
      </c>
      <c r="CD262" s="263" t="str">
        <f t="shared" si="233"/>
        <v/>
      </c>
      <c r="CE262" s="263" t="str">
        <f t="shared" si="241"/>
        <v/>
      </c>
      <c r="CF262" s="263" t="str">
        <f t="shared" si="256"/>
        <v/>
      </c>
      <c r="CG262" s="263" t="str">
        <f t="shared" si="257"/>
        <v/>
      </c>
      <c r="CH262" s="263" t="str">
        <f t="shared" ref="CH262:CH304" si="290">IFERROR(AC262/$BI262,"")</f>
        <v/>
      </c>
      <c r="CI262" s="263" t="str">
        <f t="shared" si="234"/>
        <v/>
      </c>
      <c r="CJ262" s="263" t="str">
        <f t="shared" ref="CJ262:CJ304" si="291">IFERROR(AE262/$BI262,"")</f>
        <v/>
      </c>
      <c r="CK262" s="263" t="str">
        <f t="shared" si="235"/>
        <v/>
      </c>
      <c r="CL262" s="264">
        <f t="shared" si="259"/>
        <v>7833</v>
      </c>
      <c r="CM262" s="264">
        <f t="shared" ref="CM262:CM287" si="292">ROUND(IFERROR((_xlfn.DAYS($V$17,B262)*CA262),0)+IFERROR((_xlfn.DAYS($Z$17,B262)*CB262),0)+IFERROR((_xlfn.DAYS($W$17,B262)*CC262),0)+IFERROR((_xlfn.DAYS($X$17,B262)*CE262),0)+IFERROR((_xlfn.DAYS($AA$17,B262)*CF262),0)+IFERROR((_xlfn.DAYS($AB$17,B262)*CG262),0)+IFERROR((_xlfn.DAYS($AC$17,B262)*CH262),0)+IFERROR((_xlfn.DAYS($AD$17,B262)*CI262),0)+IFERROR((_xlfn.DAYS($AE$17,B262)*CJ262),0),0)</f>
        <v>0</v>
      </c>
      <c r="CO262" s="265">
        <v>8.7809999999999999E-2</v>
      </c>
      <c r="CP262" s="265">
        <v>9.784000000000001E-2</v>
      </c>
      <c r="CQ262" s="265">
        <v>0.1023</v>
      </c>
      <c r="CS262" s="265">
        <v>0.10904</v>
      </c>
      <c r="CT262" s="265">
        <v>0.11156000000000001</v>
      </c>
      <c r="CU262" s="265">
        <v>0.113</v>
      </c>
      <c r="CV262" s="265">
        <v>0.11502000000000001</v>
      </c>
      <c r="CW262" s="265">
        <v>0.1166</v>
      </c>
      <c r="CY262" s="265">
        <v>0.11923</v>
      </c>
      <c r="DA262" s="265">
        <v>0.12272999999999999</v>
      </c>
      <c r="DB262" s="265">
        <v>0.12570000000000001</v>
      </c>
      <c r="DC262" s="265">
        <v>0.12484999999999999</v>
      </c>
      <c r="DE262" s="265">
        <v>4.5410000000000006E-2</v>
      </c>
      <c r="DF262" s="265">
        <v>5.0179999999999995E-2</v>
      </c>
      <c r="DH262" s="265">
        <v>5.5E-2</v>
      </c>
      <c r="DI262" s="265">
        <v>5.5E-2</v>
      </c>
      <c r="DJ262" s="265">
        <v>5.5899999999999998E-2</v>
      </c>
      <c r="DK262" s="265">
        <v>5.7099999999999998E-2</v>
      </c>
      <c r="DL262" s="265">
        <v>5.1740000000000001E-2</v>
      </c>
      <c r="DM262" s="265">
        <v>5.203E-2</v>
      </c>
      <c r="DO262" s="264">
        <f t="shared" si="268"/>
        <v>7833</v>
      </c>
      <c r="DP262" s="264" cm="1">
        <f t="array" ref="DP262">+INDEX(AH262:AV262,MATCH(DO262,AH262:AV262,1)+1)</f>
        <v>9387</v>
      </c>
      <c r="DQ262" s="265">
        <f t="shared" si="269"/>
        <v>0.12570000000000001</v>
      </c>
      <c r="DR262" s="267">
        <f t="shared" si="270"/>
        <v>0.12484999999999999</v>
      </c>
      <c r="DS262" s="267">
        <f t="shared" si="271"/>
        <v>0.12570000000000001</v>
      </c>
      <c r="DT262" s="268" t="e">
        <f t="shared" ref="DT262:DT302" si="293">+INDEX(AX262:BG262,MATCH(CM262,AX262:BG262,1))</f>
        <v>#N/A</v>
      </c>
      <c r="DU262" s="268" t="e" cm="1">
        <f t="array" ref="DU262">+INDEX(AX262:BG262,MATCH(DT262,AX262:BG262,1)+1)</f>
        <v>#N/A</v>
      </c>
      <c r="DV262" s="267" t="e">
        <f t="shared" si="249"/>
        <v>#N/A</v>
      </c>
      <c r="DW262" s="267" t="e">
        <f t="shared" ref="DW262:DW302" si="294">+INDEX(DE262:DM262,MATCH(DU262,AX262:BG262,1))</f>
        <v>#N/A</v>
      </c>
      <c r="DX262" s="267" t="e">
        <f t="shared" si="274"/>
        <v>#N/A</v>
      </c>
      <c r="DY262" s="267">
        <f t="shared" ref="DY262:DY277" si="295">+$EE$89</f>
        <v>5.2200000000000003E-2</v>
      </c>
      <c r="DZ262" s="205" t="e">
        <f t="shared" ref="DZ262" si="296">+(1+DX262)*(1+DY262)-1</f>
        <v>#N/A</v>
      </c>
      <c r="EA262" s="205">
        <f t="shared" si="252"/>
        <v>0.12570000000000001</v>
      </c>
    </row>
    <row r="263" spans="2:131">
      <c r="B263" s="272">
        <v>45701</v>
      </c>
      <c r="C263" s="271">
        <v>45701</v>
      </c>
      <c r="D263" s="263">
        <f>+SUMIFS(Tabla6[Nominal COP],Tabla6[Concepto],COSTO_OPORTUNIDAD!$B$18,Tabla6[Nemotécnico],COSTO_OPORTUNIDAD!D$16,Tabla6[Fecha Cumplimiento y/ liquidacion],COSTO_OPORTUNIDAD!$C263)/+SUMIFS(Tabla6[Nominal COP],Tabla6[Concepto],COSTO_OPORTUNIDAD!$B$18,Tabla6[Fecha Cumplimiento y/ liquidacion],COSTO_OPORTUNIDAD!$C263)</f>
        <v>0</v>
      </c>
      <c r="E263" s="263">
        <f>+SUMIFS(Tabla6[Nominal COP],Tabla6[Concepto],COSTO_OPORTUNIDAD!$B$18,Tabla6[Nemotécnico],COSTO_OPORTUNIDAD!E$16,Tabla6[Fecha Cumplimiento y/ liquidacion],COSTO_OPORTUNIDAD!$C263)/+SUMIFS(Tabla6[Nominal COP],Tabla6[Concepto],COSTO_OPORTUNIDAD!$B$18,Tabla6[Fecha Cumplimiento y/ liquidacion],COSTO_OPORTUNIDAD!$C263)</f>
        <v>0</v>
      </c>
      <c r="F263" s="263">
        <f>+SUMIFS(Tabla6[Nominal COP],Tabla6[Concepto],COSTO_OPORTUNIDAD!$B$18,Tabla6[Nemotécnico],COSTO_OPORTUNIDAD!F$16,Tabla6[Fecha Cumplimiento y/ liquidacion],COSTO_OPORTUNIDAD!$C263)/+SUMIFS(Tabla6[Nominal COP],Tabla6[Concepto],COSTO_OPORTUNIDAD!$B$18,Tabla6[Fecha Cumplimiento y/ liquidacion],COSTO_OPORTUNIDAD!$C263)</f>
        <v>0</v>
      </c>
      <c r="G263" s="263">
        <f>+SUMIFS(Tabla6[Nominal COP],Tabla6[Concepto],COSTO_OPORTUNIDAD!$B$18,Tabla6[Nemotécnico],COSTO_OPORTUNIDAD!G$16,Tabla6[Fecha Cumplimiento y/ liquidacion],COSTO_OPORTUNIDAD!$C263)/+SUMIFS(Tabla6[Nominal COP],Tabla6[Concepto],COSTO_OPORTUNIDAD!$B$18,Tabla6[Fecha Cumplimiento y/ liquidacion],COSTO_OPORTUNIDAD!$C263)</f>
        <v>0</v>
      </c>
      <c r="H263" s="263">
        <f>+SUMIFS(Tabla6[Nominal COP],Tabla6[Concepto],COSTO_OPORTUNIDAD!$B$18,Tabla6[Nemotécnico],COSTO_OPORTUNIDAD!H$16,Tabla6[Fecha Cumplimiento y/ liquidacion],COSTO_OPORTUNIDAD!$C263)/+SUMIFS(Tabla6[Nominal COP],Tabla6[Concepto],COSTO_OPORTUNIDAD!$B$18,Tabla6[Fecha Cumplimiento y/ liquidacion],COSTO_OPORTUNIDAD!$C263)</f>
        <v>0</v>
      </c>
      <c r="I263" s="263"/>
      <c r="J263" s="263">
        <f>+SUMIFS(Tabla6[Nominal COP],Tabla6[Concepto],COSTO_OPORTUNIDAD!$B$18,Tabla6[Nemotécnico],COSTO_OPORTUNIDAD!J$16,Tabla6[Fecha Cumplimiento y/ liquidacion],COSTO_OPORTUNIDAD!$C263)/+SUMIFS(Tabla6[Nominal COP],Tabla6[Concepto],COSTO_OPORTUNIDAD!$B$18,Tabla6[Fecha Cumplimiento y/ liquidacion],COSTO_OPORTUNIDAD!$C263)</f>
        <v>0.14942528735632185</v>
      </c>
      <c r="K263" s="263">
        <f>+SUMIFS(Tabla6[Nominal COP],Tabla6[Concepto],COSTO_OPORTUNIDAD!$B$18,Tabla6[Nemotécnico],COSTO_OPORTUNIDAD!K$16,Tabla6[Fecha Cumplimiento y/ liquidacion],COSTO_OPORTUNIDAD!$C263)/+SUMIFS(Tabla6[Nominal COP],Tabla6[Concepto],COSTO_OPORTUNIDAD!$B$18,Tabla6[Fecha Cumplimiento y/ liquidacion],COSTO_OPORTUNIDAD!$C263)</f>
        <v>0</v>
      </c>
      <c r="L263" s="263">
        <f>+SUMIFS(Tabla6[Nominal COP],Tabla6[Concepto],COSTO_OPORTUNIDAD!$B$18,Tabla6[Nemotécnico],COSTO_OPORTUNIDAD!L$16,Tabla6[Fecha Cumplimiento y/ liquidacion],COSTO_OPORTUNIDAD!$C263)/+SUMIFS(Tabla6[Nominal COP],Tabla6[Concepto],COSTO_OPORTUNIDAD!$B$18,Tabla6[Fecha Cumplimiento y/ liquidacion],COSTO_OPORTUNIDAD!$C263)</f>
        <v>0</v>
      </c>
      <c r="M263" s="263">
        <f>+SUMIFS(Tabla6[Nominal COP],Tabla6[Concepto],COSTO_OPORTUNIDAD!$B$18,Tabla6[Nemotécnico],COSTO_OPORTUNIDAD!M$16,Tabla6[Fecha Cumplimiento y/ liquidacion],COSTO_OPORTUNIDAD!$C263)/+SUMIFS(Tabla6[Nominal COP],Tabla6[Concepto],COSTO_OPORTUNIDAD!$B$18,Tabla6[Fecha Cumplimiento y/ liquidacion],COSTO_OPORTUNIDAD!$C263)</f>
        <v>0</v>
      </c>
      <c r="N263" s="263">
        <f>+SUMIFS(Tabla6[Nominal COP],Tabla6[Concepto],COSTO_OPORTUNIDAD!$B$18,Tabla6[Nemotécnico],COSTO_OPORTUNIDAD!N$16,Tabla6[Fecha Cumplimiento y/ liquidacion],COSTO_OPORTUNIDAD!$C263)/+SUMIFS(Tabla6[Nominal COP],Tabla6[Concepto],COSTO_OPORTUNIDAD!$B$18,Tabla6[Fecha Cumplimiento y/ liquidacion],COSTO_OPORTUNIDAD!$C263)</f>
        <v>0</v>
      </c>
      <c r="O263" s="263"/>
      <c r="P263" s="263">
        <f>+SUMIFS(Tabla6[Nominal COP],Tabla6[Concepto],COSTO_OPORTUNIDAD!$B$18,Tabla6[Nemotécnico],COSTO_OPORTUNIDAD!P$16,Tabla6[Fecha Cumplimiento y/ liquidacion],COSTO_OPORTUNIDAD!$C263)/+SUMIFS(Tabla6[Nominal COP],Tabla6[Concepto],COSTO_OPORTUNIDAD!$B$18,Tabla6[Fecha Cumplimiento y/ liquidacion],COSTO_OPORTUNIDAD!$C263)</f>
        <v>0</v>
      </c>
      <c r="Q263" s="263"/>
      <c r="R263" s="263">
        <f>+SUMIFS(Tabla6[Nominal COP],Tabla6[Concepto],COSTO_OPORTUNIDAD!$B$18,Tabla6[Nemotécnico],COSTO_OPORTUNIDAD!R$16,Tabla6[Fecha Cumplimiento y/ liquidacion],COSTO_OPORTUNIDAD!$C263)/+SUMIFS(Tabla6[Nominal COP],Tabla6[Concepto],COSTO_OPORTUNIDAD!$B$18,Tabla6[Fecha Cumplimiento y/ liquidacion],COSTO_OPORTUNIDAD!$C263)</f>
        <v>0</v>
      </c>
      <c r="S263" s="263">
        <f>+SUMIFS(Tabla6[Nominal COP],Tabla6[Concepto],COSTO_OPORTUNIDAD!$B$18,Tabla6[Nemotécnico],COSTO_OPORTUNIDAD!S$16,Tabla6[Fecha Cumplimiento y/ liquidacion],COSTO_OPORTUNIDAD!$C263)/+SUMIFS(Tabla6[Nominal COP],Tabla6[Concepto],COSTO_OPORTUNIDAD!$B$18,Tabla6[Fecha Cumplimiento y/ liquidacion],COSTO_OPORTUNIDAD!$C263)</f>
        <v>0.85057471264367812</v>
      </c>
      <c r="T263" s="263">
        <f>+SUMIFS(Tabla6[Nominal COP],Tabla6[Concepto],COSTO_OPORTUNIDAD!$B$18,Tabla6[Nemotécnico],COSTO_OPORTUNIDAD!T$16,Tabla6[Fecha Cumplimiento y/ liquidacion],COSTO_OPORTUNIDAD!$C263)/+SUMIFS(Tabla6[Nominal COP],Tabla6[Concepto],COSTO_OPORTUNIDAD!$B$18,Tabla6[Fecha Cumplimiento y/ liquidacion],COSTO_OPORTUNIDAD!$C263)</f>
        <v>0</v>
      </c>
      <c r="U263" s="263"/>
      <c r="V263" s="263">
        <f>+SUMIFS(Tabla6[Nominal COP],Tabla6[Concepto],COSTO_OPORTUNIDAD!$B$18,Tabla6[Nemotécnico],COSTO_OPORTUNIDAD!V$16,Tabla6[Fecha Cumplimiento y/ liquidacion],COSTO_OPORTUNIDAD!$C263)/+SUMIFS(Tabla6[Nominal COP],Tabla6[Concepto],COSTO_OPORTUNIDAD!$B$18,Tabla6[Fecha Cumplimiento y/ liquidacion],COSTO_OPORTUNIDAD!$C263)</f>
        <v>0</v>
      </c>
      <c r="W263" s="263">
        <f>+SUMIFS(Tabla6[Nominal COP],Tabla6[Concepto],COSTO_OPORTUNIDAD!$B$18,Tabla6[Nemotécnico],COSTO_OPORTUNIDAD!W$16,Tabla6[Fecha Cumplimiento y/ liquidacion],COSTO_OPORTUNIDAD!$C263)/+SUMIFS(Tabla6[Nominal COP],Tabla6[Concepto],COSTO_OPORTUNIDAD!$B$18,Tabla6[Fecha Cumplimiento y/ liquidacion],COSTO_OPORTUNIDAD!$C263)</f>
        <v>0</v>
      </c>
      <c r="X263" s="263">
        <f>+SUMIFS(Tabla6[Nominal COP],Tabla6[Concepto],COSTO_OPORTUNIDAD!$B$18,Tabla6[Nemotécnico],COSTO_OPORTUNIDAD!X$16,Tabla6[Fecha Cumplimiento y/ liquidacion],COSTO_OPORTUNIDAD!$C263)/+SUMIFS(Tabla6[Nominal COP],Tabla6[Concepto],COSTO_OPORTUNIDAD!$B$18,Tabla6[Fecha Cumplimiento y/ liquidacion],COSTO_OPORTUNIDAD!$C263)</f>
        <v>0</v>
      </c>
      <c r="Y263" s="263"/>
      <c r="Z263" s="263">
        <f>+SUMIFS(Tabla6[Nominal COP],Tabla6[Concepto],COSTO_OPORTUNIDAD!$B$18,Tabla6[Nemotécnico],COSTO_OPORTUNIDAD!Z$16,Tabla6[Fecha Cumplimiento y/ liquidacion],COSTO_OPORTUNIDAD!$C263)/+SUMIFS(Tabla6[Nominal COP],Tabla6[Concepto],COSTO_OPORTUNIDAD!$B$18,Tabla6[Fecha Cumplimiento y/ liquidacion],COSTO_OPORTUNIDAD!$C263)</f>
        <v>0</v>
      </c>
      <c r="AA263" s="263">
        <f>+SUMIFS(Tabla6[Nominal COP],Tabla6[Concepto],COSTO_OPORTUNIDAD!$B$18,Tabla6[Nemotécnico],COSTO_OPORTUNIDAD!AA$16,Tabla6[Fecha Cumplimiento y/ liquidacion],COSTO_OPORTUNIDAD!$C263)/+SUMIFS(Tabla6[Nominal COP],Tabla6[Concepto],COSTO_OPORTUNIDAD!$B$18,Tabla6[Fecha Cumplimiento y/ liquidacion],COSTO_OPORTUNIDAD!$C263)</f>
        <v>0</v>
      </c>
      <c r="AB263" s="263">
        <f>+SUMIFS(Tabla6[Nominal COP],Tabla6[Concepto],COSTO_OPORTUNIDAD!$B$18,Tabla6[Nemotécnico],COSTO_OPORTUNIDAD!AB$16,Tabla6[Fecha Cumplimiento y/ liquidacion],COSTO_OPORTUNIDAD!$C263)/+SUMIFS(Tabla6[Nominal COP],Tabla6[Concepto],COSTO_OPORTUNIDAD!$B$18,Tabla6[Fecha Cumplimiento y/ liquidacion],COSTO_OPORTUNIDAD!$C263)</f>
        <v>0</v>
      </c>
      <c r="AC263" s="263">
        <f>+SUMIFS(Tabla6[Nominal COP],Tabla6[Concepto],COSTO_OPORTUNIDAD!$B$18,Tabla6[Nemotécnico],COSTO_OPORTUNIDAD!AC$16,Tabla6[Fecha Cumplimiento y/ liquidacion],COSTO_OPORTUNIDAD!$C263)/+SUMIFS(Tabla6[Nominal COP],Tabla6[Concepto],COSTO_OPORTUNIDAD!$B$18,Tabla6[Fecha Cumplimiento y/ liquidacion],COSTO_OPORTUNIDAD!$C263)</f>
        <v>0</v>
      </c>
      <c r="AD263" s="263">
        <f>+SUMIFS(Tabla6[Nominal COP],Tabla6[Concepto],COSTO_OPORTUNIDAD!$B$18,Tabla6[Nemotécnico],COSTO_OPORTUNIDAD!AC$16,Tabla6[Fecha Cumplimiento y/ liquidacion],COSTO_OPORTUNIDAD!$C263)/+SUMIFS(Tabla6[Nominal COP],Tabla6[Concepto],COSTO_OPORTUNIDAD!$B$18,Tabla6[Fecha Cumplimiento y/ liquidacion],COSTO_OPORTUNIDAD!$C263)</f>
        <v>0</v>
      </c>
      <c r="AE263" s="263">
        <f>+SUMIFS(Tabla6[Nominal COP],Tabla6[Concepto],COSTO_OPORTUNIDAD!$B$18,Tabla6[Nemotécnico],COSTO_OPORTUNIDAD!AE$16,Tabla6[Fecha Cumplimiento y/ liquidacion],COSTO_OPORTUNIDAD!$C263)/+SUMIFS(Tabla6[Nominal COP],Tabla6[Concepto],COSTO_OPORTUNIDAD!$B$18,Tabla6[Fecha Cumplimiento y/ liquidacion],COSTO_OPORTUNIDAD!$C263)</f>
        <v>0</v>
      </c>
      <c r="AF263" s="263"/>
      <c r="AG263" s="262"/>
      <c r="AH263" s="274">
        <f t="shared" si="275"/>
        <v>559</v>
      </c>
      <c r="AI263" s="274">
        <f t="shared" si="276"/>
        <v>993</v>
      </c>
      <c r="AJ263" s="274">
        <f t="shared" si="277"/>
        <v>1170</v>
      </c>
      <c r="AK263" s="274">
        <f t="shared" si="198"/>
        <v>1651</v>
      </c>
      <c r="AL263" s="274">
        <f t="shared" si="278"/>
        <v>2043</v>
      </c>
      <c r="AM263" s="274">
        <f t="shared" si="279"/>
        <v>2232</v>
      </c>
      <c r="AN263" s="274">
        <f t="shared" si="280"/>
        <v>2694</v>
      </c>
      <c r="AO263" s="274">
        <f t="shared" si="281"/>
        <v>2918</v>
      </c>
      <c r="AP263" s="274">
        <f t="shared" si="282"/>
        <v>3534</v>
      </c>
      <c r="AQ263" s="274"/>
      <c r="AR263" s="274">
        <f t="shared" si="208"/>
        <v>4164</v>
      </c>
      <c r="AS263" s="274">
        <f t="shared" si="199"/>
        <v>5767</v>
      </c>
      <c r="AT263" s="274">
        <f t="shared" si="283"/>
        <v>6313</v>
      </c>
      <c r="AU263" s="274">
        <f t="shared" si="284"/>
        <v>7832</v>
      </c>
      <c r="AV263" s="274">
        <f t="shared" si="285"/>
        <v>9386</v>
      </c>
      <c r="AW263" s="274"/>
      <c r="AX263" s="274">
        <f t="shared" si="286"/>
        <v>83</v>
      </c>
      <c r="AY263" s="274">
        <f t="shared" si="287"/>
        <v>762</v>
      </c>
      <c r="AZ263" s="274">
        <f t="shared" si="267"/>
        <v>1525</v>
      </c>
      <c r="BA263" s="274"/>
      <c r="BB263" s="274">
        <f t="shared" si="214"/>
        <v>2962</v>
      </c>
      <c r="BC263" s="274">
        <f t="shared" si="215"/>
        <v>3702</v>
      </c>
      <c r="BD263" s="274">
        <f t="shared" si="216"/>
        <v>4395</v>
      </c>
      <c r="BE263" s="274">
        <f t="shared" si="288"/>
        <v>5879</v>
      </c>
      <c r="BF263" s="274">
        <f t="shared" si="217"/>
        <v>8889</v>
      </c>
      <c r="BG263" s="274">
        <f t="shared" si="289"/>
        <v>11052</v>
      </c>
      <c r="BH263" s="274"/>
      <c r="BI263" s="266">
        <f t="shared" si="218"/>
        <v>0</v>
      </c>
      <c r="BJ263" s="266">
        <f t="shared" si="219"/>
        <v>1</v>
      </c>
      <c r="BK263" s="263">
        <f t="shared" si="220"/>
        <v>0</v>
      </c>
      <c r="BL263" s="263">
        <f t="shared" si="221"/>
        <v>0</v>
      </c>
      <c r="BM263" s="263">
        <f t="shared" si="222"/>
        <v>0</v>
      </c>
      <c r="BN263" s="263"/>
      <c r="BO263" s="263">
        <f t="shared" si="223"/>
        <v>0.14942528735632185</v>
      </c>
      <c r="BP263" s="263">
        <f t="shared" si="224"/>
        <v>0</v>
      </c>
      <c r="BQ263" s="263">
        <f t="shared" si="225"/>
        <v>0</v>
      </c>
      <c r="BR263" s="263">
        <f t="shared" si="226"/>
        <v>0</v>
      </c>
      <c r="BS263" s="263">
        <f t="shared" si="227"/>
        <v>0</v>
      </c>
      <c r="BT263" s="263">
        <f t="shared" si="228"/>
        <v>0</v>
      </c>
      <c r="BU263" s="263">
        <f t="shared" si="229"/>
        <v>0</v>
      </c>
      <c r="BV263" s="263"/>
      <c r="BW263" s="263">
        <f t="shared" si="230"/>
        <v>0</v>
      </c>
      <c r="BX263" s="263">
        <f t="shared" si="258"/>
        <v>0.85057471264367812</v>
      </c>
      <c r="BY263" s="263">
        <f t="shared" si="231"/>
        <v>0</v>
      </c>
      <c r="BZ263" s="263"/>
      <c r="CA263" s="263" t="str">
        <f t="shared" si="254"/>
        <v/>
      </c>
      <c r="CB263" s="263" t="str">
        <f t="shared" si="232"/>
        <v/>
      </c>
      <c r="CC263" s="263" t="str">
        <f t="shared" si="255"/>
        <v/>
      </c>
      <c r="CD263" s="263" t="str">
        <f t="shared" si="233"/>
        <v/>
      </c>
      <c r="CE263" s="263" t="str">
        <f t="shared" si="241"/>
        <v/>
      </c>
      <c r="CF263" s="263" t="str">
        <f t="shared" si="256"/>
        <v/>
      </c>
      <c r="CG263" s="263" t="str">
        <f t="shared" si="257"/>
        <v/>
      </c>
      <c r="CH263" s="263" t="str">
        <f t="shared" si="290"/>
        <v/>
      </c>
      <c r="CI263" s="263" t="str">
        <f t="shared" si="234"/>
        <v/>
      </c>
      <c r="CJ263" s="263" t="str">
        <f t="shared" si="291"/>
        <v/>
      </c>
      <c r="CK263" s="263" t="str">
        <f t="shared" si="235"/>
        <v/>
      </c>
      <c r="CL263" s="264">
        <f t="shared" si="259"/>
        <v>6967</v>
      </c>
      <c r="CM263" s="264">
        <f t="shared" si="292"/>
        <v>0</v>
      </c>
      <c r="CO263" s="265">
        <v>8.8000000000000009E-2</v>
      </c>
      <c r="CP263" s="265">
        <v>9.7349999999999992E-2</v>
      </c>
      <c r="CQ263" s="265">
        <v>0.10169</v>
      </c>
      <c r="CS263" s="265">
        <v>0.10859999999999999</v>
      </c>
      <c r="CT263" s="265">
        <v>0.11118</v>
      </c>
      <c r="CU263" s="265">
        <v>0.1125</v>
      </c>
      <c r="CV263" s="265">
        <v>0.11426</v>
      </c>
      <c r="CW263" s="265">
        <v>0.11599999999999999</v>
      </c>
      <c r="CY263" s="265">
        <v>0.11878999999999999</v>
      </c>
      <c r="DA263" s="265">
        <v>0.12222</v>
      </c>
      <c r="DB263" s="265">
        <v>0.12560000000000002</v>
      </c>
      <c r="DC263" s="265">
        <v>0.12435</v>
      </c>
      <c r="DE263" s="265">
        <v>4.4999999999999998E-2</v>
      </c>
      <c r="DF263" s="265">
        <v>4.9880000000000008E-2</v>
      </c>
      <c r="DH263" s="265">
        <v>5.2600000000000001E-2</v>
      </c>
      <c r="DI263" s="265">
        <v>5.4629999999999998E-2</v>
      </c>
      <c r="DJ263" s="265">
        <v>5.5750000000000001E-2</v>
      </c>
      <c r="DK263" s="265">
        <v>5.6689999999999997E-2</v>
      </c>
      <c r="DL263" s="265">
        <v>5.151E-2</v>
      </c>
      <c r="DM263" s="265">
        <v>5.1849999999999993E-2</v>
      </c>
      <c r="DO263" s="264">
        <f t="shared" si="268"/>
        <v>6313</v>
      </c>
      <c r="DP263" s="264" cm="1">
        <f t="array" ref="DP263">+INDEX(AH263:AV263,MATCH(DO263,AH263:AV263,1)+1)</f>
        <v>7832</v>
      </c>
      <c r="DQ263" s="265">
        <f t="shared" si="269"/>
        <v>0.12222</v>
      </c>
      <c r="DR263" s="267">
        <f t="shared" si="270"/>
        <v>0.12560000000000002</v>
      </c>
      <c r="DS263" s="267">
        <f t="shared" ref="DS263:DS304" si="297">ROUND(DQ263+((CL263-DO263)/(DP263-DO263))*(DR263-DQ263),6)</f>
        <v>0.12367499999999999</v>
      </c>
      <c r="DT263" s="268" t="e">
        <f t="shared" si="293"/>
        <v>#N/A</v>
      </c>
      <c r="DU263" s="268" t="e" cm="1">
        <f t="array" ref="DU263">+INDEX(AX263:BG263,MATCH(DT263,AX263:BG263,1)+1)</f>
        <v>#N/A</v>
      </c>
      <c r="DV263" s="267" t="e">
        <f t="shared" si="249"/>
        <v>#N/A</v>
      </c>
      <c r="DW263" s="267" t="e">
        <f t="shared" si="294"/>
        <v>#N/A</v>
      </c>
      <c r="DX263" s="267" t="e">
        <f t="shared" si="274"/>
        <v>#N/A</v>
      </c>
      <c r="DY263" s="267">
        <f t="shared" si="295"/>
        <v>5.2200000000000003E-2</v>
      </c>
      <c r="DZ263" s="205" t="e">
        <f t="shared" ref="DZ263" si="298">+(1+DX263)*(1+DY263)-1</f>
        <v>#N/A</v>
      </c>
      <c r="EA263" s="205">
        <f t="shared" si="252"/>
        <v>0.12367499999999999</v>
      </c>
    </row>
    <row r="264" spans="2:131">
      <c r="B264" s="272">
        <v>45702</v>
      </c>
      <c r="C264" s="271">
        <v>45702</v>
      </c>
      <c r="D264" s="263">
        <f>+SUMIFS(Tabla6[Nominal COP],Tabla6[Concepto],COSTO_OPORTUNIDAD!$B$18,Tabla6[Nemotécnico],COSTO_OPORTUNIDAD!D$16,Tabla6[Fecha Cumplimiento y/ liquidacion],COSTO_OPORTUNIDAD!$C264)/+SUMIFS(Tabla6[Nominal COP],Tabla6[Concepto],COSTO_OPORTUNIDAD!$B$18,Tabla6[Fecha Cumplimiento y/ liquidacion],COSTO_OPORTUNIDAD!$C264)</f>
        <v>0</v>
      </c>
      <c r="E264" s="263">
        <f>+SUMIFS(Tabla6[Nominal COP],Tabla6[Concepto],COSTO_OPORTUNIDAD!$B$18,Tabla6[Nemotécnico],COSTO_OPORTUNIDAD!E$16,Tabla6[Fecha Cumplimiento y/ liquidacion],COSTO_OPORTUNIDAD!$C264)/+SUMIFS(Tabla6[Nominal COP],Tabla6[Concepto],COSTO_OPORTUNIDAD!$B$18,Tabla6[Fecha Cumplimiento y/ liquidacion],COSTO_OPORTUNIDAD!$C264)</f>
        <v>0</v>
      </c>
      <c r="F264" s="263">
        <f>+SUMIFS(Tabla6[Nominal COP],Tabla6[Concepto],COSTO_OPORTUNIDAD!$B$18,Tabla6[Nemotécnico],COSTO_OPORTUNIDAD!F$16,Tabla6[Fecha Cumplimiento y/ liquidacion],COSTO_OPORTUNIDAD!$C264)/+SUMIFS(Tabla6[Nominal COP],Tabla6[Concepto],COSTO_OPORTUNIDAD!$B$18,Tabla6[Fecha Cumplimiento y/ liquidacion],COSTO_OPORTUNIDAD!$C264)</f>
        <v>0</v>
      </c>
      <c r="G264" s="263">
        <f>+SUMIFS(Tabla6[Nominal COP],Tabla6[Concepto],COSTO_OPORTUNIDAD!$B$18,Tabla6[Nemotécnico],COSTO_OPORTUNIDAD!G$16,Tabla6[Fecha Cumplimiento y/ liquidacion],COSTO_OPORTUNIDAD!$C264)/+SUMIFS(Tabla6[Nominal COP],Tabla6[Concepto],COSTO_OPORTUNIDAD!$B$18,Tabla6[Fecha Cumplimiento y/ liquidacion],COSTO_OPORTUNIDAD!$C264)</f>
        <v>0</v>
      </c>
      <c r="H264" s="263">
        <f>+SUMIFS(Tabla6[Nominal COP],Tabla6[Concepto],COSTO_OPORTUNIDAD!$B$18,Tabla6[Nemotécnico],COSTO_OPORTUNIDAD!H$16,Tabla6[Fecha Cumplimiento y/ liquidacion],COSTO_OPORTUNIDAD!$C264)/+SUMIFS(Tabla6[Nominal COP],Tabla6[Concepto],COSTO_OPORTUNIDAD!$B$18,Tabla6[Fecha Cumplimiento y/ liquidacion],COSTO_OPORTUNIDAD!$C264)</f>
        <v>0</v>
      </c>
      <c r="I264" s="263"/>
      <c r="J264" s="263">
        <f>+SUMIFS(Tabla6[Nominal COP],Tabla6[Concepto],COSTO_OPORTUNIDAD!$B$18,Tabla6[Nemotécnico],COSTO_OPORTUNIDAD!J$16,Tabla6[Fecha Cumplimiento y/ liquidacion],COSTO_OPORTUNIDAD!$C264)/+SUMIFS(Tabla6[Nominal COP],Tabla6[Concepto],COSTO_OPORTUNIDAD!$B$18,Tabla6[Fecha Cumplimiento y/ liquidacion],COSTO_OPORTUNIDAD!$C264)</f>
        <v>0.17647058823529413</v>
      </c>
      <c r="K264" s="263">
        <f>+SUMIFS(Tabla6[Nominal COP],Tabla6[Concepto],COSTO_OPORTUNIDAD!$B$18,Tabla6[Nemotécnico],COSTO_OPORTUNIDAD!K$16,Tabla6[Fecha Cumplimiento y/ liquidacion],COSTO_OPORTUNIDAD!$C264)/+SUMIFS(Tabla6[Nominal COP],Tabla6[Concepto],COSTO_OPORTUNIDAD!$B$18,Tabla6[Fecha Cumplimiento y/ liquidacion],COSTO_OPORTUNIDAD!$C264)</f>
        <v>0</v>
      </c>
      <c r="L264" s="263">
        <f>+SUMIFS(Tabla6[Nominal COP],Tabla6[Concepto],COSTO_OPORTUNIDAD!$B$18,Tabla6[Nemotécnico],COSTO_OPORTUNIDAD!L$16,Tabla6[Fecha Cumplimiento y/ liquidacion],COSTO_OPORTUNIDAD!$C264)/+SUMIFS(Tabla6[Nominal COP],Tabla6[Concepto],COSTO_OPORTUNIDAD!$B$18,Tabla6[Fecha Cumplimiento y/ liquidacion],COSTO_OPORTUNIDAD!$C264)</f>
        <v>0</v>
      </c>
      <c r="M264" s="263">
        <f>+SUMIFS(Tabla6[Nominal COP],Tabla6[Concepto],COSTO_OPORTUNIDAD!$B$18,Tabla6[Nemotécnico],COSTO_OPORTUNIDAD!M$16,Tabla6[Fecha Cumplimiento y/ liquidacion],COSTO_OPORTUNIDAD!$C264)/+SUMIFS(Tabla6[Nominal COP],Tabla6[Concepto],COSTO_OPORTUNIDAD!$B$18,Tabla6[Fecha Cumplimiento y/ liquidacion],COSTO_OPORTUNIDAD!$C264)</f>
        <v>0</v>
      </c>
      <c r="N264" s="263">
        <f>+SUMIFS(Tabla6[Nominal COP],Tabla6[Concepto],COSTO_OPORTUNIDAD!$B$18,Tabla6[Nemotécnico],COSTO_OPORTUNIDAD!N$16,Tabla6[Fecha Cumplimiento y/ liquidacion],COSTO_OPORTUNIDAD!$C264)/+SUMIFS(Tabla6[Nominal COP],Tabla6[Concepto],COSTO_OPORTUNIDAD!$B$18,Tabla6[Fecha Cumplimiento y/ liquidacion],COSTO_OPORTUNIDAD!$C264)</f>
        <v>0</v>
      </c>
      <c r="O264" s="263"/>
      <c r="P264" s="263">
        <f>+SUMIFS(Tabla6[Nominal COP],Tabla6[Concepto],COSTO_OPORTUNIDAD!$B$18,Tabla6[Nemotécnico],COSTO_OPORTUNIDAD!P$16,Tabla6[Fecha Cumplimiento y/ liquidacion],COSTO_OPORTUNIDAD!$C264)/+SUMIFS(Tabla6[Nominal COP],Tabla6[Concepto],COSTO_OPORTUNIDAD!$B$18,Tabla6[Fecha Cumplimiento y/ liquidacion],COSTO_OPORTUNIDAD!$C264)</f>
        <v>0</v>
      </c>
      <c r="Q264" s="263"/>
      <c r="R264" s="263">
        <f>+SUMIFS(Tabla6[Nominal COP],Tabla6[Concepto],COSTO_OPORTUNIDAD!$B$18,Tabla6[Nemotécnico],COSTO_OPORTUNIDAD!R$16,Tabla6[Fecha Cumplimiento y/ liquidacion],COSTO_OPORTUNIDAD!$C264)/+SUMIFS(Tabla6[Nominal COP],Tabla6[Concepto],COSTO_OPORTUNIDAD!$B$18,Tabla6[Fecha Cumplimiento y/ liquidacion],COSTO_OPORTUNIDAD!$C264)</f>
        <v>0</v>
      </c>
      <c r="S264" s="263">
        <f>+SUMIFS(Tabla6[Nominal COP],Tabla6[Concepto],COSTO_OPORTUNIDAD!$B$18,Tabla6[Nemotécnico],COSTO_OPORTUNIDAD!S$16,Tabla6[Fecha Cumplimiento y/ liquidacion],COSTO_OPORTUNIDAD!$C264)/+SUMIFS(Tabla6[Nominal COP],Tabla6[Concepto],COSTO_OPORTUNIDAD!$B$18,Tabla6[Fecha Cumplimiento y/ liquidacion],COSTO_OPORTUNIDAD!$C264)</f>
        <v>0.82352941176470584</v>
      </c>
      <c r="T264" s="263">
        <f>+SUMIFS(Tabla6[Nominal COP],Tabla6[Concepto],COSTO_OPORTUNIDAD!$B$18,Tabla6[Nemotécnico],COSTO_OPORTUNIDAD!T$16,Tabla6[Fecha Cumplimiento y/ liquidacion],COSTO_OPORTUNIDAD!$C264)/+SUMIFS(Tabla6[Nominal COP],Tabla6[Concepto],COSTO_OPORTUNIDAD!$B$18,Tabla6[Fecha Cumplimiento y/ liquidacion],COSTO_OPORTUNIDAD!$C264)</f>
        <v>0</v>
      </c>
      <c r="U264" s="263"/>
      <c r="V264" s="263">
        <f>+SUMIFS(Tabla6[Nominal COP],Tabla6[Concepto],COSTO_OPORTUNIDAD!$B$18,Tabla6[Nemotécnico],COSTO_OPORTUNIDAD!V$16,Tabla6[Fecha Cumplimiento y/ liquidacion],COSTO_OPORTUNIDAD!$C264)/+SUMIFS(Tabla6[Nominal COP],Tabla6[Concepto],COSTO_OPORTUNIDAD!$B$18,Tabla6[Fecha Cumplimiento y/ liquidacion],COSTO_OPORTUNIDAD!$C264)</f>
        <v>0</v>
      </c>
      <c r="W264" s="263">
        <f>+SUMIFS(Tabla6[Nominal COP],Tabla6[Concepto],COSTO_OPORTUNIDAD!$B$18,Tabla6[Nemotécnico],COSTO_OPORTUNIDAD!W$16,Tabla6[Fecha Cumplimiento y/ liquidacion],COSTO_OPORTUNIDAD!$C264)/+SUMIFS(Tabla6[Nominal COP],Tabla6[Concepto],COSTO_OPORTUNIDAD!$B$18,Tabla6[Fecha Cumplimiento y/ liquidacion],COSTO_OPORTUNIDAD!$C264)</f>
        <v>0</v>
      </c>
      <c r="X264" s="263">
        <f>+SUMIFS(Tabla6[Nominal COP],Tabla6[Concepto],COSTO_OPORTUNIDAD!$B$18,Tabla6[Nemotécnico],COSTO_OPORTUNIDAD!X$16,Tabla6[Fecha Cumplimiento y/ liquidacion],COSTO_OPORTUNIDAD!$C264)/+SUMIFS(Tabla6[Nominal COP],Tabla6[Concepto],COSTO_OPORTUNIDAD!$B$18,Tabla6[Fecha Cumplimiento y/ liquidacion],COSTO_OPORTUNIDAD!$C264)</f>
        <v>0</v>
      </c>
      <c r="Y264" s="263"/>
      <c r="Z264" s="263">
        <f>+SUMIFS(Tabla6[Nominal COP],Tabla6[Concepto],COSTO_OPORTUNIDAD!$B$18,Tabla6[Nemotécnico],COSTO_OPORTUNIDAD!Z$16,Tabla6[Fecha Cumplimiento y/ liquidacion],COSTO_OPORTUNIDAD!$C264)/+SUMIFS(Tabla6[Nominal COP],Tabla6[Concepto],COSTO_OPORTUNIDAD!$B$18,Tabla6[Fecha Cumplimiento y/ liquidacion],COSTO_OPORTUNIDAD!$C264)</f>
        <v>0</v>
      </c>
      <c r="AA264" s="263">
        <f>+SUMIFS(Tabla6[Nominal COP],Tabla6[Concepto],COSTO_OPORTUNIDAD!$B$18,Tabla6[Nemotécnico],COSTO_OPORTUNIDAD!AA$16,Tabla6[Fecha Cumplimiento y/ liquidacion],COSTO_OPORTUNIDAD!$C264)/+SUMIFS(Tabla6[Nominal COP],Tabla6[Concepto],COSTO_OPORTUNIDAD!$B$18,Tabla6[Fecha Cumplimiento y/ liquidacion],COSTO_OPORTUNIDAD!$C264)</f>
        <v>0</v>
      </c>
      <c r="AB264" s="263">
        <f>+SUMIFS(Tabla6[Nominal COP],Tabla6[Concepto],COSTO_OPORTUNIDAD!$B$18,Tabla6[Nemotécnico],COSTO_OPORTUNIDAD!AB$16,Tabla6[Fecha Cumplimiento y/ liquidacion],COSTO_OPORTUNIDAD!$C264)/+SUMIFS(Tabla6[Nominal COP],Tabla6[Concepto],COSTO_OPORTUNIDAD!$B$18,Tabla6[Fecha Cumplimiento y/ liquidacion],COSTO_OPORTUNIDAD!$C264)</f>
        <v>0</v>
      </c>
      <c r="AC264" s="263">
        <f>+SUMIFS(Tabla6[Nominal COP],Tabla6[Concepto],COSTO_OPORTUNIDAD!$B$18,Tabla6[Nemotécnico],COSTO_OPORTUNIDAD!AC$16,Tabla6[Fecha Cumplimiento y/ liquidacion],COSTO_OPORTUNIDAD!$C264)/+SUMIFS(Tabla6[Nominal COP],Tabla6[Concepto],COSTO_OPORTUNIDAD!$B$18,Tabla6[Fecha Cumplimiento y/ liquidacion],COSTO_OPORTUNIDAD!$C264)</f>
        <v>0</v>
      </c>
      <c r="AD264" s="263">
        <f>+SUMIFS(Tabla6[Nominal COP],Tabla6[Concepto],COSTO_OPORTUNIDAD!$B$18,Tabla6[Nemotécnico],COSTO_OPORTUNIDAD!AC$16,Tabla6[Fecha Cumplimiento y/ liquidacion],COSTO_OPORTUNIDAD!$C264)/+SUMIFS(Tabla6[Nominal COP],Tabla6[Concepto],COSTO_OPORTUNIDAD!$B$18,Tabla6[Fecha Cumplimiento y/ liquidacion],COSTO_OPORTUNIDAD!$C264)</f>
        <v>0</v>
      </c>
      <c r="AE264" s="263">
        <f>+SUMIFS(Tabla6[Nominal COP],Tabla6[Concepto],COSTO_OPORTUNIDAD!$B$18,Tabla6[Nemotécnico],COSTO_OPORTUNIDAD!AE$16,Tabla6[Fecha Cumplimiento y/ liquidacion],COSTO_OPORTUNIDAD!$C264)/+SUMIFS(Tabla6[Nominal COP],Tabla6[Concepto],COSTO_OPORTUNIDAD!$B$18,Tabla6[Fecha Cumplimiento y/ liquidacion],COSTO_OPORTUNIDAD!$C264)</f>
        <v>0</v>
      </c>
      <c r="AF264" s="263"/>
      <c r="AG264" s="262"/>
      <c r="AH264" s="274">
        <f t="shared" si="275"/>
        <v>558</v>
      </c>
      <c r="AI264" s="274">
        <f t="shared" si="276"/>
        <v>992</v>
      </c>
      <c r="AJ264" s="274">
        <f t="shared" si="277"/>
        <v>1169</v>
      </c>
      <c r="AK264" s="274">
        <f t="shared" si="198"/>
        <v>1650</v>
      </c>
      <c r="AL264" s="274">
        <f t="shared" si="278"/>
        <v>2042</v>
      </c>
      <c r="AM264" s="274">
        <f t="shared" si="279"/>
        <v>2231</v>
      </c>
      <c r="AN264" s="274">
        <f t="shared" si="280"/>
        <v>2693</v>
      </c>
      <c r="AO264" s="274">
        <f t="shared" si="281"/>
        <v>2917</v>
      </c>
      <c r="AP264" s="274">
        <f t="shared" si="282"/>
        <v>3533</v>
      </c>
      <c r="AQ264" s="274"/>
      <c r="AR264" s="274">
        <f t="shared" si="208"/>
        <v>4163</v>
      </c>
      <c r="AS264" s="274">
        <f t="shared" si="199"/>
        <v>5766</v>
      </c>
      <c r="AT264" s="274">
        <f t="shared" si="283"/>
        <v>6312</v>
      </c>
      <c r="AU264" s="274">
        <f t="shared" si="284"/>
        <v>7831</v>
      </c>
      <c r="AV264" s="274">
        <f t="shared" si="285"/>
        <v>9385</v>
      </c>
      <c r="AW264" s="274"/>
      <c r="AX264" s="274">
        <f t="shared" si="286"/>
        <v>82</v>
      </c>
      <c r="AY264" s="274">
        <f t="shared" si="287"/>
        <v>761</v>
      </c>
      <c r="AZ264" s="274">
        <f t="shared" si="267"/>
        <v>1524</v>
      </c>
      <c r="BA264" s="274"/>
      <c r="BB264" s="274">
        <f t="shared" si="214"/>
        <v>2961</v>
      </c>
      <c r="BC264" s="274">
        <f t="shared" si="215"/>
        <v>3701</v>
      </c>
      <c r="BD264" s="274">
        <f t="shared" si="216"/>
        <v>4394</v>
      </c>
      <c r="BE264" s="274">
        <f t="shared" si="288"/>
        <v>5878</v>
      </c>
      <c r="BF264" s="274">
        <f t="shared" si="217"/>
        <v>8888</v>
      </c>
      <c r="BG264" s="274">
        <f t="shared" si="289"/>
        <v>11051</v>
      </c>
      <c r="BH264" s="274"/>
      <c r="BI264" s="266">
        <f t="shared" si="218"/>
        <v>0</v>
      </c>
      <c r="BJ264" s="266">
        <f t="shared" si="219"/>
        <v>1</v>
      </c>
      <c r="BK264" s="263">
        <f t="shared" si="220"/>
        <v>0</v>
      </c>
      <c r="BL264" s="263">
        <f t="shared" si="221"/>
        <v>0</v>
      </c>
      <c r="BM264" s="263">
        <f t="shared" si="222"/>
        <v>0</v>
      </c>
      <c r="BN264" s="263"/>
      <c r="BO264" s="263">
        <f t="shared" si="223"/>
        <v>0.17647058823529413</v>
      </c>
      <c r="BP264" s="263">
        <f t="shared" si="224"/>
        <v>0</v>
      </c>
      <c r="BQ264" s="263">
        <f t="shared" si="225"/>
        <v>0</v>
      </c>
      <c r="BR264" s="263">
        <f t="shared" si="226"/>
        <v>0</v>
      </c>
      <c r="BS264" s="263">
        <f t="shared" si="227"/>
        <v>0</v>
      </c>
      <c r="BT264" s="263">
        <f t="shared" si="228"/>
        <v>0</v>
      </c>
      <c r="BU264" s="263">
        <f t="shared" si="229"/>
        <v>0</v>
      </c>
      <c r="BV264" s="263"/>
      <c r="BW264" s="263">
        <f t="shared" si="230"/>
        <v>0</v>
      </c>
      <c r="BX264" s="263">
        <f t="shared" si="258"/>
        <v>0.82352941176470584</v>
      </c>
      <c r="BY264" s="263">
        <f t="shared" si="231"/>
        <v>0</v>
      </c>
      <c r="BZ264" s="263"/>
      <c r="CA264" s="263" t="str">
        <f t="shared" si="254"/>
        <v/>
      </c>
      <c r="CB264" s="263" t="str">
        <f t="shared" si="232"/>
        <v/>
      </c>
      <c r="CC264" s="263" t="str">
        <f t="shared" si="255"/>
        <v/>
      </c>
      <c r="CD264" s="263" t="str">
        <f t="shared" si="233"/>
        <v/>
      </c>
      <c r="CE264" s="263" t="str">
        <f t="shared" si="241"/>
        <v/>
      </c>
      <c r="CF264" s="263" t="str">
        <f t="shared" si="256"/>
        <v/>
      </c>
      <c r="CG264" s="263" t="str">
        <f t="shared" si="257"/>
        <v/>
      </c>
      <c r="CH264" s="263" t="str">
        <f t="shared" si="290"/>
        <v/>
      </c>
      <c r="CI264" s="263" t="str">
        <f t="shared" si="234"/>
        <v/>
      </c>
      <c r="CJ264" s="263" t="str">
        <f t="shared" si="291"/>
        <v/>
      </c>
      <c r="CK264" s="263" t="str">
        <f t="shared" si="235"/>
        <v/>
      </c>
      <c r="CL264" s="264">
        <f t="shared" si="259"/>
        <v>6809</v>
      </c>
      <c r="CM264" s="264">
        <f t="shared" si="292"/>
        <v>0</v>
      </c>
      <c r="CO264" s="265">
        <v>8.8610000000000008E-2</v>
      </c>
      <c r="CP264" s="265">
        <v>9.6839999999999996E-2</v>
      </c>
      <c r="CQ264" s="265">
        <v>0.10152</v>
      </c>
      <c r="CS264" s="265">
        <v>0.10879</v>
      </c>
      <c r="CT264" s="265">
        <v>0.11015000000000001</v>
      </c>
      <c r="CU264" s="265">
        <v>0.11298</v>
      </c>
      <c r="CV264" s="265">
        <v>0.1152</v>
      </c>
      <c r="CW264" s="265">
        <v>0.11628999999999999</v>
      </c>
      <c r="CY264" s="265">
        <v>0.11990000000000001</v>
      </c>
      <c r="DA264" s="265">
        <v>0.12316000000000001</v>
      </c>
      <c r="DB264" s="265">
        <v>0.1268</v>
      </c>
      <c r="DC264" s="265">
        <v>0.12539999999999998</v>
      </c>
      <c r="DE264" s="265">
        <v>4.4819999999999999E-2</v>
      </c>
      <c r="DF264" s="265">
        <v>5.0010000000000006E-2</v>
      </c>
      <c r="DH264" s="265">
        <v>5.2600000000000001E-2</v>
      </c>
      <c r="DI264" s="265">
        <v>5.3899999999999997E-2</v>
      </c>
      <c r="DJ264" s="265">
        <v>5.6100000000000004E-2</v>
      </c>
      <c r="DK264" s="265">
        <v>5.6449999999999993E-2</v>
      </c>
      <c r="DL264" s="265">
        <v>5.1459999999999999E-2</v>
      </c>
      <c r="DM264" s="265">
        <v>5.2229999999999999E-2</v>
      </c>
      <c r="DO264" s="264">
        <f t="shared" si="268"/>
        <v>6312</v>
      </c>
      <c r="DP264" s="264" cm="1">
        <f t="array" ref="DP264">+INDEX(AH264:AV264,MATCH(DO264,AH264:AV264,1)+1)</f>
        <v>7831</v>
      </c>
      <c r="DQ264" s="265">
        <f t="shared" si="269"/>
        <v>0.12316000000000001</v>
      </c>
      <c r="DR264" s="267">
        <f t="shared" si="270"/>
        <v>0.1268</v>
      </c>
      <c r="DS264" s="267">
        <f t="shared" si="297"/>
        <v>0.124351</v>
      </c>
      <c r="DT264" s="268" t="e">
        <f t="shared" si="293"/>
        <v>#N/A</v>
      </c>
      <c r="DU264" s="268" t="e" cm="1">
        <f t="array" ref="DU264">+INDEX(AX264:BG264,MATCH(DT264,AX264:BG264,1)+1)</f>
        <v>#N/A</v>
      </c>
      <c r="DV264" s="267" t="e">
        <f t="shared" si="249"/>
        <v>#N/A</v>
      </c>
      <c r="DW264" s="267" t="e">
        <f t="shared" si="294"/>
        <v>#N/A</v>
      </c>
      <c r="DX264" s="267" t="e">
        <f t="shared" si="274"/>
        <v>#N/A</v>
      </c>
      <c r="DY264" s="267">
        <f t="shared" si="295"/>
        <v>5.2200000000000003E-2</v>
      </c>
      <c r="DZ264" s="205" t="e">
        <f t="shared" ref="DZ264" si="299">+(1+DX264)*(1+DY264)-1</f>
        <v>#N/A</v>
      </c>
      <c r="EA264" s="205">
        <f t="shared" si="252"/>
        <v>0.124351</v>
      </c>
    </row>
    <row r="265" spans="2:131">
      <c r="B265" s="272">
        <v>45706</v>
      </c>
      <c r="C265" s="271">
        <v>45706</v>
      </c>
      <c r="D265" s="263">
        <f>+SUMIFS(Tabla6[Nominal COP],Tabla6[Concepto],COSTO_OPORTUNIDAD!$B$18,Tabla6[Nemotécnico],COSTO_OPORTUNIDAD!D$16,Tabla6[Fecha Cumplimiento y/ liquidacion],COSTO_OPORTUNIDAD!$C265)/+SUMIFS(Tabla6[Nominal COP],Tabla6[Concepto],COSTO_OPORTUNIDAD!$B$18,Tabla6[Fecha Cumplimiento y/ liquidacion],COSTO_OPORTUNIDAD!$C265)</f>
        <v>0</v>
      </c>
      <c r="E265" s="263">
        <f>+SUMIFS(Tabla6[Nominal COP],Tabla6[Concepto],COSTO_OPORTUNIDAD!$B$18,Tabla6[Nemotécnico],COSTO_OPORTUNIDAD!E$16,Tabla6[Fecha Cumplimiento y/ liquidacion],COSTO_OPORTUNIDAD!$C265)/+SUMIFS(Tabla6[Nominal COP],Tabla6[Concepto],COSTO_OPORTUNIDAD!$B$18,Tabla6[Fecha Cumplimiento y/ liquidacion],COSTO_OPORTUNIDAD!$C265)</f>
        <v>0</v>
      </c>
      <c r="F265" s="263">
        <f>+SUMIFS(Tabla6[Nominal COP],Tabla6[Concepto],COSTO_OPORTUNIDAD!$B$18,Tabla6[Nemotécnico],COSTO_OPORTUNIDAD!F$16,Tabla6[Fecha Cumplimiento y/ liquidacion],COSTO_OPORTUNIDAD!$C265)/+SUMIFS(Tabla6[Nominal COP],Tabla6[Concepto],COSTO_OPORTUNIDAD!$B$18,Tabla6[Fecha Cumplimiento y/ liquidacion],COSTO_OPORTUNIDAD!$C265)</f>
        <v>0</v>
      </c>
      <c r="G265" s="263">
        <f>+SUMIFS(Tabla6[Nominal COP],Tabla6[Concepto],COSTO_OPORTUNIDAD!$B$18,Tabla6[Nemotécnico],COSTO_OPORTUNIDAD!G$16,Tabla6[Fecha Cumplimiento y/ liquidacion],COSTO_OPORTUNIDAD!$C265)/+SUMIFS(Tabla6[Nominal COP],Tabla6[Concepto],COSTO_OPORTUNIDAD!$B$18,Tabla6[Fecha Cumplimiento y/ liquidacion],COSTO_OPORTUNIDAD!$C265)</f>
        <v>0</v>
      </c>
      <c r="H265" s="263">
        <f>+SUMIFS(Tabla6[Nominal COP],Tabla6[Concepto],COSTO_OPORTUNIDAD!$B$18,Tabla6[Nemotécnico],COSTO_OPORTUNIDAD!H$16,Tabla6[Fecha Cumplimiento y/ liquidacion],COSTO_OPORTUNIDAD!$C265)/+SUMIFS(Tabla6[Nominal COP],Tabla6[Concepto],COSTO_OPORTUNIDAD!$B$18,Tabla6[Fecha Cumplimiento y/ liquidacion],COSTO_OPORTUNIDAD!$C265)</f>
        <v>0</v>
      </c>
      <c r="I265" s="263"/>
      <c r="J265" s="263">
        <f>+SUMIFS(Tabla6[Nominal COP],Tabla6[Concepto],COSTO_OPORTUNIDAD!$B$18,Tabla6[Nemotécnico],COSTO_OPORTUNIDAD!J$16,Tabla6[Fecha Cumplimiento y/ liquidacion],COSTO_OPORTUNIDAD!$C265)/+SUMIFS(Tabla6[Nominal COP],Tabla6[Concepto],COSTO_OPORTUNIDAD!$B$18,Tabla6[Fecha Cumplimiento y/ liquidacion],COSTO_OPORTUNIDAD!$C265)</f>
        <v>0</v>
      </c>
      <c r="K265" s="263">
        <f>+SUMIFS(Tabla6[Nominal COP],Tabla6[Concepto],COSTO_OPORTUNIDAD!$B$18,Tabla6[Nemotécnico],COSTO_OPORTUNIDAD!K$16,Tabla6[Fecha Cumplimiento y/ liquidacion],COSTO_OPORTUNIDAD!$C265)/+SUMIFS(Tabla6[Nominal COP],Tabla6[Concepto],COSTO_OPORTUNIDAD!$B$18,Tabla6[Fecha Cumplimiento y/ liquidacion],COSTO_OPORTUNIDAD!$C265)</f>
        <v>0</v>
      </c>
      <c r="L265" s="263">
        <f>+SUMIFS(Tabla6[Nominal COP],Tabla6[Concepto],COSTO_OPORTUNIDAD!$B$18,Tabla6[Nemotécnico],COSTO_OPORTUNIDAD!L$16,Tabla6[Fecha Cumplimiento y/ liquidacion],COSTO_OPORTUNIDAD!$C265)/+SUMIFS(Tabla6[Nominal COP],Tabla6[Concepto],COSTO_OPORTUNIDAD!$B$18,Tabla6[Fecha Cumplimiento y/ liquidacion],COSTO_OPORTUNIDAD!$C265)</f>
        <v>0</v>
      </c>
      <c r="M265" s="263">
        <f>+SUMIFS(Tabla6[Nominal COP],Tabla6[Concepto],COSTO_OPORTUNIDAD!$B$18,Tabla6[Nemotécnico],COSTO_OPORTUNIDAD!M$16,Tabla6[Fecha Cumplimiento y/ liquidacion],COSTO_OPORTUNIDAD!$C265)/+SUMIFS(Tabla6[Nominal COP],Tabla6[Concepto],COSTO_OPORTUNIDAD!$B$18,Tabla6[Fecha Cumplimiento y/ liquidacion],COSTO_OPORTUNIDAD!$C265)</f>
        <v>0</v>
      </c>
      <c r="N265" s="263">
        <f>+SUMIFS(Tabla6[Nominal COP],Tabla6[Concepto],COSTO_OPORTUNIDAD!$B$18,Tabla6[Nemotécnico],COSTO_OPORTUNIDAD!N$16,Tabla6[Fecha Cumplimiento y/ liquidacion],COSTO_OPORTUNIDAD!$C265)/+SUMIFS(Tabla6[Nominal COP],Tabla6[Concepto],COSTO_OPORTUNIDAD!$B$18,Tabla6[Fecha Cumplimiento y/ liquidacion],COSTO_OPORTUNIDAD!$C265)</f>
        <v>0</v>
      </c>
      <c r="O265" s="263"/>
      <c r="P265" s="263">
        <f>+SUMIFS(Tabla6[Nominal COP],Tabla6[Concepto],COSTO_OPORTUNIDAD!$B$18,Tabla6[Nemotécnico],COSTO_OPORTUNIDAD!P$16,Tabla6[Fecha Cumplimiento y/ liquidacion],COSTO_OPORTUNIDAD!$C265)/+SUMIFS(Tabla6[Nominal COP],Tabla6[Concepto],COSTO_OPORTUNIDAD!$B$18,Tabla6[Fecha Cumplimiento y/ liquidacion],COSTO_OPORTUNIDAD!$C265)</f>
        <v>0</v>
      </c>
      <c r="Q265" s="263"/>
      <c r="R265" s="263">
        <f>+SUMIFS(Tabla6[Nominal COP],Tabla6[Concepto],COSTO_OPORTUNIDAD!$B$18,Tabla6[Nemotécnico],COSTO_OPORTUNIDAD!R$16,Tabla6[Fecha Cumplimiento y/ liquidacion],COSTO_OPORTUNIDAD!$C265)/+SUMIFS(Tabla6[Nominal COP],Tabla6[Concepto],COSTO_OPORTUNIDAD!$B$18,Tabla6[Fecha Cumplimiento y/ liquidacion],COSTO_OPORTUNIDAD!$C265)</f>
        <v>0</v>
      </c>
      <c r="S265" s="263">
        <f>+SUMIFS(Tabla6[Nominal COP],Tabla6[Concepto],COSTO_OPORTUNIDAD!$B$18,Tabla6[Nemotécnico],COSTO_OPORTUNIDAD!S$16,Tabla6[Fecha Cumplimiento y/ liquidacion],COSTO_OPORTUNIDAD!$C265)/+SUMIFS(Tabla6[Nominal COP],Tabla6[Concepto],COSTO_OPORTUNIDAD!$B$18,Tabla6[Fecha Cumplimiento y/ liquidacion],COSTO_OPORTUNIDAD!$C265)</f>
        <v>1</v>
      </c>
      <c r="T265" s="263">
        <f>+SUMIFS(Tabla6[Nominal COP],Tabla6[Concepto],COSTO_OPORTUNIDAD!$B$18,Tabla6[Nemotécnico],COSTO_OPORTUNIDAD!T$16,Tabla6[Fecha Cumplimiento y/ liquidacion],COSTO_OPORTUNIDAD!$C265)/+SUMIFS(Tabla6[Nominal COP],Tabla6[Concepto],COSTO_OPORTUNIDAD!$B$18,Tabla6[Fecha Cumplimiento y/ liquidacion],COSTO_OPORTUNIDAD!$C265)</f>
        <v>0</v>
      </c>
      <c r="U265" s="263"/>
      <c r="V265" s="263">
        <f>+SUMIFS(Tabla6[Nominal COP],Tabla6[Concepto],COSTO_OPORTUNIDAD!$B$18,Tabla6[Nemotécnico],COSTO_OPORTUNIDAD!V$16,Tabla6[Fecha Cumplimiento y/ liquidacion],COSTO_OPORTUNIDAD!$C265)/+SUMIFS(Tabla6[Nominal COP],Tabla6[Concepto],COSTO_OPORTUNIDAD!$B$18,Tabla6[Fecha Cumplimiento y/ liquidacion],COSTO_OPORTUNIDAD!$C265)</f>
        <v>0</v>
      </c>
      <c r="W265" s="263">
        <f>+SUMIFS(Tabla6[Nominal COP],Tabla6[Concepto],COSTO_OPORTUNIDAD!$B$18,Tabla6[Nemotécnico],COSTO_OPORTUNIDAD!W$16,Tabla6[Fecha Cumplimiento y/ liquidacion],COSTO_OPORTUNIDAD!$C265)/+SUMIFS(Tabla6[Nominal COP],Tabla6[Concepto],COSTO_OPORTUNIDAD!$B$18,Tabla6[Fecha Cumplimiento y/ liquidacion],COSTO_OPORTUNIDAD!$C265)</f>
        <v>0</v>
      </c>
      <c r="X265" s="263">
        <f>+SUMIFS(Tabla6[Nominal COP],Tabla6[Concepto],COSTO_OPORTUNIDAD!$B$18,Tabla6[Nemotécnico],COSTO_OPORTUNIDAD!X$16,Tabla6[Fecha Cumplimiento y/ liquidacion],COSTO_OPORTUNIDAD!$C265)/+SUMIFS(Tabla6[Nominal COP],Tabla6[Concepto],COSTO_OPORTUNIDAD!$B$18,Tabla6[Fecha Cumplimiento y/ liquidacion],COSTO_OPORTUNIDAD!$C265)</f>
        <v>0</v>
      </c>
      <c r="Y265" s="263"/>
      <c r="Z265" s="263">
        <f>+SUMIFS(Tabla6[Nominal COP],Tabla6[Concepto],COSTO_OPORTUNIDAD!$B$18,Tabla6[Nemotécnico],COSTO_OPORTUNIDAD!Z$16,Tabla6[Fecha Cumplimiento y/ liquidacion],COSTO_OPORTUNIDAD!$C265)/+SUMIFS(Tabla6[Nominal COP],Tabla6[Concepto],COSTO_OPORTUNIDAD!$B$18,Tabla6[Fecha Cumplimiento y/ liquidacion],COSTO_OPORTUNIDAD!$C265)</f>
        <v>0</v>
      </c>
      <c r="AA265" s="263">
        <f>+SUMIFS(Tabla6[Nominal COP],Tabla6[Concepto],COSTO_OPORTUNIDAD!$B$18,Tabla6[Nemotécnico],COSTO_OPORTUNIDAD!AA$16,Tabla6[Fecha Cumplimiento y/ liquidacion],COSTO_OPORTUNIDAD!$C265)/+SUMIFS(Tabla6[Nominal COP],Tabla6[Concepto],COSTO_OPORTUNIDAD!$B$18,Tabla6[Fecha Cumplimiento y/ liquidacion],COSTO_OPORTUNIDAD!$C265)</f>
        <v>0</v>
      </c>
      <c r="AB265" s="263">
        <f>+SUMIFS(Tabla6[Nominal COP],Tabla6[Concepto],COSTO_OPORTUNIDAD!$B$18,Tabla6[Nemotécnico],COSTO_OPORTUNIDAD!AB$16,Tabla6[Fecha Cumplimiento y/ liquidacion],COSTO_OPORTUNIDAD!$C265)/+SUMIFS(Tabla6[Nominal COP],Tabla6[Concepto],COSTO_OPORTUNIDAD!$B$18,Tabla6[Fecha Cumplimiento y/ liquidacion],COSTO_OPORTUNIDAD!$C265)</f>
        <v>0</v>
      </c>
      <c r="AC265" s="263">
        <f>+SUMIFS(Tabla6[Nominal COP],Tabla6[Concepto],COSTO_OPORTUNIDAD!$B$18,Tabla6[Nemotécnico],COSTO_OPORTUNIDAD!AC$16,Tabla6[Fecha Cumplimiento y/ liquidacion],COSTO_OPORTUNIDAD!$C265)/+SUMIFS(Tabla6[Nominal COP],Tabla6[Concepto],COSTO_OPORTUNIDAD!$B$18,Tabla6[Fecha Cumplimiento y/ liquidacion],COSTO_OPORTUNIDAD!$C265)</f>
        <v>0</v>
      </c>
      <c r="AD265" s="263">
        <f>+SUMIFS(Tabla6[Nominal COP],Tabla6[Concepto],COSTO_OPORTUNIDAD!$B$18,Tabla6[Nemotécnico],COSTO_OPORTUNIDAD!AC$16,Tabla6[Fecha Cumplimiento y/ liquidacion],COSTO_OPORTUNIDAD!$C265)/+SUMIFS(Tabla6[Nominal COP],Tabla6[Concepto],COSTO_OPORTUNIDAD!$B$18,Tabla6[Fecha Cumplimiento y/ liquidacion],COSTO_OPORTUNIDAD!$C265)</f>
        <v>0</v>
      </c>
      <c r="AE265" s="263">
        <f>+SUMIFS(Tabla6[Nominal COP],Tabla6[Concepto],COSTO_OPORTUNIDAD!$B$18,Tabla6[Nemotécnico],COSTO_OPORTUNIDAD!AE$16,Tabla6[Fecha Cumplimiento y/ liquidacion],COSTO_OPORTUNIDAD!$C265)/+SUMIFS(Tabla6[Nominal COP],Tabla6[Concepto],COSTO_OPORTUNIDAD!$B$18,Tabla6[Fecha Cumplimiento y/ liquidacion],COSTO_OPORTUNIDAD!$C265)</f>
        <v>0</v>
      </c>
      <c r="AF265" s="263"/>
      <c r="AG265" s="262"/>
      <c r="AH265" s="274">
        <f t="shared" si="275"/>
        <v>554</v>
      </c>
      <c r="AI265" s="274">
        <f t="shared" si="276"/>
        <v>988</v>
      </c>
      <c r="AJ265" s="274">
        <f t="shared" si="277"/>
        <v>1165</v>
      </c>
      <c r="AK265" s="274">
        <f t="shared" ref="AK265:AK281" si="300">(I$17-$B265)</f>
        <v>1646</v>
      </c>
      <c r="AL265" s="274">
        <f t="shared" si="278"/>
        <v>2038</v>
      </c>
      <c r="AM265" s="274">
        <f t="shared" si="279"/>
        <v>2227</v>
      </c>
      <c r="AN265" s="274">
        <f t="shared" si="280"/>
        <v>2689</v>
      </c>
      <c r="AO265" s="274">
        <f t="shared" si="281"/>
        <v>2913</v>
      </c>
      <c r="AP265" s="274">
        <f t="shared" si="282"/>
        <v>3529</v>
      </c>
      <c r="AQ265" s="274"/>
      <c r="AR265" s="274">
        <f t="shared" si="208"/>
        <v>4159</v>
      </c>
      <c r="AS265" s="274">
        <f t="shared" ref="AS265:AS304" si="301">(Q$17-$B265)</f>
        <v>5762</v>
      </c>
      <c r="AT265" s="274">
        <f t="shared" si="283"/>
        <v>6308</v>
      </c>
      <c r="AU265" s="274">
        <f t="shared" si="284"/>
        <v>7827</v>
      </c>
      <c r="AV265" s="274">
        <f t="shared" si="285"/>
        <v>9381</v>
      </c>
      <c r="AW265" s="274"/>
      <c r="AX265" s="274">
        <f t="shared" si="286"/>
        <v>78</v>
      </c>
      <c r="AY265" s="274">
        <f t="shared" si="287"/>
        <v>757</v>
      </c>
      <c r="AZ265" s="274">
        <f t="shared" si="267"/>
        <v>1520</v>
      </c>
      <c r="BA265" s="274"/>
      <c r="BB265" s="274">
        <f t="shared" si="214"/>
        <v>2957</v>
      </c>
      <c r="BC265" s="274">
        <f t="shared" si="215"/>
        <v>3697</v>
      </c>
      <c r="BD265" s="274">
        <f t="shared" si="216"/>
        <v>4390</v>
      </c>
      <c r="BE265" s="274">
        <f t="shared" si="288"/>
        <v>5874</v>
      </c>
      <c r="BF265" s="274">
        <f t="shared" si="217"/>
        <v>8884</v>
      </c>
      <c r="BG265" s="274">
        <f t="shared" si="289"/>
        <v>11047</v>
      </c>
      <c r="BH265" s="274"/>
      <c r="BI265" s="266">
        <f t="shared" si="218"/>
        <v>0</v>
      </c>
      <c r="BJ265" s="266">
        <f t="shared" si="219"/>
        <v>1</v>
      </c>
      <c r="BK265" s="263">
        <f t="shared" si="220"/>
        <v>0</v>
      </c>
      <c r="BL265" s="263">
        <f t="shared" si="221"/>
        <v>0</v>
      </c>
      <c r="BM265" s="263">
        <f t="shared" si="222"/>
        <v>0</v>
      </c>
      <c r="BN265" s="263"/>
      <c r="BO265" s="263">
        <f t="shared" si="223"/>
        <v>0</v>
      </c>
      <c r="BP265" s="263">
        <f t="shared" si="224"/>
        <v>0</v>
      </c>
      <c r="BQ265" s="263">
        <f t="shared" si="225"/>
        <v>0</v>
      </c>
      <c r="BR265" s="263">
        <f t="shared" si="226"/>
        <v>0</v>
      </c>
      <c r="BS265" s="263">
        <f t="shared" si="227"/>
        <v>0</v>
      </c>
      <c r="BT265" s="263">
        <f t="shared" si="228"/>
        <v>0</v>
      </c>
      <c r="BU265" s="263">
        <f t="shared" si="229"/>
        <v>0</v>
      </c>
      <c r="BV265" s="263"/>
      <c r="BW265" s="263">
        <f t="shared" si="230"/>
        <v>0</v>
      </c>
      <c r="BX265" s="263">
        <f t="shared" si="258"/>
        <v>1</v>
      </c>
      <c r="BY265" s="263">
        <f t="shared" si="231"/>
        <v>0</v>
      </c>
      <c r="BZ265" s="263"/>
      <c r="CA265" s="263" t="str">
        <f t="shared" si="254"/>
        <v/>
      </c>
      <c r="CB265" s="263" t="str">
        <f t="shared" si="232"/>
        <v/>
      </c>
      <c r="CC265" s="263" t="str">
        <f t="shared" si="255"/>
        <v/>
      </c>
      <c r="CD265" s="263" t="str">
        <f t="shared" si="233"/>
        <v/>
      </c>
      <c r="CE265" s="263" t="str">
        <f t="shared" si="241"/>
        <v/>
      </c>
      <c r="CF265" s="263" t="str">
        <f t="shared" si="256"/>
        <v/>
      </c>
      <c r="CG265" s="263" t="str">
        <f t="shared" si="257"/>
        <v/>
      </c>
      <c r="CH265" s="263" t="str">
        <f t="shared" si="290"/>
        <v/>
      </c>
      <c r="CI265" s="263" t="str">
        <f t="shared" si="234"/>
        <v/>
      </c>
      <c r="CJ265" s="263" t="str">
        <f t="shared" si="291"/>
        <v/>
      </c>
      <c r="CK265" s="263" t="str">
        <f t="shared" si="235"/>
        <v/>
      </c>
      <c r="CL265" s="264">
        <f t="shared" si="259"/>
        <v>7827</v>
      </c>
      <c r="CM265" s="264">
        <f t="shared" si="292"/>
        <v>0</v>
      </c>
      <c r="CO265" s="265">
        <v>8.8650000000000007E-2</v>
      </c>
      <c r="CP265" s="265">
        <v>9.6189999999999998E-2</v>
      </c>
      <c r="CQ265" s="265">
        <v>0.1011</v>
      </c>
      <c r="CS265" s="265">
        <v>0.10800000000000001</v>
      </c>
      <c r="CT265" s="265">
        <v>0.11097</v>
      </c>
      <c r="CU265" s="265">
        <v>0.11349999999999999</v>
      </c>
      <c r="CV265" s="265">
        <v>0.1148</v>
      </c>
      <c r="CW265" s="265">
        <v>0.1167</v>
      </c>
      <c r="CY265" s="265">
        <v>0.1198</v>
      </c>
      <c r="DA265" s="265">
        <v>0.12307</v>
      </c>
      <c r="DB265" s="265">
        <v>0.12692000000000001</v>
      </c>
      <c r="DC265" s="265">
        <v>0.12520000000000001</v>
      </c>
      <c r="DE265" s="265">
        <v>4.4690000000000001E-2</v>
      </c>
      <c r="DF265" s="265">
        <v>5.0599999999999999E-2</v>
      </c>
      <c r="DH265" s="265">
        <v>5.3249999999999999E-2</v>
      </c>
      <c r="DI265" s="265">
        <v>5.4469999999999998E-2</v>
      </c>
      <c r="DJ265" s="265">
        <v>5.5469999999999998E-2</v>
      </c>
      <c r="DK265" s="265">
        <v>5.6500000000000002E-2</v>
      </c>
      <c r="DL265" s="265">
        <v>5.1799999999999999E-2</v>
      </c>
      <c r="DM265" s="265">
        <v>5.1900000000000002E-2</v>
      </c>
      <c r="DO265" s="264">
        <f t="shared" si="268"/>
        <v>7827</v>
      </c>
      <c r="DP265" s="264" cm="1">
        <f t="array" ref="DP265">+INDEX(AH265:AV265,MATCH(DO265,AH265:AV265,1)+1)</f>
        <v>9381</v>
      </c>
      <c r="DQ265" s="265">
        <f t="shared" si="269"/>
        <v>0.12692000000000001</v>
      </c>
      <c r="DR265" s="267">
        <f t="shared" si="270"/>
        <v>0.12520000000000001</v>
      </c>
      <c r="DS265" s="267">
        <f t="shared" si="297"/>
        <v>0.12692000000000001</v>
      </c>
      <c r="DT265" s="268" t="e">
        <f t="shared" si="293"/>
        <v>#N/A</v>
      </c>
      <c r="DU265" s="268" t="e" cm="1">
        <f t="array" ref="DU265">+INDEX(AX265:BG265,MATCH(DT265,AX265:BG265,1)+1)</f>
        <v>#N/A</v>
      </c>
      <c r="DV265" s="267" t="e">
        <f t="shared" si="249"/>
        <v>#N/A</v>
      </c>
      <c r="DW265" s="267" t="e">
        <f t="shared" si="294"/>
        <v>#N/A</v>
      </c>
      <c r="DX265" s="267" t="e">
        <f t="shared" si="274"/>
        <v>#N/A</v>
      </c>
      <c r="DY265" s="267">
        <f t="shared" si="295"/>
        <v>5.2200000000000003E-2</v>
      </c>
      <c r="DZ265" s="205" t="e">
        <f t="shared" ref="DZ265" si="302">+(1+DX265)*(1+DY265)-1</f>
        <v>#N/A</v>
      </c>
      <c r="EA265" s="205">
        <f t="shared" si="252"/>
        <v>0.12692000000000001</v>
      </c>
    </row>
    <row r="266" spans="2:131">
      <c r="B266" s="272">
        <v>45707</v>
      </c>
      <c r="C266" s="271">
        <v>45707</v>
      </c>
      <c r="D266" s="263">
        <f>+SUMIFS(Tabla6[Nominal COP],Tabla6[Concepto],COSTO_OPORTUNIDAD!$B$18,Tabla6[Nemotécnico],COSTO_OPORTUNIDAD!D$16,Tabla6[Fecha Cumplimiento y/ liquidacion],COSTO_OPORTUNIDAD!$C266)/+SUMIFS(Tabla6[Nominal COP],Tabla6[Concepto],COSTO_OPORTUNIDAD!$B$18,Tabla6[Fecha Cumplimiento y/ liquidacion],COSTO_OPORTUNIDAD!$C266)</f>
        <v>0</v>
      </c>
      <c r="E266" s="263">
        <f>+SUMIFS(Tabla6[Nominal COP],Tabla6[Concepto],COSTO_OPORTUNIDAD!$B$18,Tabla6[Nemotécnico],COSTO_OPORTUNIDAD!E$16,Tabla6[Fecha Cumplimiento y/ liquidacion],COSTO_OPORTUNIDAD!$C266)/+SUMIFS(Tabla6[Nominal COP],Tabla6[Concepto],COSTO_OPORTUNIDAD!$B$18,Tabla6[Fecha Cumplimiento y/ liquidacion],COSTO_OPORTUNIDAD!$C266)</f>
        <v>0</v>
      </c>
      <c r="F266" s="263">
        <f>+SUMIFS(Tabla6[Nominal COP],Tabla6[Concepto],COSTO_OPORTUNIDAD!$B$18,Tabla6[Nemotécnico],COSTO_OPORTUNIDAD!F$16,Tabla6[Fecha Cumplimiento y/ liquidacion],COSTO_OPORTUNIDAD!$C266)/+SUMIFS(Tabla6[Nominal COP],Tabla6[Concepto],COSTO_OPORTUNIDAD!$B$18,Tabla6[Fecha Cumplimiento y/ liquidacion],COSTO_OPORTUNIDAD!$C266)</f>
        <v>0</v>
      </c>
      <c r="G266" s="263">
        <f>+SUMIFS(Tabla6[Nominal COP],Tabla6[Concepto],COSTO_OPORTUNIDAD!$B$18,Tabla6[Nemotécnico],COSTO_OPORTUNIDAD!G$16,Tabla6[Fecha Cumplimiento y/ liquidacion],COSTO_OPORTUNIDAD!$C266)/+SUMIFS(Tabla6[Nominal COP],Tabla6[Concepto],COSTO_OPORTUNIDAD!$B$18,Tabla6[Fecha Cumplimiento y/ liquidacion],COSTO_OPORTUNIDAD!$C266)</f>
        <v>0</v>
      </c>
      <c r="H266" s="263">
        <f>+SUMIFS(Tabla6[Nominal COP],Tabla6[Concepto],COSTO_OPORTUNIDAD!$B$18,Tabla6[Nemotécnico],COSTO_OPORTUNIDAD!H$16,Tabla6[Fecha Cumplimiento y/ liquidacion],COSTO_OPORTUNIDAD!$C266)/+SUMIFS(Tabla6[Nominal COP],Tabla6[Concepto],COSTO_OPORTUNIDAD!$B$18,Tabla6[Fecha Cumplimiento y/ liquidacion],COSTO_OPORTUNIDAD!$C266)</f>
        <v>0</v>
      </c>
      <c r="I266" s="263"/>
      <c r="J266" s="263">
        <f>+SUMIFS(Tabla6[Nominal COP],Tabla6[Concepto],COSTO_OPORTUNIDAD!$B$18,Tabla6[Nemotécnico],COSTO_OPORTUNIDAD!J$16,Tabla6[Fecha Cumplimiento y/ liquidacion],COSTO_OPORTUNIDAD!$C266)/+SUMIFS(Tabla6[Nominal COP],Tabla6[Concepto],COSTO_OPORTUNIDAD!$B$18,Tabla6[Fecha Cumplimiento y/ liquidacion],COSTO_OPORTUNIDAD!$C266)</f>
        <v>0</v>
      </c>
      <c r="K266" s="263">
        <f>+SUMIFS(Tabla6[Nominal COP],Tabla6[Concepto],COSTO_OPORTUNIDAD!$B$18,Tabla6[Nemotécnico],COSTO_OPORTUNIDAD!K$16,Tabla6[Fecha Cumplimiento y/ liquidacion],COSTO_OPORTUNIDAD!$C266)/+SUMIFS(Tabla6[Nominal COP],Tabla6[Concepto],COSTO_OPORTUNIDAD!$B$18,Tabla6[Fecha Cumplimiento y/ liquidacion],COSTO_OPORTUNIDAD!$C266)</f>
        <v>0</v>
      </c>
      <c r="L266" s="263">
        <f>+SUMIFS(Tabla6[Nominal COP],Tabla6[Concepto],COSTO_OPORTUNIDAD!$B$18,Tabla6[Nemotécnico],COSTO_OPORTUNIDAD!L$16,Tabla6[Fecha Cumplimiento y/ liquidacion],COSTO_OPORTUNIDAD!$C266)/+SUMIFS(Tabla6[Nominal COP],Tabla6[Concepto],COSTO_OPORTUNIDAD!$B$18,Tabla6[Fecha Cumplimiento y/ liquidacion],COSTO_OPORTUNIDAD!$C266)</f>
        <v>0</v>
      </c>
      <c r="M266" s="263">
        <f>+SUMIFS(Tabla6[Nominal COP],Tabla6[Concepto],COSTO_OPORTUNIDAD!$B$18,Tabla6[Nemotécnico],COSTO_OPORTUNIDAD!M$16,Tabla6[Fecha Cumplimiento y/ liquidacion],COSTO_OPORTUNIDAD!$C266)/+SUMIFS(Tabla6[Nominal COP],Tabla6[Concepto],COSTO_OPORTUNIDAD!$B$18,Tabla6[Fecha Cumplimiento y/ liquidacion],COSTO_OPORTUNIDAD!$C266)</f>
        <v>0</v>
      </c>
      <c r="N266" s="263">
        <f>+SUMIFS(Tabla6[Nominal COP],Tabla6[Concepto],COSTO_OPORTUNIDAD!$B$18,Tabla6[Nemotécnico],COSTO_OPORTUNIDAD!N$16,Tabla6[Fecha Cumplimiento y/ liquidacion],COSTO_OPORTUNIDAD!$C266)/+SUMIFS(Tabla6[Nominal COP],Tabla6[Concepto],COSTO_OPORTUNIDAD!$B$18,Tabla6[Fecha Cumplimiento y/ liquidacion],COSTO_OPORTUNIDAD!$C266)</f>
        <v>0</v>
      </c>
      <c r="O266" s="263"/>
      <c r="P266" s="263">
        <f>+SUMIFS(Tabla6[Nominal COP],Tabla6[Concepto],COSTO_OPORTUNIDAD!$B$18,Tabla6[Nemotécnico],COSTO_OPORTUNIDAD!P$16,Tabla6[Fecha Cumplimiento y/ liquidacion],COSTO_OPORTUNIDAD!$C266)/+SUMIFS(Tabla6[Nominal COP],Tabla6[Concepto],COSTO_OPORTUNIDAD!$B$18,Tabla6[Fecha Cumplimiento y/ liquidacion],COSTO_OPORTUNIDAD!$C266)</f>
        <v>0</v>
      </c>
      <c r="Q266" s="263"/>
      <c r="R266" s="263">
        <f>+SUMIFS(Tabla6[Nominal COP],Tabla6[Concepto],COSTO_OPORTUNIDAD!$B$18,Tabla6[Nemotécnico],COSTO_OPORTUNIDAD!R$16,Tabla6[Fecha Cumplimiento y/ liquidacion],COSTO_OPORTUNIDAD!$C266)/+SUMIFS(Tabla6[Nominal COP],Tabla6[Concepto],COSTO_OPORTUNIDAD!$B$18,Tabla6[Fecha Cumplimiento y/ liquidacion],COSTO_OPORTUNIDAD!$C266)</f>
        <v>0</v>
      </c>
      <c r="S266" s="263">
        <f>+SUMIFS(Tabla6[Nominal COP],Tabla6[Concepto],COSTO_OPORTUNIDAD!$B$18,Tabla6[Nemotécnico],COSTO_OPORTUNIDAD!S$16,Tabla6[Fecha Cumplimiento y/ liquidacion],COSTO_OPORTUNIDAD!$C266)/+SUMIFS(Tabla6[Nominal COP],Tabla6[Concepto],COSTO_OPORTUNIDAD!$B$18,Tabla6[Fecha Cumplimiento y/ liquidacion],COSTO_OPORTUNIDAD!$C266)</f>
        <v>1</v>
      </c>
      <c r="T266" s="263">
        <f>+SUMIFS(Tabla6[Nominal COP],Tabla6[Concepto],COSTO_OPORTUNIDAD!$B$18,Tabla6[Nemotécnico],COSTO_OPORTUNIDAD!T$16,Tabla6[Fecha Cumplimiento y/ liquidacion],COSTO_OPORTUNIDAD!$C266)/+SUMIFS(Tabla6[Nominal COP],Tabla6[Concepto],COSTO_OPORTUNIDAD!$B$18,Tabla6[Fecha Cumplimiento y/ liquidacion],COSTO_OPORTUNIDAD!$C266)</f>
        <v>0</v>
      </c>
      <c r="U266" s="263"/>
      <c r="V266" s="263">
        <f>+SUMIFS(Tabla6[Nominal COP],Tabla6[Concepto],COSTO_OPORTUNIDAD!$B$18,Tabla6[Nemotécnico],COSTO_OPORTUNIDAD!V$16,Tabla6[Fecha Cumplimiento y/ liquidacion],COSTO_OPORTUNIDAD!$C266)/+SUMIFS(Tabla6[Nominal COP],Tabla6[Concepto],COSTO_OPORTUNIDAD!$B$18,Tabla6[Fecha Cumplimiento y/ liquidacion],COSTO_OPORTUNIDAD!$C266)</f>
        <v>0</v>
      </c>
      <c r="W266" s="263">
        <f>+SUMIFS(Tabla6[Nominal COP],Tabla6[Concepto],COSTO_OPORTUNIDAD!$B$18,Tabla6[Nemotécnico],COSTO_OPORTUNIDAD!W$16,Tabla6[Fecha Cumplimiento y/ liquidacion],COSTO_OPORTUNIDAD!$C266)/+SUMIFS(Tabla6[Nominal COP],Tabla6[Concepto],COSTO_OPORTUNIDAD!$B$18,Tabla6[Fecha Cumplimiento y/ liquidacion],COSTO_OPORTUNIDAD!$C266)</f>
        <v>0</v>
      </c>
      <c r="X266" s="263">
        <f>+SUMIFS(Tabla6[Nominal COP],Tabla6[Concepto],COSTO_OPORTUNIDAD!$B$18,Tabla6[Nemotécnico],COSTO_OPORTUNIDAD!X$16,Tabla6[Fecha Cumplimiento y/ liquidacion],COSTO_OPORTUNIDAD!$C266)/+SUMIFS(Tabla6[Nominal COP],Tabla6[Concepto],COSTO_OPORTUNIDAD!$B$18,Tabla6[Fecha Cumplimiento y/ liquidacion],COSTO_OPORTUNIDAD!$C266)</f>
        <v>0</v>
      </c>
      <c r="Y266" s="263"/>
      <c r="Z266" s="263">
        <f>+SUMIFS(Tabla6[Nominal COP],Tabla6[Concepto],COSTO_OPORTUNIDAD!$B$18,Tabla6[Nemotécnico],COSTO_OPORTUNIDAD!Z$16,Tabla6[Fecha Cumplimiento y/ liquidacion],COSTO_OPORTUNIDAD!$C266)/+SUMIFS(Tabla6[Nominal COP],Tabla6[Concepto],COSTO_OPORTUNIDAD!$B$18,Tabla6[Fecha Cumplimiento y/ liquidacion],COSTO_OPORTUNIDAD!$C266)</f>
        <v>0</v>
      </c>
      <c r="AA266" s="263">
        <f>+SUMIFS(Tabla6[Nominal COP],Tabla6[Concepto],COSTO_OPORTUNIDAD!$B$18,Tabla6[Nemotécnico],COSTO_OPORTUNIDAD!AA$16,Tabla6[Fecha Cumplimiento y/ liquidacion],COSTO_OPORTUNIDAD!$C266)/+SUMIFS(Tabla6[Nominal COP],Tabla6[Concepto],COSTO_OPORTUNIDAD!$B$18,Tabla6[Fecha Cumplimiento y/ liquidacion],COSTO_OPORTUNIDAD!$C266)</f>
        <v>0</v>
      </c>
      <c r="AB266" s="263">
        <f>+SUMIFS(Tabla6[Nominal COP],Tabla6[Concepto],COSTO_OPORTUNIDAD!$B$18,Tabla6[Nemotécnico],COSTO_OPORTUNIDAD!AB$16,Tabla6[Fecha Cumplimiento y/ liquidacion],COSTO_OPORTUNIDAD!$C266)/+SUMIFS(Tabla6[Nominal COP],Tabla6[Concepto],COSTO_OPORTUNIDAD!$B$18,Tabla6[Fecha Cumplimiento y/ liquidacion],COSTO_OPORTUNIDAD!$C266)</f>
        <v>0</v>
      </c>
      <c r="AC266" s="263">
        <f>+SUMIFS(Tabla6[Nominal COP],Tabla6[Concepto],COSTO_OPORTUNIDAD!$B$18,Tabla6[Nemotécnico],COSTO_OPORTUNIDAD!AC$16,Tabla6[Fecha Cumplimiento y/ liquidacion],COSTO_OPORTUNIDAD!$C266)/+SUMIFS(Tabla6[Nominal COP],Tabla6[Concepto],COSTO_OPORTUNIDAD!$B$18,Tabla6[Fecha Cumplimiento y/ liquidacion],COSTO_OPORTUNIDAD!$C266)</f>
        <v>0</v>
      </c>
      <c r="AD266" s="263">
        <f>+SUMIFS(Tabla6[Nominal COP],Tabla6[Concepto],COSTO_OPORTUNIDAD!$B$18,Tabla6[Nemotécnico],COSTO_OPORTUNIDAD!AC$16,Tabla6[Fecha Cumplimiento y/ liquidacion],COSTO_OPORTUNIDAD!$C266)/+SUMIFS(Tabla6[Nominal COP],Tabla6[Concepto],COSTO_OPORTUNIDAD!$B$18,Tabla6[Fecha Cumplimiento y/ liquidacion],COSTO_OPORTUNIDAD!$C266)</f>
        <v>0</v>
      </c>
      <c r="AE266" s="263">
        <f>+SUMIFS(Tabla6[Nominal COP],Tabla6[Concepto],COSTO_OPORTUNIDAD!$B$18,Tabla6[Nemotécnico],COSTO_OPORTUNIDAD!AE$16,Tabla6[Fecha Cumplimiento y/ liquidacion],COSTO_OPORTUNIDAD!$C266)/+SUMIFS(Tabla6[Nominal COP],Tabla6[Concepto],COSTO_OPORTUNIDAD!$B$18,Tabla6[Fecha Cumplimiento y/ liquidacion],COSTO_OPORTUNIDAD!$C266)</f>
        <v>0</v>
      </c>
      <c r="AF266" s="263"/>
      <c r="AG266" s="262"/>
      <c r="AH266" s="274">
        <f t="shared" si="275"/>
        <v>553</v>
      </c>
      <c r="AI266" s="274">
        <f t="shared" si="276"/>
        <v>987</v>
      </c>
      <c r="AJ266" s="274">
        <f t="shared" si="277"/>
        <v>1164</v>
      </c>
      <c r="AK266" s="274">
        <f t="shared" si="300"/>
        <v>1645</v>
      </c>
      <c r="AL266" s="274">
        <f t="shared" si="278"/>
        <v>2037</v>
      </c>
      <c r="AM266" s="274">
        <f t="shared" si="279"/>
        <v>2226</v>
      </c>
      <c r="AN266" s="274">
        <f t="shared" si="280"/>
        <v>2688</v>
      </c>
      <c r="AO266" s="274">
        <f t="shared" si="281"/>
        <v>2912</v>
      </c>
      <c r="AP266" s="274">
        <f t="shared" si="282"/>
        <v>3528</v>
      </c>
      <c r="AQ266" s="274"/>
      <c r="AR266" s="274">
        <f t="shared" si="208"/>
        <v>4158</v>
      </c>
      <c r="AS266" s="274">
        <f t="shared" si="301"/>
        <v>5761</v>
      </c>
      <c r="AT266" s="274">
        <f t="shared" si="283"/>
        <v>6307</v>
      </c>
      <c r="AU266" s="274">
        <f t="shared" si="284"/>
        <v>7826</v>
      </c>
      <c r="AV266" s="274">
        <f t="shared" si="285"/>
        <v>9380</v>
      </c>
      <c r="AW266" s="274"/>
      <c r="AX266" s="274">
        <f t="shared" si="286"/>
        <v>77</v>
      </c>
      <c r="AY266" s="274">
        <f t="shared" si="287"/>
        <v>756</v>
      </c>
      <c r="AZ266" s="274">
        <f t="shared" si="267"/>
        <v>1519</v>
      </c>
      <c r="BA266" s="274"/>
      <c r="BB266" s="274">
        <f t="shared" si="214"/>
        <v>2956</v>
      </c>
      <c r="BC266" s="274">
        <f t="shared" si="215"/>
        <v>3696</v>
      </c>
      <c r="BD266" s="274">
        <f t="shared" si="216"/>
        <v>4389</v>
      </c>
      <c r="BE266" s="274">
        <f t="shared" si="288"/>
        <v>5873</v>
      </c>
      <c r="BF266" s="274">
        <f t="shared" si="217"/>
        <v>8883</v>
      </c>
      <c r="BG266" s="274">
        <f t="shared" si="289"/>
        <v>11046</v>
      </c>
      <c r="BH266" s="274"/>
      <c r="BI266" s="266">
        <f t="shared" si="218"/>
        <v>0</v>
      </c>
      <c r="BJ266" s="266">
        <f t="shared" si="219"/>
        <v>1</v>
      </c>
      <c r="BK266" s="263">
        <f t="shared" si="220"/>
        <v>0</v>
      </c>
      <c r="BL266" s="263">
        <f t="shared" si="221"/>
        <v>0</v>
      </c>
      <c r="BM266" s="263">
        <f t="shared" si="222"/>
        <v>0</v>
      </c>
      <c r="BN266" s="263"/>
      <c r="BO266" s="263">
        <f t="shared" si="223"/>
        <v>0</v>
      </c>
      <c r="BP266" s="263">
        <f t="shared" si="224"/>
        <v>0</v>
      </c>
      <c r="BQ266" s="263">
        <f t="shared" si="225"/>
        <v>0</v>
      </c>
      <c r="BR266" s="263">
        <f t="shared" si="226"/>
        <v>0</v>
      </c>
      <c r="BS266" s="263">
        <f t="shared" si="227"/>
        <v>0</v>
      </c>
      <c r="BT266" s="263">
        <f t="shared" si="228"/>
        <v>0</v>
      </c>
      <c r="BU266" s="263">
        <f t="shared" si="229"/>
        <v>0</v>
      </c>
      <c r="BV266" s="263"/>
      <c r="BW266" s="263">
        <f t="shared" si="230"/>
        <v>0</v>
      </c>
      <c r="BX266" s="263">
        <f t="shared" si="258"/>
        <v>1</v>
      </c>
      <c r="BY266" s="263">
        <f t="shared" si="231"/>
        <v>0</v>
      </c>
      <c r="BZ266" s="263"/>
      <c r="CA266" s="263" t="str">
        <f t="shared" si="254"/>
        <v/>
      </c>
      <c r="CB266" s="263" t="str">
        <f t="shared" si="232"/>
        <v/>
      </c>
      <c r="CC266" s="263" t="str">
        <f t="shared" si="255"/>
        <v/>
      </c>
      <c r="CD266" s="263" t="str">
        <f t="shared" si="233"/>
        <v/>
      </c>
      <c r="CE266" s="263" t="str">
        <f t="shared" si="241"/>
        <v/>
      </c>
      <c r="CF266" s="263" t="str">
        <f t="shared" si="256"/>
        <v/>
      </c>
      <c r="CG266" s="263" t="str">
        <f t="shared" si="257"/>
        <v/>
      </c>
      <c r="CH266" s="263" t="str">
        <f t="shared" si="290"/>
        <v/>
      </c>
      <c r="CI266" s="263" t="str">
        <f t="shared" si="234"/>
        <v/>
      </c>
      <c r="CJ266" s="263" t="str">
        <f t="shared" si="291"/>
        <v/>
      </c>
      <c r="CK266" s="263" t="str">
        <f t="shared" si="235"/>
        <v/>
      </c>
      <c r="CL266" s="264">
        <f t="shared" si="259"/>
        <v>7826</v>
      </c>
      <c r="CM266" s="264">
        <f t="shared" si="292"/>
        <v>0</v>
      </c>
      <c r="CO266" s="265">
        <v>8.8800000000000004E-2</v>
      </c>
      <c r="CP266" s="265">
        <v>9.5939999999999998E-2</v>
      </c>
      <c r="CQ266" s="265">
        <v>0.10055</v>
      </c>
      <c r="CS266" s="265">
        <v>0.1076</v>
      </c>
      <c r="CT266" s="265">
        <v>0.11055</v>
      </c>
      <c r="CU266" s="265">
        <v>0.11259999999999999</v>
      </c>
      <c r="CV266" s="265">
        <v>0.1142</v>
      </c>
      <c r="CW266" s="265">
        <v>0.11638999999999999</v>
      </c>
      <c r="CY266" s="265">
        <v>0.11942</v>
      </c>
      <c r="DA266" s="265">
        <v>0.1225</v>
      </c>
      <c r="DB266" s="265">
        <v>0.12642</v>
      </c>
      <c r="DC266" s="265">
        <v>0.12465</v>
      </c>
      <c r="DE266" s="265">
        <v>4.4660000000000005E-2</v>
      </c>
      <c r="DF266" s="265">
        <v>5.0709999999999998E-2</v>
      </c>
      <c r="DH266" s="265">
        <v>5.3699999999999998E-2</v>
      </c>
      <c r="DI266" s="265">
        <v>5.4749999999999993E-2</v>
      </c>
      <c r="DJ266" s="265">
        <v>5.6100000000000004E-2</v>
      </c>
      <c r="DK266" s="265">
        <v>5.7190000000000005E-2</v>
      </c>
      <c r="DL266" s="265">
        <v>5.2510000000000001E-2</v>
      </c>
      <c r="DM266" s="265">
        <v>5.2659999999999998E-2</v>
      </c>
      <c r="DO266" s="264">
        <f t="shared" si="268"/>
        <v>7826</v>
      </c>
      <c r="DP266" s="264" cm="1">
        <f t="array" ref="DP266">+INDEX(AH266:AV266,MATCH(DO266,AH266:AV266,1)+1)</f>
        <v>9380</v>
      </c>
      <c r="DQ266" s="265">
        <f t="shared" si="269"/>
        <v>0.12642</v>
      </c>
      <c r="DR266" s="267">
        <f t="shared" si="270"/>
        <v>0.12465</v>
      </c>
      <c r="DS266" s="267">
        <f t="shared" si="297"/>
        <v>0.12642</v>
      </c>
      <c r="DT266" s="268" t="e">
        <f t="shared" si="293"/>
        <v>#N/A</v>
      </c>
      <c r="DU266" s="268" t="e" cm="1">
        <f t="array" ref="DU266">+INDEX(AX266:BG266,MATCH(DT266,AX266:BG266,1)+1)</f>
        <v>#N/A</v>
      </c>
      <c r="DV266" s="267" t="e">
        <f t="shared" si="249"/>
        <v>#N/A</v>
      </c>
      <c r="DW266" s="267" t="e">
        <f t="shared" si="294"/>
        <v>#N/A</v>
      </c>
      <c r="DX266" s="267" t="e">
        <f t="shared" si="274"/>
        <v>#N/A</v>
      </c>
      <c r="DY266" s="267">
        <f t="shared" si="295"/>
        <v>5.2200000000000003E-2</v>
      </c>
      <c r="DZ266" s="205" t="e">
        <f t="shared" ref="DZ266" si="303">+(1+DX266)*(1+DY266)-1</f>
        <v>#N/A</v>
      </c>
      <c r="EA266" s="205">
        <f t="shared" si="252"/>
        <v>0.12642</v>
      </c>
    </row>
    <row r="267" spans="2:131">
      <c r="B267" s="272">
        <v>45708</v>
      </c>
      <c r="C267" s="271">
        <v>45708</v>
      </c>
      <c r="D267" s="263">
        <f>+SUMIFS(Tabla6[Nominal COP],Tabla6[Concepto],COSTO_OPORTUNIDAD!$B$18,Tabla6[Nemotécnico],COSTO_OPORTUNIDAD!D$16,Tabla6[Fecha Cumplimiento y/ liquidacion],COSTO_OPORTUNIDAD!$C267)/+SUMIFS(Tabla6[Nominal COP],Tabla6[Concepto],COSTO_OPORTUNIDAD!$B$18,Tabla6[Fecha Cumplimiento y/ liquidacion],COSTO_OPORTUNIDAD!$C267)</f>
        <v>0</v>
      </c>
      <c r="E267" s="263">
        <f>+SUMIFS(Tabla6[Nominal COP],Tabla6[Concepto],COSTO_OPORTUNIDAD!$B$18,Tabla6[Nemotécnico],COSTO_OPORTUNIDAD!E$16,Tabla6[Fecha Cumplimiento y/ liquidacion],COSTO_OPORTUNIDAD!$C267)/+SUMIFS(Tabla6[Nominal COP],Tabla6[Concepto],COSTO_OPORTUNIDAD!$B$18,Tabla6[Fecha Cumplimiento y/ liquidacion],COSTO_OPORTUNIDAD!$C267)</f>
        <v>0</v>
      </c>
      <c r="F267" s="263">
        <f>+SUMIFS(Tabla6[Nominal COP],Tabla6[Concepto],COSTO_OPORTUNIDAD!$B$18,Tabla6[Nemotécnico],COSTO_OPORTUNIDAD!F$16,Tabla6[Fecha Cumplimiento y/ liquidacion],COSTO_OPORTUNIDAD!$C267)/+SUMIFS(Tabla6[Nominal COP],Tabla6[Concepto],COSTO_OPORTUNIDAD!$B$18,Tabla6[Fecha Cumplimiento y/ liquidacion],COSTO_OPORTUNIDAD!$C267)</f>
        <v>0</v>
      </c>
      <c r="G267" s="263">
        <f>+SUMIFS(Tabla6[Nominal COP],Tabla6[Concepto],COSTO_OPORTUNIDAD!$B$18,Tabla6[Nemotécnico],COSTO_OPORTUNIDAD!G$16,Tabla6[Fecha Cumplimiento y/ liquidacion],COSTO_OPORTUNIDAD!$C267)/+SUMIFS(Tabla6[Nominal COP],Tabla6[Concepto],COSTO_OPORTUNIDAD!$B$18,Tabla6[Fecha Cumplimiento y/ liquidacion],COSTO_OPORTUNIDAD!$C267)</f>
        <v>0</v>
      </c>
      <c r="H267" s="263">
        <f>+SUMIFS(Tabla6[Nominal COP],Tabla6[Concepto],COSTO_OPORTUNIDAD!$B$18,Tabla6[Nemotécnico],COSTO_OPORTUNIDAD!H$16,Tabla6[Fecha Cumplimiento y/ liquidacion],COSTO_OPORTUNIDAD!$C267)/+SUMIFS(Tabla6[Nominal COP],Tabla6[Concepto],COSTO_OPORTUNIDAD!$B$18,Tabla6[Fecha Cumplimiento y/ liquidacion],COSTO_OPORTUNIDAD!$C267)</f>
        <v>0</v>
      </c>
      <c r="I267" s="263"/>
      <c r="J267" s="263">
        <f>+SUMIFS(Tabla6[Nominal COP],Tabla6[Concepto],COSTO_OPORTUNIDAD!$B$18,Tabla6[Nemotécnico],COSTO_OPORTUNIDAD!J$16,Tabla6[Fecha Cumplimiento y/ liquidacion],COSTO_OPORTUNIDAD!$C267)/+SUMIFS(Tabla6[Nominal COP],Tabla6[Concepto],COSTO_OPORTUNIDAD!$B$18,Tabla6[Fecha Cumplimiento y/ liquidacion],COSTO_OPORTUNIDAD!$C267)</f>
        <v>0</v>
      </c>
      <c r="K267" s="263">
        <f>+SUMIFS(Tabla6[Nominal COP],Tabla6[Concepto],COSTO_OPORTUNIDAD!$B$18,Tabla6[Nemotécnico],COSTO_OPORTUNIDAD!K$16,Tabla6[Fecha Cumplimiento y/ liquidacion],COSTO_OPORTUNIDAD!$C267)/+SUMIFS(Tabla6[Nominal COP],Tabla6[Concepto],COSTO_OPORTUNIDAD!$B$18,Tabla6[Fecha Cumplimiento y/ liquidacion],COSTO_OPORTUNIDAD!$C267)</f>
        <v>0</v>
      </c>
      <c r="L267" s="263">
        <f>+SUMIFS(Tabla6[Nominal COP],Tabla6[Concepto],COSTO_OPORTUNIDAD!$B$18,Tabla6[Nemotécnico],COSTO_OPORTUNIDAD!L$16,Tabla6[Fecha Cumplimiento y/ liquidacion],COSTO_OPORTUNIDAD!$C267)/+SUMIFS(Tabla6[Nominal COP],Tabla6[Concepto],COSTO_OPORTUNIDAD!$B$18,Tabla6[Fecha Cumplimiento y/ liquidacion],COSTO_OPORTUNIDAD!$C267)</f>
        <v>0</v>
      </c>
      <c r="M267" s="263">
        <f>+SUMIFS(Tabla6[Nominal COP],Tabla6[Concepto],COSTO_OPORTUNIDAD!$B$18,Tabla6[Nemotécnico],COSTO_OPORTUNIDAD!M$16,Tabla6[Fecha Cumplimiento y/ liquidacion],COSTO_OPORTUNIDAD!$C267)/+SUMIFS(Tabla6[Nominal COP],Tabla6[Concepto],COSTO_OPORTUNIDAD!$B$18,Tabla6[Fecha Cumplimiento y/ liquidacion],COSTO_OPORTUNIDAD!$C267)</f>
        <v>0</v>
      </c>
      <c r="N267" s="263">
        <f>+SUMIFS(Tabla6[Nominal COP],Tabla6[Concepto],COSTO_OPORTUNIDAD!$B$18,Tabla6[Nemotécnico],COSTO_OPORTUNIDAD!N$16,Tabla6[Fecha Cumplimiento y/ liquidacion],COSTO_OPORTUNIDAD!$C267)/+SUMIFS(Tabla6[Nominal COP],Tabla6[Concepto],COSTO_OPORTUNIDAD!$B$18,Tabla6[Fecha Cumplimiento y/ liquidacion],COSTO_OPORTUNIDAD!$C267)</f>
        <v>0</v>
      </c>
      <c r="O267" s="263"/>
      <c r="P267" s="263">
        <f>+SUMIFS(Tabla6[Nominal COP],Tabla6[Concepto],COSTO_OPORTUNIDAD!$B$18,Tabla6[Nemotécnico],COSTO_OPORTUNIDAD!P$16,Tabla6[Fecha Cumplimiento y/ liquidacion],COSTO_OPORTUNIDAD!$C267)/+SUMIFS(Tabla6[Nominal COP],Tabla6[Concepto],COSTO_OPORTUNIDAD!$B$18,Tabla6[Fecha Cumplimiento y/ liquidacion],COSTO_OPORTUNIDAD!$C267)</f>
        <v>0</v>
      </c>
      <c r="Q267" s="263"/>
      <c r="R267" s="263">
        <f>+SUMIFS(Tabla6[Nominal COP],Tabla6[Concepto],COSTO_OPORTUNIDAD!$B$18,Tabla6[Nemotécnico],COSTO_OPORTUNIDAD!R$16,Tabla6[Fecha Cumplimiento y/ liquidacion],COSTO_OPORTUNIDAD!$C267)/+SUMIFS(Tabla6[Nominal COP],Tabla6[Concepto],COSTO_OPORTUNIDAD!$B$18,Tabla6[Fecha Cumplimiento y/ liquidacion],COSTO_OPORTUNIDAD!$C267)</f>
        <v>0</v>
      </c>
      <c r="S267" s="263">
        <f>+SUMIFS(Tabla6[Nominal COP],Tabla6[Concepto],COSTO_OPORTUNIDAD!$B$18,Tabla6[Nemotécnico],COSTO_OPORTUNIDAD!S$16,Tabla6[Fecha Cumplimiento y/ liquidacion],COSTO_OPORTUNIDAD!$C267)/+SUMIFS(Tabla6[Nominal COP],Tabla6[Concepto],COSTO_OPORTUNIDAD!$B$18,Tabla6[Fecha Cumplimiento y/ liquidacion],COSTO_OPORTUNIDAD!$C267)</f>
        <v>1</v>
      </c>
      <c r="T267" s="263">
        <f>+SUMIFS(Tabla6[Nominal COP],Tabla6[Concepto],COSTO_OPORTUNIDAD!$B$18,Tabla6[Nemotécnico],COSTO_OPORTUNIDAD!T$16,Tabla6[Fecha Cumplimiento y/ liquidacion],COSTO_OPORTUNIDAD!$C267)/+SUMIFS(Tabla6[Nominal COP],Tabla6[Concepto],COSTO_OPORTUNIDAD!$B$18,Tabla6[Fecha Cumplimiento y/ liquidacion],COSTO_OPORTUNIDAD!$C267)</f>
        <v>0</v>
      </c>
      <c r="U267" s="263"/>
      <c r="V267" s="263">
        <f>+SUMIFS(Tabla6[Nominal COP],Tabla6[Concepto],COSTO_OPORTUNIDAD!$B$18,Tabla6[Nemotécnico],COSTO_OPORTUNIDAD!V$16,Tabla6[Fecha Cumplimiento y/ liquidacion],COSTO_OPORTUNIDAD!$C267)/+SUMIFS(Tabla6[Nominal COP],Tabla6[Concepto],COSTO_OPORTUNIDAD!$B$18,Tabla6[Fecha Cumplimiento y/ liquidacion],COSTO_OPORTUNIDAD!$C267)</f>
        <v>0</v>
      </c>
      <c r="W267" s="263">
        <f>+SUMIFS(Tabla6[Nominal COP],Tabla6[Concepto],COSTO_OPORTUNIDAD!$B$18,Tabla6[Nemotécnico],COSTO_OPORTUNIDAD!W$16,Tabla6[Fecha Cumplimiento y/ liquidacion],COSTO_OPORTUNIDAD!$C267)/+SUMIFS(Tabla6[Nominal COP],Tabla6[Concepto],COSTO_OPORTUNIDAD!$B$18,Tabla6[Fecha Cumplimiento y/ liquidacion],COSTO_OPORTUNIDAD!$C267)</f>
        <v>0</v>
      </c>
      <c r="X267" s="263">
        <f>+SUMIFS(Tabla6[Nominal COP],Tabla6[Concepto],COSTO_OPORTUNIDAD!$B$18,Tabla6[Nemotécnico],COSTO_OPORTUNIDAD!X$16,Tabla6[Fecha Cumplimiento y/ liquidacion],COSTO_OPORTUNIDAD!$C267)/+SUMIFS(Tabla6[Nominal COP],Tabla6[Concepto],COSTO_OPORTUNIDAD!$B$18,Tabla6[Fecha Cumplimiento y/ liquidacion],COSTO_OPORTUNIDAD!$C267)</f>
        <v>0</v>
      </c>
      <c r="Y267" s="263"/>
      <c r="Z267" s="263">
        <f>+SUMIFS(Tabla6[Nominal COP],Tabla6[Concepto],COSTO_OPORTUNIDAD!$B$18,Tabla6[Nemotécnico],COSTO_OPORTUNIDAD!Z$16,Tabla6[Fecha Cumplimiento y/ liquidacion],COSTO_OPORTUNIDAD!$C267)/+SUMIFS(Tabla6[Nominal COP],Tabla6[Concepto],COSTO_OPORTUNIDAD!$B$18,Tabla6[Fecha Cumplimiento y/ liquidacion],COSTO_OPORTUNIDAD!$C267)</f>
        <v>0</v>
      </c>
      <c r="AA267" s="263">
        <f>+SUMIFS(Tabla6[Nominal COP],Tabla6[Concepto],COSTO_OPORTUNIDAD!$B$18,Tabla6[Nemotécnico],COSTO_OPORTUNIDAD!AA$16,Tabla6[Fecha Cumplimiento y/ liquidacion],COSTO_OPORTUNIDAD!$C267)/+SUMIFS(Tabla6[Nominal COP],Tabla6[Concepto],COSTO_OPORTUNIDAD!$B$18,Tabla6[Fecha Cumplimiento y/ liquidacion],COSTO_OPORTUNIDAD!$C267)</f>
        <v>0</v>
      </c>
      <c r="AB267" s="263">
        <f>+SUMIFS(Tabla6[Nominal COP],Tabla6[Concepto],COSTO_OPORTUNIDAD!$B$18,Tabla6[Nemotécnico],COSTO_OPORTUNIDAD!AB$16,Tabla6[Fecha Cumplimiento y/ liquidacion],COSTO_OPORTUNIDAD!$C267)/+SUMIFS(Tabla6[Nominal COP],Tabla6[Concepto],COSTO_OPORTUNIDAD!$B$18,Tabla6[Fecha Cumplimiento y/ liquidacion],COSTO_OPORTUNIDAD!$C267)</f>
        <v>0</v>
      </c>
      <c r="AC267" s="263">
        <f>+SUMIFS(Tabla6[Nominal COP],Tabla6[Concepto],COSTO_OPORTUNIDAD!$B$18,Tabla6[Nemotécnico],COSTO_OPORTUNIDAD!AC$16,Tabla6[Fecha Cumplimiento y/ liquidacion],COSTO_OPORTUNIDAD!$C267)/+SUMIFS(Tabla6[Nominal COP],Tabla6[Concepto],COSTO_OPORTUNIDAD!$B$18,Tabla6[Fecha Cumplimiento y/ liquidacion],COSTO_OPORTUNIDAD!$C267)</f>
        <v>0</v>
      </c>
      <c r="AD267" s="263">
        <f>+SUMIFS(Tabla6[Nominal COP],Tabla6[Concepto],COSTO_OPORTUNIDAD!$B$18,Tabla6[Nemotécnico],COSTO_OPORTUNIDAD!AC$16,Tabla6[Fecha Cumplimiento y/ liquidacion],COSTO_OPORTUNIDAD!$C267)/+SUMIFS(Tabla6[Nominal COP],Tabla6[Concepto],COSTO_OPORTUNIDAD!$B$18,Tabla6[Fecha Cumplimiento y/ liquidacion],COSTO_OPORTUNIDAD!$C267)</f>
        <v>0</v>
      </c>
      <c r="AE267" s="263">
        <f>+SUMIFS(Tabla6[Nominal COP],Tabla6[Concepto],COSTO_OPORTUNIDAD!$B$18,Tabla6[Nemotécnico],COSTO_OPORTUNIDAD!AE$16,Tabla6[Fecha Cumplimiento y/ liquidacion],COSTO_OPORTUNIDAD!$C267)/+SUMIFS(Tabla6[Nominal COP],Tabla6[Concepto],COSTO_OPORTUNIDAD!$B$18,Tabla6[Fecha Cumplimiento y/ liquidacion],COSTO_OPORTUNIDAD!$C267)</f>
        <v>0</v>
      </c>
      <c r="AF267" s="263"/>
      <c r="AG267" s="262"/>
      <c r="AH267" s="274">
        <f t="shared" si="275"/>
        <v>552</v>
      </c>
      <c r="AI267" s="274">
        <f t="shared" si="276"/>
        <v>986</v>
      </c>
      <c r="AJ267" s="274">
        <f t="shared" si="277"/>
        <v>1163</v>
      </c>
      <c r="AK267" s="274">
        <f t="shared" si="300"/>
        <v>1644</v>
      </c>
      <c r="AL267" s="274">
        <f t="shared" si="278"/>
        <v>2036</v>
      </c>
      <c r="AM267" s="274">
        <f t="shared" si="279"/>
        <v>2225</v>
      </c>
      <c r="AN267" s="274">
        <f t="shared" si="280"/>
        <v>2687</v>
      </c>
      <c r="AO267" s="274">
        <f t="shared" si="281"/>
        <v>2911</v>
      </c>
      <c r="AP267" s="274">
        <f t="shared" si="282"/>
        <v>3527</v>
      </c>
      <c r="AQ267" s="274"/>
      <c r="AR267" s="274">
        <f t="shared" si="208"/>
        <v>4157</v>
      </c>
      <c r="AS267" s="274">
        <f t="shared" si="301"/>
        <v>5760</v>
      </c>
      <c r="AT267" s="274">
        <f t="shared" si="283"/>
        <v>6306</v>
      </c>
      <c r="AU267" s="274">
        <f t="shared" si="284"/>
        <v>7825</v>
      </c>
      <c r="AV267" s="274">
        <f t="shared" si="285"/>
        <v>9379</v>
      </c>
      <c r="AW267" s="274"/>
      <c r="AX267" s="274">
        <f t="shared" si="286"/>
        <v>76</v>
      </c>
      <c r="AY267" s="274">
        <f t="shared" si="287"/>
        <v>755</v>
      </c>
      <c r="AZ267" s="274">
        <f t="shared" si="267"/>
        <v>1518</v>
      </c>
      <c r="BA267" s="274"/>
      <c r="BB267" s="274">
        <f t="shared" si="214"/>
        <v>2955</v>
      </c>
      <c r="BC267" s="274">
        <f t="shared" si="215"/>
        <v>3695</v>
      </c>
      <c r="BD267" s="274">
        <f t="shared" si="216"/>
        <v>4388</v>
      </c>
      <c r="BE267" s="274">
        <f t="shared" si="288"/>
        <v>5872</v>
      </c>
      <c r="BF267" s="274">
        <f t="shared" si="217"/>
        <v>8882</v>
      </c>
      <c r="BG267" s="274">
        <f t="shared" si="289"/>
        <v>11045</v>
      </c>
      <c r="BH267" s="274"/>
      <c r="BI267" s="266">
        <f t="shared" si="218"/>
        <v>0</v>
      </c>
      <c r="BJ267" s="266">
        <f t="shared" si="219"/>
        <v>1</v>
      </c>
      <c r="BK267" s="263">
        <f t="shared" si="220"/>
        <v>0</v>
      </c>
      <c r="BL267" s="263">
        <f t="shared" si="221"/>
        <v>0</v>
      </c>
      <c r="BM267" s="263">
        <f t="shared" si="222"/>
        <v>0</v>
      </c>
      <c r="BN267" s="263"/>
      <c r="BO267" s="263">
        <f t="shared" si="223"/>
        <v>0</v>
      </c>
      <c r="BP267" s="263">
        <f t="shared" si="224"/>
        <v>0</v>
      </c>
      <c r="BQ267" s="263">
        <f t="shared" si="225"/>
        <v>0</v>
      </c>
      <c r="BR267" s="263">
        <f t="shared" si="226"/>
        <v>0</v>
      </c>
      <c r="BS267" s="263">
        <f t="shared" si="227"/>
        <v>0</v>
      </c>
      <c r="BT267" s="263">
        <f t="shared" si="228"/>
        <v>0</v>
      </c>
      <c r="BU267" s="263">
        <f t="shared" si="229"/>
        <v>0</v>
      </c>
      <c r="BV267" s="263"/>
      <c r="BW267" s="263">
        <f t="shared" si="230"/>
        <v>0</v>
      </c>
      <c r="BX267" s="263">
        <f t="shared" si="258"/>
        <v>1</v>
      </c>
      <c r="BY267" s="263">
        <f t="shared" si="231"/>
        <v>0</v>
      </c>
      <c r="BZ267" s="263"/>
      <c r="CA267" s="263" t="str">
        <f t="shared" si="254"/>
        <v/>
      </c>
      <c r="CB267" s="263" t="str">
        <f t="shared" si="232"/>
        <v/>
      </c>
      <c r="CC267" s="263" t="str">
        <f t="shared" si="255"/>
        <v/>
      </c>
      <c r="CD267" s="263" t="str">
        <f t="shared" si="233"/>
        <v/>
      </c>
      <c r="CE267" s="263" t="str">
        <f t="shared" si="241"/>
        <v/>
      </c>
      <c r="CF267" s="263" t="str">
        <f t="shared" si="256"/>
        <v/>
      </c>
      <c r="CG267" s="263" t="str">
        <f t="shared" si="257"/>
        <v/>
      </c>
      <c r="CH267" s="263" t="str">
        <f t="shared" si="290"/>
        <v/>
      </c>
      <c r="CI267" s="263" t="str">
        <f t="shared" si="234"/>
        <v/>
      </c>
      <c r="CJ267" s="263" t="str">
        <f t="shared" si="291"/>
        <v/>
      </c>
      <c r="CK267" s="263" t="str">
        <f t="shared" si="235"/>
        <v/>
      </c>
      <c r="CL267" s="264">
        <f t="shared" si="259"/>
        <v>7825</v>
      </c>
      <c r="CM267" s="264">
        <f t="shared" si="292"/>
        <v>0</v>
      </c>
      <c r="CO267" s="265">
        <v>8.8340000000000002E-2</v>
      </c>
      <c r="CP267" s="265">
        <v>9.5749999999999988E-2</v>
      </c>
      <c r="CQ267" s="265">
        <v>0.10022</v>
      </c>
      <c r="CS267" s="265">
        <v>0.10755000000000001</v>
      </c>
      <c r="CT267" s="265">
        <v>0.11055</v>
      </c>
      <c r="CU267" s="265">
        <v>0.11180999999999999</v>
      </c>
      <c r="CV267" s="265">
        <v>0.11410000000000001</v>
      </c>
      <c r="CW267" s="265">
        <v>0.11619</v>
      </c>
      <c r="CY267" s="265">
        <v>0.11895</v>
      </c>
      <c r="DA267" s="265">
        <v>0.12230000000000001</v>
      </c>
      <c r="DB267" s="265">
        <v>0.12615000000000001</v>
      </c>
      <c r="DC267" s="265">
        <v>0.12426999999999999</v>
      </c>
      <c r="DE267" s="265">
        <v>4.4950000000000004E-2</v>
      </c>
      <c r="DF267" s="265">
        <v>5.0750000000000003E-2</v>
      </c>
      <c r="DH267" s="265">
        <v>5.3600000000000002E-2</v>
      </c>
      <c r="DI267" s="265">
        <v>5.5099999999999996E-2</v>
      </c>
      <c r="DJ267" s="265">
        <v>5.6139999999999995E-2</v>
      </c>
      <c r="DK267" s="265">
        <v>5.6909999999999995E-2</v>
      </c>
      <c r="DL267" s="265">
        <v>5.2229999999999999E-2</v>
      </c>
      <c r="DM267" s="265">
        <v>5.2990000000000002E-2</v>
      </c>
      <c r="DO267" s="264">
        <f t="shared" si="268"/>
        <v>7825</v>
      </c>
      <c r="DP267" s="264" cm="1">
        <f t="array" ref="DP267">+INDEX(AH267:AV267,MATCH(DO267,AH267:AV267,1)+1)</f>
        <v>9379</v>
      </c>
      <c r="DQ267" s="265">
        <f t="shared" si="269"/>
        <v>0.12615000000000001</v>
      </c>
      <c r="DR267" s="267">
        <f t="shared" si="270"/>
        <v>0.12426999999999999</v>
      </c>
      <c r="DS267" s="267">
        <f t="shared" si="297"/>
        <v>0.12615000000000001</v>
      </c>
      <c r="DT267" s="268" t="e">
        <f t="shared" si="293"/>
        <v>#N/A</v>
      </c>
      <c r="DU267" s="268" t="e" cm="1">
        <f t="array" ref="DU267">+INDEX(AX267:BG267,MATCH(DT267,AX267:BG267,1)+1)</f>
        <v>#N/A</v>
      </c>
      <c r="DV267" s="267" t="e">
        <f t="shared" si="249"/>
        <v>#N/A</v>
      </c>
      <c r="DW267" s="267" t="e">
        <f t="shared" si="294"/>
        <v>#N/A</v>
      </c>
      <c r="DX267" s="267" t="e">
        <f t="shared" si="274"/>
        <v>#N/A</v>
      </c>
      <c r="DY267" s="267">
        <f t="shared" si="295"/>
        <v>5.2200000000000003E-2</v>
      </c>
      <c r="DZ267" s="205" t="e">
        <f t="shared" ref="DZ267" si="304">+(1+DX267)*(1+DY267)-1</f>
        <v>#N/A</v>
      </c>
      <c r="EA267" s="205">
        <f t="shared" si="252"/>
        <v>0.12615000000000001</v>
      </c>
    </row>
    <row r="268" spans="2:131">
      <c r="B268" s="272">
        <v>45709</v>
      </c>
      <c r="C268" s="271">
        <v>45709</v>
      </c>
      <c r="D268" s="263">
        <f>+SUMIFS(Tabla6[Nominal COP],Tabla6[Concepto],COSTO_OPORTUNIDAD!$B$18,Tabla6[Nemotécnico],COSTO_OPORTUNIDAD!D$16,Tabla6[Fecha Cumplimiento y/ liquidacion],COSTO_OPORTUNIDAD!$C268)/+SUMIFS(Tabla6[Nominal COP],Tabla6[Concepto],COSTO_OPORTUNIDAD!$B$18,Tabla6[Fecha Cumplimiento y/ liquidacion],COSTO_OPORTUNIDAD!$C268)</f>
        <v>0</v>
      </c>
      <c r="E268" s="263">
        <f>+SUMIFS(Tabla6[Nominal COP],Tabla6[Concepto],COSTO_OPORTUNIDAD!$B$18,Tabla6[Nemotécnico],COSTO_OPORTUNIDAD!E$16,Tabla6[Fecha Cumplimiento y/ liquidacion],COSTO_OPORTUNIDAD!$C268)/+SUMIFS(Tabla6[Nominal COP],Tabla6[Concepto],COSTO_OPORTUNIDAD!$B$18,Tabla6[Fecha Cumplimiento y/ liquidacion],COSTO_OPORTUNIDAD!$C268)</f>
        <v>0</v>
      </c>
      <c r="F268" s="263">
        <f>+SUMIFS(Tabla6[Nominal COP],Tabla6[Concepto],COSTO_OPORTUNIDAD!$B$18,Tabla6[Nemotécnico],COSTO_OPORTUNIDAD!F$16,Tabla6[Fecha Cumplimiento y/ liquidacion],COSTO_OPORTUNIDAD!$C268)/+SUMIFS(Tabla6[Nominal COP],Tabla6[Concepto],COSTO_OPORTUNIDAD!$B$18,Tabla6[Fecha Cumplimiento y/ liquidacion],COSTO_OPORTUNIDAD!$C268)</f>
        <v>0</v>
      </c>
      <c r="G268" s="263">
        <f>+SUMIFS(Tabla6[Nominal COP],Tabla6[Concepto],COSTO_OPORTUNIDAD!$B$18,Tabla6[Nemotécnico],COSTO_OPORTUNIDAD!G$16,Tabla6[Fecha Cumplimiento y/ liquidacion],COSTO_OPORTUNIDAD!$C268)/+SUMIFS(Tabla6[Nominal COP],Tabla6[Concepto],COSTO_OPORTUNIDAD!$B$18,Tabla6[Fecha Cumplimiento y/ liquidacion],COSTO_OPORTUNIDAD!$C268)</f>
        <v>0</v>
      </c>
      <c r="H268" s="263">
        <f>+SUMIFS(Tabla6[Nominal COP],Tabla6[Concepto],COSTO_OPORTUNIDAD!$B$18,Tabla6[Nemotécnico],COSTO_OPORTUNIDAD!H$16,Tabla6[Fecha Cumplimiento y/ liquidacion],COSTO_OPORTUNIDAD!$C268)/+SUMIFS(Tabla6[Nominal COP],Tabla6[Concepto],COSTO_OPORTUNIDAD!$B$18,Tabla6[Fecha Cumplimiento y/ liquidacion],COSTO_OPORTUNIDAD!$C268)</f>
        <v>0</v>
      </c>
      <c r="I268" s="263"/>
      <c r="J268" s="263">
        <f>+SUMIFS(Tabla6[Nominal COP],Tabla6[Concepto],COSTO_OPORTUNIDAD!$B$18,Tabla6[Nemotécnico],COSTO_OPORTUNIDAD!J$16,Tabla6[Fecha Cumplimiento y/ liquidacion],COSTO_OPORTUNIDAD!$C268)/+SUMIFS(Tabla6[Nominal COP],Tabla6[Concepto],COSTO_OPORTUNIDAD!$B$18,Tabla6[Fecha Cumplimiento y/ liquidacion],COSTO_OPORTUNIDAD!$C268)</f>
        <v>0</v>
      </c>
      <c r="K268" s="263">
        <f>+SUMIFS(Tabla6[Nominal COP],Tabla6[Concepto],COSTO_OPORTUNIDAD!$B$18,Tabla6[Nemotécnico],COSTO_OPORTUNIDAD!K$16,Tabla6[Fecha Cumplimiento y/ liquidacion],COSTO_OPORTUNIDAD!$C268)/+SUMIFS(Tabla6[Nominal COP],Tabla6[Concepto],COSTO_OPORTUNIDAD!$B$18,Tabla6[Fecha Cumplimiento y/ liquidacion],COSTO_OPORTUNIDAD!$C268)</f>
        <v>0</v>
      </c>
      <c r="L268" s="263">
        <f>+SUMIFS(Tabla6[Nominal COP],Tabla6[Concepto],COSTO_OPORTUNIDAD!$B$18,Tabla6[Nemotécnico],COSTO_OPORTUNIDAD!L$16,Tabla6[Fecha Cumplimiento y/ liquidacion],COSTO_OPORTUNIDAD!$C268)/+SUMIFS(Tabla6[Nominal COP],Tabla6[Concepto],COSTO_OPORTUNIDAD!$B$18,Tabla6[Fecha Cumplimiento y/ liquidacion],COSTO_OPORTUNIDAD!$C268)</f>
        <v>0</v>
      </c>
      <c r="M268" s="263">
        <f>+SUMIFS(Tabla6[Nominal COP],Tabla6[Concepto],COSTO_OPORTUNIDAD!$B$18,Tabla6[Nemotécnico],COSTO_OPORTUNIDAD!M$16,Tabla6[Fecha Cumplimiento y/ liquidacion],COSTO_OPORTUNIDAD!$C268)/+SUMIFS(Tabla6[Nominal COP],Tabla6[Concepto],COSTO_OPORTUNIDAD!$B$18,Tabla6[Fecha Cumplimiento y/ liquidacion],COSTO_OPORTUNIDAD!$C268)</f>
        <v>0</v>
      </c>
      <c r="N268" s="263">
        <f>+SUMIFS(Tabla6[Nominal COP],Tabla6[Concepto],COSTO_OPORTUNIDAD!$B$18,Tabla6[Nemotécnico],COSTO_OPORTUNIDAD!N$16,Tabla6[Fecha Cumplimiento y/ liquidacion],COSTO_OPORTUNIDAD!$C268)/+SUMIFS(Tabla6[Nominal COP],Tabla6[Concepto],COSTO_OPORTUNIDAD!$B$18,Tabla6[Fecha Cumplimiento y/ liquidacion],COSTO_OPORTUNIDAD!$C268)</f>
        <v>0</v>
      </c>
      <c r="O268" s="263"/>
      <c r="P268" s="263">
        <f>+SUMIFS(Tabla6[Nominal COP],Tabla6[Concepto],COSTO_OPORTUNIDAD!$B$18,Tabla6[Nemotécnico],COSTO_OPORTUNIDAD!P$16,Tabla6[Fecha Cumplimiento y/ liquidacion],COSTO_OPORTUNIDAD!$C268)/+SUMIFS(Tabla6[Nominal COP],Tabla6[Concepto],COSTO_OPORTUNIDAD!$B$18,Tabla6[Fecha Cumplimiento y/ liquidacion],COSTO_OPORTUNIDAD!$C268)</f>
        <v>0</v>
      </c>
      <c r="Q268" s="263"/>
      <c r="R268" s="263">
        <f>+SUMIFS(Tabla6[Nominal COP],Tabla6[Concepto],COSTO_OPORTUNIDAD!$B$18,Tabla6[Nemotécnico],COSTO_OPORTUNIDAD!R$16,Tabla6[Fecha Cumplimiento y/ liquidacion],COSTO_OPORTUNIDAD!$C268)/+SUMIFS(Tabla6[Nominal COP],Tabla6[Concepto],COSTO_OPORTUNIDAD!$B$18,Tabla6[Fecha Cumplimiento y/ liquidacion],COSTO_OPORTUNIDAD!$C268)</f>
        <v>0</v>
      </c>
      <c r="S268" s="263">
        <f>+SUMIFS(Tabla6[Nominal COP],Tabla6[Concepto],COSTO_OPORTUNIDAD!$B$18,Tabla6[Nemotécnico],COSTO_OPORTUNIDAD!S$16,Tabla6[Fecha Cumplimiento y/ liquidacion],COSTO_OPORTUNIDAD!$C268)/+SUMIFS(Tabla6[Nominal COP],Tabla6[Concepto],COSTO_OPORTUNIDAD!$B$18,Tabla6[Fecha Cumplimiento y/ liquidacion],COSTO_OPORTUNIDAD!$C268)</f>
        <v>1</v>
      </c>
      <c r="T268" s="263">
        <f>+SUMIFS(Tabla6[Nominal COP],Tabla6[Concepto],COSTO_OPORTUNIDAD!$B$18,Tabla6[Nemotécnico],COSTO_OPORTUNIDAD!T$16,Tabla6[Fecha Cumplimiento y/ liquidacion],COSTO_OPORTUNIDAD!$C268)/+SUMIFS(Tabla6[Nominal COP],Tabla6[Concepto],COSTO_OPORTUNIDAD!$B$18,Tabla6[Fecha Cumplimiento y/ liquidacion],COSTO_OPORTUNIDAD!$C268)</f>
        <v>0</v>
      </c>
      <c r="U268" s="263"/>
      <c r="V268" s="263">
        <f>+SUMIFS(Tabla6[Nominal COP],Tabla6[Concepto],COSTO_OPORTUNIDAD!$B$18,Tabla6[Nemotécnico],COSTO_OPORTUNIDAD!V$16,Tabla6[Fecha Cumplimiento y/ liquidacion],COSTO_OPORTUNIDAD!$C268)/+SUMIFS(Tabla6[Nominal COP],Tabla6[Concepto],COSTO_OPORTUNIDAD!$B$18,Tabla6[Fecha Cumplimiento y/ liquidacion],COSTO_OPORTUNIDAD!$C268)</f>
        <v>0</v>
      </c>
      <c r="W268" s="263">
        <f>+SUMIFS(Tabla6[Nominal COP],Tabla6[Concepto],COSTO_OPORTUNIDAD!$B$18,Tabla6[Nemotécnico],COSTO_OPORTUNIDAD!W$16,Tabla6[Fecha Cumplimiento y/ liquidacion],COSTO_OPORTUNIDAD!$C268)/+SUMIFS(Tabla6[Nominal COP],Tabla6[Concepto],COSTO_OPORTUNIDAD!$B$18,Tabla6[Fecha Cumplimiento y/ liquidacion],COSTO_OPORTUNIDAD!$C268)</f>
        <v>0</v>
      </c>
      <c r="X268" s="263">
        <f>+SUMIFS(Tabla6[Nominal COP],Tabla6[Concepto],COSTO_OPORTUNIDAD!$B$18,Tabla6[Nemotécnico],COSTO_OPORTUNIDAD!X$16,Tabla6[Fecha Cumplimiento y/ liquidacion],COSTO_OPORTUNIDAD!$C268)/+SUMIFS(Tabla6[Nominal COP],Tabla6[Concepto],COSTO_OPORTUNIDAD!$B$18,Tabla6[Fecha Cumplimiento y/ liquidacion],COSTO_OPORTUNIDAD!$C268)</f>
        <v>0</v>
      </c>
      <c r="Y268" s="263"/>
      <c r="Z268" s="263">
        <f>+SUMIFS(Tabla6[Nominal COP],Tabla6[Concepto],COSTO_OPORTUNIDAD!$B$18,Tabla6[Nemotécnico],COSTO_OPORTUNIDAD!Z$16,Tabla6[Fecha Cumplimiento y/ liquidacion],COSTO_OPORTUNIDAD!$C268)/+SUMIFS(Tabla6[Nominal COP],Tabla6[Concepto],COSTO_OPORTUNIDAD!$B$18,Tabla6[Fecha Cumplimiento y/ liquidacion],COSTO_OPORTUNIDAD!$C268)</f>
        <v>0</v>
      </c>
      <c r="AA268" s="263">
        <f>+SUMIFS(Tabla6[Nominal COP],Tabla6[Concepto],COSTO_OPORTUNIDAD!$B$18,Tabla6[Nemotécnico],COSTO_OPORTUNIDAD!AA$16,Tabla6[Fecha Cumplimiento y/ liquidacion],COSTO_OPORTUNIDAD!$C268)/+SUMIFS(Tabla6[Nominal COP],Tabla6[Concepto],COSTO_OPORTUNIDAD!$B$18,Tabla6[Fecha Cumplimiento y/ liquidacion],COSTO_OPORTUNIDAD!$C268)</f>
        <v>0</v>
      </c>
      <c r="AB268" s="263">
        <f>+SUMIFS(Tabla6[Nominal COP],Tabla6[Concepto],COSTO_OPORTUNIDAD!$B$18,Tabla6[Nemotécnico],COSTO_OPORTUNIDAD!AB$16,Tabla6[Fecha Cumplimiento y/ liquidacion],COSTO_OPORTUNIDAD!$C268)/+SUMIFS(Tabla6[Nominal COP],Tabla6[Concepto],COSTO_OPORTUNIDAD!$B$18,Tabla6[Fecha Cumplimiento y/ liquidacion],COSTO_OPORTUNIDAD!$C268)</f>
        <v>0</v>
      </c>
      <c r="AC268" s="263">
        <f>+SUMIFS(Tabla6[Nominal COP],Tabla6[Concepto],COSTO_OPORTUNIDAD!$B$18,Tabla6[Nemotécnico],COSTO_OPORTUNIDAD!AC$16,Tabla6[Fecha Cumplimiento y/ liquidacion],COSTO_OPORTUNIDAD!$C268)/+SUMIFS(Tabla6[Nominal COP],Tabla6[Concepto],COSTO_OPORTUNIDAD!$B$18,Tabla6[Fecha Cumplimiento y/ liquidacion],COSTO_OPORTUNIDAD!$C268)</f>
        <v>0</v>
      </c>
      <c r="AD268" s="263">
        <f>+SUMIFS(Tabla6[Nominal COP],Tabla6[Concepto],COSTO_OPORTUNIDAD!$B$18,Tabla6[Nemotécnico],COSTO_OPORTUNIDAD!AC$16,Tabla6[Fecha Cumplimiento y/ liquidacion],COSTO_OPORTUNIDAD!$C268)/+SUMIFS(Tabla6[Nominal COP],Tabla6[Concepto],COSTO_OPORTUNIDAD!$B$18,Tabla6[Fecha Cumplimiento y/ liquidacion],COSTO_OPORTUNIDAD!$C268)</f>
        <v>0</v>
      </c>
      <c r="AE268" s="263">
        <f>+SUMIFS(Tabla6[Nominal COP],Tabla6[Concepto],COSTO_OPORTUNIDAD!$B$18,Tabla6[Nemotécnico],COSTO_OPORTUNIDAD!AE$16,Tabla6[Fecha Cumplimiento y/ liquidacion],COSTO_OPORTUNIDAD!$C268)/+SUMIFS(Tabla6[Nominal COP],Tabla6[Concepto],COSTO_OPORTUNIDAD!$B$18,Tabla6[Fecha Cumplimiento y/ liquidacion],COSTO_OPORTUNIDAD!$C268)</f>
        <v>0</v>
      </c>
      <c r="AF268" s="263"/>
      <c r="AG268" s="262"/>
      <c r="AH268" s="274">
        <f t="shared" si="275"/>
        <v>551</v>
      </c>
      <c r="AI268" s="274">
        <f t="shared" si="276"/>
        <v>985</v>
      </c>
      <c r="AJ268" s="274">
        <f t="shared" si="277"/>
        <v>1162</v>
      </c>
      <c r="AK268" s="274">
        <f t="shared" si="300"/>
        <v>1643</v>
      </c>
      <c r="AL268" s="274">
        <f t="shared" si="278"/>
        <v>2035</v>
      </c>
      <c r="AM268" s="274">
        <f t="shared" si="279"/>
        <v>2224</v>
      </c>
      <c r="AN268" s="274">
        <f t="shared" si="280"/>
        <v>2686</v>
      </c>
      <c r="AO268" s="274">
        <f t="shared" si="281"/>
        <v>2910</v>
      </c>
      <c r="AP268" s="274">
        <f t="shared" si="282"/>
        <v>3526</v>
      </c>
      <c r="AQ268" s="274"/>
      <c r="AR268" s="274">
        <f t="shared" si="208"/>
        <v>4156</v>
      </c>
      <c r="AS268" s="274">
        <f t="shared" si="301"/>
        <v>5759</v>
      </c>
      <c r="AT268" s="274">
        <f t="shared" si="283"/>
        <v>6305</v>
      </c>
      <c r="AU268" s="274">
        <f t="shared" si="284"/>
        <v>7824</v>
      </c>
      <c r="AV268" s="274">
        <f t="shared" si="285"/>
        <v>9378</v>
      </c>
      <c r="AW268" s="274"/>
      <c r="AX268" s="274">
        <f t="shared" si="286"/>
        <v>75</v>
      </c>
      <c r="AY268" s="274">
        <f t="shared" si="287"/>
        <v>754</v>
      </c>
      <c r="AZ268" s="274">
        <f t="shared" si="267"/>
        <v>1517</v>
      </c>
      <c r="BA268" s="274"/>
      <c r="BB268" s="274">
        <f t="shared" si="214"/>
        <v>2954</v>
      </c>
      <c r="BC268" s="274">
        <f t="shared" si="215"/>
        <v>3694</v>
      </c>
      <c r="BD268" s="274">
        <f t="shared" si="216"/>
        <v>4387</v>
      </c>
      <c r="BE268" s="274">
        <f t="shared" si="288"/>
        <v>5871</v>
      </c>
      <c r="BF268" s="274">
        <f t="shared" si="217"/>
        <v>8881</v>
      </c>
      <c r="BG268" s="274">
        <f t="shared" si="289"/>
        <v>11044</v>
      </c>
      <c r="BH268" s="274"/>
      <c r="BI268" s="266">
        <f t="shared" si="218"/>
        <v>0</v>
      </c>
      <c r="BJ268" s="266">
        <f t="shared" si="219"/>
        <v>1</v>
      </c>
      <c r="BK268" s="263">
        <f t="shared" si="220"/>
        <v>0</v>
      </c>
      <c r="BL268" s="263">
        <f t="shared" si="221"/>
        <v>0</v>
      </c>
      <c r="BM268" s="263">
        <f t="shared" si="222"/>
        <v>0</v>
      </c>
      <c r="BN268" s="263"/>
      <c r="BO268" s="263">
        <f t="shared" si="223"/>
        <v>0</v>
      </c>
      <c r="BP268" s="263">
        <f t="shared" si="224"/>
        <v>0</v>
      </c>
      <c r="BQ268" s="263">
        <f t="shared" si="225"/>
        <v>0</v>
      </c>
      <c r="BR268" s="263">
        <f t="shared" si="226"/>
        <v>0</v>
      </c>
      <c r="BS268" s="263">
        <f t="shared" si="227"/>
        <v>0</v>
      </c>
      <c r="BT268" s="263">
        <f t="shared" si="228"/>
        <v>0</v>
      </c>
      <c r="BU268" s="263">
        <f t="shared" si="229"/>
        <v>0</v>
      </c>
      <c r="BV268" s="263"/>
      <c r="BW268" s="263">
        <f t="shared" si="230"/>
        <v>0</v>
      </c>
      <c r="BX268" s="263">
        <f t="shared" si="258"/>
        <v>1</v>
      </c>
      <c r="BY268" s="263">
        <f t="shared" si="231"/>
        <v>0</v>
      </c>
      <c r="BZ268" s="263"/>
      <c r="CA268" s="263" t="str">
        <f t="shared" si="254"/>
        <v/>
      </c>
      <c r="CB268" s="263" t="str">
        <f t="shared" si="232"/>
        <v/>
      </c>
      <c r="CC268" s="263" t="str">
        <f t="shared" si="255"/>
        <v/>
      </c>
      <c r="CD268" s="263" t="str">
        <f t="shared" si="233"/>
        <v/>
      </c>
      <c r="CE268" s="263" t="str">
        <f t="shared" si="241"/>
        <v/>
      </c>
      <c r="CF268" s="263" t="str">
        <f t="shared" si="256"/>
        <v/>
      </c>
      <c r="CG268" s="263" t="str">
        <f t="shared" si="257"/>
        <v/>
      </c>
      <c r="CH268" s="263" t="str">
        <f t="shared" si="290"/>
        <v/>
      </c>
      <c r="CI268" s="263" t="str">
        <f t="shared" si="234"/>
        <v/>
      </c>
      <c r="CJ268" s="263" t="str">
        <f t="shared" si="291"/>
        <v/>
      </c>
      <c r="CK268" s="263" t="str">
        <f t="shared" si="235"/>
        <v/>
      </c>
      <c r="CL268" s="264">
        <f t="shared" si="259"/>
        <v>7824</v>
      </c>
      <c r="CM268" s="264">
        <f t="shared" si="292"/>
        <v>0</v>
      </c>
      <c r="CO268" s="265">
        <v>8.8719999999999993E-2</v>
      </c>
      <c r="CP268" s="265">
        <v>9.6099999999999991E-2</v>
      </c>
      <c r="CQ268" s="265">
        <v>9.9610000000000004E-2</v>
      </c>
      <c r="CS268" s="265">
        <v>0.107</v>
      </c>
      <c r="CT268" s="265">
        <v>0.1101</v>
      </c>
      <c r="CU268" s="265">
        <v>0.11199999999999999</v>
      </c>
      <c r="CV268" s="265">
        <v>0.11349000000000001</v>
      </c>
      <c r="CW268" s="265">
        <v>0.11598000000000001</v>
      </c>
      <c r="CY268" s="265">
        <v>0.11849999999999999</v>
      </c>
      <c r="DA268" s="265">
        <v>0.12194000000000001</v>
      </c>
      <c r="DB268" s="265">
        <v>0.12533</v>
      </c>
      <c r="DC268" s="265">
        <v>0.12330999999999999</v>
      </c>
      <c r="DE268" s="265">
        <v>4.4500000000000005E-2</v>
      </c>
      <c r="DF268" s="265">
        <v>5.0499999999999996E-2</v>
      </c>
      <c r="DH268" s="265">
        <v>5.3600000000000002E-2</v>
      </c>
      <c r="DI268" s="265">
        <v>5.4949999999999999E-2</v>
      </c>
      <c r="DJ268" s="265">
        <v>5.6100000000000004E-2</v>
      </c>
      <c r="DK268" s="265">
        <v>5.6909999999999995E-2</v>
      </c>
      <c r="DL268" s="265">
        <v>5.2590000000000005E-2</v>
      </c>
      <c r="DM268" s="265">
        <v>5.2639999999999999E-2</v>
      </c>
      <c r="DO268" s="264">
        <f t="shared" si="268"/>
        <v>7824</v>
      </c>
      <c r="DP268" s="264" cm="1">
        <f t="array" ref="DP268">+INDEX(AH268:AV268,MATCH(DO268,AH268:AV268,1)+1)</f>
        <v>9378</v>
      </c>
      <c r="DQ268" s="265">
        <f t="shared" si="269"/>
        <v>0.12533</v>
      </c>
      <c r="DR268" s="267">
        <f t="shared" si="270"/>
        <v>0.12330999999999999</v>
      </c>
      <c r="DS268" s="267">
        <f t="shared" si="297"/>
        <v>0.12533</v>
      </c>
      <c r="DT268" s="268" t="e">
        <f t="shared" si="293"/>
        <v>#N/A</v>
      </c>
      <c r="DU268" s="268" t="e" cm="1">
        <f t="array" ref="DU268">+INDEX(AX268:BG268,MATCH(DT268,AX268:BG268,1)+1)</f>
        <v>#N/A</v>
      </c>
      <c r="DV268" s="267" t="e">
        <f t="shared" si="249"/>
        <v>#N/A</v>
      </c>
      <c r="DW268" s="267" t="e">
        <f t="shared" si="294"/>
        <v>#N/A</v>
      </c>
      <c r="DX268" s="267" t="e">
        <f t="shared" si="274"/>
        <v>#N/A</v>
      </c>
      <c r="DY268" s="267">
        <f t="shared" si="295"/>
        <v>5.2200000000000003E-2</v>
      </c>
      <c r="DZ268" s="205" t="e">
        <f t="shared" ref="DZ268" si="305">+(1+DX268)*(1+DY268)-1</f>
        <v>#N/A</v>
      </c>
      <c r="EA268" s="205">
        <f t="shared" si="252"/>
        <v>0.12533</v>
      </c>
    </row>
    <row r="269" spans="2:131">
      <c r="B269" s="272">
        <v>45712</v>
      </c>
      <c r="C269" s="271">
        <v>45712</v>
      </c>
      <c r="D269" s="263">
        <f>+SUMIFS(Tabla6[Nominal COP],Tabla6[Concepto],COSTO_OPORTUNIDAD!$B$18,Tabla6[Nemotécnico],COSTO_OPORTUNIDAD!D$16,Tabla6[Fecha Cumplimiento y/ liquidacion],COSTO_OPORTUNIDAD!$C269)/+SUMIFS(Tabla6[Nominal COP],Tabla6[Concepto],COSTO_OPORTUNIDAD!$B$18,Tabla6[Fecha Cumplimiento y/ liquidacion],COSTO_OPORTUNIDAD!$C269)</f>
        <v>0</v>
      </c>
      <c r="E269" s="263">
        <f>+SUMIFS(Tabla6[Nominal COP],Tabla6[Concepto],COSTO_OPORTUNIDAD!$B$18,Tabla6[Nemotécnico],COSTO_OPORTUNIDAD!E$16,Tabla6[Fecha Cumplimiento y/ liquidacion],COSTO_OPORTUNIDAD!$C269)/+SUMIFS(Tabla6[Nominal COP],Tabla6[Concepto],COSTO_OPORTUNIDAD!$B$18,Tabla6[Fecha Cumplimiento y/ liquidacion],COSTO_OPORTUNIDAD!$C269)</f>
        <v>0</v>
      </c>
      <c r="F269" s="263">
        <f>+SUMIFS(Tabla6[Nominal COP],Tabla6[Concepto],COSTO_OPORTUNIDAD!$B$18,Tabla6[Nemotécnico],COSTO_OPORTUNIDAD!F$16,Tabla6[Fecha Cumplimiento y/ liquidacion],COSTO_OPORTUNIDAD!$C269)/+SUMIFS(Tabla6[Nominal COP],Tabla6[Concepto],COSTO_OPORTUNIDAD!$B$18,Tabla6[Fecha Cumplimiento y/ liquidacion],COSTO_OPORTUNIDAD!$C269)</f>
        <v>0</v>
      </c>
      <c r="G269" s="263">
        <f>+SUMIFS(Tabla6[Nominal COP],Tabla6[Concepto],COSTO_OPORTUNIDAD!$B$18,Tabla6[Nemotécnico],COSTO_OPORTUNIDAD!G$16,Tabla6[Fecha Cumplimiento y/ liquidacion],COSTO_OPORTUNIDAD!$C269)/+SUMIFS(Tabla6[Nominal COP],Tabla6[Concepto],COSTO_OPORTUNIDAD!$B$18,Tabla6[Fecha Cumplimiento y/ liquidacion],COSTO_OPORTUNIDAD!$C269)</f>
        <v>0</v>
      </c>
      <c r="H269" s="263">
        <f>+SUMIFS(Tabla6[Nominal COP],Tabla6[Concepto],COSTO_OPORTUNIDAD!$B$18,Tabla6[Nemotécnico],COSTO_OPORTUNIDAD!H$16,Tabla6[Fecha Cumplimiento y/ liquidacion],COSTO_OPORTUNIDAD!$C269)/+SUMIFS(Tabla6[Nominal COP],Tabla6[Concepto],COSTO_OPORTUNIDAD!$B$18,Tabla6[Fecha Cumplimiento y/ liquidacion],COSTO_OPORTUNIDAD!$C269)</f>
        <v>0</v>
      </c>
      <c r="I269" s="263"/>
      <c r="J269" s="263">
        <f>+SUMIFS(Tabla6[Nominal COP],Tabla6[Concepto],COSTO_OPORTUNIDAD!$B$18,Tabla6[Nemotécnico],COSTO_OPORTUNIDAD!J$16,Tabla6[Fecha Cumplimiento y/ liquidacion],COSTO_OPORTUNIDAD!$C269)/+SUMIFS(Tabla6[Nominal COP],Tabla6[Concepto],COSTO_OPORTUNIDAD!$B$18,Tabla6[Fecha Cumplimiento y/ liquidacion],COSTO_OPORTUNIDAD!$C269)</f>
        <v>0</v>
      </c>
      <c r="K269" s="263">
        <f>+SUMIFS(Tabla6[Nominal COP],Tabla6[Concepto],COSTO_OPORTUNIDAD!$B$18,Tabla6[Nemotécnico],COSTO_OPORTUNIDAD!K$16,Tabla6[Fecha Cumplimiento y/ liquidacion],COSTO_OPORTUNIDAD!$C269)/+SUMIFS(Tabla6[Nominal COP],Tabla6[Concepto],COSTO_OPORTUNIDAD!$B$18,Tabla6[Fecha Cumplimiento y/ liquidacion],COSTO_OPORTUNIDAD!$C269)</f>
        <v>0</v>
      </c>
      <c r="L269" s="263">
        <f>+SUMIFS(Tabla6[Nominal COP],Tabla6[Concepto],COSTO_OPORTUNIDAD!$B$18,Tabla6[Nemotécnico],COSTO_OPORTUNIDAD!L$16,Tabla6[Fecha Cumplimiento y/ liquidacion],COSTO_OPORTUNIDAD!$C269)/+SUMIFS(Tabla6[Nominal COP],Tabla6[Concepto],COSTO_OPORTUNIDAD!$B$18,Tabla6[Fecha Cumplimiento y/ liquidacion],COSTO_OPORTUNIDAD!$C269)</f>
        <v>0</v>
      </c>
      <c r="M269" s="263">
        <f>+SUMIFS(Tabla6[Nominal COP],Tabla6[Concepto],COSTO_OPORTUNIDAD!$B$18,Tabla6[Nemotécnico],COSTO_OPORTUNIDAD!M$16,Tabla6[Fecha Cumplimiento y/ liquidacion],COSTO_OPORTUNIDAD!$C269)/+SUMIFS(Tabla6[Nominal COP],Tabla6[Concepto],COSTO_OPORTUNIDAD!$B$18,Tabla6[Fecha Cumplimiento y/ liquidacion],COSTO_OPORTUNIDAD!$C269)</f>
        <v>0</v>
      </c>
      <c r="N269" s="263">
        <f>+SUMIFS(Tabla6[Nominal COP],Tabla6[Concepto],COSTO_OPORTUNIDAD!$B$18,Tabla6[Nemotécnico],COSTO_OPORTUNIDAD!N$16,Tabla6[Fecha Cumplimiento y/ liquidacion],COSTO_OPORTUNIDAD!$C269)/+SUMIFS(Tabla6[Nominal COP],Tabla6[Concepto],COSTO_OPORTUNIDAD!$B$18,Tabla6[Fecha Cumplimiento y/ liquidacion],COSTO_OPORTUNIDAD!$C269)</f>
        <v>0</v>
      </c>
      <c r="O269" s="263"/>
      <c r="P269" s="263">
        <f>+SUMIFS(Tabla6[Nominal COP],Tabla6[Concepto],COSTO_OPORTUNIDAD!$B$18,Tabla6[Nemotécnico],COSTO_OPORTUNIDAD!P$16,Tabla6[Fecha Cumplimiento y/ liquidacion],COSTO_OPORTUNIDAD!$C269)/+SUMIFS(Tabla6[Nominal COP],Tabla6[Concepto],COSTO_OPORTUNIDAD!$B$18,Tabla6[Fecha Cumplimiento y/ liquidacion],COSTO_OPORTUNIDAD!$C269)</f>
        <v>0</v>
      </c>
      <c r="Q269" s="263"/>
      <c r="R269" s="263">
        <f>+SUMIFS(Tabla6[Nominal COP],Tabla6[Concepto],COSTO_OPORTUNIDAD!$B$18,Tabla6[Nemotécnico],COSTO_OPORTUNIDAD!R$16,Tabla6[Fecha Cumplimiento y/ liquidacion],COSTO_OPORTUNIDAD!$C269)/+SUMIFS(Tabla6[Nominal COP],Tabla6[Concepto],COSTO_OPORTUNIDAD!$B$18,Tabla6[Fecha Cumplimiento y/ liquidacion],COSTO_OPORTUNIDAD!$C269)</f>
        <v>0</v>
      </c>
      <c r="S269" s="263">
        <f>+SUMIFS(Tabla6[Nominal COP],Tabla6[Concepto],COSTO_OPORTUNIDAD!$B$18,Tabla6[Nemotécnico],COSTO_OPORTUNIDAD!S$16,Tabla6[Fecha Cumplimiento y/ liquidacion],COSTO_OPORTUNIDAD!$C269)/+SUMIFS(Tabla6[Nominal COP],Tabla6[Concepto],COSTO_OPORTUNIDAD!$B$18,Tabla6[Fecha Cumplimiento y/ liquidacion],COSTO_OPORTUNIDAD!$C269)</f>
        <v>1</v>
      </c>
      <c r="T269" s="263">
        <f>+SUMIFS(Tabla6[Nominal COP],Tabla6[Concepto],COSTO_OPORTUNIDAD!$B$18,Tabla6[Nemotécnico],COSTO_OPORTUNIDAD!T$16,Tabla6[Fecha Cumplimiento y/ liquidacion],COSTO_OPORTUNIDAD!$C269)/+SUMIFS(Tabla6[Nominal COP],Tabla6[Concepto],COSTO_OPORTUNIDAD!$B$18,Tabla6[Fecha Cumplimiento y/ liquidacion],COSTO_OPORTUNIDAD!$C269)</f>
        <v>0</v>
      </c>
      <c r="U269" s="263"/>
      <c r="V269" s="263">
        <f>+SUMIFS(Tabla6[Nominal COP],Tabla6[Concepto],COSTO_OPORTUNIDAD!$B$18,Tabla6[Nemotécnico],COSTO_OPORTUNIDAD!V$16,Tabla6[Fecha Cumplimiento y/ liquidacion],COSTO_OPORTUNIDAD!$C269)/+SUMIFS(Tabla6[Nominal COP],Tabla6[Concepto],COSTO_OPORTUNIDAD!$B$18,Tabla6[Fecha Cumplimiento y/ liquidacion],COSTO_OPORTUNIDAD!$C269)</f>
        <v>0</v>
      </c>
      <c r="W269" s="263">
        <f>+SUMIFS(Tabla6[Nominal COP],Tabla6[Concepto],COSTO_OPORTUNIDAD!$B$18,Tabla6[Nemotécnico],COSTO_OPORTUNIDAD!W$16,Tabla6[Fecha Cumplimiento y/ liquidacion],COSTO_OPORTUNIDAD!$C269)/+SUMIFS(Tabla6[Nominal COP],Tabla6[Concepto],COSTO_OPORTUNIDAD!$B$18,Tabla6[Fecha Cumplimiento y/ liquidacion],COSTO_OPORTUNIDAD!$C269)</f>
        <v>0</v>
      </c>
      <c r="X269" s="263">
        <f>+SUMIFS(Tabla6[Nominal COP],Tabla6[Concepto],COSTO_OPORTUNIDAD!$B$18,Tabla6[Nemotécnico],COSTO_OPORTUNIDAD!X$16,Tabla6[Fecha Cumplimiento y/ liquidacion],COSTO_OPORTUNIDAD!$C269)/+SUMIFS(Tabla6[Nominal COP],Tabla6[Concepto],COSTO_OPORTUNIDAD!$B$18,Tabla6[Fecha Cumplimiento y/ liquidacion],COSTO_OPORTUNIDAD!$C269)</f>
        <v>0</v>
      </c>
      <c r="Y269" s="263"/>
      <c r="Z269" s="263">
        <f>+SUMIFS(Tabla6[Nominal COP],Tabla6[Concepto],COSTO_OPORTUNIDAD!$B$18,Tabla6[Nemotécnico],COSTO_OPORTUNIDAD!Z$16,Tabla6[Fecha Cumplimiento y/ liquidacion],COSTO_OPORTUNIDAD!$C269)/+SUMIFS(Tabla6[Nominal COP],Tabla6[Concepto],COSTO_OPORTUNIDAD!$B$18,Tabla6[Fecha Cumplimiento y/ liquidacion],COSTO_OPORTUNIDAD!$C269)</f>
        <v>0</v>
      </c>
      <c r="AA269" s="263">
        <f>+SUMIFS(Tabla6[Nominal COP],Tabla6[Concepto],COSTO_OPORTUNIDAD!$B$18,Tabla6[Nemotécnico],COSTO_OPORTUNIDAD!AA$16,Tabla6[Fecha Cumplimiento y/ liquidacion],COSTO_OPORTUNIDAD!$C269)/+SUMIFS(Tabla6[Nominal COP],Tabla6[Concepto],COSTO_OPORTUNIDAD!$B$18,Tabla6[Fecha Cumplimiento y/ liquidacion],COSTO_OPORTUNIDAD!$C269)</f>
        <v>0</v>
      </c>
      <c r="AB269" s="263">
        <f>+SUMIFS(Tabla6[Nominal COP],Tabla6[Concepto],COSTO_OPORTUNIDAD!$B$18,Tabla6[Nemotécnico],COSTO_OPORTUNIDAD!AB$16,Tabla6[Fecha Cumplimiento y/ liquidacion],COSTO_OPORTUNIDAD!$C269)/+SUMIFS(Tabla6[Nominal COP],Tabla6[Concepto],COSTO_OPORTUNIDAD!$B$18,Tabla6[Fecha Cumplimiento y/ liquidacion],COSTO_OPORTUNIDAD!$C269)</f>
        <v>0</v>
      </c>
      <c r="AC269" s="263">
        <f>+SUMIFS(Tabla6[Nominal COP],Tabla6[Concepto],COSTO_OPORTUNIDAD!$B$18,Tabla6[Nemotécnico],COSTO_OPORTUNIDAD!AC$16,Tabla6[Fecha Cumplimiento y/ liquidacion],COSTO_OPORTUNIDAD!$C269)/+SUMIFS(Tabla6[Nominal COP],Tabla6[Concepto],COSTO_OPORTUNIDAD!$B$18,Tabla6[Fecha Cumplimiento y/ liquidacion],COSTO_OPORTUNIDAD!$C269)</f>
        <v>0</v>
      </c>
      <c r="AD269" s="263">
        <f>+SUMIFS(Tabla6[Nominal COP],Tabla6[Concepto],COSTO_OPORTUNIDAD!$B$18,Tabla6[Nemotécnico],COSTO_OPORTUNIDAD!AC$16,Tabla6[Fecha Cumplimiento y/ liquidacion],COSTO_OPORTUNIDAD!$C269)/+SUMIFS(Tabla6[Nominal COP],Tabla6[Concepto],COSTO_OPORTUNIDAD!$B$18,Tabla6[Fecha Cumplimiento y/ liquidacion],COSTO_OPORTUNIDAD!$C269)</f>
        <v>0</v>
      </c>
      <c r="AE269" s="263">
        <f>+SUMIFS(Tabla6[Nominal COP],Tabla6[Concepto],COSTO_OPORTUNIDAD!$B$18,Tabla6[Nemotécnico],COSTO_OPORTUNIDAD!AE$16,Tabla6[Fecha Cumplimiento y/ liquidacion],COSTO_OPORTUNIDAD!$C269)/+SUMIFS(Tabla6[Nominal COP],Tabla6[Concepto],COSTO_OPORTUNIDAD!$B$18,Tabla6[Fecha Cumplimiento y/ liquidacion],COSTO_OPORTUNIDAD!$C269)</f>
        <v>0</v>
      </c>
      <c r="AF269" s="263"/>
      <c r="AG269" s="262"/>
      <c r="AH269" s="274">
        <f t="shared" si="275"/>
        <v>548</v>
      </c>
      <c r="AI269" s="274">
        <f t="shared" si="276"/>
        <v>982</v>
      </c>
      <c r="AJ269" s="274">
        <f t="shared" si="277"/>
        <v>1159</v>
      </c>
      <c r="AK269" s="274">
        <f t="shared" si="300"/>
        <v>1640</v>
      </c>
      <c r="AL269" s="274">
        <f t="shared" si="278"/>
        <v>2032</v>
      </c>
      <c r="AM269" s="274">
        <f t="shared" si="279"/>
        <v>2221</v>
      </c>
      <c r="AN269" s="274">
        <f t="shared" si="280"/>
        <v>2683</v>
      </c>
      <c r="AO269" s="274">
        <f t="shared" si="281"/>
        <v>2907</v>
      </c>
      <c r="AP269" s="274">
        <f t="shared" si="282"/>
        <v>3523</v>
      </c>
      <c r="AQ269" s="274"/>
      <c r="AR269" s="274">
        <f t="shared" si="208"/>
        <v>4153</v>
      </c>
      <c r="AS269" s="274">
        <f t="shared" si="301"/>
        <v>5756</v>
      </c>
      <c r="AT269" s="274">
        <f t="shared" si="283"/>
        <v>6302</v>
      </c>
      <c r="AU269" s="274">
        <f t="shared" si="284"/>
        <v>7821</v>
      </c>
      <c r="AV269" s="274">
        <f t="shared" si="285"/>
        <v>9375</v>
      </c>
      <c r="AW269" s="274"/>
      <c r="AX269" s="274">
        <f t="shared" si="286"/>
        <v>72</v>
      </c>
      <c r="AY269" s="274">
        <f t="shared" si="287"/>
        <v>751</v>
      </c>
      <c r="AZ269" s="274">
        <f t="shared" si="267"/>
        <v>1514</v>
      </c>
      <c r="BA269" s="274"/>
      <c r="BB269" s="274">
        <f t="shared" si="214"/>
        <v>2951</v>
      </c>
      <c r="BC269" s="274">
        <f t="shared" si="215"/>
        <v>3691</v>
      </c>
      <c r="BD269" s="274">
        <f t="shared" si="216"/>
        <v>4384</v>
      </c>
      <c r="BE269" s="274">
        <f t="shared" si="288"/>
        <v>5868</v>
      </c>
      <c r="BF269" s="274">
        <f t="shared" si="217"/>
        <v>8878</v>
      </c>
      <c r="BG269" s="274">
        <f t="shared" si="289"/>
        <v>11041</v>
      </c>
      <c r="BH269" s="274"/>
      <c r="BI269" s="266">
        <f t="shared" si="218"/>
        <v>0</v>
      </c>
      <c r="BJ269" s="266">
        <f t="shared" si="219"/>
        <v>1</v>
      </c>
      <c r="BK269" s="263">
        <f t="shared" si="220"/>
        <v>0</v>
      </c>
      <c r="BL269" s="263">
        <f t="shared" si="221"/>
        <v>0</v>
      </c>
      <c r="BM269" s="263">
        <f t="shared" si="222"/>
        <v>0</v>
      </c>
      <c r="BN269" s="263"/>
      <c r="BO269" s="263">
        <f t="shared" si="223"/>
        <v>0</v>
      </c>
      <c r="BP269" s="263">
        <f t="shared" si="224"/>
        <v>0</v>
      </c>
      <c r="BQ269" s="263">
        <f t="shared" si="225"/>
        <v>0</v>
      </c>
      <c r="BR269" s="263">
        <f t="shared" si="226"/>
        <v>0</v>
      </c>
      <c r="BS269" s="263">
        <f t="shared" si="227"/>
        <v>0</v>
      </c>
      <c r="BT269" s="263">
        <f t="shared" si="228"/>
        <v>0</v>
      </c>
      <c r="BU269" s="263">
        <f t="shared" si="229"/>
        <v>0</v>
      </c>
      <c r="BV269" s="263"/>
      <c r="BW269" s="263">
        <f t="shared" si="230"/>
        <v>0</v>
      </c>
      <c r="BX269" s="263">
        <f t="shared" si="258"/>
        <v>1</v>
      </c>
      <c r="BY269" s="263">
        <f t="shared" si="231"/>
        <v>0</v>
      </c>
      <c r="BZ269" s="263"/>
      <c r="CA269" s="263" t="str">
        <f t="shared" si="254"/>
        <v/>
      </c>
      <c r="CB269" s="263" t="str">
        <f t="shared" si="232"/>
        <v/>
      </c>
      <c r="CC269" s="263" t="str">
        <f t="shared" si="255"/>
        <v/>
      </c>
      <c r="CD269" s="263" t="str">
        <f t="shared" si="233"/>
        <v/>
      </c>
      <c r="CE269" s="263" t="str">
        <f t="shared" si="241"/>
        <v/>
      </c>
      <c r="CF269" s="263" t="str">
        <f t="shared" si="256"/>
        <v/>
      </c>
      <c r="CG269" s="263" t="str">
        <f t="shared" si="257"/>
        <v/>
      </c>
      <c r="CH269" s="263" t="str">
        <f t="shared" si="290"/>
        <v/>
      </c>
      <c r="CI269" s="263" t="str">
        <f t="shared" si="234"/>
        <v/>
      </c>
      <c r="CJ269" s="263" t="str">
        <f t="shared" si="291"/>
        <v/>
      </c>
      <c r="CK269" s="263" t="str">
        <f t="shared" si="235"/>
        <v/>
      </c>
      <c r="CL269" s="264">
        <f t="shared" si="259"/>
        <v>7821</v>
      </c>
      <c r="CM269" s="264">
        <f t="shared" si="292"/>
        <v>0</v>
      </c>
      <c r="CO269" s="265">
        <v>8.8569999999999996E-2</v>
      </c>
      <c r="CP269" s="265">
        <v>9.6419999999999992E-2</v>
      </c>
      <c r="CQ269" s="265">
        <v>0.1002</v>
      </c>
      <c r="CS269" s="265">
        <v>0.10710000000000001</v>
      </c>
      <c r="CT269" s="265">
        <v>0.10975</v>
      </c>
      <c r="CU269" s="265">
        <v>0.11125</v>
      </c>
      <c r="CV269" s="265">
        <v>0.11359999999999999</v>
      </c>
      <c r="CW269" s="265">
        <v>0.11550000000000001</v>
      </c>
      <c r="CY269" s="265">
        <v>0.1183</v>
      </c>
      <c r="DA269" s="265">
        <v>0.12136</v>
      </c>
      <c r="DB269" s="265">
        <v>0.12499</v>
      </c>
      <c r="DC269" s="265">
        <v>0.1232</v>
      </c>
      <c r="DE269" s="265">
        <v>4.5400000000000003E-2</v>
      </c>
      <c r="DF269" s="265">
        <v>5.0900000000000001E-2</v>
      </c>
      <c r="DH269" s="265">
        <v>5.4100000000000002E-2</v>
      </c>
      <c r="DI269" s="265">
        <v>5.5350000000000003E-2</v>
      </c>
      <c r="DJ269" s="265">
        <v>5.6150000000000005E-2</v>
      </c>
      <c r="DK269" s="265">
        <v>5.7079999999999999E-2</v>
      </c>
      <c r="DL269" s="265">
        <v>5.2600000000000001E-2</v>
      </c>
      <c r="DM269" s="265">
        <v>5.28E-2</v>
      </c>
      <c r="DO269" s="264">
        <f t="shared" si="268"/>
        <v>7821</v>
      </c>
      <c r="DP269" s="264" cm="1">
        <f t="array" ref="DP269">+INDEX(AH269:AV269,MATCH(DO269,AH269:AV269,1)+1)</f>
        <v>9375</v>
      </c>
      <c r="DQ269" s="265">
        <f t="shared" si="269"/>
        <v>0.12499</v>
      </c>
      <c r="DR269" s="267">
        <f t="shared" si="270"/>
        <v>0.1232</v>
      </c>
      <c r="DS269" s="267">
        <f t="shared" si="297"/>
        <v>0.12499</v>
      </c>
      <c r="DT269" s="268" t="e">
        <f t="shared" si="293"/>
        <v>#N/A</v>
      </c>
      <c r="DU269" s="268" t="e" cm="1">
        <f t="array" ref="DU269">+INDEX(AX269:BG269,MATCH(DT269,AX269:BG269,1)+1)</f>
        <v>#N/A</v>
      </c>
      <c r="DV269" s="267" t="e">
        <f t="shared" si="249"/>
        <v>#N/A</v>
      </c>
      <c r="DW269" s="267" t="e">
        <f t="shared" si="294"/>
        <v>#N/A</v>
      </c>
      <c r="DX269" s="267" t="e">
        <f t="shared" si="274"/>
        <v>#N/A</v>
      </c>
      <c r="DY269" s="267">
        <f t="shared" si="295"/>
        <v>5.2200000000000003E-2</v>
      </c>
      <c r="DZ269" s="205" t="e">
        <f t="shared" ref="DZ269" si="306">+(1+DX269)*(1+DY269)-1</f>
        <v>#N/A</v>
      </c>
      <c r="EA269" s="205">
        <f t="shared" si="252"/>
        <v>0.12499</v>
      </c>
    </row>
    <row r="270" spans="2:131">
      <c r="B270" s="272">
        <v>45713</v>
      </c>
      <c r="C270" s="271">
        <v>45713</v>
      </c>
      <c r="D270" s="263">
        <f>+SUMIFS(Tabla6[Nominal COP],Tabla6[Concepto],COSTO_OPORTUNIDAD!$B$18,Tabla6[Nemotécnico],COSTO_OPORTUNIDAD!D$16,Tabla6[Fecha Cumplimiento y/ liquidacion],COSTO_OPORTUNIDAD!$C270)/+SUMIFS(Tabla6[Nominal COP],Tabla6[Concepto],COSTO_OPORTUNIDAD!$B$18,Tabla6[Fecha Cumplimiento y/ liquidacion],COSTO_OPORTUNIDAD!$C270)</f>
        <v>0</v>
      </c>
      <c r="E270" s="263">
        <f>+SUMIFS(Tabla6[Nominal COP],Tabla6[Concepto],COSTO_OPORTUNIDAD!$B$18,Tabla6[Nemotécnico],COSTO_OPORTUNIDAD!E$16,Tabla6[Fecha Cumplimiento y/ liquidacion],COSTO_OPORTUNIDAD!$C270)/+SUMIFS(Tabla6[Nominal COP],Tabla6[Concepto],COSTO_OPORTUNIDAD!$B$18,Tabla6[Fecha Cumplimiento y/ liquidacion],COSTO_OPORTUNIDAD!$C270)</f>
        <v>0</v>
      </c>
      <c r="F270" s="263">
        <f>+SUMIFS(Tabla6[Nominal COP],Tabla6[Concepto],COSTO_OPORTUNIDAD!$B$18,Tabla6[Nemotécnico],COSTO_OPORTUNIDAD!F$16,Tabla6[Fecha Cumplimiento y/ liquidacion],COSTO_OPORTUNIDAD!$C270)/+SUMIFS(Tabla6[Nominal COP],Tabla6[Concepto],COSTO_OPORTUNIDAD!$B$18,Tabla6[Fecha Cumplimiento y/ liquidacion],COSTO_OPORTUNIDAD!$C270)</f>
        <v>0</v>
      </c>
      <c r="G270" s="263">
        <f>+SUMIFS(Tabla6[Nominal COP],Tabla6[Concepto],COSTO_OPORTUNIDAD!$B$18,Tabla6[Nemotécnico],COSTO_OPORTUNIDAD!G$16,Tabla6[Fecha Cumplimiento y/ liquidacion],COSTO_OPORTUNIDAD!$C270)/+SUMIFS(Tabla6[Nominal COP],Tabla6[Concepto],COSTO_OPORTUNIDAD!$B$18,Tabla6[Fecha Cumplimiento y/ liquidacion],COSTO_OPORTUNIDAD!$C270)</f>
        <v>0</v>
      </c>
      <c r="H270" s="263">
        <f>+SUMIFS(Tabla6[Nominal COP],Tabla6[Concepto],COSTO_OPORTUNIDAD!$B$18,Tabla6[Nemotécnico],COSTO_OPORTUNIDAD!H$16,Tabla6[Fecha Cumplimiento y/ liquidacion],COSTO_OPORTUNIDAD!$C270)/+SUMIFS(Tabla6[Nominal COP],Tabla6[Concepto],COSTO_OPORTUNIDAD!$B$18,Tabla6[Fecha Cumplimiento y/ liquidacion],COSTO_OPORTUNIDAD!$C270)</f>
        <v>0</v>
      </c>
      <c r="I270" s="263"/>
      <c r="J270" s="263">
        <f>+SUMIFS(Tabla6[Nominal COP],Tabla6[Concepto],COSTO_OPORTUNIDAD!$B$18,Tabla6[Nemotécnico],COSTO_OPORTUNIDAD!J$16,Tabla6[Fecha Cumplimiento y/ liquidacion],COSTO_OPORTUNIDAD!$C270)/+SUMIFS(Tabla6[Nominal COP],Tabla6[Concepto],COSTO_OPORTUNIDAD!$B$18,Tabla6[Fecha Cumplimiento y/ liquidacion],COSTO_OPORTUNIDAD!$C270)</f>
        <v>0</v>
      </c>
      <c r="K270" s="263">
        <f>+SUMIFS(Tabla6[Nominal COP],Tabla6[Concepto],COSTO_OPORTUNIDAD!$B$18,Tabla6[Nemotécnico],COSTO_OPORTUNIDAD!K$16,Tabla6[Fecha Cumplimiento y/ liquidacion],COSTO_OPORTUNIDAD!$C270)/+SUMIFS(Tabla6[Nominal COP],Tabla6[Concepto],COSTO_OPORTUNIDAD!$B$18,Tabla6[Fecha Cumplimiento y/ liquidacion],COSTO_OPORTUNIDAD!$C270)</f>
        <v>0</v>
      </c>
      <c r="L270" s="263">
        <f>+SUMIFS(Tabla6[Nominal COP],Tabla6[Concepto],COSTO_OPORTUNIDAD!$B$18,Tabla6[Nemotécnico],COSTO_OPORTUNIDAD!L$16,Tabla6[Fecha Cumplimiento y/ liquidacion],COSTO_OPORTUNIDAD!$C270)/+SUMIFS(Tabla6[Nominal COP],Tabla6[Concepto],COSTO_OPORTUNIDAD!$B$18,Tabla6[Fecha Cumplimiento y/ liquidacion],COSTO_OPORTUNIDAD!$C270)</f>
        <v>0</v>
      </c>
      <c r="M270" s="263">
        <f>+SUMIFS(Tabla6[Nominal COP],Tabla6[Concepto],COSTO_OPORTUNIDAD!$B$18,Tabla6[Nemotécnico],COSTO_OPORTUNIDAD!M$16,Tabla6[Fecha Cumplimiento y/ liquidacion],COSTO_OPORTUNIDAD!$C270)/+SUMIFS(Tabla6[Nominal COP],Tabla6[Concepto],COSTO_OPORTUNIDAD!$B$18,Tabla6[Fecha Cumplimiento y/ liquidacion],COSTO_OPORTUNIDAD!$C270)</f>
        <v>0</v>
      </c>
      <c r="N270" s="263">
        <f>+SUMIFS(Tabla6[Nominal COP],Tabla6[Concepto],COSTO_OPORTUNIDAD!$B$18,Tabla6[Nemotécnico],COSTO_OPORTUNIDAD!N$16,Tabla6[Fecha Cumplimiento y/ liquidacion],COSTO_OPORTUNIDAD!$C270)/+SUMIFS(Tabla6[Nominal COP],Tabla6[Concepto],COSTO_OPORTUNIDAD!$B$18,Tabla6[Fecha Cumplimiento y/ liquidacion],COSTO_OPORTUNIDAD!$C270)</f>
        <v>0</v>
      </c>
      <c r="O270" s="263"/>
      <c r="P270" s="263">
        <f>+SUMIFS(Tabla6[Nominal COP],Tabla6[Concepto],COSTO_OPORTUNIDAD!$B$18,Tabla6[Nemotécnico],COSTO_OPORTUNIDAD!P$16,Tabla6[Fecha Cumplimiento y/ liquidacion],COSTO_OPORTUNIDAD!$C270)/+SUMIFS(Tabla6[Nominal COP],Tabla6[Concepto],COSTO_OPORTUNIDAD!$B$18,Tabla6[Fecha Cumplimiento y/ liquidacion],COSTO_OPORTUNIDAD!$C270)</f>
        <v>0</v>
      </c>
      <c r="Q270" s="263"/>
      <c r="R270" s="263">
        <f>+SUMIFS(Tabla6[Nominal COP],Tabla6[Concepto],COSTO_OPORTUNIDAD!$B$18,Tabla6[Nemotécnico],COSTO_OPORTUNIDAD!R$16,Tabla6[Fecha Cumplimiento y/ liquidacion],COSTO_OPORTUNIDAD!$C270)/+SUMIFS(Tabla6[Nominal COP],Tabla6[Concepto],COSTO_OPORTUNIDAD!$B$18,Tabla6[Fecha Cumplimiento y/ liquidacion],COSTO_OPORTUNIDAD!$C270)</f>
        <v>0</v>
      </c>
      <c r="S270" s="263">
        <f>+SUMIFS(Tabla6[Nominal COP],Tabla6[Concepto],COSTO_OPORTUNIDAD!$B$18,Tabla6[Nemotécnico],COSTO_OPORTUNIDAD!S$16,Tabla6[Fecha Cumplimiento y/ liquidacion],COSTO_OPORTUNIDAD!$C270)/+SUMIFS(Tabla6[Nominal COP],Tabla6[Concepto],COSTO_OPORTUNIDAD!$B$18,Tabla6[Fecha Cumplimiento y/ liquidacion],COSTO_OPORTUNIDAD!$C270)</f>
        <v>1</v>
      </c>
      <c r="T270" s="263">
        <f>+SUMIFS(Tabla6[Nominal COP],Tabla6[Concepto],COSTO_OPORTUNIDAD!$B$18,Tabla6[Nemotécnico],COSTO_OPORTUNIDAD!T$16,Tabla6[Fecha Cumplimiento y/ liquidacion],COSTO_OPORTUNIDAD!$C270)/+SUMIFS(Tabla6[Nominal COP],Tabla6[Concepto],COSTO_OPORTUNIDAD!$B$18,Tabla6[Fecha Cumplimiento y/ liquidacion],COSTO_OPORTUNIDAD!$C270)</f>
        <v>0</v>
      </c>
      <c r="U270" s="263"/>
      <c r="V270" s="263">
        <f>+SUMIFS(Tabla6[Nominal COP],Tabla6[Concepto],COSTO_OPORTUNIDAD!$B$18,Tabla6[Nemotécnico],COSTO_OPORTUNIDAD!V$16,Tabla6[Fecha Cumplimiento y/ liquidacion],COSTO_OPORTUNIDAD!$C270)/+SUMIFS(Tabla6[Nominal COP],Tabla6[Concepto],COSTO_OPORTUNIDAD!$B$18,Tabla6[Fecha Cumplimiento y/ liquidacion],COSTO_OPORTUNIDAD!$C270)</f>
        <v>0</v>
      </c>
      <c r="W270" s="263">
        <f>+SUMIFS(Tabla6[Nominal COP],Tabla6[Concepto],COSTO_OPORTUNIDAD!$B$18,Tabla6[Nemotécnico],COSTO_OPORTUNIDAD!W$16,Tabla6[Fecha Cumplimiento y/ liquidacion],COSTO_OPORTUNIDAD!$C270)/+SUMIFS(Tabla6[Nominal COP],Tabla6[Concepto],COSTO_OPORTUNIDAD!$B$18,Tabla6[Fecha Cumplimiento y/ liquidacion],COSTO_OPORTUNIDAD!$C270)</f>
        <v>0</v>
      </c>
      <c r="X270" s="263">
        <f>+SUMIFS(Tabla6[Nominal COP],Tabla6[Concepto],COSTO_OPORTUNIDAD!$B$18,Tabla6[Nemotécnico],COSTO_OPORTUNIDAD!X$16,Tabla6[Fecha Cumplimiento y/ liquidacion],COSTO_OPORTUNIDAD!$C270)/+SUMIFS(Tabla6[Nominal COP],Tabla6[Concepto],COSTO_OPORTUNIDAD!$B$18,Tabla6[Fecha Cumplimiento y/ liquidacion],COSTO_OPORTUNIDAD!$C270)</f>
        <v>0</v>
      </c>
      <c r="Y270" s="263"/>
      <c r="Z270" s="263">
        <f>+SUMIFS(Tabla6[Nominal COP],Tabla6[Concepto],COSTO_OPORTUNIDAD!$B$18,Tabla6[Nemotécnico],COSTO_OPORTUNIDAD!Z$16,Tabla6[Fecha Cumplimiento y/ liquidacion],COSTO_OPORTUNIDAD!$C270)/+SUMIFS(Tabla6[Nominal COP],Tabla6[Concepto],COSTO_OPORTUNIDAD!$B$18,Tabla6[Fecha Cumplimiento y/ liquidacion],COSTO_OPORTUNIDAD!$C270)</f>
        <v>0</v>
      </c>
      <c r="AA270" s="263">
        <f>+SUMIFS(Tabla6[Nominal COP],Tabla6[Concepto],COSTO_OPORTUNIDAD!$B$18,Tabla6[Nemotécnico],COSTO_OPORTUNIDAD!AA$16,Tabla6[Fecha Cumplimiento y/ liquidacion],COSTO_OPORTUNIDAD!$C270)/+SUMIFS(Tabla6[Nominal COP],Tabla6[Concepto],COSTO_OPORTUNIDAD!$B$18,Tabla6[Fecha Cumplimiento y/ liquidacion],COSTO_OPORTUNIDAD!$C270)</f>
        <v>0</v>
      </c>
      <c r="AB270" s="263">
        <f>+SUMIFS(Tabla6[Nominal COP],Tabla6[Concepto],COSTO_OPORTUNIDAD!$B$18,Tabla6[Nemotécnico],COSTO_OPORTUNIDAD!AB$16,Tabla6[Fecha Cumplimiento y/ liquidacion],COSTO_OPORTUNIDAD!$C270)/+SUMIFS(Tabla6[Nominal COP],Tabla6[Concepto],COSTO_OPORTUNIDAD!$B$18,Tabla6[Fecha Cumplimiento y/ liquidacion],COSTO_OPORTUNIDAD!$C270)</f>
        <v>0</v>
      </c>
      <c r="AC270" s="263">
        <f>+SUMIFS(Tabla6[Nominal COP],Tabla6[Concepto],COSTO_OPORTUNIDAD!$B$18,Tabla6[Nemotécnico],COSTO_OPORTUNIDAD!AC$16,Tabla6[Fecha Cumplimiento y/ liquidacion],COSTO_OPORTUNIDAD!$C270)/+SUMIFS(Tabla6[Nominal COP],Tabla6[Concepto],COSTO_OPORTUNIDAD!$B$18,Tabla6[Fecha Cumplimiento y/ liquidacion],COSTO_OPORTUNIDAD!$C270)</f>
        <v>0</v>
      </c>
      <c r="AD270" s="263">
        <f>+SUMIFS(Tabla6[Nominal COP],Tabla6[Concepto],COSTO_OPORTUNIDAD!$B$18,Tabla6[Nemotécnico],COSTO_OPORTUNIDAD!AC$16,Tabla6[Fecha Cumplimiento y/ liquidacion],COSTO_OPORTUNIDAD!$C270)/+SUMIFS(Tabla6[Nominal COP],Tabla6[Concepto],COSTO_OPORTUNIDAD!$B$18,Tabla6[Fecha Cumplimiento y/ liquidacion],COSTO_OPORTUNIDAD!$C270)</f>
        <v>0</v>
      </c>
      <c r="AE270" s="263">
        <f>+SUMIFS(Tabla6[Nominal COP],Tabla6[Concepto],COSTO_OPORTUNIDAD!$B$18,Tabla6[Nemotécnico],COSTO_OPORTUNIDAD!AE$16,Tabla6[Fecha Cumplimiento y/ liquidacion],COSTO_OPORTUNIDAD!$C270)/+SUMIFS(Tabla6[Nominal COP],Tabla6[Concepto],COSTO_OPORTUNIDAD!$B$18,Tabla6[Fecha Cumplimiento y/ liquidacion],COSTO_OPORTUNIDAD!$C270)</f>
        <v>0</v>
      </c>
      <c r="AF270" s="263">
        <f>+SUMIFS(Tabla6[Nominal COP],Tabla6[Concepto],COSTO_OPORTUNIDAD!$B$18,Tabla6[Nemotécnico],COSTO_OPORTUNIDAD!AF$16,Tabla6[Fecha Cumplimiento y/ liquidacion],COSTO_OPORTUNIDAD!$C270)/+SUMIFS(Tabla6[Nominal COP],Tabla6[Concepto],COSTO_OPORTUNIDAD!$B$18,Tabla6[Fecha Cumplimiento y/ liquidacion],COSTO_OPORTUNIDAD!$C270)</f>
        <v>0</v>
      </c>
      <c r="AH270" s="274">
        <f t="shared" si="275"/>
        <v>547</v>
      </c>
      <c r="AI270" s="274">
        <f t="shared" si="276"/>
        <v>981</v>
      </c>
      <c r="AJ270" s="274">
        <f t="shared" si="277"/>
        <v>1158</v>
      </c>
      <c r="AK270" s="274">
        <f t="shared" si="300"/>
        <v>1639</v>
      </c>
      <c r="AL270" s="274">
        <f t="shared" si="278"/>
        <v>2031</v>
      </c>
      <c r="AM270" s="274">
        <f t="shared" si="279"/>
        <v>2220</v>
      </c>
      <c r="AN270" s="274">
        <f t="shared" si="280"/>
        <v>2682</v>
      </c>
      <c r="AO270" s="274">
        <f t="shared" si="281"/>
        <v>2906</v>
      </c>
      <c r="AP270" s="274">
        <f t="shared" si="282"/>
        <v>3522</v>
      </c>
      <c r="AQ270" s="274"/>
      <c r="AR270" s="274">
        <f t="shared" si="208"/>
        <v>4152</v>
      </c>
      <c r="AS270" s="274">
        <f t="shared" si="301"/>
        <v>5755</v>
      </c>
      <c r="AT270" s="274">
        <f t="shared" si="283"/>
        <v>6301</v>
      </c>
      <c r="AU270" s="274">
        <f t="shared" si="284"/>
        <v>7820</v>
      </c>
      <c r="AV270" s="274">
        <f t="shared" si="285"/>
        <v>9374</v>
      </c>
      <c r="AW270" s="274"/>
      <c r="AX270" s="274">
        <f t="shared" si="286"/>
        <v>71</v>
      </c>
      <c r="AY270" s="274">
        <f t="shared" si="287"/>
        <v>750</v>
      </c>
      <c r="AZ270" s="274">
        <f t="shared" si="267"/>
        <v>1513</v>
      </c>
      <c r="BA270" s="274"/>
      <c r="BB270" s="274">
        <f t="shared" si="214"/>
        <v>2950</v>
      </c>
      <c r="BC270" s="274">
        <f t="shared" si="215"/>
        <v>3690</v>
      </c>
      <c r="BD270" s="274">
        <f t="shared" si="216"/>
        <v>4383</v>
      </c>
      <c r="BE270" s="274">
        <f t="shared" si="288"/>
        <v>5867</v>
      </c>
      <c r="BF270" s="274">
        <f t="shared" si="217"/>
        <v>8877</v>
      </c>
      <c r="BG270" s="274">
        <f t="shared" si="289"/>
        <v>11040</v>
      </c>
      <c r="BH270" s="274"/>
      <c r="BI270" s="266">
        <f t="shared" si="218"/>
        <v>0</v>
      </c>
      <c r="BJ270" s="266">
        <f t="shared" si="219"/>
        <v>1</v>
      </c>
      <c r="BK270" s="263">
        <f t="shared" si="220"/>
        <v>0</v>
      </c>
      <c r="BL270" s="263">
        <f t="shared" si="221"/>
        <v>0</v>
      </c>
      <c r="BM270" s="263">
        <f t="shared" si="222"/>
        <v>0</v>
      </c>
      <c r="BN270" s="263"/>
      <c r="BO270" s="263">
        <f t="shared" si="223"/>
        <v>0</v>
      </c>
      <c r="BP270" s="263">
        <f t="shared" si="224"/>
        <v>0</v>
      </c>
      <c r="BQ270" s="263">
        <f t="shared" si="225"/>
        <v>0</v>
      </c>
      <c r="BR270" s="263">
        <f t="shared" si="226"/>
        <v>0</v>
      </c>
      <c r="BS270" s="263">
        <f t="shared" si="227"/>
        <v>0</v>
      </c>
      <c r="BT270" s="263">
        <f t="shared" si="228"/>
        <v>0</v>
      </c>
      <c r="BU270" s="263">
        <f t="shared" si="229"/>
        <v>0</v>
      </c>
      <c r="BV270" s="263"/>
      <c r="BW270" s="263">
        <f t="shared" si="230"/>
        <v>0</v>
      </c>
      <c r="BX270" s="263">
        <f t="shared" si="258"/>
        <v>1</v>
      </c>
      <c r="BY270" s="263">
        <f t="shared" si="231"/>
        <v>0</v>
      </c>
      <c r="BZ270" s="263"/>
      <c r="CA270" s="263" t="str">
        <f t="shared" si="254"/>
        <v/>
      </c>
      <c r="CB270" s="263" t="str">
        <f t="shared" si="232"/>
        <v/>
      </c>
      <c r="CC270" s="263" t="str">
        <f t="shared" si="255"/>
        <v/>
      </c>
      <c r="CD270" s="263" t="str">
        <f t="shared" si="233"/>
        <v/>
      </c>
      <c r="CE270" s="263" t="str">
        <f t="shared" si="241"/>
        <v/>
      </c>
      <c r="CF270" s="263" t="str">
        <f t="shared" si="256"/>
        <v/>
      </c>
      <c r="CG270" s="263" t="str">
        <f t="shared" si="257"/>
        <v/>
      </c>
      <c r="CH270" s="263" t="str">
        <f t="shared" si="290"/>
        <v/>
      </c>
      <c r="CI270" s="263" t="str">
        <f t="shared" si="234"/>
        <v/>
      </c>
      <c r="CJ270" s="263" t="str">
        <f t="shared" si="291"/>
        <v/>
      </c>
      <c r="CK270" s="263" t="str">
        <f t="shared" si="235"/>
        <v/>
      </c>
      <c r="CL270" s="264">
        <f t="shared" si="259"/>
        <v>7820</v>
      </c>
      <c r="CM270" s="264">
        <f t="shared" si="292"/>
        <v>0</v>
      </c>
      <c r="CO270" s="265">
        <v>8.8819999999999996E-2</v>
      </c>
      <c r="CP270" s="265">
        <v>9.5909999999999995E-2</v>
      </c>
      <c r="CQ270" s="265">
        <v>9.9949999999999997E-2</v>
      </c>
      <c r="CS270" s="265">
        <v>0.10714</v>
      </c>
      <c r="CT270" s="265">
        <v>0.10968</v>
      </c>
      <c r="CU270" s="265">
        <v>0.11125</v>
      </c>
      <c r="CV270" s="265">
        <v>0.11355</v>
      </c>
      <c r="CW270" s="265">
        <v>0.11585000000000001</v>
      </c>
      <c r="CY270" s="265">
        <v>0.11810000000000001</v>
      </c>
      <c r="DA270" s="265">
        <v>0.1208</v>
      </c>
      <c r="DB270" s="265">
        <v>0.1249</v>
      </c>
      <c r="DC270" s="265">
        <v>0.12349</v>
      </c>
      <c r="DE270" s="265">
        <v>4.5560000000000003E-2</v>
      </c>
      <c r="DF270" s="265">
        <v>5.0869999999999999E-2</v>
      </c>
      <c r="DH270" s="265">
        <v>5.4100000000000002E-2</v>
      </c>
      <c r="DI270" s="265">
        <v>5.4949999999999999E-2</v>
      </c>
      <c r="DJ270" s="265">
        <v>5.6070000000000002E-2</v>
      </c>
      <c r="DK270" s="265">
        <v>5.6689999999999997E-2</v>
      </c>
      <c r="DL270" s="265">
        <v>5.228E-2</v>
      </c>
      <c r="DM270" s="265">
        <v>5.2590000000000005E-2</v>
      </c>
      <c r="DO270" s="264">
        <f t="shared" si="268"/>
        <v>7820</v>
      </c>
      <c r="DP270" s="264" cm="1">
        <f t="array" ref="DP270">+INDEX(AH270:AV270,MATCH(DO270,AH270:AV270,1)+1)</f>
        <v>9374</v>
      </c>
      <c r="DQ270" s="265">
        <f t="shared" si="269"/>
        <v>0.1249</v>
      </c>
      <c r="DR270" s="267">
        <f t="shared" si="270"/>
        <v>0.12349</v>
      </c>
      <c r="DS270" s="267">
        <f t="shared" si="297"/>
        <v>0.1249</v>
      </c>
      <c r="DT270" s="268" t="e">
        <f t="shared" si="293"/>
        <v>#N/A</v>
      </c>
      <c r="DU270" s="268" t="e" cm="1">
        <f t="array" ref="DU270">+INDEX(AX270:BG270,MATCH(DT270,AX270:BG270,1)+1)</f>
        <v>#N/A</v>
      </c>
      <c r="DV270" s="267" t="e">
        <f t="shared" si="249"/>
        <v>#N/A</v>
      </c>
      <c r="DW270" s="267" t="e">
        <f t="shared" si="294"/>
        <v>#N/A</v>
      </c>
      <c r="DX270" s="267" t="e">
        <f t="shared" si="274"/>
        <v>#N/A</v>
      </c>
      <c r="DY270" s="267">
        <f t="shared" si="295"/>
        <v>5.2200000000000003E-2</v>
      </c>
      <c r="DZ270" s="205" t="e">
        <f t="shared" ref="DZ270" si="307">+(1+DX270)*(1+DY270)-1</f>
        <v>#N/A</v>
      </c>
      <c r="EA270" s="205">
        <f t="shared" si="252"/>
        <v>0.1249</v>
      </c>
    </row>
    <row r="271" spans="2:131">
      <c r="B271" s="272">
        <v>45715</v>
      </c>
      <c r="C271" s="271">
        <v>45715</v>
      </c>
      <c r="D271" s="263">
        <f>+SUMIFS(Tabla6[Nominal COP],Tabla6[Concepto],COSTO_OPORTUNIDAD!$B$18,Tabla6[Nemotécnico],COSTO_OPORTUNIDAD!D$16,Tabla6[Fecha Cumplimiento y/ liquidacion],COSTO_OPORTUNIDAD!$C271)/+SUMIFS(Tabla6[Nominal COP],Tabla6[Concepto],COSTO_OPORTUNIDAD!$B$18,Tabla6[Fecha Cumplimiento y/ liquidacion],COSTO_OPORTUNIDAD!$C271)</f>
        <v>0</v>
      </c>
      <c r="E271" s="263">
        <f>+SUMIFS(Tabla6[Nominal COP],Tabla6[Concepto],COSTO_OPORTUNIDAD!$B$18,Tabla6[Nemotécnico],COSTO_OPORTUNIDAD!E$16,Tabla6[Fecha Cumplimiento y/ liquidacion],COSTO_OPORTUNIDAD!$C271)/+SUMIFS(Tabla6[Nominal COP],Tabla6[Concepto],COSTO_OPORTUNIDAD!$B$18,Tabla6[Fecha Cumplimiento y/ liquidacion],COSTO_OPORTUNIDAD!$C271)</f>
        <v>0</v>
      </c>
      <c r="F271" s="263">
        <f>+SUMIFS(Tabla6[Nominal COP],Tabla6[Concepto],COSTO_OPORTUNIDAD!$B$18,Tabla6[Nemotécnico],COSTO_OPORTUNIDAD!F$16,Tabla6[Fecha Cumplimiento y/ liquidacion],COSTO_OPORTUNIDAD!$C271)/+SUMIFS(Tabla6[Nominal COP],Tabla6[Concepto],COSTO_OPORTUNIDAD!$B$18,Tabla6[Fecha Cumplimiento y/ liquidacion],COSTO_OPORTUNIDAD!$C271)</f>
        <v>0</v>
      </c>
      <c r="G271" s="263">
        <f>+SUMIFS(Tabla6[Nominal COP],Tabla6[Concepto],COSTO_OPORTUNIDAD!$B$18,Tabla6[Nemotécnico],COSTO_OPORTUNIDAD!G$16,Tabla6[Fecha Cumplimiento y/ liquidacion],COSTO_OPORTUNIDAD!$C271)/+SUMIFS(Tabla6[Nominal COP],Tabla6[Concepto],COSTO_OPORTUNIDAD!$B$18,Tabla6[Fecha Cumplimiento y/ liquidacion],COSTO_OPORTUNIDAD!$C271)</f>
        <v>0</v>
      </c>
      <c r="H271" s="263">
        <f>+SUMIFS(Tabla6[Nominal COP],Tabla6[Concepto],COSTO_OPORTUNIDAD!$B$18,Tabla6[Nemotécnico],COSTO_OPORTUNIDAD!H$16,Tabla6[Fecha Cumplimiento y/ liquidacion],COSTO_OPORTUNIDAD!$C271)/+SUMIFS(Tabla6[Nominal COP],Tabla6[Concepto],COSTO_OPORTUNIDAD!$B$18,Tabla6[Fecha Cumplimiento y/ liquidacion],COSTO_OPORTUNIDAD!$C271)</f>
        <v>0</v>
      </c>
      <c r="I271" s="263"/>
      <c r="J271" s="263">
        <f>+SUMIFS(Tabla6[Nominal COP],Tabla6[Concepto],COSTO_OPORTUNIDAD!$B$18,Tabla6[Nemotécnico],COSTO_OPORTUNIDAD!J$16,Tabla6[Fecha Cumplimiento y/ liquidacion],COSTO_OPORTUNIDAD!$C271)/+SUMIFS(Tabla6[Nominal COP],Tabla6[Concepto],COSTO_OPORTUNIDAD!$B$18,Tabla6[Fecha Cumplimiento y/ liquidacion],COSTO_OPORTUNIDAD!$C271)</f>
        <v>0</v>
      </c>
      <c r="K271" s="263">
        <f>+SUMIFS(Tabla6[Nominal COP],Tabla6[Concepto],COSTO_OPORTUNIDAD!$B$18,Tabla6[Nemotécnico],COSTO_OPORTUNIDAD!K$16,Tabla6[Fecha Cumplimiento y/ liquidacion],COSTO_OPORTUNIDAD!$C271)/+SUMIFS(Tabla6[Nominal COP],Tabla6[Concepto],COSTO_OPORTUNIDAD!$B$18,Tabla6[Fecha Cumplimiento y/ liquidacion],COSTO_OPORTUNIDAD!$C271)</f>
        <v>0</v>
      </c>
      <c r="L271" s="263">
        <f>+SUMIFS(Tabla6[Nominal COP],Tabla6[Concepto],COSTO_OPORTUNIDAD!$B$18,Tabla6[Nemotécnico],COSTO_OPORTUNIDAD!L$16,Tabla6[Fecha Cumplimiento y/ liquidacion],COSTO_OPORTUNIDAD!$C271)/+SUMIFS(Tabla6[Nominal COP],Tabla6[Concepto],COSTO_OPORTUNIDAD!$B$18,Tabla6[Fecha Cumplimiento y/ liquidacion],COSTO_OPORTUNIDAD!$C271)</f>
        <v>0</v>
      </c>
      <c r="M271" s="263">
        <f>+SUMIFS(Tabla6[Nominal COP],Tabla6[Concepto],COSTO_OPORTUNIDAD!$B$18,Tabla6[Nemotécnico],COSTO_OPORTUNIDAD!M$16,Tabla6[Fecha Cumplimiento y/ liquidacion],COSTO_OPORTUNIDAD!$C271)/+SUMIFS(Tabla6[Nominal COP],Tabla6[Concepto],COSTO_OPORTUNIDAD!$B$18,Tabla6[Fecha Cumplimiento y/ liquidacion],COSTO_OPORTUNIDAD!$C271)</f>
        <v>0</v>
      </c>
      <c r="N271" s="263">
        <f>+SUMIFS(Tabla6[Nominal COP],Tabla6[Concepto],COSTO_OPORTUNIDAD!$B$18,Tabla6[Nemotécnico],COSTO_OPORTUNIDAD!N$16,Tabla6[Fecha Cumplimiento y/ liquidacion],COSTO_OPORTUNIDAD!$C271)/+SUMIFS(Tabla6[Nominal COP],Tabla6[Concepto],COSTO_OPORTUNIDAD!$B$18,Tabla6[Fecha Cumplimiento y/ liquidacion],COSTO_OPORTUNIDAD!$C271)</f>
        <v>0</v>
      </c>
      <c r="O271" s="263"/>
      <c r="P271" s="263">
        <f>+SUMIFS(Tabla6[Nominal COP],Tabla6[Concepto],COSTO_OPORTUNIDAD!$B$18,Tabla6[Nemotécnico],COSTO_OPORTUNIDAD!P$16,Tabla6[Fecha Cumplimiento y/ liquidacion],COSTO_OPORTUNIDAD!$C271)/+SUMIFS(Tabla6[Nominal COP],Tabla6[Concepto],COSTO_OPORTUNIDAD!$B$18,Tabla6[Fecha Cumplimiento y/ liquidacion],COSTO_OPORTUNIDAD!$C271)</f>
        <v>0</v>
      </c>
      <c r="Q271" s="263"/>
      <c r="R271" s="263">
        <f>+SUMIFS(Tabla6[Nominal COP],Tabla6[Concepto],COSTO_OPORTUNIDAD!$B$18,Tabla6[Nemotécnico],COSTO_OPORTUNIDAD!R$16,Tabla6[Fecha Cumplimiento y/ liquidacion],COSTO_OPORTUNIDAD!$C271)/+SUMIFS(Tabla6[Nominal COP],Tabla6[Concepto],COSTO_OPORTUNIDAD!$B$18,Tabla6[Fecha Cumplimiento y/ liquidacion],COSTO_OPORTUNIDAD!$C271)</f>
        <v>0</v>
      </c>
      <c r="S271" s="263">
        <f>+SUMIFS(Tabla6[Nominal COP],Tabla6[Concepto],COSTO_OPORTUNIDAD!$B$18,Tabla6[Nemotécnico],COSTO_OPORTUNIDAD!S$16,Tabla6[Fecha Cumplimiento y/ liquidacion],COSTO_OPORTUNIDAD!$C271)/+SUMIFS(Tabla6[Nominal COP],Tabla6[Concepto],COSTO_OPORTUNIDAD!$B$18,Tabla6[Fecha Cumplimiento y/ liquidacion],COSTO_OPORTUNIDAD!$C271)</f>
        <v>1</v>
      </c>
      <c r="T271" s="263">
        <f>+SUMIFS(Tabla6[Nominal COP],Tabla6[Concepto],COSTO_OPORTUNIDAD!$B$18,Tabla6[Nemotécnico],COSTO_OPORTUNIDAD!T$16,Tabla6[Fecha Cumplimiento y/ liquidacion],COSTO_OPORTUNIDAD!$C271)/+SUMIFS(Tabla6[Nominal COP],Tabla6[Concepto],COSTO_OPORTUNIDAD!$B$18,Tabla6[Fecha Cumplimiento y/ liquidacion],COSTO_OPORTUNIDAD!$C271)</f>
        <v>0</v>
      </c>
      <c r="U271" s="263"/>
      <c r="V271" s="263">
        <f>+SUMIFS(Tabla6[Nominal COP],Tabla6[Concepto],COSTO_OPORTUNIDAD!$B$18,Tabla6[Nemotécnico],COSTO_OPORTUNIDAD!V$16,Tabla6[Fecha Cumplimiento y/ liquidacion],COSTO_OPORTUNIDAD!$C271)/+SUMIFS(Tabla6[Nominal COP],Tabla6[Concepto],COSTO_OPORTUNIDAD!$B$18,Tabla6[Fecha Cumplimiento y/ liquidacion],COSTO_OPORTUNIDAD!$C271)</f>
        <v>0</v>
      </c>
      <c r="W271" s="263">
        <f>+SUMIFS(Tabla6[Nominal COP],Tabla6[Concepto],COSTO_OPORTUNIDAD!$B$18,Tabla6[Nemotécnico],COSTO_OPORTUNIDAD!W$16,Tabla6[Fecha Cumplimiento y/ liquidacion],COSTO_OPORTUNIDAD!$C271)/+SUMIFS(Tabla6[Nominal COP],Tabla6[Concepto],COSTO_OPORTUNIDAD!$B$18,Tabla6[Fecha Cumplimiento y/ liquidacion],COSTO_OPORTUNIDAD!$C271)</f>
        <v>0</v>
      </c>
      <c r="X271" s="263">
        <f>+SUMIFS(Tabla6[Nominal COP],Tabla6[Concepto],COSTO_OPORTUNIDAD!$B$18,Tabla6[Nemotécnico],COSTO_OPORTUNIDAD!X$16,Tabla6[Fecha Cumplimiento y/ liquidacion],COSTO_OPORTUNIDAD!$C271)/+SUMIFS(Tabla6[Nominal COP],Tabla6[Concepto],COSTO_OPORTUNIDAD!$B$18,Tabla6[Fecha Cumplimiento y/ liquidacion],COSTO_OPORTUNIDAD!$C271)</f>
        <v>0</v>
      </c>
      <c r="Y271" s="263"/>
      <c r="Z271" s="263">
        <f>+SUMIFS(Tabla6[Nominal COP],Tabla6[Concepto],COSTO_OPORTUNIDAD!$B$18,Tabla6[Nemotécnico],COSTO_OPORTUNIDAD!Z$16,Tabla6[Fecha Cumplimiento y/ liquidacion],COSTO_OPORTUNIDAD!$C271)/+SUMIFS(Tabla6[Nominal COP],Tabla6[Concepto],COSTO_OPORTUNIDAD!$B$18,Tabla6[Fecha Cumplimiento y/ liquidacion],COSTO_OPORTUNIDAD!$C271)</f>
        <v>0</v>
      </c>
      <c r="AA271" s="263">
        <f>+SUMIFS(Tabla6[Nominal COP],Tabla6[Concepto],COSTO_OPORTUNIDAD!$B$18,Tabla6[Nemotécnico],COSTO_OPORTUNIDAD!AA$16,Tabla6[Fecha Cumplimiento y/ liquidacion],COSTO_OPORTUNIDAD!$C271)/+SUMIFS(Tabla6[Nominal COP],Tabla6[Concepto],COSTO_OPORTUNIDAD!$B$18,Tabla6[Fecha Cumplimiento y/ liquidacion],COSTO_OPORTUNIDAD!$C271)</f>
        <v>0</v>
      </c>
      <c r="AB271" s="263">
        <f>+SUMIFS(Tabla6[Nominal COP],Tabla6[Concepto],COSTO_OPORTUNIDAD!$B$18,Tabla6[Nemotécnico],COSTO_OPORTUNIDAD!AB$16,Tabla6[Fecha Cumplimiento y/ liquidacion],COSTO_OPORTUNIDAD!$C271)/+SUMIFS(Tabla6[Nominal COP],Tabla6[Concepto],COSTO_OPORTUNIDAD!$B$18,Tabla6[Fecha Cumplimiento y/ liquidacion],COSTO_OPORTUNIDAD!$C271)</f>
        <v>0</v>
      </c>
      <c r="AC271" s="263">
        <f>+SUMIFS(Tabla6[Nominal COP],Tabla6[Concepto],COSTO_OPORTUNIDAD!$B$18,Tabla6[Nemotécnico],COSTO_OPORTUNIDAD!AC$16,Tabla6[Fecha Cumplimiento y/ liquidacion],COSTO_OPORTUNIDAD!$C271)/+SUMIFS(Tabla6[Nominal COP],Tabla6[Concepto],COSTO_OPORTUNIDAD!$B$18,Tabla6[Fecha Cumplimiento y/ liquidacion],COSTO_OPORTUNIDAD!$C271)</f>
        <v>0</v>
      </c>
      <c r="AD271" s="263">
        <f>+SUMIFS(Tabla6[Nominal COP],Tabla6[Concepto],COSTO_OPORTUNIDAD!$B$18,Tabla6[Nemotécnico],COSTO_OPORTUNIDAD!AC$16,Tabla6[Fecha Cumplimiento y/ liquidacion],COSTO_OPORTUNIDAD!$C271)/+SUMIFS(Tabla6[Nominal COP],Tabla6[Concepto],COSTO_OPORTUNIDAD!$B$18,Tabla6[Fecha Cumplimiento y/ liquidacion],COSTO_OPORTUNIDAD!$C271)</f>
        <v>0</v>
      </c>
      <c r="AE271" s="263">
        <f>+SUMIFS(Tabla6[Nominal COP],Tabla6[Concepto],COSTO_OPORTUNIDAD!$B$18,Tabla6[Nemotécnico],COSTO_OPORTUNIDAD!AE$16,Tabla6[Fecha Cumplimiento y/ liquidacion],COSTO_OPORTUNIDAD!$C271)/+SUMIFS(Tabla6[Nominal COP],Tabla6[Concepto],COSTO_OPORTUNIDAD!$B$18,Tabla6[Fecha Cumplimiento y/ liquidacion],COSTO_OPORTUNIDAD!$C271)</f>
        <v>0</v>
      </c>
      <c r="AF271" s="263">
        <f>+SUMIFS(Tabla6[Nominal COP],Tabla6[Concepto],COSTO_OPORTUNIDAD!$B$18,Tabla6[Nemotécnico],COSTO_OPORTUNIDAD!AF$16,Tabla6[Fecha Cumplimiento y/ liquidacion],COSTO_OPORTUNIDAD!$C271)/+SUMIFS(Tabla6[Nominal COP],Tabla6[Concepto],COSTO_OPORTUNIDAD!$B$18,Tabla6[Fecha Cumplimiento y/ liquidacion],COSTO_OPORTUNIDAD!$C271)</f>
        <v>0</v>
      </c>
      <c r="AH271" s="274">
        <f t="shared" si="275"/>
        <v>545</v>
      </c>
      <c r="AI271" s="274">
        <f t="shared" si="276"/>
        <v>979</v>
      </c>
      <c r="AJ271" s="274">
        <f t="shared" si="277"/>
        <v>1156</v>
      </c>
      <c r="AK271" s="274">
        <f t="shared" si="300"/>
        <v>1637</v>
      </c>
      <c r="AL271" s="274">
        <f t="shared" si="278"/>
        <v>2029</v>
      </c>
      <c r="AM271" s="274">
        <f t="shared" si="279"/>
        <v>2218</v>
      </c>
      <c r="AN271" s="274">
        <f t="shared" si="280"/>
        <v>2680</v>
      </c>
      <c r="AO271" s="274">
        <f t="shared" si="281"/>
        <v>2904</v>
      </c>
      <c r="AP271" s="274">
        <f t="shared" si="282"/>
        <v>3520</v>
      </c>
      <c r="AQ271" s="274"/>
      <c r="AR271" s="274">
        <f t="shared" si="208"/>
        <v>4150</v>
      </c>
      <c r="AS271" s="274">
        <f t="shared" si="301"/>
        <v>5753</v>
      </c>
      <c r="AT271" s="274">
        <f t="shared" si="283"/>
        <v>6299</v>
      </c>
      <c r="AU271" s="274">
        <f t="shared" si="284"/>
        <v>7818</v>
      </c>
      <c r="AV271" s="274">
        <f t="shared" si="285"/>
        <v>9372</v>
      </c>
      <c r="AW271" s="274"/>
      <c r="AX271" s="274">
        <f t="shared" si="286"/>
        <v>69</v>
      </c>
      <c r="AY271" s="274">
        <f t="shared" si="287"/>
        <v>748</v>
      </c>
      <c r="AZ271" s="274">
        <f t="shared" si="267"/>
        <v>1511</v>
      </c>
      <c r="BA271" s="274"/>
      <c r="BB271" s="274">
        <f t="shared" si="214"/>
        <v>2948</v>
      </c>
      <c r="BC271" s="274">
        <f t="shared" si="215"/>
        <v>3688</v>
      </c>
      <c r="BD271" s="274">
        <f t="shared" si="216"/>
        <v>4381</v>
      </c>
      <c r="BE271" s="274">
        <f t="shared" si="288"/>
        <v>5865</v>
      </c>
      <c r="BF271" s="274">
        <f t="shared" si="217"/>
        <v>8875</v>
      </c>
      <c r="BG271" s="274">
        <f t="shared" si="289"/>
        <v>11038</v>
      </c>
      <c r="BH271" s="274">
        <f t="shared" ref="BH271:BH290" si="308">(AF$17-$B271)</f>
        <v>13488</v>
      </c>
      <c r="BI271" s="266">
        <f t="shared" si="218"/>
        <v>0</v>
      </c>
      <c r="BJ271" s="266">
        <f t="shared" si="219"/>
        <v>1</v>
      </c>
      <c r="BK271" s="263">
        <f t="shared" si="220"/>
        <v>0</v>
      </c>
      <c r="BL271" s="263">
        <f t="shared" si="221"/>
        <v>0</v>
      </c>
      <c r="BM271" s="263">
        <f t="shared" si="222"/>
        <v>0</v>
      </c>
      <c r="BN271" s="263"/>
      <c r="BO271" s="263">
        <f t="shared" si="223"/>
        <v>0</v>
      </c>
      <c r="BP271" s="263">
        <f t="shared" si="224"/>
        <v>0</v>
      </c>
      <c r="BQ271" s="263">
        <f t="shared" si="225"/>
        <v>0</v>
      </c>
      <c r="BR271" s="263">
        <f t="shared" si="226"/>
        <v>0</v>
      </c>
      <c r="BS271" s="263">
        <f t="shared" si="227"/>
        <v>0</v>
      </c>
      <c r="BT271" s="263">
        <f t="shared" si="228"/>
        <v>0</v>
      </c>
      <c r="BU271" s="263">
        <f t="shared" si="229"/>
        <v>0</v>
      </c>
      <c r="BV271" s="263"/>
      <c r="BW271" s="263">
        <f t="shared" si="230"/>
        <v>0</v>
      </c>
      <c r="BX271" s="263">
        <f t="shared" si="258"/>
        <v>1</v>
      </c>
      <c r="BY271" s="263">
        <f t="shared" si="231"/>
        <v>0</v>
      </c>
      <c r="BZ271" s="263"/>
      <c r="CA271" s="263" t="str">
        <f t="shared" si="254"/>
        <v/>
      </c>
      <c r="CB271" s="263" t="str">
        <f t="shared" si="232"/>
        <v/>
      </c>
      <c r="CC271" s="263" t="str">
        <f t="shared" si="255"/>
        <v/>
      </c>
      <c r="CD271" s="263" t="str">
        <f t="shared" si="233"/>
        <v/>
      </c>
      <c r="CE271" s="263" t="str">
        <f t="shared" si="241"/>
        <v/>
      </c>
      <c r="CF271" s="263" t="str">
        <f t="shared" si="256"/>
        <v/>
      </c>
      <c r="CG271" s="263" t="str">
        <f t="shared" si="257"/>
        <v/>
      </c>
      <c r="CH271" s="263" t="str">
        <f t="shared" si="290"/>
        <v/>
      </c>
      <c r="CI271" s="263" t="str">
        <f t="shared" si="234"/>
        <v/>
      </c>
      <c r="CJ271" s="263" t="str">
        <f t="shared" si="291"/>
        <v/>
      </c>
      <c r="CK271" s="263" t="str">
        <f t="shared" si="235"/>
        <v/>
      </c>
      <c r="CL271" s="264">
        <f t="shared" si="259"/>
        <v>7818</v>
      </c>
      <c r="CM271" s="264">
        <f t="shared" si="292"/>
        <v>0</v>
      </c>
      <c r="CO271" s="265">
        <v>8.7910000000000002E-2</v>
      </c>
      <c r="CP271" s="265">
        <v>9.5619999999999997E-2</v>
      </c>
      <c r="CQ271" s="265">
        <v>9.9399999999999988E-2</v>
      </c>
      <c r="CS271" s="265">
        <v>0.1061</v>
      </c>
      <c r="CT271" s="265">
        <v>0.10929999999999999</v>
      </c>
      <c r="CU271" s="265">
        <v>0.11119999999999999</v>
      </c>
      <c r="CV271" s="265">
        <v>0.11301</v>
      </c>
      <c r="CW271" s="265">
        <v>0.1149</v>
      </c>
      <c r="CY271" s="265">
        <v>0.11749999999999999</v>
      </c>
      <c r="DA271" s="265">
        <v>0.12075</v>
      </c>
      <c r="DB271" s="265">
        <v>0.12393000000000001</v>
      </c>
      <c r="DC271" s="265">
        <v>0.1222</v>
      </c>
      <c r="DE271" s="265">
        <v>4.53E-2</v>
      </c>
      <c r="DF271" s="265">
        <v>5.0819999999999997E-2</v>
      </c>
      <c r="DH271" s="265">
        <v>5.3499999999999999E-2</v>
      </c>
      <c r="DI271" s="265">
        <v>5.5140000000000002E-2</v>
      </c>
      <c r="DJ271" s="265">
        <v>5.5960000000000003E-2</v>
      </c>
      <c r="DK271" s="265">
        <v>5.6730000000000003E-2</v>
      </c>
      <c r="DL271" s="265">
        <v>5.2140000000000006E-2</v>
      </c>
      <c r="DM271" s="265">
        <v>5.2440000000000001E-2</v>
      </c>
      <c r="DO271" s="264">
        <f t="shared" si="268"/>
        <v>7818</v>
      </c>
      <c r="DP271" s="264" cm="1">
        <f t="array" ref="DP271">+INDEX(AH271:AV271,MATCH(DO271,AH271:AV271,1)+1)</f>
        <v>9372</v>
      </c>
      <c r="DQ271" s="265">
        <f t="shared" si="269"/>
        <v>0.12393000000000001</v>
      </c>
      <c r="DR271" s="267">
        <f t="shared" si="270"/>
        <v>0.1222</v>
      </c>
      <c r="DS271" s="267">
        <f t="shared" si="297"/>
        <v>0.12393</v>
      </c>
      <c r="DT271" s="268" t="e">
        <f t="shared" si="293"/>
        <v>#N/A</v>
      </c>
      <c r="DU271" s="268" t="e" cm="1">
        <f t="array" ref="DU271">+INDEX(AX271:BG271,MATCH(DT271,AX271:BG271,1)+1)</f>
        <v>#N/A</v>
      </c>
      <c r="DV271" s="267" t="e">
        <f t="shared" si="249"/>
        <v>#N/A</v>
      </c>
      <c r="DW271" s="267" t="e">
        <f t="shared" si="294"/>
        <v>#N/A</v>
      </c>
      <c r="DX271" s="267" t="e">
        <f t="shared" si="274"/>
        <v>#N/A</v>
      </c>
      <c r="DY271" s="267">
        <f t="shared" si="295"/>
        <v>5.2200000000000003E-2</v>
      </c>
      <c r="DZ271" s="205" t="e">
        <f t="shared" ref="DZ271" si="309">+(1+DX271)*(1+DY271)-1</f>
        <v>#N/A</v>
      </c>
      <c r="EA271" s="205">
        <f t="shared" si="252"/>
        <v>0.12393</v>
      </c>
    </row>
    <row r="272" spans="2:131">
      <c r="B272" s="272">
        <v>45716</v>
      </c>
      <c r="C272" s="271">
        <v>45716</v>
      </c>
      <c r="D272" s="263">
        <f>+SUMIFS(Tabla6[Nominal COP],Tabla6[Concepto],COSTO_OPORTUNIDAD!$B$18,Tabla6[Nemotécnico],COSTO_OPORTUNIDAD!D$16,Tabla6[Fecha Cumplimiento y/ liquidacion],COSTO_OPORTUNIDAD!$C272)/+SUMIFS(Tabla6[Nominal COP],Tabla6[Concepto],COSTO_OPORTUNIDAD!$B$18,Tabla6[Fecha Cumplimiento y/ liquidacion],COSTO_OPORTUNIDAD!$C272)</f>
        <v>0</v>
      </c>
      <c r="E272" s="263">
        <f>+SUMIFS(Tabla6[Nominal COP],Tabla6[Concepto],COSTO_OPORTUNIDAD!$B$18,Tabla6[Nemotécnico],COSTO_OPORTUNIDAD!E$16,Tabla6[Fecha Cumplimiento y/ liquidacion],COSTO_OPORTUNIDAD!$C272)/+SUMIFS(Tabla6[Nominal COP],Tabla6[Concepto],COSTO_OPORTUNIDAD!$B$18,Tabla6[Fecha Cumplimiento y/ liquidacion],COSTO_OPORTUNIDAD!$C272)</f>
        <v>0</v>
      </c>
      <c r="F272" s="263">
        <f>+SUMIFS(Tabla6[Nominal COP],Tabla6[Concepto],COSTO_OPORTUNIDAD!$B$18,Tabla6[Nemotécnico],COSTO_OPORTUNIDAD!F$16,Tabla6[Fecha Cumplimiento y/ liquidacion],COSTO_OPORTUNIDAD!$C272)/+SUMIFS(Tabla6[Nominal COP],Tabla6[Concepto],COSTO_OPORTUNIDAD!$B$18,Tabla6[Fecha Cumplimiento y/ liquidacion],COSTO_OPORTUNIDAD!$C272)</f>
        <v>0</v>
      </c>
      <c r="G272" s="263">
        <f>+SUMIFS(Tabla6[Nominal COP],Tabla6[Concepto],COSTO_OPORTUNIDAD!$B$18,Tabla6[Nemotécnico],COSTO_OPORTUNIDAD!G$16,Tabla6[Fecha Cumplimiento y/ liquidacion],COSTO_OPORTUNIDAD!$C272)/+SUMIFS(Tabla6[Nominal COP],Tabla6[Concepto],COSTO_OPORTUNIDAD!$B$18,Tabla6[Fecha Cumplimiento y/ liquidacion],COSTO_OPORTUNIDAD!$C272)</f>
        <v>0</v>
      </c>
      <c r="H272" s="263">
        <f>+SUMIFS(Tabla6[Nominal COP],Tabla6[Concepto],COSTO_OPORTUNIDAD!$B$18,Tabla6[Nemotécnico],COSTO_OPORTUNIDAD!H$16,Tabla6[Fecha Cumplimiento y/ liquidacion],COSTO_OPORTUNIDAD!$C272)/+SUMIFS(Tabla6[Nominal COP],Tabla6[Concepto],COSTO_OPORTUNIDAD!$B$18,Tabla6[Fecha Cumplimiento y/ liquidacion],COSTO_OPORTUNIDAD!$C272)</f>
        <v>0</v>
      </c>
      <c r="I272" s="263"/>
      <c r="J272" s="263">
        <f>+SUMIFS(Tabla6[Nominal COP],Tabla6[Concepto],COSTO_OPORTUNIDAD!$B$18,Tabla6[Nemotécnico],COSTO_OPORTUNIDAD!J$16,Tabla6[Fecha Cumplimiento y/ liquidacion],COSTO_OPORTUNIDAD!$C272)/+SUMIFS(Tabla6[Nominal COP],Tabla6[Concepto],COSTO_OPORTUNIDAD!$B$18,Tabla6[Fecha Cumplimiento y/ liquidacion],COSTO_OPORTUNIDAD!$C272)</f>
        <v>0.15</v>
      </c>
      <c r="K272" s="263">
        <f>+SUMIFS(Tabla6[Nominal COP],Tabla6[Concepto],COSTO_OPORTUNIDAD!$B$18,Tabla6[Nemotécnico],COSTO_OPORTUNIDAD!K$16,Tabla6[Fecha Cumplimiento y/ liquidacion],COSTO_OPORTUNIDAD!$C272)/+SUMIFS(Tabla6[Nominal COP],Tabla6[Concepto],COSTO_OPORTUNIDAD!$B$18,Tabla6[Fecha Cumplimiento y/ liquidacion],COSTO_OPORTUNIDAD!$C272)</f>
        <v>0</v>
      </c>
      <c r="L272" s="263">
        <f>+SUMIFS(Tabla6[Nominal COP],Tabla6[Concepto],COSTO_OPORTUNIDAD!$B$18,Tabla6[Nemotécnico],COSTO_OPORTUNIDAD!L$16,Tabla6[Fecha Cumplimiento y/ liquidacion],COSTO_OPORTUNIDAD!$C272)/+SUMIFS(Tabla6[Nominal COP],Tabla6[Concepto],COSTO_OPORTUNIDAD!$B$18,Tabla6[Fecha Cumplimiento y/ liquidacion],COSTO_OPORTUNIDAD!$C272)</f>
        <v>0</v>
      </c>
      <c r="M272" s="263">
        <f>+SUMIFS(Tabla6[Nominal COP],Tabla6[Concepto],COSTO_OPORTUNIDAD!$B$18,Tabla6[Nemotécnico],COSTO_OPORTUNIDAD!M$16,Tabla6[Fecha Cumplimiento y/ liquidacion],COSTO_OPORTUNIDAD!$C272)/+SUMIFS(Tabla6[Nominal COP],Tabla6[Concepto],COSTO_OPORTUNIDAD!$B$18,Tabla6[Fecha Cumplimiento y/ liquidacion],COSTO_OPORTUNIDAD!$C272)</f>
        <v>0</v>
      </c>
      <c r="N272" s="263">
        <f>+SUMIFS(Tabla6[Nominal COP],Tabla6[Concepto],COSTO_OPORTUNIDAD!$B$18,Tabla6[Nemotécnico],COSTO_OPORTUNIDAD!N$16,Tabla6[Fecha Cumplimiento y/ liquidacion],COSTO_OPORTUNIDAD!$C272)/+SUMIFS(Tabla6[Nominal COP],Tabla6[Concepto],COSTO_OPORTUNIDAD!$B$18,Tabla6[Fecha Cumplimiento y/ liquidacion],COSTO_OPORTUNIDAD!$C272)</f>
        <v>0</v>
      </c>
      <c r="O272" s="263"/>
      <c r="P272" s="263">
        <f>+SUMIFS(Tabla6[Nominal COP],Tabla6[Concepto],COSTO_OPORTUNIDAD!$B$18,Tabla6[Nemotécnico],COSTO_OPORTUNIDAD!P$16,Tabla6[Fecha Cumplimiento y/ liquidacion],COSTO_OPORTUNIDAD!$C272)/+SUMIFS(Tabla6[Nominal COP],Tabla6[Concepto],COSTO_OPORTUNIDAD!$B$18,Tabla6[Fecha Cumplimiento y/ liquidacion],COSTO_OPORTUNIDAD!$C272)</f>
        <v>0</v>
      </c>
      <c r="Q272" s="263"/>
      <c r="R272" s="263">
        <f>+SUMIFS(Tabla6[Nominal COP],Tabla6[Concepto],COSTO_OPORTUNIDAD!$B$18,Tabla6[Nemotécnico],COSTO_OPORTUNIDAD!R$16,Tabla6[Fecha Cumplimiento y/ liquidacion],COSTO_OPORTUNIDAD!$C272)/+SUMIFS(Tabla6[Nominal COP],Tabla6[Concepto],COSTO_OPORTUNIDAD!$B$18,Tabla6[Fecha Cumplimiento y/ liquidacion],COSTO_OPORTUNIDAD!$C272)</f>
        <v>0</v>
      </c>
      <c r="S272" s="263">
        <f>+SUMIFS(Tabla6[Nominal COP],Tabla6[Concepto],COSTO_OPORTUNIDAD!$B$18,Tabla6[Nemotécnico],COSTO_OPORTUNIDAD!S$16,Tabla6[Fecha Cumplimiento y/ liquidacion],COSTO_OPORTUNIDAD!$C272)/+SUMIFS(Tabla6[Nominal COP],Tabla6[Concepto],COSTO_OPORTUNIDAD!$B$18,Tabla6[Fecha Cumplimiento y/ liquidacion],COSTO_OPORTUNIDAD!$C272)</f>
        <v>0.85</v>
      </c>
      <c r="T272" s="263">
        <f>+SUMIFS(Tabla6[Nominal COP],Tabla6[Concepto],COSTO_OPORTUNIDAD!$B$18,Tabla6[Nemotécnico],COSTO_OPORTUNIDAD!T$16,Tabla6[Fecha Cumplimiento y/ liquidacion],COSTO_OPORTUNIDAD!$C272)/+SUMIFS(Tabla6[Nominal COP],Tabla6[Concepto],COSTO_OPORTUNIDAD!$B$18,Tabla6[Fecha Cumplimiento y/ liquidacion],COSTO_OPORTUNIDAD!$C272)</f>
        <v>0</v>
      </c>
      <c r="U272" s="263"/>
      <c r="V272" s="263">
        <f>+SUMIFS(Tabla6[Nominal COP],Tabla6[Concepto],COSTO_OPORTUNIDAD!$B$18,Tabla6[Nemotécnico],COSTO_OPORTUNIDAD!V$16,Tabla6[Fecha Cumplimiento y/ liquidacion],COSTO_OPORTUNIDAD!$C272)/+SUMIFS(Tabla6[Nominal COP],Tabla6[Concepto],COSTO_OPORTUNIDAD!$B$18,Tabla6[Fecha Cumplimiento y/ liquidacion],COSTO_OPORTUNIDAD!$C272)</f>
        <v>0</v>
      </c>
      <c r="W272" s="263">
        <f>+SUMIFS(Tabla6[Nominal COP],Tabla6[Concepto],COSTO_OPORTUNIDAD!$B$18,Tabla6[Nemotécnico],COSTO_OPORTUNIDAD!W$16,Tabla6[Fecha Cumplimiento y/ liquidacion],COSTO_OPORTUNIDAD!$C272)/+SUMIFS(Tabla6[Nominal COP],Tabla6[Concepto],COSTO_OPORTUNIDAD!$B$18,Tabla6[Fecha Cumplimiento y/ liquidacion],COSTO_OPORTUNIDAD!$C272)</f>
        <v>0</v>
      </c>
      <c r="X272" s="263">
        <f>+SUMIFS(Tabla6[Nominal COP],Tabla6[Concepto],COSTO_OPORTUNIDAD!$B$18,Tabla6[Nemotécnico],COSTO_OPORTUNIDAD!X$16,Tabla6[Fecha Cumplimiento y/ liquidacion],COSTO_OPORTUNIDAD!$C272)/+SUMIFS(Tabla6[Nominal COP],Tabla6[Concepto],COSTO_OPORTUNIDAD!$B$18,Tabla6[Fecha Cumplimiento y/ liquidacion],COSTO_OPORTUNIDAD!$C272)</f>
        <v>0</v>
      </c>
      <c r="Y272" s="263"/>
      <c r="Z272" s="263">
        <f>+SUMIFS(Tabla6[Nominal COP],Tabla6[Concepto],COSTO_OPORTUNIDAD!$B$18,Tabla6[Nemotécnico],COSTO_OPORTUNIDAD!Z$16,Tabla6[Fecha Cumplimiento y/ liquidacion],COSTO_OPORTUNIDAD!$C272)/+SUMIFS(Tabla6[Nominal COP],Tabla6[Concepto],COSTO_OPORTUNIDAD!$B$18,Tabla6[Fecha Cumplimiento y/ liquidacion],COSTO_OPORTUNIDAD!$C272)</f>
        <v>0</v>
      </c>
      <c r="AA272" s="263">
        <f>+SUMIFS(Tabla6[Nominal COP],Tabla6[Concepto],COSTO_OPORTUNIDAD!$B$18,Tabla6[Nemotécnico],COSTO_OPORTUNIDAD!AA$16,Tabla6[Fecha Cumplimiento y/ liquidacion],COSTO_OPORTUNIDAD!$C272)/+SUMIFS(Tabla6[Nominal COP],Tabla6[Concepto],COSTO_OPORTUNIDAD!$B$18,Tabla6[Fecha Cumplimiento y/ liquidacion],COSTO_OPORTUNIDAD!$C272)</f>
        <v>0</v>
      </c>
      <c r="AB272" s="263">
        <f>+SUMIFS(Tabla6[Nominal COP],Tabla6[Concepto],COSTO_OPORTUNIDAD!$B$18,Tabla6[Nemotécnico],COSTO_OPORTUNIDAD!AB$16,Tabla6[Fecha Cumplimiento y/ liquidacion],COSTO_OPORTUNIDAD!$C272)/+SUMIFS(Tabla6[Nominal COP],Tabla6[Concepto],COSTO_OPORTUNIDAD!$B$18,Tabla6[Fecha Cumplimiento y/ liquidacion],COSTO_OPORTUNIDAD!$C272)</f>
        <v>0</v>
      </c>
      <c r="AC272" s="263">
        <f>+SUMIFS(Tabla6[Nominal COP],Tabla6[Concepto],COSTO_OPORTUNIDAD!$B$18,Tabla6[Nemotécnico],COSTO_OPORTUNIDAD!AC$16,Tabla6[Fecha Cumplimiento y/ liquidacion],COSTO_OPORTUNIDAD!$C272)/+SUMIFS(Tabla6[Nominal COP],Tabla6[Concepto],COSTO_OPORTUNIDAD!$B$18,Tabla6[Fecha Cumplimiento y/ liquidacion],COSTO_OPORTUNIDAD!$C272)</f>
        <v>0</v>
      </c>
      <c r="AD272" s="263">
        <f>+SUMIFS(Tabla6[Nominal COP],Tabla6[Concepto],COSTO_OPORTUNIDAD!$B$18,Tabla6[Nemotécnico],COSTO_OPORTUNIDAD!AC$16,Tabla6[Fecha Cumplimiento y/ liquidacion],COSTO_OPORTUNIDAD!$C272)/+SUMIFS(Tabla6[Nominal COP],Tabla6[Concepto],COSTO_OPORTUNIDAD!$B$18,Tabla6[Fecha Cumplimiento y/ liquidacion],COSTO_OPORTUNIDAD!$C272)</f>
        <v>0</v>
      </c>
      <c r="AE272" s="263">
        <f>+SUMIFS(Tabla6[Nominal COP],Tabla6[Concepto],COSTO_OPORTUNIDAD!$B$18,Tabla6[Nemotécnico],COSTO_OPORTUNIDAD!AE$16,Tabla6[Fecha Cumplimiento y/ liquidacion],COSTO_OPORTUNIDAD!$C272)/+SUMIFS(Tabla6[Nominal COP],Tabla6[Concepto],COSTO_OPORTUNIDAD!$B$18,Tabla6[Fecha Cumplimiento y/ liquidacion],COSTO_OPORTUNIDAD!$C272)</f>
        <v>0</v>
      </c>
      <c r="AF272" s="263">
        <f>+SUMIFS(Tabla6[Nominal COP],Tabla6[Concepto],COSTO_OPORTUNIDAD!$B$18,Tabla6[Nemotécnico],COSTO_OPORTUNIDAD!AF$16,Tabla6[Fecha Cumplimiento y/ liquidacion],COSTO_OPORTUNIDAD!$C272)/+SUMIFS(Tabla6[Nominal COP],Tabla6[Concepto],COSTO_OPORTUNIDAD!$B$18,Tabla6[Fecha Cumplimiento y/ liquidacion],COSTO_OPORTUNIDAD!$C272)</f>
        <v>0</v>
      </c>
      <c r="AH272" s="274">
        <f t="shared" si="275"/>
        <v>544</v>
      </c>
      <c r="AI272" s="274">
        <f t="shared" si="276"/>
        <v>978</v>
      </c>
      <c r="AJ272" s="274">
        <f t="shared" si="277"/>
        <v>1155</v>
      </c>
      <c r="AK272" s="274">
        <f t="shared" si="300"/>
        <v>1636</v>
      </c>
      <c r="AL272" s="274">
        <f t="shared" si="278"/>
        <v>2028</v>
      </c>
      <c r="AM272" s="274">
        <f t="shared" si="279"/>
        <v>2217</v>
      </c>
      <c r="AN272" s="274">
        <f t="shared" si="280"/>
        <v>2679</v>
      </c>
      <c r="AO272" s="274">
        <f t="shared" si="281"/>
        <v>2903</v>
      </c>
      <c r="AP272" s="274">
        <f t="shared" si="282"/>
        <v>3519</v>
      </c>
      <c r="AQ272" s="274"/>
      <c r="AR272" s="274">
        <f t="shared" si="208"/>
        <v>4149</v>
      </c>
      <c r="AS272" s="274">
        <f t="shared" si="301"/>
        <v>5752</v>
      </c>
      <c r="AT272" s="274">
        <f t="shared" si="283"/>
        <v>6298</v>
      </c>
      <c r="AU272" s="274">
        <f t="shared" si="284"/>
        <v>7817</v>
      </c>
      <c r="AV272" s="274">
        <f t="shared" si="285"/>
        <v>9371</v>
      </c>
      <c r="AW272" s="274"/>
      <c r="AX272" s="274">
        <f t="shared" si="286"/>
        <v>68</v>
      </c>
      <c r="AY272" s="274">
        <f t="shared" si="287"/>
        <v>747</v>
      </c>
      <c r="AZ272" s="274">
        <f t="shared" si="267"/>
        <v>1510</v>
      </c>
      <c r="BA272" s="274"/>
      <c r="BB272" s="274">
        <f t="shared" si="214"/>
        <v>2947</v>
      </c>
      <c r="BC272" s="274">
        <f t="shared" si="215"/>
        <v>3687</v>
      </c>
      <c r="BD272" s="274">
        <f t="shared" si="216"/>
        <v>4380</v>
      </c>
      <c r="BE272" s="274">
        <f t="shared" si="288"/>
        <v>5864</v>
      </c>
      <c r="BF272" s="274">
        <f t="shared" si="217"/>
        <v>8874</v>
      </c>
      <c r="BG272" s="274">
        <f t="shared" si="289"/>
        <v>11037</v>
      </c>
      <c r="BH272" s="274">
        <f t="shared" si="308"/>
        <v>13487</v>
      </c>
      <c r="BI272" s="266">
        <f t="shared" si="218"/>
        <v>0</v>
      </c>
      <c r="BJ272" s="266">
        <f t="shared" si="219"/>
        <v>1</v>
      </c>
      <c r="BK272" s="263">
        <f t="shared" si="220"/>
        <v>0</v>
      </c>
      <c r="BL272" s="263">
        <f t="shared" si="221"/>
        <v>0</v>
      </c>
      <c r="BM272" s="263">
        <f t="shared" si="222"/>
        <v>0</v>
      </c>
      <c r="BN272" s="263"/>
      <c r="BO272" s="263">
        <f t="shared" si="223"/>
        <v>0.15</v>
      </c>
      <c r="BP272" s="263">
        <f t="shared" si="224"/>
        <v>0</v>
      </c>
      <c r="BQ272" s="263">
        <f t="shared" si="225"/>
        <v>0</v>
      </c>
      <c r="BR272" s="263">
        <f t="shared" si="226"/>
        <v>0</v>
      </c>
      <c r="BS272" s="263">
        <f t="shared" si="227"/>
        <v>0</v>
      </c>
      <c r="BT272" s="263">
        <f t="shared" si="228"/>
        <v>0</v>
      </c>
      <c r="BU272" s="263">
        <f t="shared" si="229"/>
        <v>0</v>
      </c>
      <c r="BV272" s="263"/>
      <c r="BW272" s="263">
        <f t="shared" si="230"/>
        <v>0</v>
      </c>
      <c r="BX272" s="263">
        <f t="shared" si="258"/>
        <v>0.85</v>
      </c>
      <c r="BY272" s="263">
        <f t="shared" si="231"/>
        <v>0</v>
      </c>
      <c r="BZ272" s="263"/>
      <c r="CA272" s="263" t="str">
        <f t="shared" si="254"/>
        <v/>
      </c>
      <c r="CB272" s="263" t="str">
        <f t="shared" si="232"/>
        <v/>
      </c>
      <c r="CC272" s="263" t="str">
        <f t="shared" si="255"/>
        <v/>
      </c>
      <c r="CD272" s="263" t="str">
        <f t="shared" si="233"/>
        <v/>
      </c>
      <c r="CE272" s="263" t="str">
        <f t="shared" si="241"/>
        <v/>
      </c>
      <c r="CF272" s="263" t="str">
        <f t="shared" si="256"/>
        <v/>
      </c>
      <c r="CG272" s="263" t="str">
        <f t="shared" si="257"/>
        <v/>
      </c>
      <c r="CH272" s="263" t="str">
        <f t="shared" si="290"/>
        <v/>
      </c>
      <c r="CI272" s="263" t="str">
        <f t="shared" si="234"/>
        <v/>
      </c>
      <c r="CJ272" s="263" t="str">
        <f t="shared" si="291"/>
        <v/>
      </c>
      <c r="CK272" s="263" t="str">
        <f t="shared" si="235"/>
        <v/>
      </c>
      <c r="CL272" s="264">
        <f t="shared" si="259"/>
        <v>6949</v>
      </c>
      <c r="CM272" s="264">
        <f t="shared" si="292"/>
        <v>0</v>
      </c>
      <c r="CO272" s="265">
        <v>8.7300000000000003E-2</v>
      </c>
      <c r="CP272" s="265">
        <v>9.4899999999999998E-2</v>
      </c>
      <c r="CQ272" s="265">
        <v>9.885999999999999E-2</v>
      </c>
      <c r="CS272" s="265">
        <v>0.1057</v>
      </c>
      <c r="CT272" s="265">
        <v>0.10846</v>
      </c>
      <c r="CU272" s="265">
        <v>0.11095000000000001</v>
      </c>
      <c r="CV272" s="265">
        <v>0.11226000000000001</v>
      </c>
      <c r="CW272" s="265">
        <v>0.11414999999999999</v>
      </c>
      <c r="CY272" s="265">
        <v>0.1167</v>
      </c>
      <c r="DA272" s="265">
        <v>0.12</v>
      </c>
      <c r="DB272" s="265">
        <v>0.1232</v>
      </c>
      <c r="DC272" s="265">
        <v>0.12176000000000001</v>
      </c>
      <c r="DE272" s="265">
        <v>4.5410000000000006E-2</v>
      </c>
      <c r="DF272" s="265">
        <v>5.0890000000000005E-2</v>
      </c>
      <c r="DH272" s="265">
        <v>5.3499999999999999E-2</v>
      </c>
      <c r="DI272" s="265">
        <v>5.5140000000000002E-2</v>
      </c>
      <c r="DJ272" s="265">
        <v>5.6100000000000004E-2</v>
      </c>
      <c r="DK272" s="265">
        <v>5.6669999999999998E-2</v>
      </c>
      <c r="DL272" s="265">
        <v>5.203E-2</v>
      </c>
      <c r="DM272" s="265">
        <v>5.2350000000000001E-2</v>
      </c>
      <c r="DO272" s="264">
        <f t="shared" si="268"/>
        <v>6298</v>
      </c>
      <c r="DP272" s="264" cm="1">
        <f t="array" ref="DP272">+INDEX(AH272:AV272,MATCH(DO272,AH272:AV272,1)+1)</f>
        <v>7817</v>
      </c>
      <c r="DQ272" s="265">
        <f t="shared" si="269"/>
        <v>0.12</v>
      </c>
      <c r="DR272" s="267">
        <f t="shared" si="270"/>
        <v>0.1232</v>
      </c>
      <c r="DS272" s="267">
        <f t="shared" si="297"/>
        <v>0.12137100000000001</v>
      </c>
      <c r="DT272" s="268" t="e">
        <f t="shared" si="293"/>
        <v>#N/A</v>
      </c>
      <c r="DU272" s="268" t="e" cm="1">
        <f t="array" ref="DU272">+INDEX(AX272:BG272,MATCH(DT272,AX272:BG272,1)+1)</f>
        <v>#N/A</v>
      </c>
      <c r="DV272" s="267" t="e">
        <f t="shared" si="249"/>
        <v>#N/A</v>
      </c>
      <c r="DW272" s="267" t="e">
        <f t="shared" si="294"/>
        <v>#N/A</v>
      </c>
      <c r="DX272" s="267" t="e">
        <f t="shared" si="274"/>
        <v>#N/A</v>
      </c>
      <c r="DY272" s="267">
        <f t="shared" si="295"/>
        <v>5.2200000000000003E-2</v>
      </c>
      <c r="DZ272" s="205" t="e">
        <f t="shared" ref="DZ272" si="310">+(1+DX272)*(1+DY272)-1</f>
        <v>#N/A</v>
      </c>
      <c r="EA272" s="205">
        <f t="shared" si="252"/>
        <v>0.12137100000000001</v>
      </c>
    </row>
    <row r="273" spans="2:131">
      <c r="B273" s="272">
        <v>45719</v>
      </c>
      <c r="C273" s="271">
        <v>45719</v>
      </c>
      <c r="D273" s="263">
        <f>+SUMIFS(Tabla6[Nominal COP],Tabla6[Concepto],COSTO_OPORTUNIDAD!$B$18,Tabla6[Nemotécnico],COSTO_OPORTUNIDAD!D$16,Tabla6[Fecha Cumplimiento y/ liquidacion],COSTO_OPORTUNIDAD!$C273)/+SUMIFS(Tabla6[Nominal COP],Tabla6[Concepto],COSTO_OPORTUNIDAD!$B$18,Tabla6[Fecha Cumplimiento y/ liquidacion],COSTO_OPORTUNIDAD!$C273)</f>
        <v>0</v>
      </c>
      <c r="E273" s="263">
        <f>+SUMIFS(Tabla6[Nominal COP],Tabla6[Concepto],COSTO_OPORTUNIDAD!$B$18,Tabla6[Nemotécnico],COSTO_OPORTUNIDAD!E$16,Tabla6[Fecha Cumplimiento y/ liquidacion],COSTO_OPORTUNIDAD!$C273)/+SUMIFS(Tabla6[Nominal COP],Tabla6[Concepto],COSTO_OPORTUNIDAD!$B$18,Tabla6[Fecha Cumplimiento y/ liquidacion],COSTO_OPORTUNIDAD!$C273)</f>
        <v>0</v>
      </c>
      <c r="F273" s="263">
        <f>+SUMIFS(Tabla6[Nominal COP],Tabla6[Concepto],COSTO_OPORTUNIDAD!$B$18,Tabla6[Nemotécnico],COSTO_OPORTUNIDAD!F$16,Tabla6[Fecha Cumplimiento y/ liquidacion],COSTO_OPORTUNIDAD!$C273)/+SUMIFS(Tabla6[Nominal COP],Tabla6[Concepto],COSTO_OPORTUNIDAD!$B$18,Tabla6[Fecha Cumplimiento y/ liquidacion],COSTO_OPORTUNIDAD!$C273)</f>
        <v>0</v>
      </c>
      <c r="G273" s="263">
        <f>+SUMIFS(Tabla6[Nominal COP],Tabla6[Concepto],COSTO_OPORTUNIDAD!$B$18,Tabla6[Nemotécnico],COSTO_OPORTUNIDAD!G$16,Tabla6[Fecha Cumplimiento y/ liquidacion],COSTO_OPORTUNIDAD!$C273)/+SUMIFS(Tabla6[Nominal COP],Tabla6[Concepto],COSTO_OPORTUNIDAD!$B$18,Tabla6[Fecha Cumplimiento y/ liquidacion],COSTO_OPORTUNIDAD!$C273)</f>
        <v>0</v>
      </c>
      <c r="H273" s="263">
        <f>+SUMIFS(Tabla6[Nominal COP],Tabla6[Concepto],COSTO_OPORTUNIDAD!$B$18,Tabla6[Nemotécnico],COSTO_OPORTUNIDAD!H$16,Tabla6[Fecha Cumplimiento y/ liquidacion],COSTO_OPORTUNIDAD!$C273)/+SUMIFS(Tabla6[Nominal COP],Tabla6[Concepto],COSTO_OPORTUNIDAD!$B$18,Tabla6[Fecha Cumplimiento y/ liquidacion],COSTO_OPORTUNIDAD!$C273)</f>
        <v>0</v>
      </c>
      <c r="I273" s="263"/>
      <c r="J273" s="263">
        <f>+SUMIFS(Tabla6[Nominal COP],Tabla6[Concepto],COSTO_OPORTUNIDAD!$B$18,Tabla6[Nemotécnico],COSTO_OPORTUNIDAD!J$16,Tabla6[Fecha Cumplimiento y/ liquidacion],COSTO_OPORTUNIDAD!$C273)/+SUMIFS(Tabla6[Nominal COP],Tabla6[Concepto],COSTO_OPORTUNIDAD!$B$18,Tabla6[Fecha Cumplimiento y/ liquidacion],COSTO_OPORTUNIDAD!$C273)</f>
        <v>0</v>
      </c>
      <c r="K273" s="263">
        <f>+SUMIFS(Tabla6[Nominal COP],Tabla6[Concepto],COSTO_OPORTUNIDAD!$B$18,Tabla6[Nemotécnico],COSTO_OPORTUNIDAD!K$16,Tabla6[Fecha Cumplimiento y/ liquidacion],COSTO_OPORTUNIDAD!$C273)/+SUMIFS(Tabla6[Nominal COP],Tabla6[Concepto],COSTO_OPORTUNIDAD!$B$18,Tabla6[Fecha Cumplimiento y/ liquidacion],COSTO_OPORTUNIDAD!$C273)</f>
        <v>0</v>
      </c>
      <c r="L273" s="263">
        <f>+SUMIFS(Tabla6[Nominal COP],Tabla6[Concepto],COSTO_OPORTUNIDAD!$B$18,Tabla6[Nemotécnico],COSTO_OPORTUNIDAD!L$16,Tabla6[Fecha Cumplimiento y/ liquidacion],COSTO_OPORTUNIDAD!$C273)/+SUMIFS(Tabla6[Nominal COP],Tabla6[Concepto],COSTO_OPORTUNIDAD!$B$18,Tabla6[Fecha Cumplimiento y/ liquidacion],COSTO_OPORTUNIDAD!$C273)</f>
        <v>0</v>
      </c>
      <c r="M273" s="263">
        <f>+SUMIFS(Tabla6[Nominal COP],Tabla6[Concepto],COSTO_OPORTUNIDAD!$B$18,Tabla6[Nemotécnico],COSTO_OPORTUNIDAD!M$16,Tabla6[Fecha Cumplimiento y/ liquidacion],COSTO_OPORTUNIDAD!$C273)/+SUMIFS(Tabla6[Nominal COP],Tabla6[Concepto],COSTO_OPORTUNIDAD!$B$18,Tabla6[Fecha Cumplimiento y/ liquidacion],COSTO_OPORTUNIDAD!$C273)</f>
        <v>0</v>
      </c>
      <c r="N273" s="263">
        <f>+SUMIFS(Tabla6[Nominal COP],Tabla6[Concepto],COSTO_OPORTUNIDAD!$B$18,Tabla6[Nemotécnico],COSTO_OPORTUNIDAD!N$16,Tabla6[Fecha Cumplimiento y/ liquidacion],COSTO_OPORTUNIDAD!$C273)/+SUMIFS(Tabla6[Nominal COP],Tabla6[Concepto],COSTO_OPORTUNIDAD!$B$18,Tabla6[Fecha Cumplimiento y/ liquidacion],COSTO_OPORTUNIDAD!$C273)</f>
        <v>0</v>
      </c>
      <c r="O273" s="263"/>
      <c r="P273" s="263">
        <f>+SUMIFS(Tabla6[Nominal COP],Tabla6[Concepto],COSTO_OPORTUNIDAD!$B$18,Tabla6[Nemotécnico],COSTO_OPORTUNIDAD!P$16,Tabla6[Fecha Cumplimiento y/ liquidacion],COSTO_OPORTUNIDAD!$C273)/+SUMIFS(Tabla6[Nominal COP],Tabla6[Concepto],COSTO_OPORTUNIDAD!$B$18,Tabla6[Fecha Cumplimiento y/ liquidacion],COSTO_OPORTUNIDAD!$C273)</f>
        <v>0</v>
      </c>
      <c r="Q273" s="263"/>
      <c r="R273" s="263">
        <f>+SUMIFS(Tabla6[Nominal COP],Tabla6[Concepto],COSTO_OPORTUNIDAD!$B$18,Tabla6[Nemotécnico],COSTO_OPORTUNIDAD!R$16,Tabla6[Fecha Cumplimiento y/ liquidacion],COSTO_OPORTUNIDAD!$C273)/+SUMIFS(Tabla6[Nominal COP],Tabla6[Concepto],COSTO_OPORTUNIDAD!$B$18,Tabla6[Fecha Cumplimiento y/ liquidacion],COSTO_OPORTUNIDAD!$C273)</f>
        <v>0</v>
      </c>
      <c r="S273" s="263">
        <f>+SUMIFS(Tabla6[Nominal COP],Tabla6[Concepto],COSTO_OPORTUNIDAD!$B$18,Tabla6[Nemotécnico],COSTO_OPORTUNIDAD!S$16,Tabla6[Fecha Cumplimiento y/ liquidacion],COSTO_OPORTUNIDAD!$C273)/+SUMIFS(Tabla6[Nominal COP],Tabla6[Concepto],COSTO_OPORTUNIDAD!$B$18,Tabla6[Fecha Cumplimiento y/ liquidacion],COSTO_OPORTUNIDAD!$C273)</f>
        <v>1</v>
      </c>
      <c r="T273" s="263">
        <f>+SUMIFS(Tabla6[Nominal COP],Tabla6[Concepto],COSTO_OPORTUNIDAD!$B$18,Tabla6[Nemotécnico],COSTO_OPORTUNIDAD!T$16,Tabla6[Fecha Cumplimiento y/ liquidacion],COSTO_OPORTUNIDAD!$C273)/+SUMIFS(Tabla6[Nominal COP],Tabla6[Concepto],COSTO_OPORTUNIDAD!$B$18,Tabla6[Fecha Cumplimiento y/ liquidacion],COSTO_OPORTUNIDAD!$C273)</f>
        <v>0</v>
      </c>
      <c r="U273" s="263"/>
      <c r="V273" s="263">
        <f>+SUMIFS(Tabla6[Nominal COP],Tabla6[Concepto],COSTO_OPORTUNIDAD!$B$18,Tabla6[Nemotécnico],COSTO_OPORTUNIDAD!V$16,Tabla6[Fecha Cumplimiento y/ liquidacion],COSTO_OPORTUNIDAD!$C273)/+SUMIFS(Tabla6[Nominal COP],Tabla6[Concepto],COSTO_OPORTUNIDAD!$B$18,Tabla6[Fecha Cumplimiento y/ liquidacion],COSTO_OPORTUNIDAD!$C273)</f>
        <v>0</v>
      </c>
      <c r="W273" s="263">
        <f>+SUMIFS(Tabla6[Nominal COP],Tabla6[Concepto],COSTO_OPORTUNIDAD!$B$18,Tabla6[Nemotécnico],COSTO_OPORTUNIDAD!W$16,Tabla6[Fecha Cumplimiento y/ liquidacion],COSTO_OPORTUNIDAD!$C273)/+SUMIFS(Tabla6[Nominal COP],Tabla6[Concepto],COSTO_OPORTUNIDAD!$B$18,Tabla6[Fecha Cumplimiento y/ liquidacion],COSTO_OPORTUNIDAD!$C273)</f>
        <v>0</v>
      </c>
      <c r="X273" s="263">
        <f>+SUMIFS(Tabla6[Nominal COP],Tabla6[Concepto],COSTO_OPORTUNIDAD!$B$18,Tabla6[Nemotécnico],COSTO_OPORTUNIDAD!X$16,Tabla6[Fecha Cumplimiento y/ liquidacion],COSTO_OPORTUNIDAD!$C273)/+SUMIFS(Tabla6[Nominal COP],Tabla6[Concepto],COSTO_OPORTUNIDAD!$B$18,Tabla6[Fecha Cumplimiento y/ liquidacion],COSTO_OPORTUNIDAD!$C273)</f>
        <v>0</v>
      </c>
      <c r="Y273" s="263"/>
      <c r="Z273" s="263">
        <f>+SUMIFS(Tabla6[Nominal COP],Tabla6[Concepto],COSTO_OPORTUNIDAD!$B$18,Tabla6[Nemotécnico],COSTO_OPORTUNIDAD!Z$16,Tabla6[Fecha Cumplimiento y/ liquidacion],COSTO_OPORTUNIDAD!$C273)/+SUMIFS(Tabla6[Nominal COP],Tabla6[Concepto],COSTO_OPORTUNIDAD!$B$18,Tabla6[Fecha Cumplimiento y/ liquidacion],COSTO_OPORTUNIDAD!$C273)</f>
        <v>0</v>
      </c>
      <c r="AA273" s="263">
        <f>+SUMIFS(Tabla6[Nominal COP],Tabla6[Concepto],COSTO_OPORTUNIDAD!$B$18,Tabla6[Nemotécnico],COSTO_OPORTUNIDAD!AA$16,Tabla6[Fecha Cumplimiento y/ liquidacion],COSTO_OPORTUNIDAD!$C273)/+SUMIFS(Tabla6[Nominal COP],Tabla6[Concepto],COSTO_OPORTUNIDAD!$B$18,Tabla6[Fecha Cumplimiento y/ liquidacion],COSTO_OPORTUNIDAD!$C273)</f>
        <v>0</v>
      </c>
      <c r="AB273" s="263">
        <f>+SUMIFS(Tabla6[Nominal COP],Tabla6[Concepto],COSTO_OPORTUNIDAD!$B$18,Tabla6[Nemotécnico],COSTO_OPORTUNIDAD!AB$16,Tabla6[Fecha Cumplimiento y/ liquidacion],COSTO_OPORTUNIDAD!$C273)/+SUMIFS(Tabla6[Nominal COP],Tabla6[Concepto],COSTO_OPORTUNIDAD!$B$18,Tabla6[Fecha Cumplimiento y/ liquidacion],COSTO_OPORTUNIDAD!$C273)</f>
        <v>0</v>
      </c>
      <c r="AC273" s="263">
        <f>+SUMIFS(Tabla6[Nominal COP],Tabla6[Concepto],COSTO_OPORTUNIDAD!$B$18,Tabla6[Nemotécnico],COSTO_OPORTUNIDAD!AC$16,Tabla6[Fecha Cumplimiento y/ liquidacion],COSTO_OPORTUNIDAD!$C273)/+SUMIFS(Tabla6[Nominal COP],Tabla6[Concepto],COSTO_OPORTUNIDAD!$B$18,Tabla6[Fecha Cumplimiento y/ liquidacion],COSTO_OPORTUNIDAD!$C273)</f>
        <v>0</v>
      </c>
      <c r="AD273" s="263">
        <f>+SUMIFS(Tabla6[Nominal COP],Tabla6[Concepto],COSTO_OPORTUNIDAD!$B$18,Tabla6[Nemotécnico],COSTO_OPORTUNIDAD!AC$16,Tabla6[Fecha Cumplimiento y/ liquidacion],COSTO_OPORTUNIDAD!$C273)/+SUMIFS(Tabla6[Nominal COP],Tabla6[Concepto],COSTO_OPORTUNIDAD!$B$18,Tabla6[Fecha Cumplimiento y/ liquidacion],COSTO_OPORTUNIDAD!$C273)</f>
        <v>0</v>
      </c>
      <c r="AE273" s="263">
        <f>+SUMIFS(Tabla6[Nominal COP],Tabla6[Concepto],COSTO_OPORTUNIDAD!$B$18,Tabla6[Nemotécnico],COSTO_OPORTUNIDAD!AE$16,Tabla6[Fecha Cumplimiento y/ liquidacion],COSTO_OPORTUNIDAD!$C273)/+SUMIFS(Tabla6[Nominal COP],Tabla6[Concepto],COSTO_OPORTUNIDAD!$B$18,Tabla6[Fecha Cumplimiento y/ liquidacion],COSTO_OPORTUNIDAD!$C273)</f>
        <v>0</v>
      </c>
      <c r="AF273" s="263">
        <f>+SUMIFS(Tabla6[Nominal COP],Tabla6[Concepto],COSTO_OPORTUNIDAD!$B$18,Tabla6[Nemotécnico],COSTO_OPORTUNIDAD!AF$16,Tabla6[Fecha Cumplimiento y/ liquidacion],COSTO_OPORTUNIDAD!$C273)/+SUMIFS(Tabla6[Nominal COP],Tabla6[Concepto],COSTO_OPORTUNIDAD!$B$18,Tabla6[Fecha Cumplimiento y/ liquidacion],COSTO_OPORTUNIDAD!$C273)</f>
        <v>0</v>
      </c>
      <c r="AH273" s="274">
        <f t="shared" si="275"/>
        <v>541</v>
      </c>
      <c r="AI273" s="274">
        <f t="shared" si="276"/>
        <v>975</v>
      </c>
      <c r="AJ273" s="274">
        <f t="shared" si="277"/>
        <v>1152</v>
      </c>
      <c r="AK273" s="274">
        <f t="shared" si="300"/>
        <v>1633</v>
      </c>
      <c r="AL273" s="274">
        <f t="shared" si="278"/>
        <v>2025</v>
      </c>
      <c r="AM273" s="274">
        <f t="shared" si="279"/>
        <v>2214</v>
      </c>
      <c r="AN273" s="274">
        <f t="shared" si="280"/>
        <v>2676</v>
      </c>
      <c r="AO273" s="274">
        <f t="shared" si="281"/>
        <v>2900</v>
      </c>
      <c r="AP273" s="274">
        <f t="shared" si="282"/>
        <v>3516</v>
      </c>
      <c r="AQ273" s="274"/>
      <c r="AR273" s="274">
        <f t="shared" si="208"/>
        <v>4146</v>
      </c>
      <c r="AS273" s="274">
        <f t="shared" si="301"/>
        <v>5749</v>
      </c>
      <c r="AT273" s="274">
        <f t="shared" si="283"/>
        <v>6295</v>
      </c>
      <c r="AU273" s="274">
        <f t="shared" si="284"/>
        <v>7814</v>
      </c>
      <c r="AV273" s="274">
        <f t="shared" si="285"/>
        <v>9368</v>
      </c>
      <c r="AW273" s="274"/>
      <c r="AX273" s="274">
        <f t="shared" si="286"/>
        <v>65</v>
      </c>
      <c r="AY273" s="274">
        <f t="shared" si="287"/>
        <v>744</v>
      </c>
      <c r="AZ273" s="274">
        <f t="shared" si="267"/>
        <v>1507</v>
      </c>
      <c r="BA273" s="274"/>
      <c r="BB273" s="274">
        <f t="shared" si="214"/>
        <v>2944</v>
      </c>
      <c r="BC273" s="274">
        <f t="shared" si="215"/>
        <v>3684</v>
      </c>
      <c r="BD273" s="274">
        <f t="shared" si="216"/>
        <v>4377</v>
      </c>
      <c r="BE273" s="274">
        <f t="shared" si="288"/>
        <v>5861</v>
      </c>
      <c r="BF273" s="274">
        <f t="shared" si="217"/>
        <v>8871</v>
      </c>
      <c r="BG273" s="274">
        <f t="shared" si="289"/>
        <v>11034</v>
      </c>
      <c r="BH273" s="274">
        <f t="shared" si="308"/>
        <v>13484</v>
      </c>
      <c r="BI273" s="266">
        <f t="shared" si="218"/>
        <v>0</v>
      </c>
      <c r="BJ273" s="266">
        <f t="shared" si="219"/>
        <v>1</v>
      </c>
      <c r="BK273" s="263">
        <f t="shared" si="220"/>
        <v>0</v>
      </c>
      <c r="BL273" s="263">
        <f t="shared" si="221"/>
        <v>0</v>
      </c>
      <c r="BM273" s="263">
        <f t="shared" si="222"/>
        <v>0</v>
      </c>
      <c r="BN273" s="263"/>
      <c r="BO273" s="263">
        <f t="shared" si="223"/>
        <v>0</v>
      </c>
      <c r="BP273" s="263">
        <f t="shared" si="224"/>
        <v>0</v>
      </c>
      <c r="BQ273" s="263">
        <f t="shared" si="225"/>
        <v>0</v>
      </c>
      <c r="BR273" s="263">
        <f t="shared" si="226"/>
        <v>0</v>
      </c>
      <c r="BS273" s="263">
        <f t="shared" si="227"/>
        <v>0</v>
      </c>
      <c r="BT273" s="263">
        <f t="shared" si="228"/>
        <v>0</v>
      </c>
      <c r="BU273" s="263">
        <f t="shared" si="229"/>
        <v>0</v>
      </c>
      <c r="BV273" s="263"/>
      <c r="BW273" s="263">
        <f t="shared" si="230"/>
        <v>0</v>
      </c>
      <c r="BX273" s="263">
        <f t="shared" si="258"/>
        <v>1</v>
      </c>
      <c r="BY273" s="263">
        <f t="shared" si="231"/>
        <v>0</v>
      </c>
      <c r="BZ273" s="263"/>
      <c r="CA273" s="263" t="str">
        <f t="shared" si="254"/>
        <v/>
      </c>
      <c r="CB273" s="263" t="str">
        <f t="shared" si="232"/>
        <v/>
      </c>
      <c r="CC273" s="263" t="str">
        <f t="shared" si="255"/>
        <v/>
      </c>
      <c r="CD273" s="263" t="str">
        <f t="shared" si="233"/>
        <v/>
      </c>
      <c r="CE273" s="263" t="str">
        <f t="shared" si="241"/>
        <v/>
      </c>
      <c r="CF273" s="263" t="str">
        <f t="shared" si="256"/>
        <v/>
      </c>
      <c r="CG273" s="263" t="str">
        <f t="shared" si="257"/>
        <v/>
      </c>
      <c r="CH273" s="263" t="str">
        <f t="shared" si="290"/>
        <v/>
      </c>
      <c r="CI273" s="263" t="str">
        <f t="shared" si="234"/>
        <v/>
      </c>
      <c r="CJ273" s="263" t="str">
        <f t="shared" si="291"/>
        <v/>
      </c>
      <c r="CK273" s="263" t="str">
        <f t="shared" si="235"/>
        <v/>
      </c>
      <c r="CL273" s="264">
        <f t="shared" si="259"/>
        <v>7814</v>
      </c>
      <c r="CM273" s="264">
        <f t="shared" si="292"/>
        <v>0</v>
      </c>
      <c r="CO273" s="265">
        <v>8.7479999999999988E-2</v>
      </c>
      <c r="CP273" s="265">
        <v>9.4659999999999994E-2</v>
      </c>
      <c r="CQ273" s="265">
        <v>9.9390000000000006E-2</v>
      </c>
      <c r="CS273" s="265">
        <v>0.10579000000000001</v>
      </c>
      <c r="CT273" s="265">
        <v>0.10894999999999999</v>
      </c>
      <c r="CU273" s="265">
        <v>0.11108999999999999</v>
      </c>
      <c r="CV273" s="265">
        <v>0.1128</v>
      </c>
      <c r="CW273" s="265">
        <v>0.11445999999999999</v>
      </c>
      <c r="CY273" s="265">
        <v>0.11689999999999999</v>
      </c>
      <c r="DA273" s="265">
        <v>0.12015000000000001</v>
      </c>
      <c r="DB273" s="265">
        <v>0.12361000000000001</v>
      </c>
      <c r="DC273" s="265">
        <v>0.12199</v>
      </c>
      <c r="DE273" s="265">
        <v>4.5960000000000001E-2</v>
      </c>
      <c r="DF273" s="265">
        <v>5.1399999999999994E-2</v>
      </c>
      <c r="DH273" s="265">
        <v>5.4509999999999996E-2</v>
      </c>
      <c r="DI273" s="265">
        <v>5.5140000000000002E-2</v>
      </c>
      <c r="DJ273" s="265">
        <v>5.6299999999999996E-2</v>
      </c>
      <c r="DK273" s="265">
        <v>5.6890000000000003E-2</v>
      </c>
      <c r="DL273" s="265">
        <v>5.2229999999999999E-2</v>
      </c>
      <c r="DM273" s="265">
        <v>5.2339999999999998E-2</v>
      </c>
      <c r="DO273" s="264">
        <f t="shared" si="268"/>
        <v>7814</v>
      </c>
      <c r="DP273" s="264" cm="1">
        <f t="array" ref="DP273">+INDEX(AH273:AV273,MATCH(DO273,AH273:AV273,1)+1)</f>
        <v>9368</v>
      </c>
      <c r="DQ273" s="265">
        <f t="shared" si="269"/>
        <v>0.12361000000000001</v>
      </c>
      <c r="DR273" s="267">
        <f t="shared" si="270"/>
        <v>0.12199</v>
      </c>
      <c r="DS273" s="267">
        <f t="shared" si="297"/>
        <v>0.12361</v>
      </c>
      <c r="DT273" s="268" t="e">
        <f t="shared" si="293"/>
        <v>#N/A</v>
      </c>
      <c r="DU273" s="268" t="e" cm="1">
        <f t="array" ref="DU273">+INDEX(AX273:BG273,MATCH(DT273,AX273:BG273,1)+1)</f>
        <v>#N/A</v>
      </c>
      <c r="DV273" s="267" t="e">
        <f t="shared" si="249"/>
        <v>#N/A</v>
      </c>
      <c r="DW273" s="267" t="e">
        <f t="shared" si="294"/>
        <v>#N/A</v>
      </c>
      <c r="DX273" s="267" t="e">
        <f t="shared" si="274"/>
        <v>#N/A</v>
      </c>
      <c r="DY273" s="267">
        <f t="shared" si="295"/>
        <v>5.2200000000000003E-2</v>
      </c>
      <c r="DZ273" s="205" t="e">
        <f t="shared" ref="DZ273" si="311">+(1+DX273)*(1+DY273)-1</f>
        <v>#N/A</v>
      </c>
      <c r="EA273" s="205">
        <f t="shared" si="252"/>
        <v>0.12361</v>
      </c>
    </row>
    <row r="274" spans="2:131">
      <c r="B274" s="272">
        <v>45720</v>
      </c>
      <c r="C274" s="271">
        <v>45720</v>
      </c>
      <c r="D274" s="263">
        <f>+SUMIFS(Tabla6[Nominal COP],Tabla6[Concepto],COSTO_OPORTUNIDAD!$B$18,Tabla6[Nemotécnico],COSTO_OPORTUNIDAD!D$16,Tabla6[Fecha Cumplimiento y/ liquidacion],COSTO_OPORTUNIDAD!$C274)/+SUMIFS(Tabla6[Nominal COP],Tabla6[Concepto],COSTO_OPORTUNIDAD!$B$18,Tabla6[Fecha Cumplimiento y/ liquidacion],COSTO_OPORTUNIDAD!$C274)</f>
        <v>0</v>
      </c>
      <c r="E274" s="263">
        <f>+SUMIFS(Tabla6[Nominal COP],Tabla6[Concepto],COSTO_OPORTUNIDAD!$B$18,Tabla6[Nemotécnico],COSTO_OPORTUNIDAD!E$16,Tabla6[Fecha Cumplimiento y/ liquidacion],COSTO_OPORTUNIDAD!$C274)/+SUMIFS(Tabla6[Nominal COP],Tabla6[Concepto],COSTO_OPORTUNIDAD!$B$18,Tabla6[Fecha Cumplimiento y/ liquidacion],COSTO_OPORTUNIDAD!$C274)</f>
        <v>0</v>
      </c>
      <c r="F274" s="263">
        <f>+SUMIFS(Tabla6[Nominal COP],Tabla6[Concepto],COSTO_OPORTUNIDAD!$B$18,Tabla6[Nemotécnico],COSTO_OPORTUNIDAD!F$16,Tabla6[Fecha Cumplimiento y/ liquidacion],COSTO_OPORTUNIDAD!$C274)/+SUMIFS(Tabla6[Nominal COP],Tabla6[Concepto],COSTO_OPORTUNIDAD!$B$18,Tabla6[Fecha Cumplimiento y/ liquidacion],COSTO_OPORTUNIDAD!$C274)</f>
        <v>0</v>
      </c>
      <c r="G274" s="263">
        <f>+SUMIFS(Tabla6[Nominal COP],Tabla6[Concepto],COSTO_OPORTUNIDAD!$B$18,Tabla6[Nemotécnico],COSTO_OPORTUNIDAD!G$16,Tabla6[Fecha Cumplimiento y/ liquidacion],COSTO_OPORTUNIDAD!$C274)/+SUMIFS(Tabla6[Nominal COP],Tabla6[Concepto],COSTO_OPORTUNIDAD!$B$18,Tabla6[Fecha Cumplimiento y/ liquidacion],COSTO_OPORTUNIDAD!$C274)</f>
        <v>0</v>
      </c>
      <c r="H274" s="263">
        <f>+SUMIFS(Tabla6[Nominal COP],Tabla6[Concepto],COSTO_OPORTUNIDAD!$B$18,Tabla6[Nemotécnico],COSTO_OPORTUNIDAD!H$16,Tabla6[Fecha Cumplimiento y/ liquidacion],COSTO_OPORTUNIDAD!$C274)/+SUMIFS(Tabla6[Nominal COP],Tabla6[Concepto],COSTO_OPORTUNIDAD!$B$18,Tabla6[Fecha Cumplimiento y/ liquidacion],COSTO_OPORTUNIDAD!$C274)</f>
        <v>0</v>
      </c>
      <c r="I274" s="263"/>
      <c r="J274" s="263">
        <f>+SUMIFS(Tabla6[Nominal COP],Tabla6[Concepto],COSTO_OPORTUNIDAD!$B$18,Tabla6[Nemotécnico],COSTO_OPORTUNIDAD!J$16,Tabla6[Fecha Cumplimiento y/ liquidacion],COSTO_OPORTUNIDAD!$C274)/+SUMIFS(Tabla6[Nominal COP],Tabla6[Concepto],COSTO_OPORTUNIDAD!$B$18,Tabla6[Fecha Cumplimiento y/ liquidacion],COSTO_OPORTUNIDAD!$C274)</f>
        <v>0</v>
      </c>
      <c r="K274" s="263">
        <f>+SUMIFS(Tabla6[Nominal COP],Tabla6[Concepto],COSTO_OPORTUNIDAD!$B$18,Tabla6[Nemotécnico],COSTO_OPORTUNIDAD!K$16,Tabla6[Fecha Cumplimiento y/ liquidacion],COSTO_OPORTUNIDAD!$C274)/+SUMIFS(Tabla6[Nominal COP],Tabla6[Concepto],COSTO_OPORTUNIDAD!$B$18,Tabla6[Fecha Cumplimiento y/ liquidacion],COSTO_OPORTUNIDAD!$C274)</f>
        <v>0</v>
      </c>
      <c r="L274" s="263">
        <f>+SUMIFS(Tabla6[Nominal COP],Tabla6[Concepto],COSTO_OPORTUNIDAD!$B$18,Tabla6[Nemotécnico],COSTO_OPORTUNIDAD!L$16,Tabla6[Fecha Cumplimiento y/ liquidacion],COSTO_OPORTUNIDAD!$C274)/+SUMIFS(Tabla6[Nominal COP],Tabla6[Concepto],COSTO_OPORTUNIDAD!$B$18,Tabla6[Fecha Cumplimiento y/ liquidacion],COSTO_OPORTUNIDAD!$C274)</f>
        <v>0</v>
      </c>
      <c r="M274" s="263">
        <f>+SUMIFS(Tabla6[Nominal COP],Tabla6[Concepto],COSTO_OPORTUNIDAD!$B$18,Tabla6[Nemotécnico],COSTO_OPORTUNIDAD!M$16,Tabla6[Fecha Cumplimiento y/ liquidacion],COSTO_OPORTUNIDAD!$C274)/+SUMIFS(Tabla6[Nominal COP],Tabla6[Concepto],COSTO_OPORTUNIDAD!$B$18,Tabla6[Fecha Cumplimiento y/ liquidacion],COSTO_OPORTUNIDAD!$C274)</f>
        <v>0</v>
      </c>
      <c r="N274" s="263">
        <f>+SUMIFS(Tabla6[Nominal COP],Tabla6[Concepto],COSTO_OPORTUNIDAD!$B$18,Tabla6[Nemotécnico],COSTO_OPORTUNIDAD!N$16,Tabla6[Fecha Cumplimiento y/ liquidacion],COSTO_OPORTUNIDAD!$C274)/+SUMIFS(Tabla6[Nominal COP],Tabla6[Concepto],COSTO_OPORTUNIDAD!$B$18,Tabla6[Fecha Cumplimiento y/ liquidacion],COSTO_OPORTUNIDAD!$C274)</f>
        <v>0</v>
      </c>
      <c r="O274" s="263"/>
      <c r="P274" s="263">
        <f>+SUMIFS(Tabla6[Nominal COP],Tabla6[Concepto],COSTO_OPORTUNIDAD!$B$18,Tabla6[Nemotécnico],COSTO_OPORTUNIDAD!P$16,Tabla6[Fecha Cumplimiento y/ liquidacion],COSTO_OPORTUNIDAD!$C274)/+SUMIFS(Tabla6[Nominal COP],Tabla6[Concepto],COSTO_OPORTUNIDAD!$B$18,Tabla6[Fecha Cumplimiento y/ liquidacion],COSTO_OPORTUNIDAD!$C274)</f>
        <v>0</v>
      </c>
      <c r="Q274" s="263"/>
      <c r="R274" s="263">
        <f>+SUMIFS(Tabla6[Nominal COP],Tabla6[Concepto],COSTO_OPORTUNIDAD!$B$18,Tabla6[Nemotécnico],COSTO_OPORTUNIDAD!R$16,Tabla6[Fecha Cumplimiento y/ liquidacion],COSTO_OPORTUNIDAD!$C274)/+SUMIFS(Tabla6[Nominal COP],Tabla6[Concepto],COSTO_OPORTUNIDAD!$B$18,Tabla6[Fecha Cumplimiento y/ liquidacion],COSTO_OPORTUNIDAD!$C274)</f>
        <v>0</v>
      </c>
      <c r="S274" s="263">
        <f>+SUMIFS(Tabla6[Nominal COP],Tabla6[Concepto],COSTO_OPORTUNIDAD!$B$18,Tabla6[Nemotécnico],COSTO_OPORTUNIDAD!S$16,Tabla6[Fecha Cumplimiento y/ liquidacion],COSTO_OPORTUNIDAD!$C274)/+SUMIFS(Tabla6[Nominal COP],Tabla6[Concepto],COSTO_OPORTUNIDAD!$B$18,Tabla6[Fecha Cumplimiento y/ liquidacion],COSTO_OPORTUNIDAD!$C274)</f>
        <v>1</v>
      </c>
      <c r="T274" s="263">
        <f>+SUMIFS(Tabla6[Nominal COP],Tabla6[Concepto],COSTO_OPORTUNIDAD!$B$18,Tabla6[Nemotécnico],COSTO_OPORTUNIDAD!T$16,Tabla6[Fecha Cumplimiento y/ liquidacion],COSTO_OPORTUNIDAD!$C274)/+SUMIFS(Tabla6[Nominal COP],Tabla6[Concepto],COSTO_OPORTUNIDAD!$B$18,Tabla6[Fecha Cumplimiento y/ liquidacion],COSTO_OPORTUNIDAD!$C274)</f>
        <v>0</v>
      </c>
      <c r="U274" s="263"/>
      <c r="V274" s="263">
        <f>+SUMIFS(Tabla6[Nominal COP],Tabla6[Concepto],COSTO_OPORTUNIDAD!$B$18,Tabla6[Nemotécnico],COSTO_OPORTUNIDAD!V$16,Tabla6[Fecha Cumplimiento y/ liquidacion],COSTO_OPORTUNIDAD!$C274)/+SUMIFS(Tabla6[Nominal COP],Tabla6[Concepto],COSTO_OPORTUNIDAD!$B$18,Tabla6[Fecha Cumplimiento y/ liquidacion],COSTO_OPORTUNIDAD!$C274)</f>
        <v>0</v>
      </c>
      <c r="W274" s="263">
        <f>+SUMIFS(Tabla6[Nominal COP],Tabla6[Concepto],COSTO_OPORTUNIDAD!$B$18,Tabla6[Nemotécnico],COSTO_OPORTUNIDAD!W$16,Tabla6[Fecha Cumplimiento y/ liquidacion],COSTO_OPORTUNIDAD!$C274)/+SUMIFS(Tabla6[Nominal COP],Tabla6[Concepto],COSTO_OPORTUNIDAD!$B$18,Tabla6[Fecha Cumplimiento y/ liquidacion],COSTO_OPORTUNIDAD!$C274)</f>
        <v>0</v>
      </c>
      <c r="X274" s="263">
        <f>+SUMIFS(Tabla6[Nominal COP],Tabla6[Concepto],COSTO_OPORTUNIDAD!$B$18,Tabla6[Nemotécnico],COSTO_OPORTUNIDAD!X$16,Tabla6[Fecha Cumplimiento y/ liquidacion],COSTO_OPORTUNIDAD!$C274)/+SUMIFS(Tabla6[Nominal COP],Tabla6[Concepto],COSTO_OPORTUNIDAD!$B$18,Tabla6[Fecha Cumplimiento y/ liquidacion],COSTO_OPORTUNIDAD!$C274)</f>
        <v>0</v>
      </c>
      <c r="Y274" s="263"/>
      <c r="Z274" s="263">
        <f>+SUMIFS(Tabla6[Nominal COP],Tabla6[Concepto],COSTO_OPORTUNIDAD!$B$18,Tabla6[Nemotécnico],COSTO_OPORTUNIDAD!Z$16,Tabla6[Fecha Cumplimiento y/ liquidacion],COSTO_OPORTUNIDAD!$C274)/+SUMIFS(Tabla6[Nominal COP],Tabla6[Concepto],COSTO_OPORTUNIDAD!$B$18,Tabla6[Fecha Cumplimiento y/ liquidacion],COSTO_OPORTUNIDAD!$C274)</f>
        <v>0</v>
      </c>
      <c r="AA274" s="263">
        <f>+SUMIFS(Tabla6[Nominal COP],Tabla6[Concepto],COSTO_OPORTUNIDAD!$B$18,Tabla6[Nemotécnico],COSTO_OPORTUNIDAD!AA$16,Tabla6[Fecha Cumplimiento y/ liquidacion],COSTO_OPORTUNIDAD!$C274)/+SUMIFS(Tabla6[Nominal COP],Tabla6[Concepto],COSTO_OPORTUNIDAD!$B$18,Tabla6[Fecha Cumplimiento y/ liquidacion],COSTO_OPORTUNIDAD!$C274)</f>
        <v>0</v>
      </c>
      <c r="AB274" s="263">
        <f>+SUMIFS(Tabla6[Nominal COP],Tabla6[Concepto],COSTO_OPORTUNIDAD!$B$18,Tabla6[Nemotécnico],COSTO_OPORTUNIDAD!AB$16,Tabla6[Fecha Cumplimiento y/ liquidacion],COSTO_OPORTUNIDAD!$C274)/+SUMIFS(Tabla6[Nominal COP],Tabla6[Concepto],COSTO_OPORTUNIDAD!$B$18,Tabla6[Fecha Cumplimiento y/ liquidacion],COSTO_OPORTUNIDAD!$C274)</f>
        <v>0</v>
      </c>
      <c r="AC274" s="263">
        <f>+SUMIFS(Tabla6[Nominal COP],Tabla6[Concepto],COSTO_OPORTUNIDAD!$B$18,Tabla6[Nemotécnico],COSTO_OPORTUNIDAD!AC$16,Tabla6[Fecha Cumplimiento y/ liquidacion],COSTO_OPORTUNIDAD!$C274)/+SUMIFS(Tabla6[Nominal COP],Tabla6[Concepto],COSTO_OPORTUNIDAD!$B$18,Tabla6[Fecha Cumplimiento y/ liquidacion],COSTO_OPORTUNIDAD!$C274)</f>
        <v>0</v>
      </c>
      <c r="AD274" s="263">
        <f>+SUMIFS(Tabla6[Nominal COP],Tabla6[Concepto],COSTO_OPORTUNIDAD!$B$18,Tabla6[Nemotécnico],COSTO_OPORTUNIDAD!AC$16,Tabla6[Fecha Cumplimiento y/ liquidacion],COSTO_OPORTUNIDAD!$C274)/+SUMIFS(Tabla6[Nominal COP],Tabla6[Concepto],COSTO_OPORTUNIDAD!$B$18,Tabla6[Fecha Cumplimiento y/ liquidacion],COSTO_OPORTUNIDAD!$C274)</f>
        <v>0</v>
      </c>
      <c r="AE274" s="263">
        <f>+SUMIFS(Tabla6[Nominal COP],Tabla6[Concepto],COSTO_OPORTUNIDAD!$B$18,Tabla6[Nemotécnico],COSTO_OPORTUNIDAD!AE$16,Tabla6[Fecha Cumplimiento y/ liquidacion],COSTO_OPORTUNIDAD!$C274)/+SUMIFS(Tabla6[Nominal COP],Tabla6[Concepto],COSTO_OPORTUNIDAD!$B$18,Tabla6[Fecha Cumplimiento y/ liquidacion],COSTO_OPORTUNIDAD!$C274)</f>
        <v>0</v>
      </c>
      <c r="AF274" s="263">
        <f>+SUMIFS(Tabla6[Nominal COP],Tabla6[Concepto],COSTO_OPORTUNIDAD!$B$18,Tabla6[Nemotécnico],COSTO_OPORTUNIDAD!AF$16,Tabla6[Fecha Cumplimiento y/ liquidacion],COSTO_OPORTUNIDAD!$C274)/+SUMIFS(Tabla6[Nominal COP],Tabla6[Concepto],COSTO_OPORTUNIDAD!$B$18,Tabla6[Fecha Cumplimiento y/ liquidacion],COSTO_OPORTUNIDAD!$C274)</f>
        <v>0</v>
      </c>
      <c r="AH274" s="274">
        <f t="shared" si="275"/>
        <v>540</v>
      </c>
      <c r="AI274" s="274">
        <f t="shared" si="276"/>
        <v>974</v>
      </c>
      <c r="AJ274" s="274">
        <f t="shared" si="277"/>
        <v>1151</v>
      </c>
      <c r="AK274" s="274">
        <f t="shared" si="300"/>
        <v>1632</v>
      </c>
      <c r="AL274" s="274">
        <f t="shared" si="278"/>
        <v>2024</v>
      </c>
      <c r="AM274" s="274">
        <f t="shared" si="279"/>
        <v>2213</v>
      </c>
      <c r="AN274" s="274">
        <f t="shared" si="280"/>
        <v>2675</v>
      </c>
      <c r="AO274" s="274">
        <f t="shared" si="281"/>
        <v>2899</v>
      </c>
      <c r="AP274" s="274">
        <f t="shared" si="282"/>
        <v>3515</v>
      </c>
      <c r="AQ274" s="274"/>
      <c r="AR274" s="274">
        <f t="shared" si="208"/>
        <v>4145</v>
      </c>
      <c r="AS274" s="274">
        <f t="shared" si="301"/>
        <v>5748</v>
      </c>
      <c r="AT274" s="274">
        <f t="shared" si="283"/>
        <v>6294</v>
      </c>
      <c r="AU274" s="274">
        <f t="shared" si="284"/>
        <v>7813</v>
      </c>
      <c r="AV274" s="274">
        <f t="shared" si="285"/>
        <v>9367</v>
      </c>
      <c r="AW274" s="274"/>
      <c r="AX274" s="274">
        <f t="shared" si="286"/>
        <v>64</v>
      </c>
      <c r="AY274" s="274">
        <f t="shared" si="287"/>
        <v>743</v>
      </c>
      <c r="AZ274" s="274">
        <f t="shared" si="267"/>
        <v>1506</v>
      </c>
      <c r="BA274" s="274"/>
      <c r="BB274" s="274">
        <f t="shared" si="214"/>
        <v>2943</v>
      </c>
      <c r="BC274" s="274">
        <f t="shared" si="215"/>
        <v>3683</v>
      </c>
      <c r="BD274" s="274">
        <f t="shared" si="216"/>
        <v>4376</v>
      </c>
      <c r="BE274" s="274">
        <f t="shared" si="288"/>
        <v>5860</v>
      </c>
      <c r="BF274" s="274">
        <f t="shared" si="217"/>
        <v>8870</v>
      </c>
      <c r="BG274" s="274">
        <f t="shared" si="289"/>
        <v>11033</v>
      </c>
      <c r="BH274" s="274">
        <f t="shared" si="308"/>
        <v>13483</v>
      </c>
      <c r="BI274" s="266">
        <f t="shared" si="218"/>
        <v>0</v>
      </c>
      <c r="BJ274" s="266">
        <f t="shared" si="219"/>
        <v>1</v>
      </c>
      <c r="BK274" s="263">
        <f t="shared" si="220"/>
        <v>0</v>
      </c>
      <c r="BL274" s="263">
        <f t="shared" si="221"/>
        <v>0</v>
      </c>
      <c r="BM274" s="263">
        <f t="shared" si="222"/>
        <v>0</v>
      </c>
      <c r="BN274" s="263"/>
      <c r="BO274" s="263">
        <f t="shared" si="223"/>
        <v>0</v>
      </c>
      <c r="BP274" s="263">
        <f t="shared" si="224"/>
        <v>0</v>
      </c>
      <c r="BQ274" s="263">
        <f t="shared" si="225"/>
        <v>0</v>
      </c>
      <c r="BR274" s="263">
        <f t="shared" si="226"/>
        <v>0</v>
      </c>
      <c r="BS274" s="263">
        <f t="shared" si="227"/>
        <v>0</v>
      </c>
      <c r="BT274" s="263">
        <f t="shared" si="228"/>
        <v>0</v>
      </c>
      <c r="BU274" s="263">
        <f t="shared" si="229"/>
        <v>0</v>
      </c>
      <c r="BV274" s="263"/>
      <c r="BW274" s="263">
        <f t="shared" si="230"/>
        <v>0</v>
      </c>
      <c r="BX274" s="263">
        <f t="shared" si="258"/>
        <v>1</v>
      </c>
      <c r="BY274" s="263">
        <f t="shared" si="231"/>
        <v>0</v>
      </c>
      <c r="BZ274" s="263"/>
      <c r="CA274" s="263" t="str">
        <f t="shared" si="254"/>
        <v/>
      </c>
      <c r="CB274" s="263" t="str">
        <f t="shared" si="232"/>
        <v/>
      </c>
      <c r="CC274" s="263" t="str">
        <f t="shared" si="255"/>
        <v/>
      </c>
      <c r="CD274" s="263" t="str">
        <f t="shared" si="233"/>
        <v/>
      </c>
      <c r="CE274" s="263" t="str">
        <f t="shared" si="241"/>
        <v/>
      </c>
      <c r="CF274" s="263" t="str">
        <f t="shared" si="256"/>
        <v/>
      </c>
      <c r="CG274" s="263" t="str">
        <f t="shared" si="257"/>
        <v/>
      </c>
      <c r="CH274" s="263" t="str">
        <f t="shared" si="290"/>
        <v/>
      </c>
      <c r="CI274" s="263" t="str">
        <f t="shared" si="234"/>
        <v/>
      </c>
      <c r="CJ274" s="263" t="str">
        <f t="shared" si="291"/>
        <v/>
      </c>
      <c r="CK274" s="263" t="str">
        <f t="shared" si="235"/>
        <v/>
      </c>
      <c r="CL274" s="264">
        <f t="shared" si="259"/>
        <v>7813</v>
      </c>
      <c r="CM274" s="264">
        <f t="shared" si="292"/>
        <v>0</v>
      </c>
      <c r="CO274" s="265">
        <v>8.6999999999999994E-2</v>
      </c>
      <c r="CP274" s="265">
        <v>9.4E-2</v>
      </c>
      <c r="CQ274" s="265">
        <v>9.8100000000000007E-2</v>
      </c>
      <c r="CS274" s="265">
        <v>0.10539999999999999</v>
      </c>
      <c r="CT274" s="265">
        <v>0.10859999999999999</v>
      </c>
      <c r="CU274" s="265">
        <v>0.1106</v>
      </c>
      <c r="CV274" s="265">
        <v>0.11275</v>
      </c>
      <c r="CW274" s="265">
        <v>0.1143</v>
      </c>
      <c r="CY274" s="265">
        <v>0.11695</v>
      </c>
      <c r="DA274" s="265">
        <v>0.12039999999999999</v>
      </c>
      <c r="DB274" s="265">
        <v>0.12375</v>
      </c>
      <c r="DC274" s="265">
        <v>0.12235</v>
      </c>
      <c r="DE274" s="265">
        <v>4.6399999999999997E-2</v>
      </c>
      <c r="DF274" s="265">
        <v>5.1859999999999996E-2</v>
      </c>
      <c r="DH274" s="265">
        <v>5.4779999999999995E-2</v>
      </c>
      <c r="DI274" s="265">
        <v>5.5999999999999994E-2</v>
      </c>
      <c r="DJ274" s="265">
        <v>5.6469999999999999E-2</v>
      </c>
      <c r="DK274" s="265">
        <v>5.7020000000000001E-2</v>
      </c>
      <c r="DL274" s="265">
        <v>5.296E-2</v>
      </c>
      <c r="DM274" s="265">
        <v>5.2499999999999998E-2</v>
      </c>
      <c r="DO274" s="264">
        <f t="shared" si="268"/>
        <v>7813</v>
      </c>
      <c r="DP274" s="264" cm="1">
        <f t="array" ref="DP274">+INDEX(AH274:AV274,MATCH(DO274,AH274:AV274,1)+1)</f>
        <v>9367</v>
      </c>
      <c r="DQ274" s="265">
        <f t="shared" si="269"/>
        <v>0.12375</v>
      </c>
      <c r="DR274" s="267">
        <f t="shared" si="270"/>
        <v>0.12235</v>
      </c>
      <c r="DS274" s="267">
        <f t="shared" si="297"/>
        <v>0.12375</v>
      </c>
      <c r="DT274" s="268" t="e">
        <f t="shared" si="293"/>
        <v>#N/A</v>
      </c>
      <c r="DU274" s="268" t="e" cm="1">
        <f t="array" ref="DU274">+INDEX(AX274:BG274,MATCH(DT274,AX274:BG274,1)+1)</f>
        <v>#N/A</v>
      </c>
      <c r="DV274" s="267" t="e">
        <f t="shared" si="249"/>
        <v>#N/A</v>
      </c>
      <c r="DW274" s="267" t="e">
        <f t="shared" si="294"/>
        <v>#N/A</v>
      </c>
      <c r="DX274" s="267" t="e">
        <f t="shared" si="274"/>
        <v>#N/A</v>
      </c>
      <c r="DY274" s="267">
        <f t="shared" si="295"/>
        <v>5.2200000000000003E-2</v>
      </c>
      <c r="DZ274" s="205" t="e">
        <f t="shared" ref="DZ274" si="312">+(1+DX274)*(1+DY274)-1</f>
        <v>#N/A</v>
      </c>
      <c r="EA274" s="205">
        <f t="shared" si="252"/>
        <v>0.12375</v>
      </c>
    </row>
    <row r="275" spans="2:131">
      <c r="B275" s="272">
        <v>45721</v>
      </c>
      <c r="C275" s="271">
        <v>45721</v>
      </c>
      <c r="D275" s="263">
        <f>+SUMIFS(Tabla6[Nominal COP],Tabla6[Concepto],COSTO_OPORTUNIDAD!$B$18,Tabla6[Nemotécnico],COSTO_OPORTUNIDAD!D$16,Tabla6[Fecha Cumplimiento y/ liquidacion],COSTO_OPORTUNIDAD!$C275)/+SUMIFS(Tabla6[Nominal COP],Tabla6[Concepto],COSTO_OPORTUNIDAD!$B$18,Tabla6[Fecha Cumplimiento y/ liquidacion],COSTO_OPORTUNIDAD!$C275)</f>
        <v>0</v>
      </c>
      <c r="E275" s="263">
        <f>+SUMIFS(Tabla6[Nominal COP],Tabla6[Concepto],COSTO_OPORTUNIDAD!$B$18,Tabla6[Nemotécnico],COSTO_OPORTUNIDAD!E$16,Tabla6[Fecha Cumplimiento y/ liquidacion],COSTO_OPORTUNIDAD!$C275)/+SUMIFS(Tabla6[Nominal COP],Tabla6[Concepto],COSTO_OPORTUNIDAD!$B$18,Tabla6[Fecha Cumplimiento y/ liquidacion],COSTO_OPORTUNIDAD!$C275)</f>
        <v>0</v>
      </c>
      <c r="F275" s="263">
        <f>+SUMIFS(Tabla6[Nominal COP],Tabla6[Concepto],COSTO_OPORTUNIDAD!$B$18,Tabla6[Nemotécnico],COSTO_OPORTUNIDAD!F$16,Tabla6[Fecha Cumplimiento y/ liquidacion],COSTO_OPORTUNIDAD!$C275)/+SUMIFS(Tabla6[Nominal COP],Tabla6[Concepto],COSTO_OPORTUNIDAD!$B$18,Tabla6[Fecha Cumplimiento y/ liquidacion],COSTO_OPORTUNIDAD!$C275)</f>
        <v>0</v>
      </c>
      <c r="G275" s="263">
        <f>+SUMIFS(Tabla6[Nominal COP],Tabla6[Concepto],COSTO_OPORTUNIDAD!$B$18,Tabla6[Nemotécnico],COSTO_OPORTUNIDAD!G$16,Tabla6[Fecha Cumplimiento y/ liquidacion],COSTO_OPORTUNIDAD!$C275)/+SUMIFS(Tabla6[Nominal COP],Tabla6[Concepto],COSTO_OPORTUNIDAD!$B$18,Tabla6[Fecha Cumplimiento y/ liquidacion],COSTO_OPORTUNIDAD!$C275)</f>
        <v>0</v>
      </c>
      <c r="H275" s="263">
        <f>+SUMIFS(Tabla6[Nominal COP],Tabla6[Concepto],COSTO_OPORTUNIDAD!$B$18,Tabla6[Nemotécnico],COSTO_OPORTUNIDAD!H$16,Tabla6[Fecha Cumplimiento y/ liquidacion],COSTO_OPORTUNIDAD!$C275)/+SUMIFS(Tabla6[Nominal COP],Tabla6[Concepto],COSTO_OPORTUNIDAD!$B$18,Tabla6[Fecha Cumplimiento y/ liquidacion],COSTO_OPORTUNIDAD!$C275)</f>
        <v>0</v>
      </c>
      <c r="I275" s="263"/>
      <c r="J275" s="263">
        <f>+SUMIFS(Tabla6[Nominal COP],Tabla6[Concepto],COSTO_OPORTUNIDAD!$B$18,Tabla6[Nemotécnico],COSTO_OPORTUNIDAD!J$16,Tabla6[Fecha Cumplimiento y/ liquidacion],COSTO_OPORTUNIDAD!$C275)/+SUMIFS(Tabla6[Nominal COP],Tabla6[Concepto],COSTO_OPORTUNIDAD!$B$18,Tabla6[Fecha Cumplimiento y/ liquidacion],COSTO_OPORTUNIDAD!$C275)</f>
        <v>0</v>
      </c>
      <c r="K275" s="263">
        <f>+SUMIFS(Tabla6[Nominal COP],Tabla6[Concepto],COSTO_OPORTUNIDAD!$B$18,Tabla6[Nemotécnico],COSTO_OPORTUNIDAD!K$16,Tabla6[Fecha Cumplimiento y/ liquidacion],COSTO_OPORTUNIDAD!$C275)/+SUMIFS(Tabla6[Nominal COP],Tabla6[Concepto],COSTO_OPORTUNIDAD!$B$18,Tabla6[Fecha Cumplimiento y/ liquidacion],COSTO_OPORTUNIDAD!$C275)</f>
        <v>0</v>
      </c>
      <c r="L275" s="263">
        <f>+SUMIFS(Tabla6[Nominal COP],Tabla6[Concepto],COSTO_OPORTUNIDAD!$B$18,Tabla6[Nemotécnico],COSTO_OPORTUNIDAD!L$16,Tabla6[Fecha Cumplimiento y/ liquidacion],COSTO_OPORTUNIDAD!$C275)/+SUMIFS(Tabla6[Nominal COP],Tabla6[Concepto],COSTO_OPORTUNIDAD!$B$18,Tabla6[Fecha Cumplimiento y/ liquidacion],COSTO_OPORTUNIDAD!$C275)</f>
        <v>0</v>
      </c>
      <c r="M275" s="263">
        <f>+SUMIFS(Tabla6[Nominal COP],Tabla6[Concepto],COSTO_OPORTUNIDAD!$B$18,Tabla6[Nemotécnico],COSTO_OPORTUNIDAD!M$16,Tabla6[Fecha Cumplimiento y/ liquidacion],COSTO_OPORTUNIDAD!$C275)/+SUMIFS(Tabla6[Nominal COP],Tabla6[Concepto],COSTO_OPORTUNIDAD!$B$18,Tabla6[Fecha Cumplimiento y/ liquidacion],COSTO_OPORTUNIDAD!$C275)</f>
        <v>0</v>
      </c>
      <c r="N275" s="263">
        <f>+SUMIFS(Tabla6[Nominal COP],Tabla6[Concepto],COSTO_OPORTUNIDAD!$B$18,Tabla6[Nemotécnico],COSTO_OPORTUNIDAD!N$16,Tabla6[Fecha Cumplimiento y/ liquidacion],COSTO_OPORTUNIDAD!$C275)/+SUMIFS(Tabla6[Nominal COP],Tabla6[Concepto],COSTO_OPORTUNIDAD!$B$18,Tabla6[Fecha Cumplimiento y/ liquidacion],COSTO_OPORTUNIDAD!$C275)</f>
        <v>0</v>
      </c>
      <c r="O275" s="263"/>
      <c r="P275" s="263">
        <f>+SUMIFS(Tabla6[Nominal COP],Tabla6[Concepto],COSTO_OPORTUNIDAD!$B$18,Tabla6[Nemotécnico],COSTO_OPORTUNIDAD!P$16,Tabla6[Fecha Cumplimiento y/ liquidacion],COSTO_OPORTUNIDAD!$C275)/+SUMIFS(Tabla6[Nominal COP],Tabla6[Concepto],COSTO_OPORTUNIDAD!$B$18,Tabla6[Fecha Cumplimiento y/ liquidacion],COSTO_OPORTUNIDAD!$C275)</f>
        <v>0</v>
      </c>
      <c r="Q275" s="263"/>
      <c r="R275" s="263">
        <f>+SUMIFS(Tabla6[Nominal COP],Tabla6[Concepto],COSTO_OPORTUNIDAD!$B$18,Tabla6[Nemotécnico],COSTO_OPORTUNIDAD!R$16,Tabla6[Fecha Cumplimiento y/ liquidacion],COSTO_OPORTUNIDAD!$C275)/+SUMIFS(Tabla6[Nominal COP],Tabla6[Concepto],COSTO_OPORTUNIDAD!$B$18,Tabla6[Fecha Cumplimiento y/ liquidacion],COSTO_OPORTUNIDAD!$C275)</f>
        <v>0</v>
      </c>
      <c r="S275" s="263">
        <f>+SUMIFS(Tabla6[Nominal COP],Tabla6[Concepto],COSTO_OPORTUNIDAD!$B$18,Tabla6[Nemotécnico],COSTO_OPORTUNIDAD!S$16,Tabla6[Fecha Cumplimiento y/ liquidacion],COSTO_OPORTUNIDAD!$C275)/+SUMIFS(Tabla6[Nominal COP],Tabla6[Concepto],COSTO_OPORTUNIDAD!$B$18,Tabla6[Fecha Cumplimiento y/ liquidacion],COSTO_OPORTUNIDAD!$C275)</f>
        <v>1</v>
      </c>
      <c r="T275" s="263">
        <f>+SUMIFS(Tabla6[Nominal COP],Tabla6[Concepto],COSTO_OPORTUNIDAD!$B$18,Tabla6[Nemotécnico],COSTO_OPORTUNIDAD!T$16,Tabla6[Fecha Cumplimiento y/ liquidacion],COSTO_OPORTUNIDAD!$C275)/+SUMIFS(Tabla6[Nominal COP],Tabla6[Concepto],COSTO_OPORTUNIDAD!$B$18,Tabla6[Fecha Cumplimiento y/ liquidacion],COSTO_OPORTUNIDAD!$C275)</f>
        <v>0</v>
      </c>
      <c r="U275" s="263"/>
      <c r="V275" s="263">
        <f>+SUMIFS(Tabla6[Nominal COP],Tabla6[Concepto],COSTO_OPORTUNIDAD!$B$18,Tabla6[Nemotécnico],COSTO_OPORTUNIDAD!V$16,Tabla6[Fecha Cumplimiento y/ liquidacion],COSTO_OPORTUNIDAD!$C275)/+SUMIFS(Tabla6[Nominal COP],Tabla6[Concepto],COSTO_OPORTUNIDAD!$B$18,Tabla6[Fecha Cumplimiento y/ liquidacion],COSTO_OPORTUNIDAD!$C275)</f>
        <v>0</v>
      </c>
      <c r="W275" s="263">
        <f>+SUMIFS(Tabla6[Nominal COP],Tabla6[Concepto],COSTO_OPORTUNIDAD!$B$18,Tabla6[Nemotécnico],COSTO_OPORTUNIDAD!W$16,Tabla6[Fecha Cumplimiento y/ liquidacion],COSTO_OPORTUNIDAD!$C275)/+SUMIFS(Tabla6[Nominal COP],Tabla6[Concepto],COSTO_OPORTUNIDAD!$B$18,Tabla6[Fecha Cumplimiento y/ liquidacion],COSTO_OPORTUNIDAD!$C275)</f>
        <v>0</v>
      </c>
      <c r="X275" s="263">
        <f>+SUMIFS(Tabla6[Nominal COP],Tabla6[Concepto],COSTO_OPORTUNIDAD!$B$18,Tabla6[Nemotécnico],COSTO_OPORTUNIDAD!X$16,Tabla6[Fecha Cumplimiento y/ liquidacion],COSTO_OPORTUNIDAD!$C275)/+SUMIFS(Tabla6[Nominal COP],Tabla6[Concepto],COSTO_OPORTUNIDAD!$B$18,Tabla6[Fecha Cumplimiento y/ liquidacion],COSTO_OPORTUNIDAD!$C275)</f>
        <v>0</v>
      </c>
      <c r="Y275" s="263"/>
      <c r="Z275" s="263">
        <f>+SUMIFS(Tabla6[Nominal COP],Tabla6[Concepto],COSTO_OPORTUNIDAD!$B$18,Tabla6[Nemotécnico],COSTO_OPORTUNIDAD!Z$16,Tabla6[Fecha Cumplimiento y/ liquidacion],COSTO_OPORTUNIDAD!$C275)/+SUMIFS(Tabla6[Nominal COP],Tabla6[Concepto],COSTO_OPORTUNIDAD!$B$18,Tabla6[Fecha Cumplimiento y/ liquidacion],COSTO_OPORTUNIDAD!$C275)</f>
        <v>0</v>
      </c>
      <c r="AA275" s="263">
        <f>+SUMIFS(Tabla6[Nominal COP],Tabla6[Concepto],COSTO_OPORTUNIDAD!$B$18,Tabla6[Nemotécnico],COSTO_OPORTUNIDAD!AA$16,Tabla6[Fecha Cumplimiento y/ liquidacion],COSTO_OPORTUNIDAD!$C275)/+SUMIFS(Tabla6[Nominal COP],Tabla6[Concepto],COSTO_OPORTUNIDAD!$B$18,Tabla6[Fecha Cumplimiento y/ liquidacion],COSTO_OPORTUNIDAD!$C275)</f>
        <v>0</v>
      </c>
      <c r="AB275" s="263">
        <f>+SUMIFS(Tabla6[Nominal COP],Tabla6[Concepto],COSTO_OPORTUNIDAD!$B$18,Tabla6[Nemotécnico],COSTO_OPORTUNIDAD!AB$16,Tabla6[Fecha Cumplimiento y/ liquidacion],COSTO_OPORTUNIDAD!$C275)/+SUMIFS(Tabla6[Nominal COP],Tabla6[Concepto],COSTO_OPORTUNIDAD!$B$18,Tabla6[Fecha Cumplimiento y/ liquidacion],COSTO_OPORTUNIDAD!$C275)</f>
        <v>0</v>
      </c>
      <c r="AC275" s="263">
        <f>+SUMIFS(Tabla6[Nominal COP],Tabla6[Concepto],COSTO_OPORTUNIDAD!$B$18,Tabla6[Nemotécnico],COSTO_OPORTUNIDAD!AC$16,Tabla6[Fecha Cumplimiento y/ liquidacion],COSTO_OPORTUNIDAD!$C275)/+SUMIFS(Tabla6[Nominal COP],Tabla6[Concepto],COSTO_OPORTUNIDAD!$B$18,Tabla6[Fecha Cumplimiento y/ liquidacion],COSTO_OPORTUNIDAD!$C275)</f>
        <v>0</v>
      </c>
      <c r="AD275" s="263">
        <f>+SUMIFS(Tabla6[Nominal COP],Tabla6[Concepto],COSTO_OPORTUNIDAD!$B$18,Tabla6[Nemotécnico],COSTO_OPORTUNIDAD!AC$16,Tabla6[Fecha Cumplimiento y/ liquidacion],COSTO_OPORTUNIDAD!$C275)/+SUMIFS(Tabla6[Nominal COP],Tabla6[Concepto],COSTO_OPORTUNIDAD!$B$18,Tabla6[Fecha Cumplimiento y/ liquidacion],COSTO_OPORTUNIDAD!$C275)</f>
        <v>0</v>
      </c>
      <c r="AE275" s="263">
        <f>+SUMIFS(Tabla6[Nominal COP],Tabla6[Concepto],COSTO_OPORTUNIDAD!$B$18,Tabla6[Nemotécnico],COSTO_OPORTUNIDAD!AE$16,Tabla6[Fecha Cumplimiento y/ liquidacion],COSTO_OPORTUNIDAD!$C275)/+SUMIFS(Tabla6[Nominal COP],Tabla6[Concepto],COSTO_OPORTUNIDAD!$B$18,Tabla6[Fecha Cumplimiento y/ liquidacion],COSTO_OPORTUNIDAD!$C275)</f>
        <v>0</v>
      </c>
      <c r="AF275" s="263">
        <f>+SUMIFS(Tabla6[Nominal COP],Tabla6[Concepto],COSTO_OPORTUNIDAD!$B$18,Tabla6[Nemotécnico],COSTO_OPORTUNIDAD!AF$16,Tabla6[Fecha Cumplimiento y/ liquidacion],COSTO_OPORTUNIDAD!$C275)/+SUMIFS(Tabla6[Nominal COP],Tabla6[Concepto],COSTO_OPORTUNIDAD!$B$18,Tabla6[Fecha Cumplimiento y/ liquidacion],COSTO_OPORTUNIDAD!$C275)</f>
        <v>0</v>
      </c>
      <c r="AH275" s="274">
        <f t="shared" si="275"/>
        <v>539</v>
      </c>
      <c r="AI275" s="274">
        <f t="shared" si="276"/>
        <v>973</v>
      </c>
      <c r="AJ275" s="274">
        <f t="shared" si="277"/>
        <v>1150</v>
      </c>
      <c r="AK275" s="274">
        <f t="shared" si="300"/>
        <v>1631</v>
      </c>
      <c r="AL275" s="274">
        <f t="shared" si="278"/>
        <v>2023</v>
      </c>
      <c r="AM275" s="274">
        <f t="shared" si="279"/>
        <v>2212</v>
      </c>
      <c r="AN275" s="274">
        <f t="shared" si="280"/>
        <v>2674</v>
      </c>
      <c r="AO275" s="274">
        <f t="shared" si="281"/>
        <v>2898</v>
      </c>
      <c r="AP275" s="274">
        <f t="shared" si="282"/>
        <v>3514</v>
      </c>
      <c r="AQ275" s="274"/>
      <c r="AR275" s="274">
        <f t="shared" ref="AR275:AR304" si="313">(P$17-$B275)</f>
        <v>4144</v>
      </c>
      <c r="AS275" s="274">
        <f t="shared" si="301"/>
        <v>5747</v>
      </c>
      <c r="AT275" s="274">
        <f t="shared" si="283"/>
        <v>6293</v>
      </c>
      <c r="AU275" s="274">
        <f t="shared" si="284"/>
        <v>7812</v>
      </c>
      <c r="AV275" s="274">
        <f t="shared" si="285"/>
        <v>9366</v>
      </c>
      <c r="AW275" s="274"/>
      <c r="AX275" s="274">
        <f t="shared" si="286"/>
        <v>63</v>
      </c>
      <c r="AY275" s="274">
        <f t="shared" si="287"/>
        <v>742</v>
      </c>
      <c r="AZ275" s="274">
        <f t="shared" si="267"/>
        <v>1505</v>
      </c>
      <c r="BA275" s="274"/>
      <c r="BB275" s="274">
        <f t="shared" ref="BB275:BB291" si="314">(Z$17-$B275)</f>
        <v>2942</v>
      </c>
      <c r="BC275" s="274">
        <f t="shared" ref="BC275:BC291" si="315">(AA$17-$B275)</f>
        <v>3682</v>
      </c>
      <c r="BD275" s="274">
        <f t="shared" ref="BD275:BD291" si="316">(AB$17-$B275)</f>
        <v>4375</v>
      </c>
      <c r="BE275" s="274">
        <f t="shared" si="288"/>
        <v>5859</v>
      </c>
      <c r="BF275" s="274">
        <f t="shared" ref="BF275:BF291" si="317">(AD$17-$B275)</f>
        <v>8869</v>
      </c>
      <c r="BG275" s="274">
        <f t="shared" si="289"/>
        <v>11032</v>
      </c>
      <c r="BH275" s="274">
        <f t="shared" si="308"/>
        <v>13482</v>
      </c>
      <c r="BI275" s="266">
        <f t="shared" ref="BI275:BI304" si="318">+SUM(V275:AF275)</f>
        <v>0</v>
      </c>
      <c r="BJ275" s="266">
        <f t="shared" ref="BJ275:BJ304" si="319">+SUM(D275:T275)</f>
        <v>1</v>
      </c>
      <c r="BK275" s="263">
        <f t="shared" ref="BK275:BK304" si="320">IFERROR(F275/$BJ275,"")</f>
        <v>0</v>
      </c>
      <c r="BL275" s="263">
        <f t="shared" ref="BL275:BL304" si="321">IFERROR(G275/$BJ275,"")</f>
        <v>0</v>
      </c>
      <c r="BM275" s="263">
        <f t="shared" ref="BM275:BM304" si="322">IFERROR(H275/$BJ275,"")</f>
        <v>0</v>
      </c>
      <c r="BN275" s="263"/>
      <c r="BO275" s="263">
        <f t="shared" ref="BO275:BO304" si="323">IFERROR(J275/$BJ275,"")</f>
        <v>0</v>
      </c>
      <c r="BP275" s="263">
        <f t="shared" ref="BP275:BP304" si="324">IFERROR(K275/$BJ275,"")</f>
        <v>0</v>
      </c>
      <c r="BQ275" s="263">
        <f t="shared" ref="BQ275:BQ304" si="325">IFERROR(L275/$BJ275,"")</f>
        <v>0</v>
      </c>
      <c r="BR275" s="263">
        <f t="shared" ref="BR275:BR304" si="326">IFERROR(M275/$BJ275,"")</f>
        <v>0</v>
      </c>
      <c r="BS275" s="263">
        <f t="shared" ref="BS275:BS304" si="327">IFERROR(N275/$BJ275,"")</f>
        <v>0</v>
      </c>
      <c r="BT275" s="263">
        <f t="shared" ref="BT275:BT301" si="328">IFERROR(P275/$BJ275,"")</f>
        <v>0</v>
      </c>
      <c r="BU275" s="263">
        <f t="shared" ref="BU275:BU304" si="329">IFERROR(P275/$BJ275,"")</f>
        <v>0</v>
      </c>
      <c r="BV275" s="263"/>
      <c r="BW275" s="263">
        <f t="shared" ref="BW275:BW304" si="330">IFERROR(R275/$BJ275,"")</f>
        <v>0</v>
      </c>
      <c r="BX275" s="263">
        <f t="shared" si="258"/>
        <v>1</v>
      </c>
      <c r="BY275" s="263">
        <f t="shared" ref="BY275:BY304" si="331">IFERROR(T275/$BJ275,"")</f>
        <v>0</v>
      </c>
      <c r="BZ275" s="263"/>
      <c r="CA275" s="263" t="str">
        <f t="shared" si="254"/>
        <v/>
      </c>
      <c r="CB275" s="263" t="str">
        <f t="shared" ref="CB275:CB304" si="332">IFERROR(W275/$BI275,"")</f>
        <v/>
      </c>
      <c r="CC275" s="263" t="str">
        <f t="shared" si="255"/>
        <v/>
      </c>
      <c r="CD275" s="263" t="str">
        <f t="shared" ref="CD275:CD304" si="333">IFERROR(Y275/$BI275,"")</f>
        <v/>
      </c>
      <c r="CE275" s="263" t="str">
        <f t="shared" si="241"/>
        <v/>
      </c>
      <c r="CF275" s="263" t="str">
        <f t="shared" si="256"/>
        <v/>
      </c>
      <c r="CG275" s="263" t="str">
        <f t="shared" si="257"/>
        <v/>
      </c>
      <c r="CH275" s="263" t="str">
        <f t="shared" si="290"/>
        <v/>
      </c>
      <c r="CI275" s="263" t="str">
        <f t="shared" ref="CI275:CI304" si="334">IFERROR(AD275/$BI275,"")</f>
        <v/>
      </c>
      <c r="CJ275" s="263" t="str">
        <f t="shared" si="291"/>
        <v/>
      </c>
      <c r="CK275" s="263" t="str">
        <f t="shared" ref="CK275:CK304" si="335">IFERROR(AF275/$BI275,"")</f>
        <v/>
      </c>
      <c r="CL275" s="264">
        <f t="shared" si="259"/>
        <v>7812</v>
      </c>
      <c r="CM275" s="264">
        <f t="shared" si="292"/>
        <v>0</v>
      </c>
      <c r="CO275" s="265">
        <v>8.7300000000000003E-2</v>
      </c>
      <c r="CP275" s="265">
        <v>9.3599999999999989E-2</v>
      </c>
      <c r="CQ275" s="265">
        <v>9.8000000000000004E-2</v>
      </c>
      <c r="CS275" s="265">
        <v>0.1052</v>
      </c>
      <c r="CT275" s="265">
        <v>0.10840999999999999</v>
      </c>
      <c r="CU275" s="265">
        <v>0.11031000000000001</v>
      </c>
      <c r="CV275" s="265">
        <v>0.11251</v>
      </c>
      <c r="CW275" s="265">
        <v>0.11402</v>
      </c>
      <c r="CY275" s="265">
        <v>0.11688999999999999</v>
      </c>
      <c r="DA275" s="265">
        <v>0.12051000000000001</v>
      </c>
      <c r="DB275" s="265">
        <v>0.12390000000000001</v>
      </c>
      <c r="DC275" s="265">
        <v>0.12233000000000001</v>
      </c>
      <c r="DE275" s="265">
        <v>4.7199999999999999E-2</v>
      </c>
      <c r="DF275" s="265">
        <v>5.2199999999999996E-2</v>
      </c>
      <c r="DH275" s="265">
        <v>5.4779999999999995E-2</v>
      </c>
      <c r="DI275" s="265">
        <v>5.6399999999999999E-2</v>
      </c>
      <c r="DJ275" s="265">
        <v>5.7320000000000003E-2</v>
      </c>
      <c r="DK275" s="265">
        <v>5.7960000000000005E-2</v>
      </c>
      <c r="DL275" s="265">
        <v>5.3499999999999999E-2</v>
      </c>
      <c r="DM275" s="265">
        <v>5.3859999999999998E-2</v>
      </c>
      <c r="DO275" s="264">
        <f t="shared" si="268"/>
        <v>7812</v>
      </c>
      <c r="DP275" s="264" cm="1">
        <f t="array" ref="DP275">+INDEX(AH275:AV275,MATCH(DO275,AH275:AV275,1)+1)</f>
        <v>9366</v>
      </c>
      <c r="DQ275" s="265">
        <f t="shared" si="269"/>
        <v>0.12390000000000001</v>
      </c>
      <c r="DR275" s="267">
        <f t="shared" si="270"/>
        <v>0.12233000000000001</v>
      </c>
      <c r="DS275" s="267">
        <f t="shared" si="297"/>
        <v>0.1239</v>
      </c>
      <c r="DT275" s="268" t="e">
        <f t="shared" si="293"/>
        <v>#N/A</v>
      </c>
      <c r="DU275" s="268" t="e" cm="1">
        <f t="array" ref="DU275">+INDEX(AX275:BG275,MATCH(DT275,AX275:BG275,1)+1)</f>
        <v>#N/A</v>
      </c>
      <c r="DV275" s="267" t="e">
        <f t="shared" si="249"/>
        <v>#N/A</v>
      </c>
      <c r="DW275" s="267" t="e">
        <f t="shared" si="294"/>
        <v>#N/A</v>
      </c>
      <c r="DX275" s="267" t="e">
        <f t="shared" si="274"/>
        <v>#N/A</v>
      </c>
      <c r="DY275" s="267">
        <f t="shared" si="295"/>
        <v>5.2200000000000003E-2</v>
      </c>
      <c r="DZ275" s="205" t="e">
        <f t="shared" ref="DZ275" si="336">+(1+DX275)*(1+DY275)-1</f>
        <v>#N/A</v>
      </c>
      <c r="EA275" s="205">
        <f t="shared" si="252"/>
        <v>0.1239</v>
      </c>
    </row>
    <row r="276" spans="2:131">
      <c r="B276" s="272">
        <v>45722</v>
      </c>
      <c r="C276" s="271">
        <v>45722</v>
      </c>
      <c r="D276" s="263">
        <f>+SUMIFS(Tabla6[Nominal COP],Tabla6[Concepto],COSTO_OPORTUNIDAD!$B$18,Tabla6[Nemotécnico],COSTO_OPORTUNIDAD!D$16,Tabla6[Fecha Cumplimiento y/ liquidacion],COSTO_OPORTUNIDAD!$C276)/+SUMIFS(Tabla6[Nominal COP],Tabla6[Concepto],COSTO_OPORTUNIDAD!$B$18,Tabla6[Fecha Cumplimiento y/ liquidacion],COSTO_OPORTUNIDAD!$C276)</f>
        <v>0</v>
      </c>
      <c r="E276" s="263">
        <f>+SUMIFS(Tabla6[Nominal COP],Tabla6[Concepto],COSTO_OPORTUNIDAD!$B$18,Tabla6[Nemotécnico],COSTO_OPORTUNIDAD!E$16,Tabla6[Fecha Cumplimiento y/ liquidacion],COSTO_OPORTUNIDAD!$C276)/+SUMIFS(Tabla6[Nominal COP],Tabla6[Concepto],COSTO_OPORTUNIDAD!$B$18,Tabla6[Fecha Cumplimiento y/ liquidacion],COSTO_OPORTUNIDAD!$C276)</f>
        <v>0</v>
      </c>
      <c r="F276" s="263">
        <f>+SUMIFS(Tabla6[Nominal COP],Tabla6[Concepto],COSTO_OPORTUNIDAD!$B$18,Tabla6[Nemotécnico],COSTO_OPORTUNIDAD!F$16,Tabla6[Fecha Cumplimiento y/ liquidacion],COSTO_OPORTUNIDAD!$C276)/+SUMIFS(Tabla6[Nominal COP],Tabla6[Concepto],COSTO_OPORTUNIDAD!$B$18,Tabla6[Fecha Cumplimiento y/ liquidacion],COSTO_OPORTUNIDAD!$C276)</f>
        <v>0</v>
      </c>
      <c r="G276" s="263">
        <f>+SUMIFS(Tabla6[Nominal COP],Tabla6[Concepto],COSTO_OPORTUNIDAD!$B$18,Tabla6[Nemotécnico],COSTO_OPORTUNIDAD!G$16,Tabla6[Fecha Cumplimiento y/ liquidacion],COSTO_OPORTUNIDAD!$C276)/+SUMIFS(Tabla6[Nominal COP],Tabla6[Concepto],COSTO_OPORTUNIDAD!$B$18,Tabla6[Fecha Cumplimiento y/ liquidacion],COSTO_OPORTUNIDAD!$C276)</f>
        <v>0</v>
      </c>
      <c r="H276" s="263">
        <f>+SUMIFS(Tabla6[Nominal COP],Tabla6[Concepto],COSTO_OPORTUNIDAD!$B$18,Tabla6[Nemotécnico],COSTO_OPORTUNIDAD!H$16,Tabla6[Fecha Cumplimiento y/ liquidacion],COSTO_OPORTUNIDAD!$C276)/+SUMIFS(Tabla6[Nominal COP],Tabla6[Concepto],COSTO_OPORTUNIDAD!$B$18,Tabla6[Fecha Cumplimiento y/ liquidacion],COSTO_OPORTUNIDAD!$C276)</f>
        <v>0</v>
      </c>
      <c r="I276" s="263"/>
      <c r="J276" s="263">
        <f>+SUMIFS(Tabla6[Nominal COP],Tabla6[Concepto],COSTO_OPORTUNIDAD!$B$18,Tabla6[Nemotécnico],COSTO_OPORTUNIDAD!J$16,Tabla6[Fecha Cumplimiento y/ liquidacion],COSTO_OPORTUNIDAD!$C276)/+SUMIFS(Tabla6[Nominal COP],Tabla6[Concepto],COSTO_OPORTUNIDAD!$B$18,Tabla6[Fecha Cumplimiento y/ liquidacion],COSTO_OPORTUNIDAD!$C276)</f>
        <v>0</v>
      </c>
      <c r="K276" s="263">
        <f>+SUMIFS(Tabla6[Nominal COP],Tabla6[Concepto],COSTO_OPORTUNIDAD!$B$18,Tabla6[Nemotécnico],COSTO_OPORTUNIDAD!K$16,Tabla6[Fecha Cumplimiento y/ liquidacion],COSTO_OPORTUNIDAD!$C276)/+SUMIFS(Tabla6[Nominal COP],Tabla6[Concepto],COSTO_OPORTUNIDAD!$B$18,Tabla6[Fecha Cumplimiento y/ liquidacion],COSTO_OPORTUNIDAD!$C276)</f>
        <v>0</v>
      </c>
      <c r="L276" s="263">
        <f>+SUMIFS(Tabla6[Nominal COP],Tabla6[Concepto],COSTO_OPORTUNIDAD!$B$18,Tabla6[Nemotécnico],COSTO_OPORTUNIDAD!L$16,Tabla6[Fecha Cumplimiento y/ liquidacion],COSTO_OPORTUNIDAD!$C276)/+SUMIFS(Tabla6[Nominal COP],Tabla6[Concepto],COSTO_OPORTUNIDAD!$B$18,Tabla6[Fecha Cumplimiento y/ liquidacion],COSTO_OPORTUNIDAD!$C276)</f>
        <v>0</v>
      </c>
      <c r="M276" s="263">
        <f>+SUMIFS(Tabla6[Nominal COP],Tabla6[Concepto],COSTO_OPORTUNIDAD!$B$18,Tabla6[Nemotécnico],COSTO_OPORTUNIDAD!M$16,Tabla6[Fecha Cumplimiento y/ liquidacion],COSTO_OPORTUNIDAD!$C276)/+SUMIFS(Tabla6[Nominal COP],Tabla6[Concepto],COSTO_OPORTUNIDAD!$B$18,Tabla6[Fecha Cumplimiento y/ liquidacion],COSTO_OPORTUNIDAD!$C276)</f>
        <v>0</v>
      </c>
      <c r="N276" s="263">
        <f>+SUMIFS(Tabla6[Nominal COP],Tabla6[Concepto],COSTO_OPORTUNIDAD!$B$18,Tabla6[Nemotécnico],COSTO_OPORTUNIDAD!N$16,Tabla6[Fecha Cumplimiento y/ liquidacion],COSTO_OPORTUNIDAD!$C276)/+SUMIFS(Tabla6[Nominal COP],Tabla6[Concepto],COSTO_OPORTUNIDAD!$B$18,Tabla6[Fecha Cumplimiento y/ liquidacion],COSTO_OPORTUNIDAD!$C276)</f>
        <v>0</v>
      </c>
      <c r="O276" s="263"/>
      <c r="P276" s="263">
        <f>+SUMIFS(Tabla6[Nominal COP],Tabla6[Concepto],COSTO_OPORTUNIDAD!$B$18,Tabla6[Nemotécnico],COSTO_OPORTUNIDAD!P$16,Tabla6[Fecha Cumplimiento y/ liquidacion],COSTO_OPORTUNIDAD!$C276)/+SUMIFS(Tabla6[Nominal COP],Tabla6[Concepto],COSTO_OPORTUNIDAD!$B$18,Tabla6[Fecha Cumplimiento y/ liquidacion],COSTO_OPORTUNIDAD!$C276)</f>
        <v>0</v>
      </c>
      <c r="Q276" s="263"/>
      <c r="R276" s="263">
        <f>+SUMIFS(Tabla6[Nominal COP],Tabla6[Concepto],COSTO_OPORTUNIDAD!$B$18,Tabla6[Nemotécnico],COSTO_OPORTUNIDAD!R$16,Tabla6[Fecha Cumplimiento y/ liquidacion],COSTO_OPORTUNIDAD!$C276)/+SUMIFS(Tabla6[Nominal COP],Tabla6[Concepto],COSTO_OPORTUNIDAD!$B$18,Tabla6[Fecha Cumplimiento y/ liquidacion],COSTO_OPORTUNIDAD!$C276)</f>
        <v>0</v>
      </c>
      <c r="S276" s="263">
        <f>+SUMIFS(Tabla6[Nominal COP],Tabla6[Concepto],COSTO_OPORTUNIDAD!$B$18,Tabla6[Nemotécnico],COSTO_OPORTUNIDAD!S$16,Tabla6[Fecha Cumplimiento y/ liquidacion],COSTO_OPORTUNIDAD!$C276)/+SUMIFS(Tabla6[Nominal COP],Tabla6[Concepto],COSTO_OPORTUNIDAD!$B$18,Tabla6[Fecha Cumplimiento y/ liquidacion],COSTO_OPORTUNIDAD!$C276)</f>
        <v>1</v>
      </c>
      <c r="T276" s="263">
        <f>+SUMIFS(Tabla6[Nominal COP],Tabla6[Concepto],COSTO_OPORTUNIDAD!$B$18,Tabla6[Nemotécnico],COSTO_OPORTUNIDAD!T$16,Tabla6[Fecha Cumplimiento y/ liquidacion],COSTO_OPORTUNIDAD!$C276)/+SUMIFS(Tabla6[Nominal COP],Tabla6[Concepto],COSTO_OPORTUNIDAD!$B$18,Tabla6[Fecha Cumplimiento y/ liquidacion],COSTO_OPORTUNIDAD!$C276)</f>
        <v>0</v>
      </c>
      <c r="U276" s="263"/>
      <c r="V276" s="263">
        <f>+SUMIFS(Tabla6[Nominal COP],Tabla6[Concepto],COSTO_OPORTUNIDAD!$B$18,Tabla6[Nemotécnico],COSTO_OPORTUNIDAD!V$16,Tabla6[Fecha Cumplimiento y/ liquidacion],COSTO_OPORTUNIDAD!$C276)/+SUMIFS(Tabla6[Nominal COP],Tabla6[Concepto],COSTO_OPORTUNIDAD!$B$18,Tabla6[Fecha Cumplimiento y/ liquidacion],COSTO_OPORTUNIDAD!$C276)</f>
        <v>0</v>
      </c>
      <c r="W276" s="263">
        <f>+SUMIFS(Tabla6[Nominal COP],Tabla6[Concepto],COSTO_OPORTUNIDAD!$B$18,Tabla6[Nemotécnico],COSTO_OPORTUNIDAD!W$16,Tabla6[Fecha Cumplimiento y/ liquidacion],COSTO_OPORTUNIDAD!$C276)/+SUMIFS(Tabla6[Nominal COP],Tabla6[Concepto],COSTO_OPORTUNIDAD!$B$18,Tabla6[Fecha Cumplimiento y/ liquidacion],COSTO_OPORTUNIDAD!$C276)</f>
        <v>0</v>
      </c>
      <c r="X276" s="263">
        <f>+SUMIFS(Tabla6[Nominal COP],Tabla6[Concepto],COSTO_OPORTUNIDAD!$B$18,Tabla6[Nemotécnico],COSTO_OPORTUNIDAD!X$16,Tabla6[Fecha Cumplimiento y/ liquidacion],COSTO_OPORTUNIDAD!$C276)/+SUMIFS(Tabla6[Nominal COP],Tabla6[Concepto],COSTO_OPORTUNIDAD!$B$18,Tabla6[Fecha Cumplimiento y/ liquidacion],COSTO_OPORTUNIDAD!$C276)</f>
        <v>0</v>
      </c>
      <c r="Y276" s="263"/>
      <c r="Z276" s="263">
        <f>+SUMIFS(Tabla6[Nominal COP],Tabla6[Concepto],COSTO_OPORTUNIDAD!$B$18,Tabla6[Nemotécnico],COSTO_OPORTUNIDAD!Z$16,Tabla6[Fecha Cumplimiento y/ liquidacion],COSTO_OPORTUNIDAD!$C276)/+SUMIFS(Tabla6[Nominal COP],Tabla6[Concepto],COSTO_OPORTUNIDAD!$B$18,Tabla6[Fecha Cumplimiento y/ liquidacion],COSTO_OPORTUNIDAD!$C276)</f>
        <v>0</v>
      </c>
      <c r="AA276" s="263">
        <f>+SUMIFS(Tabla6[Nominal COP],Tabla6[Concepto],COSTO_OPORTUNIDAD!$B$18,Tabla6[Nemotécnico],COSTO_OPORTUNIDAD!AA$16,Tabla6[Fecha Cumplimiento y/ liquidacion],COSTO_OPORTUNIDAD!$C276)/+SUMIFS(Tabla6[Nominal COP],Tabla6[Concepto],COSTO_OPORTUNIDAD!$B$18,Tabla6[Fecha Cumplimiento y/ liquidacion],COSTO_OPORTUNIDAD!$C276)</f>
        <v>0</v>
      </c>
      <c r="AB276" s="263">
        <f>+SUMIFS(Tabla6[Nominal COP],Tabla6[Concepto],COSTO_OPORTUNIDAD!$B$18,Tabla6[Nemotécnico],COSTO_OPORTUNIDAD!AB$16,Tabla6[Fecha Cumplimiento y/ liquidacion],COSTO_OPORTUNIDAD!$C276)/+SUMIFS(Tabla6[Nominal COP],Tabla6[Concepto],COSTO_OPORTUNIDAD!$B$18,Tabla6[Fecha Cumplimiento y/ liquidacion],COSTO_OPORTUNIDAD!$C276)</f>
        <v>0</v>
      </c>
      <c r="AC276" s="263">
        <f>+SUMIFS(Tabla6[Nominal COP],Tabla6[Concepto],COSTO_OPORTUNIDAD!$B$18,Tabla6[Nemotécnico],COSTO_OPORTUNIDAD!AC$16,Tabla6[Fecha Cumplimiento y/ liquidacion],COSTO_OPORTUNIDAD!$C276)/+SUMIFS(Tabla6[Nominal COP],Tabla6[Concepto],COSTO_OPORTUNIDAD!$B$18,Tabla6[Fecha Cumplimiento y/ liquidacion],COSTO_OPORTUNIDAD!$C276)</f>
        <v>0</v>
      </c>
      <c r="AD276" s="263">
        <f>+SUMIFS(Tabla6[Nominal COP],Tabla6[Concepto],COSTO_OPORTUNIDAD!$B$18,Tabla6[Nemotécnico],COSTO_OPORTUNIDAD!AC$16,Tabla6[Fecha Cumplimiento y/ liquidacion],COSTO_OPORTUNIDAD!$C276)/+SUMIFS(Tabla6[Nominal COP],Tabla6[Concepto],COSTO_OPORTUNIDAD!$B$18,Tabla6[Fecha Cumplimiento y/ liquidacion],COSTO_OPORTUNIDAD!$C276)</f>
        <v>0</v>
      </c>
      <c r="AE276" s="263">
        <f>+SUMIFS(Tabla6[Nominal COP],Tabla6[Concepto],COSTO_OPORTUNIDAD!$B$18,Tabla6[Nemotécnico],COSTO_OPORTUNIDAD!AE$16,Tabla6[Fecha Cumplimiento y/ liquidacion],COSTO_OPORTUNIDAD!$C276)/+SUMIFS(Tabla6[Nominal COP],Tabla6[Concepto],COSTO_OPORTUNIDAD!$B$18,Tabla6[Fecha Cumplimiento y/ liquidacion],COSTO_OPORTUNIDAD!$C276)</f>
        <v>0</v>
      </c>
      <c r="AF276" s="263">
        <f>+SUMIFS(Tabla6[Nominal COP],Tabla6[Concepto],COSTO_OPORTUNIDAD!$B$18,Tabla6[Nemotécnico],COSTO_OPORTUNIDAD!AF$16,Tabla6[Fecha Cumplimiento y/ liquidacion],COSTO_OPORTUNIDAD!$C276)/+SUMIFS(Tabla6[Nominal COP],Tabla6[Concepto],COSTO_OPORTUNIDAD!$B$18,Tabla6[Fecha Cumplimiento y/ liquidacion],COSTO_OPORTUNIDAD!$C276)</f>
        <v>0</v>
      </c>
      <c r="AH276" s="274">
        <f t="shared" si="275"/>
        <v>538</v>
      </c>
      <c r="AI276" s="274">
        <f t="shared" si="276"/>
        <v>972</v>
      </c>
      <c r="AJ276" s="274">
        <f t="shared" si="277"/>
        <v>1149</v>
      </c>
      <c r="AK276" s="274">
        <f t="shared" si="300"/>
        <v>1630</v>
      </c>
      <c r="AL276" s="274">
        <f t="shared" si="278"/>
        <v>2022</v>
      </c>
      <c r="AM276" s="274">
        <f t="shared" si="279"/>
        <v>2211</v>
      </c>
      <c r="AN276" s="274">
        <f t="shared" si="280"/>
        <v>2673</v>
      </c>
      <c r="AO276" s="274">
        <f t="shared" si="281"/>
        <v>2897</v>
      </c>
      <c r="AP276" s="274">
        <f t="shared" si="282"/>
        <v>3513</v>
      </c>
      <c r="AQ276" s="274"/>
      <c r="AR276" s="274">
        <f t="shared" si="313"/>
        <v>4143</v>
      </c>
      <c r="AS276" s="274">
        <f t="shared" si="301"/>
        <v>5746</v>
      </c>
      <c r="AT276" s="274">
        <f t="shared" si="283"/>
        <v>6292</v>
      </c>
      <c r="AU276" s="274">
        <f t="shared" si="284"/>
        <v>7811</v>
      </c>
      <c r="AV276" s="274">
        <f t="shared" si="285"/>
        <v>9365</v>
      </c>
      <c r="AW276" s="274"/>
      <c r="AX276" s="274">
        <f t="shared" si="286"/>
        <v>62</v>
      </c>
      <c r="AY276" s="274">
        <f t="shared" si="287"/>
        <v>741</v>
      </c>
      <c r="AZ276" s="274">
        <f t="shared" si="267"/>
        <v>1504</v>
      </c>
      <c r="BA276" s="274"/>
      <c r="BB276" s="274">
        <f t="shared" si="314"/>
        <v>2941</v>
      </c>
      <c r="BC276" s="274">
        <f t="shared" si="315"/>
        <v>3681</v>
      </c>
      <c r="BD276" s="274">
        <f t="shared" si="316"/>
        <v>4374</v>
      </c>
      <c r="BE276" s="274">
        <f t="shared" si="288"/>
        <v>5858</v>
      </c>
      <c r="BF276" s="274">
        <f t="shared" si="317"/>
        <v>8868</v>
      </c>
      <c r="BG276" s="274">
        <f t="shared" si="289"/>
        <v>11031</v>
      </c>
      <c r="BH276" s="274">
        <f t="shared" si="308"/>
        <v>13481</v>
      </c>
      <c r="BI276" s="266">
        <f t="shared" si="318"/>
        <v>0</v>
      </c>
      <c r="BJ276" s="266">
        <f t="shared" si="319"/>
        <v>1</v>
      </c>
      <c r="BK276" s="263">
        <f t="shared" si="320"/>
        <v>0</v>
      </c>
      <c r="BL276" s="263">
        <f t="shared" si="321"/>
        <v>0</v>
      </c>
      <c r="BM276" s="263">
        <f t="shared" si="322"/>
        <v>0</v>
      </c>
      <c r="BN276" s="263"/>
      <c r="BO276" s="263">
        <f t="shared" si="323"/>
        <v>0</v>
      </c>
      <c r="BP276" s="263">
        <f t="shared" si="324"/>
        <v>0</v>
      </c>
      <c r="BQ276" s="263">
        <f t="shared" si="325"/>
        <v>0</v>
      </c>
      <c r="BR276" s="263">
        <f t="shared" si="326"/>
        <v>0</v>
      </c>
      <c r="BS276" s="263">
        <f t="shared" si="327"/>
        <v>0</v>
      </c>
      <c r="BT276" s="263">
        <f t="shared" si="328"/>
        <v>0</v>
      </c>
      <c r="BU276" s="263">
        <f t="shared" si="329"/>
        <v>0</v>
      </c>
      <c r="BV276" s="263"/>
      <c r="BW276" s="263">
        <f t="shared" si="330"/>
        <v>0</v>
      </c>
      <c r="BX276" s="263">
        <f t="shared" ref="BX276:BX304" si="337">IFERROR(S276/$BJ276,"")</f>
        <v>1</v>
      </c>
      <c r="BY276" s="263">
        <f t="shared" si="331"/>
        <v>0</v>
      </c>
      <c r="BZ276" s="263"/>
      <c r="CA276" s="263" t="str">
        <f t="shared" si="254"/>
        <v/>
      </c>
      <c r="CB276" s="263" t="str">
        <f t="shared" si="332"/>
        <v/>
      </c>
      <c r="CC276" s="263" t="str">
        <f t="shared" si="255"/>
        <v/>
      </c>
      <c r="CD276" s="263" t="str">
        <f t="shared" si="333"/>
        <v/>
      </c>
      <c r="CE276" s="263" t="str">
        <f t="shared" si="241"/>
        <v/>
      </c>
      <c r="CF276" s="263" t="str">
        <f t="shared" si="256"/>
        <v/>
      </c>
      <c r="CG276" s="263" t="str">
        <f t="shared" si="257"/>
        <v/>
      </c>
      <c r="CH276" s="263" t="str">
        <f t="shared" si="290"/>
        <v/>
      </c>
      <c r="CI276" s="263" t="str">
        <f t="shared" si="334"/>
        <v/>
      </c>
      <c r="CJ276" s="263" t="str">
        <f t="shared" si="291"/>
        <v/>
      </c>
      <c r="CK276" s="263" t="str">
        <f t="shared" si="335"/>
        <v/>
      </c>
      <c r="CL276" s="264">
        <f t="shared" ref="CL276:CL281" si="338">ROUND(IFERROR((_xlfn.DAYS($F$17,B276)*BK276),0)+IFERROR((_xlfn.DAYS($G$17,B276)*BL276),0)+IFERROR((_xlfn.DAYS($H$17,B276)*BM276),0)+IFERROR((_xlfn.DAYS($J$17,B276)*BO276),0)+IFERROR((_xlfn.DAYS($K$17,B276)*BP276),0)+IFERROR((_xlfn.DAYS($L$17,B276)*BQ276),0)+IFERROR((_xlfn.DAYS($M$17,B276)*BR276),0)+IFERROR((_xlfn.DAYS($N$17,B276)*BS276),0)+IFERROR((_xlfn.DAYS($P$17,B276)*BU276),0)+IFERROR((_xlfn.DAYS($R$17,B276)*BW276),0)+IFERROR((_xlfn.DAYS($S$17,B276)*BX276),0)+IFERROR((_xlfn.DAYS($T$17,B276)*BY276),0),0)</f>
        <v>7811</v>
      </c>
      <c r="CM276" s="264">
        <f t="shared" si="292"/>
        <v>0</v>
      </c>
      <c r="CO276" s="265">
        <v>8.6999999999999994E-2</v>
      </c>
      <c r="CP276" s="265">
        <v>9.3900000000000011E-2</v>
      </c>
      <c r="CQ276" s="265">
        <v>9.824999999999999E-2</v>
      </c>
      <c r="CS276" s="265">
        <v>0.10539999999999999</v>
      </c>
      <c r="CT276" s="265">
        <v>0.10869999999999999</v>
      </c>
      <c r="CU276" s="265">
        <v>0.11144</v>
      </c>
      <c r="CV276" s="265">
        <v>0.11285000000000001</v>
      </c>
      <c r="CW276" s="265">
        <v>0.11465</v>
      </c>
      <c r="CY276" s="265">
        <v>0.11713</v>
      </c>
      <c r="DA276" s="265">
        <v>0.12054999999999999</v>
      </c>
      <c r="DB276" s="265">
        <v>0.1241</v>
      </c>
      <c r="DC276" s="265">
        <v>0.1225</v>
      </c>
      <c r="DE276" s="265">
        <v>4.7210000000000002E-2</v>
      </c>
      <c r="DF276" s="265">
        <v>5.2400000000000002E-2</v>
      </c>
      <c r="DH276" s="265">
        <v>5.5350000000000003E-2</v>
      </c>
      <c r="DI276" s="265">
        <v>5.6349999999999997E-2</v>
      </c>
      <c r="DJ276" s="265">
        <v>5.6950000000000001E-2</v>
      </c>
      <c r="DK276" s="265">
        <v>5.7380000000000007E-2</v>
      </c>
      <c r="DL276" s="265">
        <v>5.4160000000000007E-2</v>
      </c>
      <c r="DM276" s="265">
        <v>5.3399999999999996E-2</v>
      </c>
      <c r="DO276" s="264">
        <f t="shared" si="268"/>
        <v>7811</v>
      </c>
      <c r="DP276" s="264" cm="1">
        <f t="array" ref="DP276">+INDEX(AH276:AV276,MATCH(DO276,AH276:AV276,1)+1)</f>
        <v>9365</v>
      </c>
      <c r="DQ276" s="265">
        <f t="shared" si="269"/>
        <v>0.1241</v>
      </c>
      <c r="DR276" s="267">
        <f t="shared" si="270"/>
        <v>0.1225</v>
      </c>
      <c r="DS276" s="267">
        <f t="shared" si="297"/>
        <v>0.1241</v>
      </c>
      <c r="DT276" s="268" t="e">
        <f t="shared" si="293"/>
        <v>#N/A</v>
      </c>
      <c r="DU276" s="268" t="e" cm="1">
        <f t="array" ref="DU276">+INDEX(AX276:BG276,MATCH(DT276,AX276:BG276,1)+1)</f>
        <v>#N/A</v>
      </c>
      <c r="DV276" s="267" t="e">
        <f t="shared" si="249"/>
        <v>#N/A</v>
      </c>
      <c r="DW276" s="267" t="e">
        <f t="shared" si="294"/>
        <v>#N/A</v>
      </c>
      <c r="DX276" s="267" t="e">
        <f t="shared" si="274"/>
        <v>#N/A</v>
      </c>
      <c r="DY276" s="267">
        <f t="shared" si="295"/>
        <v>5.2200000000000003E-2</v>
      </c>
      <c r="DZ276" s="205" t="e">
        <f t="shared" ref="DZ276" si="339">+(1+DX276)*(1+DY276)-1</f>
        <v>#N/A</v>
      </c>
      <c r="EA276" s="205">
        <f t="shared" si="252"/>
        <v>0.1241</v>
      </c>
    </row>
    <row r="277" spans="2:131">
      <c r="B277" s="272">
        <v>45723</v>
      </c>
      <c r="C277" s="271">
        <v>45723</v>
      </c>
      <c r="D277" s="263">
        <f>+SUMIFS(Tabla6[Nominal COP],Tabla6[Concepto],COSTO_OPORTUNIDAD!$B$18,Tabla6[Nemotécnico],COSTO_OPORTUNIDAD!D$16,Tabla6[Fecha Cumplimiento y/ liquidacion],COSTO_OPORTUNIDAD!$C277)/+SUMIFS(Tabla6[Nominal COP],Tabla6[Concepto],COSTO_OPORTUNIDAD!$B$18,Tabla6[Fecha Cumplimiento y/ liquidacion],COSTO_OPORTUNIDAD!$C277)</f>
        <v>0</v>
      </c>
      <c r="E277" s="263">
        <f>+SUMIFS(Tabla6[Nominal COP],Tabla6[Concepto],COSTO_OPORTUNIDAD!$B$18,Tabla6[Nemotécnico],COSTO_OPORTUNIDAD!E$16,Tabla6[Fecha Cumplimiento y/ liquidacion],COSTO_OPORTUNIDAD!$C277)/+SUMIFS(Tabla6[Nominal COP],Tabla6[Concepto],COSTO_OPORTUNIDAD!$B$18,Tabla6[Fecha Cumplimiento y/ liquidacion],COSTO_OPORTUNIDAD!$C277)</f>
        <v>0</v>
      </c>
      <c r="F277" s="263">
        <f>+SUMIFS(Tabla6[Nominal COP],Tabla6[Concepto],COSTO_OPORTUNIDAD!$B$18,Tabla6[Nemotécnico],COSTO_OPORTUNIDAD!F$16,Tabla6[Fecha Cumplimiento y/ liquidacion],COSTO_OPORTUNIDAD!$C277)/+SUMIFS(Tabla6[Nominal COP],Tabla6[Concepto],COSTO_OPORTUNIDAD!$B$18,Tabla6[Fecha Cumplimiento y/ liquidacion],COSTO_OPORTUNIDAD!$C277)</f>
        <v>0</v>
      </c>
      <c r="G277" s="263">
        <f>+SUMIFS(Tabla6[Nominal COP],Tabla6[Concepto],COSTO_OPORTUNIDAD!$B$18,Tabla6[Nemotécnico],COSTO_OPORTUNIDAD!G$16,Tabla6[Fecha Cumplimiento y/ liquidacion],COSTO_OPORTUNIDAD!$C277)/+SUMIFS(Tabla6[Nominal COP],Tabla6[Concepto],COSTO_OPORTUNIDAD!$B$18,Tabla6[Fecha Cumplimiento y/ liquidacion],COSTO_OPORTUNIDAD!$C277)</f>
        <v>0</v>
      </c>
      <c r="H277" s="263">
        <f>+SUMIFS(Tabla6[Nominal COP],Tabla6[Concepto],COSTO_OPORTUNIDAD!$B$18,Tabla6[Nemotécnico],COSTO_OPORTUNIDAD!H$16,Tabla6[Fecha Cumplimiento y/ liquidacion],COSTO_OPORTUNIDAD!$C277)/+SUMIFS(Tabla6[Nominal COP],Tabla6[Concepto],COSTO_OPORTUNIDAD!$B$18,Tabla6[Fecha Cumplimiento y/ liquidacion],COSTO_OPORTUNIDAD!$C277)</f>
        <v>0</v>
      </c>
      <c r="I277" s="263"/>
      <c r="J277" s="263">
        <f>+SUMIFS(Tabla6[Nominal COP],Tabla6[Concepto],COSTO_OPORTUNIDAD!$B$18,Tabla6[Nemotécnico],COSTO_OPORTUNIDAD!J$16,Tabla6[Fecha Cumplimiento y/ liquidacion],COSTO_OPORTUNIDAD!$C277)/+SUMIFS(Tabla6[Nominal COP],Tabla6[Concepto],COSTO_OPORTUNIDAD!$B$18,Tabla6[Fecha Cumplimiento y/ liquidacion],COSTO_OPORTUNIDAD!$C277)</f>
        <v>0</v>
      </c>
      <c r="K277" s="263">
        <f>+SUMIFS(Tabla6[Nominal COP],Tabla6[Concepto],COSTO_OPORTUNIDAD!$B$18,Tabla6[Nemotécnico],COSTO_OPORTUNIDAD!K$16,Tabla6[Fecha Cumplimiento y/ liquidacion],COSTO_OPORTUNIDAD!$C277)/+SUMIFS(Tabla6[Nominal COP],Tabla6[Concepto],COSTO_OPORTUNIDAD!$B$18,Tabla6[Fecha Cumplimiento y/ liquidacion],COSTO_OPORTUNIDAD!$C277)</f>
        <v>0</v>
      </c>
      <c r="L277" s="263">
        <f>+SUMIFS(Tabla6[Nominal COP],Tabla6[Concepto],COSTO_OPORTUNIDAD!$B$18,Tabla6[Nemotécnico],COSTO_OPORTUNIDAD!L$16,Tabla6[Fecha Cumplimiento y/ liquidacion],COSTO_OPORTUNIDAD!$C277)/+SUMIFS(Tabla6[Nominal COP],Tabla6[Concepto],COSTO_OPORTUNIDAD!$B$18,Tabla6[Fecha Cumplimiento y/ liquidacion],COSTO_OPORTUNIDAD!$C277)</f>
        <v>0</v>
      </c>
      <c r="M277" s="263">
        <f>+SUMIFS(Tabla6[Nominal COP],Tabla6[Concepto],COSTO_OPORTUNIDAD!$B$18,Tabla6[Nemotécnico],COSTO_OPORTUNIDAD!M$16,Tabla6[Fecha Cumplimiento y/ liquidacion],COSTO_OPORTUNIDAD!$C277)/+SUMIFS(Tabla6[Nominal COP],Tabla6[Concepto],COSTO_OPORTUNIDAD!$B$18,Tabla6[Fecha Cumplimiento y/ liquidacion],COSTO_OPORTUNIDAD!$C277)</f>
        <v>0</v>
      </c>
      <c r="N277" s="263">
        <f>+SUMIFS(Tabla6[Nominal COP],Tabla6[Concepto],COSTO_OPORTUNIDAD!$B$18,Tabla6[Nemotécnico],COSTO_OPORTUNIDAD!N$16,Tabla6[Fecha Cumplimiento y/ liquidacion],COSTO_OPORTUNIDAD!$C277)/+SUMIFS(Tabla6[Nominal COP],Tabla6[Concepto],COSTO_OPORTUNIDAD!$B$18,Tabla6[Fecha Cumplimiento y/ liquidacion],COSTO_OPORTUNIDAD!$C277)</f>
        <v>0</v>
      </c>
      <c r="O277" s="263"/>
      <c r="P277" s="263">
        <f>+SUMIFS(Tabla6[Nominal COP],Tabla6[Concepto],COSTO_OPORTUNIDAD!$B$18,Tabla6[Nemotécnico],COSTO_OPORTUNIDAD!P$16,Tabla6[Fecha Cumplimiento y/ liquidacion],COSTO_OPORTUNIDAD!$C277)/+SUMIFS(Tabla6[Nominal COP],Tabla6[Concepto],COSTO_OPORTUNIDAD!$B$18,Tabla6[Fecha Cumplimiento y/ liquidacion],COSTO_OPORTUNIDAD!$C277)</f>
        <v>0</v>
      </c>
      <c r="Q277" s="263"/>
      <c r="R277" s="263">
        <f>+SUMIFS(Tabla6[Nominal COP],Tabla6[Concepto],COSTO_OPORTUNIDAD!$B$18,Tabla6[Nemotécnico],COSTO_OPORTUNIDAD!R$16,Tabla6[Fecha Cumplimiento y/ liquidacion],COSTO_OPORTUNIDAD!$C277)/+SUMIFS(Tabla6[Nominal COP],Tabla6[Concepto],COSTO_OPORTUNIDAD!$B$18,Tabla6[Fecha Cumplimiento y/ liquidacion],COSTO_OPORTUNIDAD!$C277)</f>
        <v>0</v>
      </c>
      <c r="S277" s="263">
        <f>+SUMIFS(Tabla6[Nominal COP],Tabla6[Concepto],COSTO_OPORTUNIDAD!$B$18,Tabla6[Nemotécnico],COSTO_OPORTUNIDAD!S$16,Tabla6[Fecha Cumplimiento y/ liquidacion],COSTO_OPORTUNIDAD!$C277)/+SUMIFS(Tabla6[Nominal COP],Tabla6[Concepto],COSTO_OPORTUNIDAD!$B$18,Tabla6[Fecha Cumplimiento y/ liquidacion],COSTO_OPORTUNIDAD!$C277)</f>
        <v>0</v>
      </c>
      <c r="T277" s="263">
        <f>+SUMIFS(Tabla6[Nominal COP],Tabla6[Concepto],COSTO_OPORTUNIDAD!$B$18,Tabla6[Nemotécnico],COSTO_OPORTUNIDAD!T$16,Tabla6[Fecha Cumplimiento y/ liquidacion],COSTO_OPORTUNIDAD!$C277)/+SUMIFS(Tabla6[Nominal COP],Tabla6[Concepto],COSTO_OPORTUNIDAD!$B$18,Tabla6[Fecha Cumplimiento y/ liquidacion],COSTO_OPORTUNIDAD!$C277)</f>
        <v>0</v>
      </c>
      <c r="U277" s="263"/>
      <c r="V277" s="263">
        <f>+SUMIFS(Tabla6[Nominal COP],Tabla6[Concepto],COSTO_OPORTUNIDAD!$B$18,Tabla6[Nemotécnico],COSTO_OPORTUNIDAD!V$16,Tabla6[Fecha Cumplimiento y/ liquidacion],COSTO_OPORTUNIDAD!$C277)/+SUMIFS(Tabla6[Nominal COP],Tabla6[Concepto],COSTO_OPORTUNIDAD!$B$18,Tabla6[Fecha Cumplimiento y/ liquidacion],COSTO_OPORTUNIDAD!$C277)</f>
        <v>0</v>
      </c>
      <c r="W277" s="263">
        <f>+SUMIFS(Tabla6[Nominal COP],Tabla6[Concepto],COSTO_OPORTUNIDAD!$B$18,Tabla6[Nemotécnico],COSTO_OPORTUNIDAD!W$16,Tabla6[Fecha Cumplimiento y/ liquidacion],COSTO_OPORTUNIDAD!$C277)/+SUMIFS(Tabla6[Nominal COP],Tabla6[Concepto],COSTO_OPORTUNIDAD!$B$18,Tabla6[Fecha Cumplimiento y/ liquidacion],COSTO_OPORTUNIDAD!$C277)</f>
        <v>0</v>
      </c>
      <c r="X277" s="263">
        <f>+SUMIFS(Tabla6[Nominal COP],Tabla6[Concepto],COSTO_OPORTUNIDAD!$B$18,Tabla6[Nemotécnico],COSTO_OPORTUNIDAD!X$16,Tabla6[Fecha Cumplimiento y/ liquidacion],COSTO_OPORTUNIDAD!$C277)/+SUMIFS(Tabla6[Nominal COP],Tabla6[Concepto],COSTO_OPORTUNIDAD!$B$18,Tabla6[Fecha Cumplimiento y/ liquidacion],COSTO_OPORTUNIDAD!$C277)</f>
        <v>0</v>
      </c>
      <c r="Y277" s="263"/>
      <c r="Z277" s="263">
        <f>+SUMIFS(Tabla6[Nominal COP],Tabla6[Concepto],COSTO_OPORTUNIDAD!$B$18,Tabla6[Nemotécnico],COSTO_OPORTUNIDAD!Z$16,Tabla6[Fecha Cumplimiento y/ liquidacion],COSTO_OPORTUNIDAD!$C277)/+SUMIFS(Tabla6[Nominal COP],Tabla6[Concepto],COSTO_OPORTUNIDAD!$B$18,Tabla6[Fecha Cumplimiento y/ liquidacion],COSTO_OPORTUNIDAD!$C277)</f>
        <v>0</v>
      </c>
      <c r="AA277" s="263">
        <f>+SUMIFS(Tabla6[Nominal COP],Tabla6[Concepto],COSTO_OPORTUNIDAD!$B$18,Tabla6[Nemotécnico],COSTO_OPORTUNIDAD!AA$16,Tabla6[Fecha Cumplimiento y/ liquidacion],COSTO_OPORTUNIDAD!$C277)/+SUMIFS(Tabla6[Nominal COP],Tabla6[Concepto],COSTO_OPORTUNIDAD!$B$18,Tabla6[Fecha Cumplimiento y/ liquidacion],COSTO_OPORTUNIDAD!$C277)</f>
        <v>0</v>
      </c>
      <c r="AB277" s="263">
        <f>+SUMIFS(Tabla6[Nominal COP],Tabla6[Concepto],COSTO_OPORTUNIDAD!$B$18,Tabla6[Nemotécnico],COSTO_OPORTUNIDAD!AB$16,Tabla6[Fecha Cumplimiento y/ liquidacion],COSTO_OPORTUNIDAD!$C277)/+SUMIFS(Tabla6[Nominal COP],Tabla6[Concepto],COSTO_OPORTUNIDAD!$B$18,Tabla6[Fecha Cumplimiento y/ liquidacion],COSTO_OPORTUNIDAD!$C277)</f>
        <v>0</v>
      </c>
      <c r="AC277" s="263">
        <f>+SUMIFS(Tabla6[Nominal COP],Tabla6[Concepto],COSTO_OPORTUNIDAD!$B$18,Tabla6[Nemotécnico],COSTO_OPORTUNIDAD!AC$16,Tabla6[Fecha Cumplimiento y/ liquidacion],COSTO_OPORTUNIDAD!$C277)/+SUMIFS(Tabla6[Nominal COP],Tabla6[Concepto],COSTO_OPORTUNIDAD!$B$18,Tabla6[Fecha Cumplimiento y/ liquidacion],COSTO_OPORTUNIDAD!$C277)</f>
        <v>0</v>
      </c>
      <c r="AD277" s="263">
        <f>+SUMIFS(Tabla6[Nominal COP],Tabla6[Concepto],COSTO_OPORTUNIDAD!$B$18,Tabla6[Nemotécnico],COSTO_OPORTUNIDAD!AC$16,Tabla6[Fecha Cumplimiento y/ liquidacion],COSTO_OPORTUNIDAD!$C277)/+SUMIFS(Tabla6[Nominal COP],Tabla6[Concepto],COSTO_OPORTUNIDAD!$B$18,Tabla6[Fecha Cumplimiento y/ liquidacion],COSTO_OPORTUNIDAD!$C277)</f>
        <v>0</v>
      </c>
      <c r="AE277" s="263">
        <f>+SUMIFS(Tabla6[Nominal COP],Tabla6[Concepto],COSTO_OPORTUNIDAD!$B$18,Tabla6[Nemotécnico],COSTO_OPORTUNIDAD!AE$16,Tabla6[Fecha Cumplimiento y/ liquidacion],COSTO_OPORTUNIDAD!$C277)/+SUMIFS(Tabla6[Nominal COP],Tabla6[Concepto],COSTO_OPORTUNIDAD!$B$18,Tabla6[Fecha Cumplimiento y/ liquidacion],COSTO_OPORTUNIDAD!$C277)</f>
        <v>1</v>
      </c>
      <c r="AF277" s="263">
        <f>+SUMIFS(Tabla6[Nominal COP],Tabla6[Concepto],COSTO_OPORTUNIDAD!$B$18,Tabla6[Nemotécnico],COSTO_OPORTUNIDAD!AF$16,Tabla6[Fecha Cumplimiento y/ liquidacion],COSTO_OPORTUNIDAD!$C277)/+SUMIFS(Tabla6[Nominal COP],Tabla6[Concepto],COSTO_OPORTUNIDAD!$B$18,Tabla6[Fecha Cumplimiento y/ liquidacion],COSTO_OPORTUNIDAD!$C277)</f>
        <v>0</v>
      </c>
      <c r="AH277" s="274">
        <f t="shared" si="275"/>
        <v>537</v>
      </c>
      <c r="AI277" s="274">
        <f t="shared" si="276"/>
        <v>971</v>
      </c>
      <c r="AJ277" s="274">
        <f t="shared" si="277"/>
        <v>1148</v>
      </c>
      <c r="AK277" s="274">
        <f t="shared" si="300"/>
        <v>1629</v>
      </c>
      <c r="AL277" s="274">
        <f t="shared" si="278"/>
        <v>2021</v>
      </c>
      <c r="AM277" s="274">
        <f t="shared" si="279"/>
        <v>2210</v>
      </c>
      <c r="AN277" s="274">
        <f t="shared" si="280"/>
        <v>2672</v>
      </c>
      <c r="AO277" s="274">
        <f t="shared" si="281"/>
        <v>2896</v>
      </c>
      <c r="AP277" s="274">
        <f t="shared" si="282"/>
        <v>3512</v>
      </c>
      <c r="AQ277" s="274"/>
      <c r="AR277" s="274">
        <f t="shared" si="313"/>
        <v>4142</v>
      </c>
      <c r="AS277" s="274">
        <f t="shared" si="301"/>
        <v>5745</v>
      </c>
      <c r="AT277" s="274">
        <f t="shared" si="283"/>
        <v>6291</v>
      </c>
      <c r="AU277" s="274">
        <f t="shared" si="284"/>
        <v>7810</v>
      </c>
      <c r="AV277" s="274">
        <f t="shared" si="285"/>
        <v>9364</v>
      </c>
      <c r="AW277" s="274"/>
      <c r="AX277" s="274">
        <f t="shared" si="286"/>
        <v>61</v>
      </c>
      <c r="AY277" s="274">
        <f t="shared" si="287"/>
        <v>740</v>
      </c>
      <c r="AZ277" s="274">
        <f t="shared" si="267"/>
        <v>1503</v>
      </c>
      <c r="BA277" s="274"/>
      <c r="BB277" s="274">
        <f t="shared" si="314"/>
        <v>2940</v>
      </c>
      <c r="BC277" s="274">
        <f t="shared" si="315"/>
        <v>3680</v>
      </c>
      <c r="BD277" s="274">
        <f t="shared" si="316"/>
        <v>4373</v>
      </c>
      <c r="BE277" s="274">
        <f t="shared" si="288"/>
        <v>5857</v>
      </c>
      <c r="BF277" s="274">
        <f t="shared" si="317"/>
        <v>8867</v>
      </c>
      <c r="BG277" s="274">
        <f t="shared" si="289"/>
        <v>11030</v>
      </c>
      <c r="BH277" s="274">
        <f t="shared" si="308"/>
        <v>13480</v>
      </c>
      <c r="BI277" s="266">
        <f t="shared" si="318"/>
        <v>1</v>
      </c>
      <c r="BJ277" s="266">
        <f t="shared" si="319"/>
        <v>0</v>
      </c>
      <c r="BK277" s="263" t="str">
        <f t="shared" si="320"/>
        <v/>
      </c>
      <c r="BL277" s="263" t="str">
        <f t="shared" si="321"/>
        <v/>
      </c>
      <c r="BM277" s="263" t="str">
        <f t="shared" si="322"/>
        <v/>
      </c>
      <c r="BN277" s="263"/>
      <c r="BO277" s="263" t="str">
        <f t="shared" si="323"/>
        <v/>
      </c>
      <c r="BP277" s="263" t="str">
        <f t="shared" si="324"/>
        <v/>
      </c>
      <c r="BQ277" s="263" t="str">
        <f t="shared" si="325"/>
        <v/>
      </c>
      <c r="BR277" s="263" t="str">
        <f t="shared" si="326"/>
        <v/>
      </c>
      <c r="BS277" s="263" t="str">
        <f t="shared" si="327"/>
        <v/>
      </c>
      <c r="BT277" s="263" t="str">
        <f t="shared" si="328"/>
        <v/>
      </c>
      <c r="BU277" s="263" t="str">
        <f t="shared" si="329"/>
        <v/>
      </c>
      <c r="BV277" s="263"/>
      <c r="BW277" s="263" t="str">
        <f t="shared" si="330"/>
        <v/>
      </c>
      <c r="BX277" s="263" t="str">
        <f t="shared" si="337"/>
        <v/>
      </c>
      <c r="BY277" s="263" t="str">
        <f t="shared" si="331"/>
        <v/>
      </c>
      <c r="BZ277" s="263"/>
      <c r="CA277" s="263">
        <f t="shared" si="254"/>
        <v>0</v>
      </c>
      <c r="CB277" s="263">
        <f t="shared" si="332"/>
        <v>0</v>
      </c>
      <c r="CC277" s="263">
        <f t="shared" si="255"/>
        <v>0</v>
      </c>
      <c r="CD277" s="263">
        <f t="shared" si="333"/>
        <v>0</v>
      </c>
      <c r="CE277" s="263">
        <f t="shared" si="241"/>
        <v>0</v>
      </c>
      <c r="CF277" s="263">
        <f t="shared" si="256"/>
        <v>0</v>
      </c>
      <c r="CG277" s="263">
        <f t="shared" si="257"/>
        <v>0</v>
      </c>
      <c r="CH277" s="263">
        <f t="shared" si="290"/>
        <v>0</v>
      </c>
      <c r="CI277" s="263">
        <f t="shared" si="334"/>
        <v>0</v>
      </c>
      <c r="CJ277" s="263">
        <f t="shared" si="291"/>
        <v>1</v>
      </c>
      <c r="CK277" s="263">
        <f t="shared" si="335"/>
        <v>0</v>
      </c>
      <c r="CL277" s="264">
        <f t="shared" si="338"/>
        <v>0</v>
      </c>
      <c r="CM277" s="264">
        <f t="shared" si="292"/>
        <v>11030</v>
      </c>
      <c r="CO277" s="265">
        <v>8.7889999999999996E-2</v>
      </c>
      <c r="CP277" s="265">
        <v>9.4259999999999997E-2</v>
      </c>
      <c r="CQ277" s="265">
        <v>9.8400000000000001E-2</v>
      </c>
      <c r="CS277" s="265">
        <v>0.10557</v>
      </c>
      <c r="CT277" s="265">
        <v>0.10881</v>
      </c>
      <c r="CU277" s="265">
        <v>0.11128</v>
      </c>
      <c r="CV277" s="265">
        <v>0.11260999999999999</v>
      </c>
      <c r="CW277" s="265">
        <v>0.11470000000000001</v>
      </c>
      <c r="CY277" s="265">
        <v>0.11712</v>
      </c>
      <c r="DA277" s="265">
        <v>0.12066</v>
      </c>
      <c r="DB277" s="265">
        <v>0.12407</v>
      </c>
      <c r="DC277" s="265">
        <v>0.1225</v>
      </c>
      <c r="DE277" s="265">
        <v>4.7E-2</v>
      </c>
      <c r="DF277" s="265">
        <v>5.21E-2</v>
      </c>
      <c r="DH277" s="265">
        <v>5.5350000000000003E-2</v>
      </c>
      <c r="DI277" s="265">
        <v>5.6100000000000004E-2</v>
      </c>
      <c r="DJ277" s="265">
        <v>5.6639999999999996E-2</v>
      </c>
      <c r="DK277" s="265">
        <v>5.7329999999999999E-2</v>
      </c>
      <c r="DL277" s="265">
        <v>5.3399999999999996E-2</v>
      </c>
      <c r="DM277" s="265">
        <v>5.3520000000000005E-2</v>
      </c>
      <c r="DO277" s="264" t="e">
        <f t="shared" si="268"/>
        <v>#N/A</v>
      </c>
      <c r="DP277" s="264" t="e" cm="1">
        <f t="array" ref="DP277">+INDEX(AH277:AV277,MATCH(DO277,AH277:AV277,1)+1)</f>
        <v>#N/A</v>
      </c>
      <c r="DQ277" s="265" t="e">
        <f t="shared" si="269"/>
        <v>#N/A</v>
      </c>
      <c r="DR277" s="267" t="e">
        <f t="shared" si="270"/>
        <v>#N/A</v>
      </c>
      <c r="DS277" s="267" t="e">
        <f t="shared" si="297"/>
        <v>#N/A</v>
      </c>
      <c r="DT277" s="268">
        <f t="shared" si="293"/>
        <v>11030</v>
      </c>
      <c r="DU277" s="268">
        <f>+DT277</f>
        <v>11030</v>
      </c>
      <c r="DV277" s="265" t="e">
        <f t="shared" si="249"/>
        <v>#REF!</v>
      </c>
      <c r="DW277" s="265" t="e">
        <f t="shared" si="294"/>
        <v>#REF!</v>
      </c>
      <c r="DX277" s="265" t="e">
        <f>+DW277</f>
        <v>#REF!</v>
      </c>
      <c r="DY277" s="267">
        <f t="shared" si="295"/>
        <v>5.2200000000000003E-2</v>
      </c>
      <c r="DZ277" s="205" t="e">
        <f t="shared" ref="DZ277" si="340">+(1+DX277)*(1+DY277)-1</f>
        <v>#REF!</v>
      </c>
      <c r="EA277" s="205">
        <f t="shared" si="252"/>
        <v>0</v>
      </c>
    </row>
    <row r="278" spans="2:131">
      <c r="B278" s="272">
        <v>45726</v>
      </c>
      <c r="C278" s="271">
        <f>+B278</f>
        <v>45726</v>
      </c>
      <c r="D278" s="263">
        <f>+SUMIFS(Tabla6[Nominal COP],Tabla6[Concepto],COSTO_OPORTUNIDAD!$B$18,Tabla6[Nemotécnico],COSTO_OPORTUNIDAD!D$16,Tabla6[Fecha Cumplimiento y/ liquidacion],COSTO_OPORTUNIDAD!$C278)/+SUMIFS(Tabla6[Nominal COP],Tabla6[Concepto],COSTO_OPORTUNIDAD!$B$18,Tabla6[Fecha Cumplimiento y/ liquidacion],COSTO_OPORTUNIDAD!$C278)</f>
        <v>0</v>
      </c>
      <c r="E278" s="263">
        <f>+SUMIFS(Tabla6[Nominal COP],Tabla6[Concepto],COSTO_OPORTUNIDAD!$B$18,Tabla6[Nemotécnico],COSTO_OPORTUNIDAD!E$16,Tabla6[Fecha Cumplimiento y/ liquidacion],COSTO_OPORTUNIDAD!$C278)/+SUMIFS(Tabla6[Nominal COP],Tabla6[Concepto],COSTO_OPORTUNIDAD!$B$18,Tabla6[Fecha Cumplimiento y/ liquidacion],COSTO_OPORTUNIDAD!$C278)</f>
        <v>0</v>
      </c>
      <c r="F278" s="263">
        <f>+SUMIFS(Tabla6[Nominal COP],Tabla6[Concepto],COSTO_OPORTUNIDAD!$B$18,Tabla6[Nemotécnico],COSTO_OPORTUNIDAD!F$16,Tabla6[Fecha Cumplimiento y/ liquidacion],COSTO_OPORTUNIDAD!$C278)/+SUMIFS(Tabla6[Nominal COP],Tabla6[Concepto],COSTO_OPORTUNIDAD!$B$18,Tabla6[Fecha Cumplimiento y/ liquidacion],COSTO_OPORTUNIDAD!$C278)</f>
        <v>0</v>
      </c>
      <c r="G278" s="263">
        <f>+SUMIFS(Tabla6[Nominal COP],Tabla6[Concepto],COSTO_OPORTUNIDAD!$B$18,Tabla6[Nemotécnico],COSTO_OPORTUNIDAD!G$16,Tabla6[Fecha Cumplimiento y/ liquidacion],COSTO_OPORTUNIDAD!$C278)/+SUMIFS(Tabla6[Nominal COP],Tabla6[Concepto],COSTO_OPORTUNIDAD!$B$18,Tabla6[Fecha Cumplimiento y/ liquidacion],COSTO_OPORTUNIDAD!$C278)</f>
        <v>0</v>
      </c>
      <c r="H278" s="263">
        <f>+SUMIFS(Tabla6[Nominal COP],Tabla6[Concepto],COSTO_OPORTUNIDAD!$B$18,Tabla6[Nemotécnico],COSTO_OPORTUNIDAD!H$16,Tabla6[Fecha Cumplimiento y/ liquidacion],COSTO_OPORTUNIDAD!$C278)/+SUMIFS(Tabla6[Nominal COP],Tabla6[Concepto],COSTO_OPORTUNIDAD!$B$18,Tabla6[Fecha Cumplimiento y/ liquidacion],COSTO_OPORTUNIDAD!$C278)</f>
        <v>0</v>
      </c>
      <c r="I278" s="263"/>
      <c r="J278" s="263">
        <f>+SUMIFS(Tabla6[Nominal COP],Tabla6[Concepto],COSTO_OPORTUNIDAD!$B$18,Tabla6[Nemotécnico],COSTO_OPORTUNIDAD!J$16,Tabla6[Fecha Cumplimiento y/ liquidacion],COSTO_OPORTUNIDAD!$C278)/+SUMIFS(Tabla6[Nominal COP],Tabla6[Concepto],COSTO_OPORTUNIDAD!$B$18,Tabla6[Fecha Cumplimiento y/ liquidacion],COSTO_OPORTUNIDAD!$C278)</f>
        <v>0</v>
      </c>
      <c r="K278" s="263">
        <f>+SUMIFS(Tabla6[Nominal COP],Tabla6[Concepto],COSTO_OPORTUNIDAD!$B$18,Tabla6[Nemotécnico],COSTO_OPORTUNIDAD!K$16,Tabla6[Fecha Cumplimiento y/ liquidacion],COSTO_OPORTUNIDAD!$C278)/+SUMIFS(Tabla6[Nominal COP],Tabla6[Concepto],COSTO_OPORTUNIDAD!$B$18,Tabla6[Fecha Cumplimiento y/ liquidacion],COSTO_OPORTUNIDAD!$C278)</f>
        <v>0</v>
      </c>
      <c r="L278" s="263">
        <f>+SUMIFS(Tabla6[Nominal COP],Tabla6[Concepto],COSTO_OPORTUNIDAD!$B$18,Tabla6[Nemotécnico],COSTO_OPORTUNIDAD!L$16,Tabla6[Fecha Cumplimiento y/ liquidacion],COSTO_OPORTUNIDAD!$C278)/+SUMIFS(Tabla6[Nominal COP],Tabla6[Concepto],COSTO_OPORTUNIDAD!$B$18,Tabla6[Fecha Cumplimiento y/ liquidacion],COSTO_OPORTUNIDAD!$C278)</f>
        <v>0</v>
      </c>
      <c r="M278" s="263">
        <f>+SUMIFS(Tabla6[Nominal COP],Tabla6[Concepto],COSTO_OPORTUNIDAD!$B$18,Tabla6[Nemotécnico],COSTO_OPORTUNIDAD!M$16,Tabla6[Fecha Cumplimiento y/ liquidacion],COSTO_OPORTUNIDAD!$C278)/+SUMIFS(Tabla6[Nominal COP],Tabla6[Concepto],COSTO_OPORTUNIDAD!$B$18,Tabla6[Fecha Cumplimiento y/ liquidacion],COSTO_OPORTUNIDAD!$C278)</f>
        <v>0</v>
      </c>
      <c r="N278" s="263">
        <f>+SUMIFS(Tabla6[Nominal COP],Tabla6[Concepto],COSTO_OPORTUNIDAD!$B$18,Tabla6[Nemotécnico],COSTO_OPORTUNIDAD!N$16,Tabla6[Fecha Cumplimiento y/ liquidacion],COSTO_OPORTUNIDAD!$C278)/+SUMIFS(Tabla6[Nominal COP],Tabla6[Concepto],COSTO_OPORTUNIDAD!$B$18,Tabla6[Fecha Cumplimiento y/ liquidacion],COSTO_OPORTUNIDAD!$C278)</f>
        <v>0</v>
      </c>
      <c r="O278" s="263"/>
      <c r="P278" s="263">
        <f>+SUMIFS(Tabla6[Nominal COP],Tabla6[Concepto],COSTO_OPORTUNIDAD!$B$18,Tabla6[Nemotécnico],COSTO_OPORTUNIDAD!P$16,Tabla6[Fecha Cumplimiento y/ liquidacion],COSTO_OPORTUNIDAD!$C278)/+SUMIFS(Tabla6[Nominal COP],Tabla6[Concepto],COSTO_OPORTUNIDAD!$B$18,Tabla6[Fecha Cumplimiento y/ liquidacion],COSTO_OPORTUNIDAD!$C278)</f>
        <v>0</v>
      </c>
      <c r="Q278" s="263"/>
      <c r="R278" s="263">
        <f>+SUMIFS(Tabla6[Nominal COP],Tabla6[Concepto],COSTO_OPORTUNIDAD!$B$18,Tabla6[Nemotécnico],COSTO_OPORTUNIDAD!R$16,Tabla6[Fecha Cumplimiento y/ liquidacion],COSTO_OPORTUNIDAD!$C278)/+SUMIFS(Tabla6[Nominal COP],Tabla6[Concepto],COSTO_OPORTUNIDAD!$B$18,Tabla6[Fecha Cumplimiento y/ liquidacion],COSTO_OPORTUNIDAD!$C278)</f>
        <v>0</v>
      </c>
      <c r="S278" s="263">
        <f>+SUMIFS(Tabla6[Nominal COP],Tabla6[Concepto],COSTO_OPORTUNIDAD!$B$18,Tabla6[Nemotécnico],COSTO_OPORTUNIDAD!S$16,Tabla6[Fecha Cumplimiento y/ liquidacion],COSTO_OPORTUNIDAD!$C278)/+SUMIFS(Tabla6[Nominal COP],Tabla6[Concepto],COSTO_OPORTUNIDAD!$B$18,Tabla6[Fecha Cumplimiento y/ liquidacion],COSTO_OPORTUNIDAD!$C278)</f>
        <v>0</v>
      </c>
      <c r="T278" s="263">
        <f>+SUMIFS(Tabla6[Nominal COP],Tabla6[Concepto],COSTO_OPORTUNIDAD!$B$18,Tabla6[Nemotécnico],COSTO_OPORTUNIDAD!T$16,Tabla6[Fecha Cumplimiento y/ liquidacion],COSTO_OPORTUNIDAD!$C278)/+SUMIFS(Tabla6[Nominal COP],Tabla6[Concepto],COSTO_OPORTUNIDAD!$B$18,Tabla6[Fecha Cumplimiento y/ liquidacion],COSTO_OPORTUNIDAD!$C278)</f>
        <v>0</v>
      </c>
      <c r="U278" s="263"/>
      <c r="V278" s="263">
        <f>+SUMIFS(Tabla6[Nominal COP],Tabla6[Concepto],COSTO_OPORTUNIDAD!$B$18,Tabla6[Nemotécnico],COSTO_OPORTUNIDAD!V$16,Tabla6[Fecha Cumplimiento y/ liquidacion],COSTO_OPORTUNIDAD!$C278)/+SUMIFS(Tabla6[Nominal COP],Tabla6[Concepto],COSTO_OPORTUNIDAD!$B$18,Tabla6[Fecha Cumplimiento y/ liquidacion],COSTO_OPORTUNIDAD!$C278)</f>
        <v>0</v>
      </c>
      <c r="W278" s="263">
        <f>+SUMIFS(Tabla6[Nominal COP],Tabla6[Concepto],COSTO_OPORTUNIDAD!$B$18,Tabla6[Nemotécnico],COSTO_OPORTUNIDAD!W$16,Tabla6[Fecha Cumplimiento y/ liquidacion],COSTO_OPORTUNIDAD!$C278)/+SUMIFS(Tabla6[Nominal COP],Tabla6[Concepto],COSTO_OPORTUNIDAD!$B$18,Tabla6[Fecha Cumplimiento y/ liquidacion],COSTO_OPORTUNIDAD!$C278)</f>
        <v>0</v>
      </c>
      <c r="X278" s="263">
        <f>+SUMIFS(Tabla6[Nominal COP],Tabla6[Concepto],COSTO_OPORTUNIDAD!$B$18,Tabla6[Nemotécnico],COSTO_OPORTUNIDAD!X$16,Tabla6[Fecha Cumplimiento y/ liquidacion],COSTO_OPORTUNIDAD!$C278)/+SUMIFS(Tabla6[Nominal COP],Tabla6[Concepto],COSTO_OPORTUNIDAD!$B$18,Tabla6[Fecha Cumplimiento y/ liquidacion],COSTO_OPORTUNIDAD!$C278)</f>
        <v>0</v>
      </c>
      <c r="Y278" s="263"/>
      <c r="Z278" s="263">
        <f>+SUMIFS(Tabla6[Nominal COP],Tabla6[Concepto],COSTO_OPORTUNIDAD!$B$18,Tabla6[Nemotécnico],COSTO_OPORTUNIDAD!Z$16,Tabla6[Fecha Cumplimiento y/ liquidacion],COSTO_OPORTUNIDAD!$C278)/+SUMIFS(Tabla6[Nominal COP],Tabla6[Concepto],COSTO_OPORTUNIDAD!$B$18,Tabla6[Fecha Cumplimiento y/ liquidacion],COSTO_OPORTUNIDAD!$C278)</f>
        <v>0</v>
      </c>
      <c r="AA278" s="263">
        <f>+SUMIFS(Tabla6[Nominal COP],Tabla6[Concepto],COSTO_OPORTUNIDAD!$B$18,Tabla6[Nemotécnico],COSTO_OPORTUNIDAD!AA$16,Tabla6[Fecha Cumplimiento y/ liquidacion],COSTO_OPORTUNIDAD!$C278)/+SUMIFS(Tabla6[Nominal COP],Tabla6[Concepto],COSTO_OPORTUNIDAD!$B$18,Tabla6[Fecha Cumplimiento y/ liquidacion],COSTO_OPORTUNIDAD!$C278)</f>
        <v>0</v>
      </c>
      <c r="AB278" s="263">
        <f>+SUMIFS(Tabla6[Nominal COP],Tabla6[Concepto],COSTO_OPORTUNIDAD!$B$18,Tabla6[Nemotécnico],COSTO_OPORTUNIDAD!AB$16,Tabla6[Fecha Cumplimiento y/ liquidacion],COSTO_OPORTUNIDAD!$C278)/+SUMIFS(Tabla6[Nominal COP],Tabla6[Concepto],COSTO_OPORTUNIDAD!$B$18,Tabla6[Fecha Cumplimiento y/ liquidacion],COSTO_OPORTUNIDAD!$C278)</f>
        <v>0</v>
      </c>
      <c r="AC278" s="263">
        <f>+SUMIFS(Tabla6[Nominal COP],Tabla6[Concepto],COSTO_OPORTUNIDAD!$B$18,Tabla6[Nemotécnico],COSTO_OPORTUNIDAD!AC$16,Tabla6[Fecha Cumplimiento y/ liquidacion],COSTO_OPORTUNIDAD!$C278)/+SUMIFS(Tabla6[Nominal COP],Tabla6[Concepto],COSTO_OPORTUNIDAD!$B$18,Tabla6[Fecha Cumplimiento y/ liquidacion],COSTO_OPORTUNIDAD!$C278)</f>
        <v>0</v>
      </c>
      <c r="AD278" s="263">
        <f>+SUMIFS(Tabla6[Nominal COP],Tabla6[Concepto],COSTO_OPORTUNIDAD!$B$18,Tabla6[Nemotécnico],COSTO_OPORTUNIDAD!AC$16,Tabla6[Fecha Cumplimiento y/ liquidacion],COSTO_OPORTUNIDAD!$C278)/+SUMIFS(Tabla6[Nominal COP],Tabla6[Concepto],COSTO_OPORTUNIDAD!$B$18,Tabla6[Fecha Cumplimiento y/ liquidacion],COSTO_OPORTUNIDAD!$C278)</f>
        <v>0</v>
      </c>
      <c r="AE278" s="263">
        <f>+SUMIFS(Tabla6[Nominal COP],Tabla6[Concepto],COSTO_OPORTUNIDAD!$B$18,Tabla6[Nemotécnico],COSTO_OPORTUNIDAD!AE$16,Tabla6[Fecha Cumplimiento y/ liquidacion],COSTO_OPORTUNIDAD!$C278)/+SUMIFS(Tabla6[Nominal COP],Tabla6[Concepto],COSTO_OPORTUNIDAD!$B$18,Tabla6[Fecha Cumplimiento y/ liquidacion],COSTO_OPORTUNIDAD!$C278)</f>
        <v>1</v>
      </c>
      <c r="AF278" s="263">
        <f>+SUMIFS(Tabla6[Nominal COP],Tabla6[Concepto],COSTO_OPORTUNIDAD!$B$18,Tabla6[Nemotécnico],COSTO_OPORTUNIDAD!AF$16,Tabla6[Fecha Cumplimiento y/ liquidacion],COSTO_OPORTUNIDAD!$C278)/+SUMIFS(Tabla6[Nominal COP],Tabla6[Concepto],COSTO_OPORTUNIDAD!$B$18,Tabla6[Fecha Cumplimiento y/ liquidacion],COSTO_OPORTUNIDAD!$C278)</f>
        <v>0</v>
      </c>
      <c r="AH278" s="274">
        <f t="shared" si="275"/>
        <v>534</v>
      </c>
      <c r="AI278" s="274">
        <f t="shared" si="276"/>
        <v>968</v>
      </c>
      <c r="AJ278" s="274">
        <f t="shared" si="277"/>
        <v>1145</v>
      </c>
      <c r="AK278" s="274">
        <f t="shared" si="300"/>
        <v>1626</v>
      </c>
      <c r="AL278" s="274">
        <f t="shared" si="278"/>
        <v>2018</v>
      </c>
      <c r="AM278" s="274">
        <f t="shared" si="279"/>
        <v>2207</v>
      </c>
      <c r="AN278" s="274">
        <f t="shared" si="280"/>
        <v>2669</v>
      </c>
      <c r="AO278" s="274">
        <f t="shared" si="281"/>
        <v>2893</v>
      </c>
      <c r="AP278" s="274">
        <f t="shared" si="282"/>
        <v>3509</v>
      </c>
      <c r="AQ278" s="274"/>
      <c r="AR278" s="274">
        <f t="shared" si="313"/>
        <v>4139</v>
      </c>
      <c r="AS278" s="274">
        <f t="shared" si="301"/>
        <v>5742</v>
      </c>
      <c r="AT278" s="274">
        <f t="shared" si="283"/>
        <v>6288</v>
      </c>
      <c r="AU278" s="274">
        <f t="shared" si="284"/>
        <v>7807</v>
      </c>
      <c r="AV278" s="274">
        <f t="shared" si="285"/>
        <v>9361</v>
      </c>
      <c r="AW278" s="274"/>
      <c r="AX278" s="274">
        <f t="shared" si="286"/>
        <v>58</v>
      </c>
      <c r="AY278" s="274">
        <f t="shared" si="287"/>
        <v>737</v>
      </c>
      <c r="AZ278" s="274">
        <f t="shared" si="267"/>
        <v>1500</v>
      </c>
      <c r="BA278" s="274"/>
      <c r="BB278" s="274">
        <f t="shared" si="314"/>
        <v>2937</v>
      </c>
      <c r="BC278" s="274">
        <f t="shared" si="315"/>
        <v>3677</v>
      </c>
      <c r="BD278" s="274">
        <f t="shared" si="316"/>
        <v>4370</v>
      </c>
      <c r="BE278" s="274">
        <f t="shared" si="288"/>
        <v>5854</v>
      </c>
      <c r="BF278" s="274">
        <f t="shared" si="317"/>
        <v>8864</v>
      </c>
      <c r="BG278" s="274">
        <f t="shared" si="289"/>
        <v>11027</v>
      </c>
      <c r="BH278" s="274">
        <f t="shared" si="308"/>
        <v>13477</v>
      </c>
      <c r="BI278" s="266">
        <f t="shared" si="318"/>
        <v>1</v>
      </c>
      <c r="BJ278" s="266">
        <f t="shared" si="319"/>
        <v>0</v>
      </c>
      <c r="BK278" s="263" t="str">
        <f t="shared" si="320"/>
        <v/>
      </c>
      <c r="BL278" s="263" t="str">
        <f t="shared" si="321"/>
        <v/>
      </c>
      <c r="BM278" s="263" t="str">
        <f t="shared" si="322"/>
        <v/>
      </c>
      <c r="BN278" s="263"/>
      <c r="BO278" s="263" t="str">
        <f t="shared" si="323"/>
        <v/>
      </c>
      <c r="BP278" s="263" t="str">
        <f t="shared" si="324"/>
        <v/>
      </c>
      <c r="BQ278" s="263" t="str">
        <f t="shared" si="325"/>
        <v/>
      </c>
      <c r="BR278" s="263" t="str">
        <f t="shared" si="326"/>
        <v/>
      </c>
      <c r="BS278" s="263" t="str">
        <f t="shared" si="327"/>
        <v/>
      </c>
      <c r="BT278" s="263" t="str">
        <f t="shared" si="328"/>
        <v/>
      </c>
      <c r="BU278" s="263" t="str">
        <f t="shared" si="329"/>
        <v/>
      </c>
      <c r="BV278" s="263"/>
      <c r="BW278" s="263" t="str">
        <f t="shared" si="330"/>
        <v/>
      </c>
      <c r="BX278" s="263" t="str">
        <f t="shared" si="337"/>
        <v/>
      </c>
      <c r="BY278" s="263" t="str">
        <f t="shared" si="331"/>
        <v/>
      </c>
      <c r="BZ278" s="263"/>
      <c r="CA278" s="263">
        <f t="shared" si="254"/>
        <v>0</v>
      </c>
      <c r="CB278" s="263">
        <f t="shared" si="332"/>
        <v>0</v>
      </c>
      <c r="CC278" s="263">
        <f t="shared" si="255"/>
        <v>0</v>
      </c>
      <c r="CD278" s="263">
        <f t="shared" si="333"/>
        <v>0</v>
      </c>
      <c r="CE278" s="263">
        <f t="shared" si="241"/>
        <v>0</v>
      </c>
      <c r="CF278" s="263">
        <f t="shared" si="256"/>
        <v>0</v>
      </c>
      <c r="CG278" s="263">
        <f t="shared" si="257"/>
        <v>0</v>
      </c>
      <c r="CH278" s="263">
        <f t="shared" si="290"/>
        <v>0</v>
      </c>
      <c r="CI278" s="263">
        <f t="shared" si="334"/>
        <v>0</v>
      </c>
      <c r="CJ278" s="263">
        <f t="shared" si="291"/>
        <v>1</v>
      </c>
      <c r="CK278" s="263">
        <f t="shared" si="335"/>
        <v>0</v>
      </c>
      <c r="CL278" s="264">
        <f t="shared" si="338"/>
        <v>0</v>
      </c>
      <c r="CM278" s="264">
        <f t="shared" si="292"/>
        <v>11027</v>
      </c>
      <c r="CO278" s="265">
        <v>8.8699999999999987E-2</v>
      </c>
      <c r="CP278" s="265">
        <v>9.4510000000000011E-2</v>
      </c>
      <c r="CQ278" s="265">
        <v>9.8819999999999991E-2</v>
      </c>
      <c r="CS278" s="265">
        <v>0.10639</v>
      </c>
      <c r="CT278" s="265">
        <v>0.10970000000000001</v>
      </c>
      <c r="CU278" s="265">
        <v>0.11194000000000001</v>
      </c>
      <c r="CV278" s="265">
        <v>0.11371000000000001</v>
      </c>
      <c r="CW278" s="265">
        <v>0.11563000000000001</v>
      </c>
      <c r="CY278" s="265">
        <v>0.11824</v>
      </c>
      <c r="DA278" s="265">
        <v>0.12138</v>
      </c>
      <c r="DB278" s="265">
        <v>0.12496</v>
      </c>
      <c r="DC278" s="265">
        <v>0.12358000000000001</v>
      </c>
      <c r="DE278" s="265">
        <v>4.6379999999999998E-2</v>
      </c>
      <c r="DF278" s="265">
        <v>5.2049999999999999E-2</v>
      </c>
      <c r="DH278" s="265">
        <v>5.391E-2</v>
      </c>
      <c r="DI278" s="265">
        <v>5.5199999999999999E-2</v>
      </c>
      <c r="DJ278" s="265">
        <v>5.6950000000000001E-2</v>
      </c>
      <c r="DK278" s="265">
        <v>5.7759999999999999E-2</v>
      </c>
      <c r="DL278" s="265">
        <v>5.3710000000000008E-2</v>
      </c>
      <c r="DM278" s="265">
        <v>5.3849999999999995E-2</v>
      </c>
      <c r="DO278" s="264" t="e">
        <f t="shared" si="268"/>
        <v>#N/A</v>
      </c>
      <c r="DP278" s="264" t="e" cm="1">
        <f t="array" ref="DP278">+INDEX(AH278:AV278,MATCH(DO278,AH278:AV278,1)+1)</f>
        <v>#N/A</v>
      </c>
      <c r="DQ278" s="265" t="e">
        <f t="shared" si="269"/>
        <v>#N/A</v>
      </c>
      <c r="DR278" s="267" t="e">
        <f t="shared" si="270"/>
        <v>#N/A</v>
      </c>
      <c r="DS278" s="267" t="e">
        <f t="shared" si="297"/>
        <v>#N/A</v>
      </c>
      <c r="DT278" s="268">
        <f t="shared" si="293"/>
        <v>11027</v>
      </c>
      <c r="DU278" s="268">
        <f>+DT278</f>
        <v>11027</v>
      </c>
      <c r="DV278" s="265" t="e">
        <f t="shared" si="249"/>
        <v>#REF!</v>
      </c>
      <c r="DW278" s="265" t="e">
        <f t="shared" si="294"/>
        <v>#REF!</v>
      </c>
      <c r="DX278" s="265" t="e">
        <f>+DW278</f>
        <v>#REF!</v>
      </c>
      <c r="DY278" s="267">
        <f t="shared" ref="DY278:DY313" si="341">+$EE$90</f>
        <v>5.28E-2</v>
      </c>
      <c r="DZ278" s="205" t="e">
        <f t="shared" ref="DZ278" si="342">+(1+DX278)*(1+DY278)-1</f>
        <v>#REF!</v>
      </c>
      <c r="EA278" s="205">
        <f t="shared" si="252"/>
        <v>0</v>
      </c>
    </row>
    <row r="279" spans="2:131">
      <c r="B279" s="272">
        <v>45727</v>
      </c>
      <c r="C279" s="271">
        <f t="shared" ref="C279:C290" si="343">+B279</f>
        <v>45727</v>
      </c>
      <c r="D279" s="263">
        <f>+SUMIFS(Tabla6[Nominal COP],Tabla6[Concepto],COSTO_OPORTUNIDAD!$B$18,Tabla6[Nemotécnico],COSTO_OPORTUNIDAD!D$16,Tabla6[Fecha Cumplimiento y/ liquidacion],COSTO_OPORTUNIDAD!$C279)/+SUMIFS(Tabla6[Nominal COP],Tabla6[Concepto],COSTO_OPORTUNIDAD!$B$18,Tabla6[Fecha Cumplimiento y/ liquidacion],COSTO_OPORTUNIDAD!$C279)</f>
        <v>0</v>
      </c>
      <c r="E279" s="263">
        <f>+SUMIFS(Tabla6[Nominal COP],Tabla6[Concepto],COSTO_OPORTUNIDAD!$B$18,Tabla6[Nemotécnico],COSTO_OPORTUNIDAD!E$16,Tabla6[Fecha Cumplimiento y/ liquidacion],COSTO_OPORTUNIDAD!$C279)/+SUMIFS(Tabla6[Nominal COP],Tabla6[Concepto],COSTO_OPORTUNIDAD!$B$18,Tabla6[Fecha Cumplimiento y/ liquidacion],COSTO_OPORTUNIDAD!$C279)</f>
        <v>0</v>
      </c>
      <c r="F279" s="263">
        <f>+SUMIFS(Tabla6[Nominal COP],Tabla6[Concepto],COSTO_OPORTUNIDAD!$B$18,Tabla6[Nemotécnico],COSTO_OPORTUNIDAD!F$16,Tabla6[Fecha Cumplimiento y/ liquidacion],COSTO_OPORTUNIDAD!$C279)/+SUMIFS(Tabla6[Nominal COP],Tabla6[Concepto],COSTO_OPORTUNIDAD!$B$18,Tabla6[Fecha Cumplimiento y/ liquidacion],COSTO_OPORTUNIDAD!$C279)</f>
        <v>0</v>
      </c>
      <c r="G279" s="263">
        <f>+SUMIFS(Tabla6[Nominal COP],Tabla6[Concepto],COSTO_OPORTUNIDAD!$B$18,Tabla6[Nemotécnico],COSTO_OPORTUNIDAD!G$16,Tabla6[Fecha Cumplimiento y/ liquidacion],COSTO_OPORTUNIDAD!$C279)/+SUMIFS(Tabla6[Nominal COP],Tabla6[Concepto],COSTO_OPORTUNIDAD!$B$18,Tabla6[Fecha Cumplimiento y/ liquidacion],COSTO_OPORTUNIDAD!$C279)</f>
        <v>0</v>
      </c>
      <c r="H279" s="263">
        <f>+SUMIFS(Tabla6[Nominal COP],Tabla6[Concepto],COSTO_OPORTUNIDAD!$B$18,Tabla6[Nemotécnico],COSTO_OPORTUNIDAD!H$16,Tabla6[Fecha Cumplimiento y/ liquidacion],COSTO_OPORTUNIDAD!$C279)/+SUMIFS(Tabla6[Nominal COP],Tabla6[Concepto],COSTO_OPORTUNIDAD!$B$18,Tabla6[Fecha Cumplimiento y/ liquidacion],COSTO_OPORTUNIDAD!$C279)</f>
        <v>0</v>
      </c>
      <c r="I279" s="263"/>
      <c r="J279" s="263">
        <f>+SUMIFS(Tabla6[Nominal COP],Tabla6[Concepto],COSTO_OPORTUNIDAD!$B$18,Tabla6[Nemotécnico],COSTO_OPORTUNIDAD!J$16,Tabla6[Fecha Cumplimiento y/ liquidacion],COSTO_OPORTUNIDAD!$C279)/+SUMIFS(Tabla6[Nominal COP],Tabla6[Concepto],COSTO_OPORTUNIDAD!$B$18,Tabla6[Fecha Cumplimiento y/ liquidacion],COSTO_OPORTUNIDAD!$C279)</f>
        <v>0</v>
      </c>
      <c r="K279" s="263">
        <f>+SUMIFS(Tabla6[Nominal COP],Tabla6[Concepto],COSTO_OPORTUNIDAD!$B$18,Tabla6[Nemotécnico],COSTO_OPORTUNIDAD!K$16,Tabla6[Fecha Cumplimiento y/ liquidacion],COSTO_OPORTUNIDAD!$C279)/+SUMIFS(Tabla6[Nominal COP],Tabla6[Concepto],COSTO_OPORTUNIDAD!$B$18,Tabla6[Fecha Cumplimiento y/ liquidacion],COSTO_OPORTUNIDAD!$C279)</f>
        <v>0</v>
      </c>
      <c r="L279" s="263">
        <f>+SUMIFS(Tabla6[Nominal COP],Tabla6[Concepto],COSTO_OPORTUNIDAD!$B$18,Tabla6[Nemotécnico],COSTO_OPORTUNIDAD!L$16,Tabla6[Fecha Cumplimiento y/ liquidacion],COSTO_OPORTUNIDAD!$C279)/+SUMIFS(Tabla6[Nominal COP],Tabla6[Concepto],COSTO_OPORTUNIDAD!$B$18,Tabla6[Fecha Cumplimiento y/ liquidacion],COSTO_OPORTUNIDAD!$C279)</f>
        <v>0</v>
      </c>
      <c r="M279" s="263">
        <f>+SUMIFS(Tabla6[Nominal COP],Tabla6[Concepto],COSTO_OPORTUNIDAD!$B$18,Tabla6[Nemotécnico],COSTO_OPORTUNIDAD!M$16,Tabla6[Fecha Cumplimiento y/ liquidacion],COSTO_OPORTUNIDAD!$C279)/+SUMIFS(Tabla6[Nominal COP],Tabla6[Concepto],COSTO_OPORTUNIDAD!$B$18,Tabla6[Fecha Cumplimiento y/ liquidacion],COSTO_OPORTUNIDAD!$C279)</f>
        <v>0</v>
      </c>
      <c r="N279" s="263">
        <f>+SUMIFS(Tabla6[Nominal COP],Tabla6[Concepto],COSTO_OPORTUNIDAD!$B$18,Tabla6[Nemotécnico],COSTO_OPORTUNIDAD!N$16,Tabla6[Fecha Cumplimiento y/ liquidacion],COSTO_OPORTUNIDAD!$C279)/+SUMIFS(Tabla6[Nominal COP],Tabla6[Concepto],COSTO_OPORTUNIDAD!$B$18,Tabla6[Fecha Cumplimiento y/ liquidacion],COSTO_OPORTUNIDAD!$C279)</f>
        <v>0</v>
      </c>
      <c r="O279" s="263"/>
      <c r="P279" s="263">
        <f>+SUMIFS(Tabla6[Nominal COP],Tabla6[Concepto],COSTO_OPORTUNIDAD!$B$18,Tabla6[Nemotécnico],COSTO_OPORTUNIDAD!P$16,Tabla6[Fecha Cumplimiento y/ liquidacion],COSTO_OPORTUNIDAD!$C279)/+SUMIFS(Tabla6[Nominal COP],Tabla6[Concepto],COSTO_OPORTUNIDAD!$B$18,Tabla6[Fecha Cumplimiento y/ liquidacion],COSTO_OPORTUNIDAD!$C279)</f>
        <v>0</v>
      </c>
      <c r="Q279" s="263"/>
      <c r="R279" s="263">
        <f>+SUMIFS(Tabla6[Nominal COP],Tabla6[Concepto],COSTO_OPORTUNIDAD!$B$18,Tabla6[Nemotécnico],COSTO_OPORTUNIDAD!R$16,Tabla6[Fecha Cumplimiento y/ liquidacion],COSTO_OPORTUNIDAD!$C279)/+SUMIFS(Tabla6[Nominal COP],Tabla6[Concepto],COSTO_OPORTUNIDAD!$B$18,Tabla6[Fecha Cumplimiento y/ liquidacion],COSTO_OPORTUNIDAD!$C279)</f>
        <v>0</v>
      </c>
      <c r="S279" s="263">
        <f>+SUMIFS(Tabla6[Nominal COP],Tabla6[Concepto],COSTO_OPORTUNIDAD!$B$18,Tabla6[Nemotécnico],COSTO_OPORTUNIDAD!S$16,Tabla6[Fecha Cumplimiento y/ liquidacion],COSTO_OPORTUNIDAD!$C279)/+SUMIFS(Tabla6[Nominal COP],Tabla6[Concepto],COSTO_OPORTUNIDAD!$B$18,Tabla6[Fecha Cumplimiento y/ liquidacion],COSTO_OPORTUNIDAD!$C279)</f>
        <v>0</v>
      </c>
      <c r="T279" s="263">
        <f>+SUMIFS(Tabla6[Nominal COP],Tabla6[Concepto],COSTO_OPORTUNIDAD!$B$18,Tabla6[Nemotécnico],COSTO_OPORTUNIDAD!T$16,Tabla6[Fecha Cumplimiento y/ liquidacion],COSTO_OPORTUNIDAD!$C279)/+SUMIFS(Tabla6[Nominal COP],Tabla6[Concepto],COSTO_OPORTUNIDAD!$B$18,Tabla6[Fecha Cumplimiento y/ liquidacion],COSTO_OPORTUNIDAD!$C279)</f>
        <v>0</v>
      </c>
      <c r="U279" s="263"/>
      <c r="V279" s="263">
        <f>+SUMIFS(Tabla6[Nominal COP],Tabla6[Concepto],COSTO_OPORTUNIDAD!$B$18,Tabla6[Nemotécnico],COSTO_OPORTUNIDAD!V$16,Tabla6[Fecha Cumplimiento y/ liquidacion],COSTO_OPORTUNIDAD!$C279)/+SUMIFS(Tabla6[Nominal COP],Tabla6[Concepto],COSTO_OPORTUNIDAD!$B$18,Tabla6[Fecha Cumplimiento y/ liquidacion],COSTO_OPORTUNIDAD!$C279)</f>
        <v>0</v>
      </c>
      <c r="W279" s="263">
        <f>+SUMIFS(Tabla6[Nominal COP],Tabla6[Concepto],COSTO_OPORTUNIDAD!$B$18,Tabla6[Nemotécnico],COSTO_OPORTUNIDAD!W$16,Tabla6[Fecha Cumplimiento y/ liquidacion],COSTO_OPORTUNIDAD!$C279)/+SUMIFS(Tabla6[Nominal COP],Tabla6[Concepto],COSTO_OPORTUNIDAD!$B$18,Tabla6[Fecha Cumplimiento y/ liquidacion],COSTO_OPORTUNIDAD!$C279)</f>
        <v>0</v>
      </c>
      <c r="X279" s="263">
        <f>+SUMIFS(Tabla6[Nominal COP],Tabla6[Concepto],COSTO_OPORTUNIDAD!$B$18,Tabla6[Nemotécnico],COSTO_OPORTUNIDAD!X$16,Tabla6[Fecha Cumplimiento y/ liquidacion],COSTO_OPORTUNIDAD!$C279)/+SUMIFS(Tabla6[Nominal COP],Tabla6[Concepto],COSTO_OPORTUNIDAD!$B$18,Tabla6[Fecha Cumplimiento y/ liquidacion],COSTO_OPORTUNIDAD!$C279)</f>
        <v>0</v>
      </c>
      <c r="Y279" s="263"/>
      <c r="Z279" s="263">
        <f>+SUMIFS(Tabla6[Nominal COP],Tabla6[Concepto],COSTO_OPORTUNIDAD!$B$18,Tabla6[Nemotécnico],COSTO_OPORTUNIDAD!Z$16,Tabla6[Fecha Cumplimiento y/ liquidacion],COSTO_OPORTUNIDAD!$C279)/+SUMIFS(Tabla6[Nominal COP],Tabla6[Concepto],COSTO_OPORTUNIDAD!$B$18,Tabla6[Fecha Cumplimiento y/ liquidacion],COSTO_OPORTUNIDAD!$C279)</f>
        <v>0</v>
      </c>
      <c r="AA279" s="263">
        <f>+SUMIFS(Tabla6[Nominal COP],Tabla6[Concepto],COSTO_OPORTUNIDAD!$B$18,Tabla6[Nemotécnico],COSTO_OPORTUNIDAD!AA$16,Tabla6[Fecha Cumplimiento y/ liquidacion],COSTO_OPORTUNIDAD!$C279)/+SUMIFS(Tabla6[Nominal COP],Tabla6[Concepto],COSTO_OPORTUNIDAD!$B$18,Tabla6[Fecha Cumplimiento y/ liquidacion],COSTO_OPORTUNIDAD!$C279)</f>
        <v>0</v>
      </c>
      <c r="AB279" s="263">
        <f>+SUMIFS(Tabla6[Nominal COP],Tabla6[Concepto],COSTO_OPORTUNIDAD!$B$18,Tabla6[Nemotécnico],COSTO_OPORTUNIDAD!AB$16,Tabla6[Fecha Cumplimiento y/ liquidacion],COSTO_OPORTUNIDAD!$C279)/+SUMIFS(Tabla6[Nominal COP],Tabla6[Concepto],COSTO_OPORTUNIDAD!$B$18,Tabla6[Fecha Cumplimiento y/ liquidacion],COSTO_OPORTUNIDAD!$C279)</f>
        <v>0</v>
      </c>
      <c r="AC279" s="263">
        <f>+SUMIFS(Tabla6[Nominal COP],Tabla6[Concepto],COSTO_OPORTUNIDAD!$B$18,Tabla6[Nemotécnico],COSTO_OPORTUNIDAD!AC$16,Tabla6[Fecha Cumplimiento y/ liquidacion],COSTO_OPORTUNIDAD!$C279)/+SUMIFS(Tabla6[Nominal COP],Tabla6[Concepto],COSTO_OPORTUNIDAD!$B$18,Tabla6[Fecha Cumplimiento y/ liquidacion],COSTO_OPORTUNIDAD!$C279)</f>
        <v>0</v>
      </c>
      <c r="AD279" s="263">
        <f>+SUMIFS(Tabla6[Nominal COP],Tabla6[Concepto],COSTO_OPORTUNIDAD!$B$18,Tabla6[Nemotécnico],COSTO_OPORTUNIDAD!AC$16,Tabla6[Fecha Cumplimiento y/ liquidacion],COSTO_OPORTUNIDAD!$C279)/+SUMIFS(Tabla6[Nominal COP],Tabla6[Concepto],COSTO_OPORTUNIDAD!$B$18,Tabla6[Fecha Cumplimiento y/ liquidacion],COSTO_OPORTUNIDAD!$C279)</f>
        <v>0</v>
      </c>
      <c r="AE279" s="263">
        <f>+SUMIFS(Tabla6[Nominal COP],Tabla6[Concepto],COSTO_OPORTUNIDAD!$B$18,Tabla6[Nemotécnico],COSTO_OPORTUNIDAD!AE$16,Tabla6[Fecha Cumplimiento y/ liquidacion],COSTO_OPORTUNIDAD!$C279)/+SUMIFS(Tabla6[Nominal COP],Tabla6[Concepto],COSTO_OPORTUNIDAD!$B$18,Tabla6[Fecha Cumplimiento y/ liquidacion],COSTO_OPORTUNIDAD!$C279)</f>
        <v>1</v>
      </c>
      <c r="AF279" s="263">
        <f>+SUMIFS(Tabla6[Nominal COP],Tabla6[Concepto],COSTO_OPORTUNIDAD!$B$18,Tabla6[Nemotécnico],COSTO_OPORTUNIDAD!AF$16,Tabla6[Fecha Cumplimiento y/ liquidacion],COSTO_OPORTUNIDAD!$C279)/+SUMIFS(Tabla6[Nominal COP],Tabla6[Concepto],COSTO_OPORTUNIDAD!$B$18,Tabla6[Fecha Cumplimiento y/ liquidacion],COSTO_OPORTUNIDAD!$C279)</f>
        <v>0</v>
      </c>
      <c r="AH279" s="274">
        <f t="shared" si="275"/>
        <v>533</v>
      </c>
      <c r="AI279" s="274">
        <f t="shared" si="276"/>
        <v>967</v>
      </c>
      <c r="AJ279" s="274">
        <f t="shared" si="277"/>
        <v>1144</v>
      </c>
      <c r="AK279" s="274">
        <f t="shared" si="300"/>
        <v>1625</v>
      </c>
      <c r="AL279" s="274">
        <f t="shared" si="278"/>
        <v>2017</v>
      </c>
      <c r="AM279" s="274">
        <f t="shared" si="279"/>
        <v>2206</v>
      </c>
      <c r="AN279" s="274">
        <f t="shared" si="280"/>
        <v>2668</v>
      </c>
      <c r="AO279" s="274">
        <f t="shared" si="281"/>
        <v>2892</v>
      </c>
      <c r="AP279" s="274">
        <f t="shared" si="282"/>
        <v>3508</v>
      </c>
      <c r="AQ279" s="274"/>
      <c r="AR279" s="274">
        <f t="shared" si="313"/>
        <v>4138</v>
      </c>
      <c r="AS279" s="274">
        <f t="shared" si="301"/>
        <v>5741</v>
      </c>
      <c r="AT279" s="274">
        <f t="shared" si="283"/>
        <v>6287</v>
      </c>
      <c r="AU279" s="274">
        <f t="shared" si="284"/>
        <v>7806</v>
      </c>
      <c r="AV279" s="274">
        <f t="shared" si="285"/>
        <v>9360</v>
      </c>
      <c r="AW279" s="274"/>
      <c r="AX279" s="274">
        <f t="shared" si="286"/>
        <v>57</v>
      </c>
      <c r="AY279" s="274">
        <f t="shared" si="287"/>
        <v>736</v>
      </c>
      <c r="AZ279" s="274">
        <f t="shared" si="267"/>
        <v>1499</v>
      </c>
      <c r="BA279" s="274"/>
      <c r="BB279" s="274">
        <f t="shared" si="314"/>
        <v>2936</v>
      </c>
      <c r="BC279" s="274">
        <f t="shared" si="315"/>
        <v>3676</v>
      </c>
      <c r="BD279" s="274">
        <f t="shared" si="316"/>
        <v>4369</v>
      </c>
      <c r="BE279" s="274">
        <f t="shared" si="288"/>
        <v>5853</v>
      </c>
      <c r="BF279" s="274">
        <f t="shared" si="317"/>
        <v>8863</v>
      </c>
      <c r="BG279" s="274">
        <f t="shared" si="289"/>
        <v>11026</v>
      </c>
      <c r="BH279" s="274">
        <f t="shared" si="308"/>
        <v>13476</v>
      </c>
      <c r="BI279" s="266">
        <f t="shared" si="318"/>
        <v>1</v>
      </c>
      <c r="BJ279" s="266">
        <f t="shared" si="319"/>
        <v>0</v>
      </c>
      <c r="BK279" s="263" t="str">
        <f t="shared" si="320"/>
        <v/>
      </c>
      <c r="BL279" s="263" t="str">
        <f t="shared" si="321"/>
        <v/>
      </c>
      <c r="BM279" s="263" t="str">
        <f t="shared" si="322"/>
        <v/>
      </c>
      <c r="BN279" s="263"/>
      <c r="BO279" s="263" t="str">
        <f t="shared" si="323"/>
        <v/>
      </c>
      <c r="BP279" s="263" t="str">
        <f t="shared" si="324"/>
        <v/>
      </c>
      <c r="BQ279" s="263" t="str">
        <f t="shared" si="325"/>
        <v/>
      </c>
      <c r="BR279" s="263" t="str">
        <f t="shared" si="326"/>
        <v/>
      </c>
      <c r="BS279" s="263" t="str">
        <f t="shared" si="327"/>
        <v/>
      </c>
      <c r="BT279" s="263" t="str">
        <f t="shared" si="328"/>
        <v/>
      </c>
      <c r="BU279" s="263" t="str">
        <f t="shared" si="329"/>
        <v/>
      </c>
      <c r="BV279" s="263"/>
      <c r="BW279" s="263" t="str">
        <f t="shared" si="330"/>
        <v/>
      </c>
      <c r="BX279" s="263" t="str">
        <f t="shared" si="337"/>
        <v/>
      </c>
      <c r="BY279" s="263" t="str">
        <f t="shared" si="331"/>
        <v/>
      </c>
      <c r="BZ279" s="263"/>
      <c r="CA279" s="263">
        <f t="shared" si="254"/>
        <v>0</v>
      </c>
      <c r="CB279" s="263">
        <f t="shared" si="332"/>
        <v>0</v>
      </c>
      <c r="CC279" s="263">
        <f t="shared" si="255"/>
        <v>0</v>
      </c>
      <c r="CD279" s="263">
        <f t="shared" si="333"/>
        <v>0</v>
      </c>
      <c r="CE279" s="263">
        <f t="shared" si="241"/>
        <v>0</v>
      </c>
      <c r="CF279" s="263">
        <f t="shared" si="256"/>
        <v>0</v>
      </c>
      <c r="CG279" s="263">
        <f t="shared" si="257"/>
        <v>0</v>
      </c>
      <c r="CH279" s="263">
        <f t="shared" si="290"/>
        <v>0</v>
      </c>
      <c r="CI279" s="263">
        <f t="shared" si="334"/>
        <v>0</v>
      </c>
      <c r="CJ279" s="263">
        <f t="shared" si="291"/>
        <v>1</v>
      </c>
      <c r="CK279" s="263">
        <f t="shared" si="335"/>
        <v>0</v>
      </c>
      <c r="CL279" s="264">
        <f t="shared" si="338"/>
        <v>0</v>
      </c>
      <c r="CM279" s="264">
        <f t="shared" si="292"/>
        <v>11026</v>
      </c>
      <c r="CO279" s="265">
        <v>8.8469999999999993E-2</v>
      </c>
      <c r="CP279" s="265">
        <v>9.4399999999999998E-2</v>
      </c>
      <c r="CQ279" s="265">
        <v>9.8640000000000005E-2</v>
      </c>
      <c r="CS279" s="265">
        <v>0.10640000000000001</v>
      </c>
      <c r="CT279" s="265">
        <v>0.10983000000000001</v>
      </c>
      <c r="CU279" s="265">
        <v>0.11199999999999999</v>
      </c>
      <c r="CV279" s="265">
        <v>0.11352999999999999</v>
      </c>
      <c r="CW279" s="265">
        <v>0.11539999999999999</v>
      </c>
      <c r="CY279" s="265">
        <v>0.1182</v>
      </c>
      <c r="DA279" s="265">
        <v>0.1216</v>
      </c>
      <c r="DB279" s="265">
        <v>0.12470000000000001</v>
      </c>
      <c r="DC279" s="265">
        <v>0.1232</v>
      </c>
      <c r="DE279" s="265">
        <v>4.6940000000000003E-2</v>
      </c>
      <c r="DF279" s="265">
        <v>5.2590000000000005E-2</v>
      </c>
      <c r="DH279" s="265">
        <v>5.391E-2</v>
      </c>
      <c r="DI279" s="265">
        <v>5.5800000000000002E-2</v>
      </c>
      <c r="DJ279" s="265">
        <v>5.7000000000000002E-2</v>
      </c>
      <c r="DK279" s="265">
        <v>5.7619999999999998E-2</v>
      </c>
      <c r="DL279" s="265">
        <v>5.3769999999999998E-2</v>
      </c>
      <c r="DM279" s="265">
        <v>5.398E-2</v>
      </c>
      <c r="DO279" s="264" t="e">
        <f t="shared" si="268"/>
        <v>#N/A</v>
      </c>
      <c r="DP279" s="264" t="e" cm="1">
        <f t="array" ref="DP279">+INDEX(AH279:AV279,MATCH(DO279,AH279:AV279,1)+1)</f>
        <v>#N/A</v>
      </c>
      <c r="DQ279" s="265" t="e">
        <f t="shared" si="269"/>
        <v>#N/A</v>
      </c>
      <c r="DR279" s="267" t="e">
        <f t="shared" si="270"/>
        <v>#N/A</v>
      </c>
      <c r="DS279" s="267" t="e">
        <f t="shared" si="297"/>
        <v>#N/A</v>
      </c>
      <c r="DT279" s="268">
        <f t="shared" si="293"/>
        <v>11026</v>
      </c>
      <c r="DU279" s="268">
        <f>+DT279</f>
        <v>11026</v>
      </c>
      <c r="DV279" s="265" t="e">
        <f t="shared" si="249"/>
        <v>#REF!</v>
      </c>
      <c r="DW279" s="265" t="e">
        <f t="shared" si="294"/>
        <v>#REF!</v>
      </c>
      <c r="DX279" s="265" t="e">
        <f>+DW279</f>
        <v>#REF!</v>
      </c>
      <c r="DY279" s="267">
        <f t="shared" si="341"/>
        <v>5.28E-2</v>
      </c>
      <c r="DZ279" s="205" t="e">
        <f t="shared" ref="DZ279:DZ280" si="344">+(1+DX279)*(1+DY279)-1</f>
        <v>#REF!</v>
      </c>
      <c r="EA279" s="205">
        <f t="shared" si="252"/>
        <v>0</v>
      </c>
    </row>
    <row r="280" spans="2:131">
      <c r="B280" s="272">
        <v>45728</v>
      </c>
      <c r="C280" s="271">
        <f t="shared" si="343"/>
        <v>45728</v>
      </c>
      <c r="D280" s="263">
        <f>+SUMIFS(Tabla6[Nominal COP],Tabla6[Concepto],COSTO_OPORTUNIDAD!$B$18,Tabla6[Nemotécnico],COSTO_OPORTUNIDAD!D$16,Tabla6[Fecha Cumplimiento y/ liquidacion],COSTO_OPORTUNIDAD!$C280)/+SUMIFS(Tabla6[Nominal COP],Tabla6[Concepto],COSTO_OPORTUNIDAD!$B$18,Tabla6[Fecha Cumplimiento y/ liquidacion],COSTO_OPORTUNIDAD!$C280)</f>
        <v>0</v>
      </c>
      <c r="E280" s="263">
        <f>+SUMIFS(Tabla6[Nominal COP],Tabla6[Concepto],COSTO_OPORTUNIDAD!$B$18,Tabla6[Nemotécnico],COSTO_OPORTUNIDAD!E$16,Tabla6[Fecha Cumplimiento y/ liquidacion],COSTO_OPORTUNIDAD!$C280)/+SUMIFS(Tabla6[Nominal COP],Tabla6[Concepto],COSTO_OPORTUNIDAD!$B$18,Tabla6[Fecha Cumplimiento y/ liquidacion],COSTO_OPORTUNIDAD!$C280)</f>
        <v>0</v>
      </c>
      <c r="F280" s="263">
        <f>+SUMIFS(Tabla6[Nominal COP],Tabla6[Concepto],COSTO_OPORTUNIDAD!$B$18,Tabla6[Nemotécnico],COSTO_OPORTUNIDAD!F$16,Tabla6[Fecha Cumplimiento y/ liquidacion],COSTO_OPORTUNIDAD!$C280)/+SUMIFS(Tabla6[Nominal COP],Tabla6[Concepto],COSTO_OPORTUNIDAD!$B$18,Tabla6[Fecha Cumplimiento y/ liquidacion],COSTO_OPORTUNIDAD!$C280)</f>
        <v>0</v>
      </c>
      <c r="G280" s="263">
        <f>+SUMIFS(Tabla6[Nominal COP],Tabla6[Concepto],COSTO_OPORTUNIDAD!$B$18,Tabla6[Nemotécnico],COSTO_OPORTUNIDAD!G$16,Tabla6[Fecha Cumplimiento y/ liquidacion],COSTO_OPORTUNIDAD!$C280)/+SUMIFS(Tabla6[Nominal COP],Tabla6[Concepto],COSTO_OPORTUNIDAD!$B$18,Tabla6[Fecha Cumplimiento y/ liquidacion],COSTO_OPORTUNIDAD!$C280)</f>
        <v>0</v>
      </c>
      <c r="H280" s="263">
        <f>+SUMIFS(Tabla6[Nominal COP],Tabla6[Concepto],COSTO_OPORTUNIDAD!$B$18,Tabla6[Nemotécnico],COSTO_OPORTUNIDAD!H$16,Tabla6[Fecha Cumplimiento y/ liquidacion],COSTO_OPORTUNIDAD!$C280)/+SUMIFS(Tabla6[Nominal COP],Tabla6[Concepto],COSTO_OPORTUNIDAD!$B$18,Tabla6[Fecha Cumplimiento y/ liquidacion],COSTO_OPORTUNIDAD!$C280)</f>
        <v>0</v>
      </c>
      <c r="I280" s="263"/>
      <c r="J280" s="263">
        <f>+SUMIFS(Tabla6[Nominal COP],Tabla6[Concepto],COSTO_OPORTUNIDAD!$B$18,Tabla6[Nemotécnico],COSTO_OPORTUNIDAD!J$16,Tabla6[Fecha Cumplimiento y/ liquidacion],COSTO_OPORTUNIDAD!$C280)/+SUMIFS(Tabla6[Nominal COP],Tabla6[Concepto],COSTO_OPORTUNIDAD!$B$18,Tabla6[Fecha Cumplimiento y/ liquidacion],COSTO_OPORTUNIDAD!$C280)</f>
        <v>0</v>
      </c>
      <c r="K280" s="263">
        <f>+SUMIFS(Tabla6[Nominal COP],Tabla6[Concepto],COSTO_OPORTUNIDAD!$B$18,Tabla6[Nemotécnico],COSTO_OPORTUNIDAD!K$16,Tabla6[Fecha Cumplimiento y/ liquidacion],COSTO_OPORTUNIDAD!$C280)/+SUMIFS(Tabla6[Nominal COP],Tabla6[Concepto],COSTO_OPORTUNIDAD!$B$18,Tabla6[Fecha Cumplimiento y/ liquidacion],COSTO_OPORTUNIDAD!$C280)</f>
        <v>0</v>
      </c>
      <c r="L280" s="263">
        <f>+SUMIFS(Tabla6[Nominal COP],Tabla6[Concepto],COSTO_OPORTUNIDAD!$B$18,Tabla6[Nemotécnico],COSTO_OPORTUNIDAD!L$16,Tabla6[Fecha Cumplimiento y/ liquidacion],COSTO_OPORTUNIDAD!$C280)/+SUMIFS(Tabla6[Nominal COP],Tabla6[Concepto],COSTO_OPORTUNIDAD!$B$18,Tabla6[Fecha Cumplimiento y/ liquidacion],COSTO_OPORTUNIDAD!$C280)</f>
        <v>0</v>
      </c>
      <c r="M280" s="263">
        <f>+SUMIFS(Tabla6[Nominal COP],Tabla6[Concepto],COSTO_OPORTUNIDAD!$B$18,Tabla6[Nemotécnico],COSTO_OPORTUNIDAD!M$16,Tabla6[Fecha Cumplimiento y/ liquidacion],COSTO_OPORTUNIDAD!$C280)/+SUMIFS(Tabla6[Nominal COP],Tabla6[Concepto],COSTO_OPORTUNIDAD!$B$18,Tabla6[Fecha Cumplimiento y/ liquidacion],COSTO_OPORTUNIDAD!$C280)</f>
        <v>0</v>
      </c>
      <c r="N280" s="263">
        <f>+SUMIFS(Tabla6[Nominal COP],Tabla6[Concepto],COSTO_OPORTUNIDAD!$B$18,Tabla6[Nemotécnico],COSTO_OPORTUNIDAD!N$16,Tabla6[Fecha Cumplimiento y/ liquidacion],COSTO_OPORTUNIDAD!$C280)/+SUMIFS(Tabla6[Nominal COP],Tabla6[Concepto],COSTO_OPORTUNIDAD!$B$18,Tabla6[Fecha Cumplimiento y/ liquidacion],COSTO_OPORTUNIDAD!$C280)</f>
        <v>0</v>
      </c>
      <c r="O280" s="263"/>
      <c r="P280" s="263">
        <f>+SUMIFS(Tabla6[Nominal COP],Tabla6[Concepto],COSTO_OPORTUNIDAD!$B$18,Tabla6[Nemotécnico],COSTO_OPORTUNIDAD!P$16,Tabla6[Fecha Cumplimiento y/ liquidacion],COSTO_OPORTUNIDAD!$C280)/+SUMIFS(Tabla6[Nominal COP],Tabla6[Concepto],COSTO_OPORTUNIDAD!$B$18,Tabla6[Fecha Cumplimiento y/ liquidacion],COSTO_OPORTUNIDAD!$C280)</f>
        <v>0</v>
      </c>
      <c r="Q280" s="263"/>
      <c r="R280" s="263">
        <f>+SUMIFS(Tabla6[Nominal COP],Tabla6[Concepto],COSTO_OPORTUNIDAD!$B$18,Tabla6[Nemotécnico],COSTO_OPORTUNIDAD!R$16,Tabla6[Fecha Cumplimiento y/ liquidacion],COSTO_OPORTUNIDAD!$C280)/+SUMIFS(Tabla6[Nominal COP],Tabla6[Concepto],COSTO_OPORTUNIDAD!$B$18,Tabla6[Fecha Cumplimiento y/ liquidacion],COSTO_OPORTUNIDAD!$C280)</f>
        <v>0</v>
      </c>
      <c r="S280" s="263">
        <f>+SUMIFS(Tabla6[Nominal COP],Tabla6[Concepto],COSTO_OPORTUNIDAD!$B$18,Tabla6[Nemotécnico],COSTO_OPORTUNIDAD!S$16,Tabla6[Fecha Cumplimiento y/ liquidacion],COSTO_OPORTUNIDAD!$C280)/+SUMIFS(Tabla6[Nominal COP],Tabla6[Concepto],COSTO_OPORTUNIDAD!$B$18,Tabla6[Fecha Cumplimiento y/ liquidacion],COSTO_OPORTUNIDAD!$C280)</f>
        <v>1</v>
      </c>
      <c r="T280" s="263">
        <f>+SUMIFS(Tabla6[Nominal COP],Tabla6[Concepto],COSTO_OPORTUNIDAD!$B$18,Tabla6[Nemotécnico],COSTO_OPORTUNIDAD!T$16,Tabla6[Fecha Cumplimiento y/ liquidacion],COSTO_OPORTUNIDAD!$C280)/+SUMIFS(Tabla6[Nominal COP],Tabla6[Concepto],COSTO_OPORTUNIDAD!$B$18,Tabla6[Fecha Cumplimiento y/ liquidacion],COSTO_OPORTUNIDAD!$C280)</f>
        <v>0</v>
      </c>
      <c r="U280" s="263"/>
      <c r="V280" s="263">
        <f>+SUMIFS(Tabla6[Nominal COP],Tabla6[Concepto],COSTO_OPORTUNIDAD!$B$18,Tabla6[Nemotécnico],COSTO_OPORTUNIDAD!V$16,Tabla6[Fecha Cumplimiento y/ liquidacion],COSTO_OPORTUNIDAD!$C280)/+SUMIFS(Tabla6[Nominal COP],Tabla6[Concepto],COSTO_OPORTUNIDAD!$B$18,Tabla6[Fecha Cumplimiento y/ liquidacion],COSTO_OPORTUNIDAD!$C280)</f>
        <v>0</v>
      </c>
      <c r="W280" s="263">
        <f>+SUMIFS(Tabla6[Nominal COP],Tabla6[Concepto],COSTO_OPORTUNIDAD!$B$18,Tabla6[Nemotécnico],COSTO_OPORTUNIDAD!W$16,Tabla6[Fecha Cumplimiento y/ liquidacion],COSTO_OPORTUNIDAD!$C280)/+SUMIFS(Tabla6[Nominal COP],Tabla6[Concepto],COSTO_OPORTUNIDAD!$B$18,Tabla6[Fecha Cumplimiento y/ liquidacion],COSTO_OPORTUNIDAD!$C280)</f>
        <v>0</v>
      </c>
      <c r="X280" s="263">
        <f>+SUMIFS(Tabla6[Nominal COP],Tabla6[Concepto],COSTO_OPORTUNIDAD!$B$18,Tabla6[Nemotécnico],COSTO_OPORTUNIDAD!X$16,Tabla6[Fecha Cumplimiento y/ liquidacion],COSTO_OPORTUNIDAD!$C280)/+SUMIFS(Tabla6[Nominal COP],Tabla6[Concepto],COSTO_OPORTUNIDAD!$B$18,Tabla6[Fecha Cumplimiento y/ liquidacion],COSTO_OPORTUNIDAD!$C280)</f>
        <v>0</v>
      </c>
      <c r="Y280" s="263"/>
      <c r="Z280" s="263">
        <f>+SUMIFS(Tabla6[Nominal COP],Tabla6[Concepto],COSTO_OPORTUNIDAD!$B$18,Tabla6[Nemotécnico],COSTO_OPORTUNIDAD!Z$16,Tabla6[Fecha Cumplimiento y/ liquidacion],COSTO_OPORTUNIDAD!$C280)/+SUMIFS(Tabla6[Nominal COP],Tabla6[Concepto],COSTO_OPORTUNIDAD!$B$18,Tabla6[Fecha Cumplimiento y/ liquidacion],COSTO_OPORTUNIDAD!$C280)</f>
        <v>0</v>
      </c>
      <c r="AA280" s="263">
        <f>+SUMIFS(Tabla6[Nominal COP],Tabla6[Concepto],COSTO_OPORTUNIDAD!$B$18,Tabla6[Nemotécnico],COSTO_OPORTUNIDAD!AA$16,Tabla6[Fecha Cumplimiento y/ liquidacion],COSTO_OPORTUNIDAD!$C280)/+SUMIFS(Tabla6[Nominal COP],Tabla6[Concepto],COSTO_OPORTUNIDAD!$B$18,Tabla6[Fecha Cumplimiento y/ liquidacion],COSTO_OPORTUNIDAD!$C280)</f>
        <v>0</v>
      </c>
      <c r="AB280" s="263">
        <f>+SUMIFS(Tabla6[Nominal COP],Tabla6[Concepto],COSTO_OPORTUNIDAD!$B$18,Tabla6[Nemotécnico],COSTO_OPORTUNIDAD!AB$16,Tabla6[Fecha Cumplimiento y/ liquidacion],COSTO_OPORTUNIDAD!$C280)/+SUMIFS(Tabla6[Nominal COP],Tabla6[Concepto],COSTO_OPORTUNIDAD!$B$18,Tabla6[Fecha Cumplimiento y/ liquidacion],COSTO_OPORTUNIDAD!$C280)</f>
        <v>0</v>
      </c>
      <c r="AC280" s="263">
        <f>+SUMIFS(Tabla6[Nominal COP],Tabla6[Concepto],COSTO_OPORTUNIDAD!$B$18,Tabla6[Nemotécnico],COSTO_OPORTUNIDAD!AC$16,Tabla6[Fecha Cumplimiento y/ liquidacion],COSTO_OPORTUNIDAD!$C280)/+SUMIFS(Tabla6[Nominal COP],Tabla6[Concepto],COSTO_OPORTUNIDAD!$B$18,Tabla6[Fecha Cumplimiento y/ liquidacion],COSTO_OPORTUNIDAD!$C280)</f>
        <v>0</v>
      </c>
      <c r="AD280" s="263">
        <f>+SUMIFS(Tabla6[Nominal COP],Tabla6[Concepto],COSTO_OPORTUNIDAD!$B$18,Tabla6[Nemotécnico],COSTO_OPORTUNIDAD!AC$16,Tabla6[Fecha Cumplimiento y/ liquidacion],COSTO_OPORTUNIDAD!$C280)/+SUMIFS(Tabla6[Nominal COP],Tabla6[Concepto],COSTO_OPORTUNIDAD!$B$18,Tabla6[Fecha Cumplimiento y/ liquidacion],COSTO_OPORTUNIDAD!$C280)</f>
        <v>0</v>
      </c>
      <c r="AE280" s="263">
        <f>+SUMIFS(Tabla6[Nominal COP],Tabla6[Concepto],COSTO_OPORTUNIDAD!$B$18,Tabla6[Nemotécnico],COSTO_OPORTUNIDAD!AE$16,Tabla6[Fecha Cumplimiento y/ liquidacion],COSTO_OPORTUNIDAD!$C280)/+SUMIFS(Tabla6[Nominal COP],Tabla6[Concepto],COSTO_OPORTUNIDAD!$B$18,Tabla6[Fecha Cumplimiento y/ liquidacion],COSTO_OPORTUNIDAD!$C280)</f>
        <v>0</v>
      </c>
      <c r="AF280" s="263">
        <f>+SUMIFS(Tabla6[Nominal COP],Tabla6[Concepto],COSTO_OPORTUNIDAD!$B$18,Tabla6[Nemotécnico],COSTO_OPORTUNIDAD!AF$16,Tabla6[Fecha Cumplimiento y/ liquidacion],COSTO_OPORTUNIDAD!$C280)/+SUMIFS(Tabla6[Nominal COP],Tabla6[Concepto],COSTO_OPORTUNIDAD!$B$18,Tabla6[Fecha Cumplimiento y/ liquidacion],COSTO_OPORTUNIDAD!$C280)</f>
        <v>0</v>
      </c>
      <c r="AH280" s="274">
        <f t="shared" si="275"/>
        <v>532</v>
      </c>
      <c r="AI280" s="274">
        <f t="shared" si="276"/>
        <v>966</v>
      </c>
      <c r="AJ280" s="274">
        <f t="shared" si="277"/>
        <v>1143</v>
      </c>
      <c r="AK280" s="274">
        <f t="shared" si="300"/>
        <v>1624</v>
      </c>
      <c r="AL280" s="274">
        <f t="shared" si="278"/>
        <v>2016</v>
      </c>
      <c r="AM280" s="274">
        <f t="shared" si="279"/>
        <v>2205</v>
      </c>
      <c r="AN280" s="274">
        <f t="shared" si="280"/>
        <v>2667</v>
      </c>
      <c r="AO280" s="274">
        <f t="shared" si="281"/>
        <v>2891</v>
      </c>
      <c r="AP280" s="274">
        <f t="shared" si="282"/>
        <v>3507</v>
      </c>
      <c r="AQ280" s="274"/>
      <c r="AR280" s="274">
        <f t="shared" si="313"/>
        <v>4137</v>
      </c>
      <c r="AS280" s="274">
        <f t="shared" si="301"/>
        <v>5740</v>
      </c>
      <c r="AT280" s="274">
        <f t="shared" si="283"/>
        <v>6286</v>
      </c>
      <c r="AU280" s="274">
        <f t="shared" si="284"/>
        <v>7805</v>
      </c>
      <c r="AV280" s="274">
        <f t="shared" si="285"/>
        <v>9359</v>
      </c>
      <c r="AW280" s="274"/>
      <c r="AX280" s="274">
        <f t="shared" si="286"/>
        <v>56</v>
      </c>
      <c r="AY280" s="274">
        <f t="shared" si="287"/>
        <v>735</v>
      </c>
      <c r="AZ280" s="274">
        <f t="shared" si="267"/>
        <v>1498</v>
      </c>
      <c r="BA280" s="274"/>
      <c r="BB280" s="274">
        <f t="shared" si="314"/>
        <v>2935</v>
      </c>
      <c r="BC280" s="274">
        <f t="shared" si="315"/>
        <v>3675</v>
      </c>
      <c r="BD280" s="274">
        <f t="shared" si="316"/>
        <v>4368</v>
      </c>
      <c r="BE280" s="274">
        <f t="shared" si="288"/>
        <v>5852</v>
      </c>
      <c r="BF280" s="274">
        <f t="shared" si="317"/>
        <v>8862</v>
      </c>
      <c r="BG280" s="274">
        <f t="shared" si="289"/>
        <v>11025</v>
      </c>
      <c r="BH280" s="274">
        <f t="shared" si="308"/>
        <v>13475</v>
      </c>
      <c r="BI280" s="266">
        <f t="shared" si="318"/>
        <v>0</v>
      </c>
      <c r="BJ280" s="266">
        <f t="shared" si="319"/>
        <v>1</v>
      </c>
      <c r="BK280" s="263">
        <f t="shared" si="320"/>
        <v>0</v>
      </c>
      <c r="BL280" s="263">
        <f t="shared" si="321"/>
        <v>0</v>
      </c>
      <c r="BM280" s="263">
        <f t="shared" si="322"/>
        <v>0</v>
      </c>
      <c r="BN280" s="263"/>
      <c r="BO280" s="263">
        <f t="shared" si="323"/>
        <v>0</v>
      </c>
      <c r="BP280" s="263">
        <f t="shared" si="324"/>
        <v>0</v>
      </c>
      <c r="BQ280" s="263">
        <f t="shared" si="325"/>
        <v>0</v>
      </c>
      <c r="BR280" s="263">
        <f t="shared" si="326"/>
        <v>0</v>
      </c>
      <c r="BS280" s="263">
        <f t="shared" si="327"/>
        <v>0</v>
      </c>
      <c r="BT280" s="263">
        <f t="shared" si="328"/>
        <v>0</v>
      </c>
      <c r="BU280" s="263">
        <f t="shared" si="329"/>
        <v>0</v>
      </c>
      <c r="BV280" s="263"/>
      <c r="BW280" s="263">
        <f t="shared" si="330"/>
        <v>0</v>
      </c>
      <c r="BX280" s="263">
        <f t="shared" si="337"/>
        <v>1</v>
      </c>
      <c r="BY280" s="263">
        <f t="shared" si="331"/>
        <v>0</v>
      </c>
      <c r="BZ280" s="263"/>
      <c r="CA280" s="263" t="str">
        <f t="shared" si="254"/>
        <v/>
      </c>
      <c r="CB280" s="263" t="str">
        <f t="shared" si="332"/>
        <v/>
      </c>
      <c r="CC280" s="263" t="str">
        <f t="shared" si="255"/>
        <v/>
      </c>
      <c r="CD280" s="263" t="str">
        <f t="shared" si="333"/>
        <v/>
      </c>
      <c r="CE280" s="263" t="str">
        <f t="shared" si="241"/>
        <v/>
      </c>
      <c r="CF280" s="263" t="str">
        <f t="shared" si="256"/>
        <v/>
      </c>
      <c r="CG280" s="263" t="str">
        <f t="shared" si="257"/>
        <v/>
      </c>
      <c r="CH280" s="263" t="str">
        <f t="shared" si="290"/>
        <v/>
      </c>
      <c r="CI280" s="263" t="str">
        <f t="shared" si="334"/>
        <v/>
      </c>
      <c r="CJ280" s="263" t="str">
        <f t="shared" si="291"/>
        <v/>
      </c>
      <c r="CK280" s="263" t="str">
        <f t="shared" si="335"/>
        <v/>
      </c>
      <c r="CL280" s="264">
        <f t="shared" si="338"/>
        <v>7805</v>
      </c>
      <c r="CM280" s="264">
        <f t="shared" si="292"/>
        <v>0</v>
      </c>
      <c r="CO280" s="265">
        <v>8.8900000000000007E-2</v>
      </c>
      <c r="CP280" s="265">
        <v>9.4299999999999995E-2</v>
      </c>
      <c r="CQ280" s="265">
        <v>9.8900000000000002E-2</v>
      </c>
      <c r="CS280" s="265">
        <v>0.10715</v>
      </c>
      <c r="CT280" s="265">
        <v>0.11029</v>
      </c>
      <c r="CU280" s="265">
        <v>0.11279</v>
      </c>
      <c r="CV280" s="265">
        <v>0.11425</v>
      </c>
      <c r="CW280" s="265">
        <v>0.11599999999999999</v>
      </c>
      <c r="CY280" s="265">
        <v>0.11862</v>
      </c>
      <c r="DA280" s="265">
        <v>0.12201000000000001</v>
      </c>
      <c r="DB280" s="265">
        <v>0.12509999999999999</v>
      </c>
      <c r="DC280" s="265">
        <v>0.12408</v>
      </c>
      <c r="DE280" s="265">
        <v>4.6820000000000001E-2</v>
      </c>
      <c r="DF280" s="265">
        <v>5.2389999999999999E-2</v>
      </c>
      <c r="DH280" s="265">
        <v>5.4900000000000004E-2</v>
      </c>
      <c r="DI280" s="265">
        <v>5.5800000000000002E-2</v>
      </c>
      <c r="DJ280" s="265">
        <v>5.7000000000000002E-2</v>
      </c>
      <c r="DK280" s="265">
        <v>5.74E-2</v>
      </c>
      <c r="DL280" s="265">
        <v>5.3600000000000002E-2</v>
      </c>
      <c r="DM280" s="265">
        <v>5.3699999999999998E-2</v>
      </c>
      <c r="DO280" s="264">
        <f t="shared" si="268"/>
        <v>7805</v>
      </c>
      <c r="DP280" s="264" cm="1">
        <f t="array" ref="DP280">+INDEX(AH280:AV280,MATCH(DO280,AH280:AV280,1)+1)</f>
        <v>9359</v>
      </c>
      <c r="DQ280" s="265">
        <f t="shared" si="269"/>
        <v>0.12509999999999999</v>
      </c>
      <c r="DR280" s="267">
        <f t="shared" si="270"/>
        <v>0.12408</v>
      </c>
      <c r="DS280" s="267">
        <f t="shared" si="297"/>
        <v>0.12509999999999999</v>
      </c>
      <c r="DT280" s="268" t="e">
        <f t="shared" si="293"/>
        <v>#N/A</v>
      </c>
      <c r="DU280" s="268" t="e" cm="1">
        <f t="array" ref="DU280">+INDEX(AX280:BG280,MATCH(DT280,AX280:BG280,1)+1)</f>
        <v>#N/A</v>
      </c>
      <c r="DV280" s="267" t="e">
        <f t="shared" si="249"/>
        <v>#N/A</v>
      </c>
      <c r="DW280" s="267" t="e">
        <f t="shared" si="294"/>
        <v>#N/A</v>
      </c>
      <c r="DX280" s="267" t="e">
        <f t="shared" ref="DX280:DX304" si="345">ROUND(DV280+((CM280-DT280)/(DU280-DT280))*(DW280-DV280),5)</f>
        <v>#N/A</v>
      </c>
      <c r="DY280" s="267">
        <f t="shared" si="341"/>
        <v>5.28E-2</v>
      </c>
      <c r="DZ280" s="205" t="e">
        <f t="shared" si="344"/>
        <v>#N/A</v>
      </c>
      <c r="EA280" s="205">
        <f t="shared" si="252"/>
        <v>0.12509999999999999</v>
      </c>
    </row>
    <row r="281" spans="2:131">
      <c r="B281" s="272">
        <v>45729</v>
      </c>
      <c r="C281" s="271">
        <f t="shared" si="343"/>
        <v>45729</v>
      </c>
      <c r="D281" s="263">
        <f>+SUMIFS(Tabla6[Nominal COP],Tabla6[Concepto],COSTO_OPORTUNIDAD!$B$18,Tabla6[Nemotécnico],COSTO_OPORTUNIDAD!D$16,Tabla6[Fecha Cumplimiento y/ liquidacion],COSTO_OPORTUNIDAD!$C281)/+SUMIFS(Tabla6[Nominal COP],Tabla6[Concepto],COSTO_OPORTUNIDAD!$B$18,Tabla6[Fecha Cumplimiento y/ liquidacion],COSTO_OPORTUNIDAD!$C281)</f>
        <v>0</v>
      </c>
      <c r="E281" s="263">
        <f>+SUMIFS(Tabla6[Nominal COP],Tabla6[Concepto],COSTO_OPORTUNIDAD!$B$18,Tabla6[Nemotécnico],COSTO_OPORTUNIDAD!E$16,Tabla6[Fecha Cumplimiento y/ liquidacion],COSTO_OPORTUNIDAD!$C281)/+SUMIFS(Tabla6[Nominal COP],Tabla6[Concepto],COSTO_OPORTUNIDAD!$B$18,Tabla6[Fecha Cumplimiento y/ liquidacion],COSTO_OPORTUNIDAD!$C281)</f>
        <v>0</v>
      </c>
      <c r="F281" s="263">
        <f>+SUMIFS(Tabla6[Nominal COP],Tabla6[Concepto],COSTO_OPORTUNIDAD!$B$18,Tabla6[Nemotécnico],COSTO_OPORTUNIDAD!F$16,Tabla6[Fecha Cumplimiento y/ liquidacion],COSTO_OPORTUNIDAD!$C281)/+SUMIFS(Tabla6[Nominal COP],Tabla6[Concepto],COSTO_OPORTUNIDAD!$B$18,Tabla6[Fecha Cumplimiento y/ liquidacion],COSTO_OPORTUNIDAD!$C281)</f>
        <v>0</v>
      </c>
      <c r="G281" s="263">
        <f>+SUMIFS(Tabla6[Nominal COP],Tabla6[Concepto],COSTO_OPORTUNIDAD!$B$18,Tabla6[Nemotécnico],COSTO_OPORTUNIDAD!G$16,Tabla6[Fecha Cumplimiento y/ liquidacion],COSTO_OPORTUNIDAD!$C281)/+SUMIFS(Tabla6[Nominal COP],Tabla6[Concepto],COSTO_OPORTUNIDAD!$B$18,Tabla6[Fecha Cumplimiento y/ liquidacion],COSTO_OPORTUNIDAD!$C281)</f>
        <v>0</v>
      </c>
      <c r="H281" s="263">
        <f>+SUMIFS(Tabla6[Nominal COP],Tabla6[Concepto],COSTO_OPORTUNIDAD!$B$18,Tabla6[Nemotécnico],COSTO_OPORTUNIDAD!H$16,Tabla6[Fecha Cumplimiento y/ liquidacion],COSTO_OPORTUNIDAD!$C281)/+SUMIFS(Tabla6[Nominal COP],Tabla6[Concepto],COSTO_OPORTUNIDAD!$B$18,Tabla6[Fecha Cumplimiento y/ liquidacion],COSTO_OPORTUNIDAD!$C281)</f>
        <v>0</v>
      </c>
      <c r="I281" s="263"/>
      <c r="J281" s="263">
        <f>+SUMIFS(Tabla6[Nominal COP],Tabla6[Concepto],COSTO_OPORTUNIDAD!$B$18,Tabla6[Nemotécnico],COSTO_OPORTUNIDAD!J$16,Tabla6[Fecha Cumplimiento y/ liquidacion],COSTO_OPORTUNIDAD!$C281)/+SUMIFS(Tabla6[Nominal COP],Tabla6[Concepto],COSTO_OPORTUNIDAD!$B$18,Tabla6[Fecha Cumplimiento y/ liquidacion],COSTO_OPORTUNIDAD!$C281)</f>
        <v>0</v>
      </c>
      <c r="K281" s="263">
        <f>+SUMIFS(Tabla6[Nominal COP],Tabla6[Concepto],COSTO_OPORTUNIDAD!$B$18,Tabla6[Nemotécnico],COSTO_OPORTUNIDAD!K$16,Tabla6[Fecha Cumplimiento y/ liquidacion],COSTO_OPORTUNIDAD!$C281)/+SUMIFS(Tabla6[Nominal COP],Tabla6[Concepto],COSTO_OPORTUNIDAD!$B$18,Tabla6[Fecha Cumplimiento y/ liquidacion],COSTO_OPORTUNIDAD!$C281)</f>
        <v>0</v>
      </c>
      <c r="L281" s="263">
        <f>+SUMIFS(Tabla6[Nominal COP],Tabla6[Concepto],COSTO_OPORTUNIDAD!$B$18,Tabla6[Nemotécnico],COSTO_OPORTUNIDAD!L$16,Tabla6[Fecha Cumplimiento y/ liquidacion],COSTO_OPORTUNIDAD!$C281)/+SUMIFS(Tabla6[Nominal COP],Tabla6[Concepto],COSTO_OPORTUNIDAD!$B$18,Tabla6[Fecha Cumplimiento y/ liquidacion],COSTO_OPORTUNIDAD!$C281)</f>
        <v>0</v>
      </c>
      <c r="M281" s="263">
        <f>+SUMIFS(Tabla6[Nominal COP],Tabla6[Concepto],COSTO_OPORTUNIDAD!$B$18,Tabla6[Nemotécnico],COSTO_OPORTUNIDAD!M$16,Tabla6[Fecha Cumplimiento y/ liquidacion],COSTO_OPORTUNIDAD!$C281)/+SUMIFS(Tabla6[Nominal COP],Tabla6[Concepto],COSTO_OPORTUNIDAD!$B$18,Tabla6[Fecha Cumplimiento y/ liquidacion],COSTO_OPORTUNIDAD!$C281)</f>
        <v>0</v>
      </c>
      <c r="N281" s="263">
        <f>+SUMIFS(Tabla6[Nominal COP],Tabla6[Concepto],COSTO_OPORTUNIDAD!$B$18,Tabla6[Nemotécnico],COSTO_OPORTUNIDAD!N$16,Tabla6[Fecha Cumplimiento y/ liquidacion],COSTO_OPORTUNIDAD!$C281)/+SUMIFS(Tabla6[Nominal COP],Tabla6[Concepto],COSTO_OPORTUNIDAD!$B$18,Tabla6[Fecha Cumplimiento y/ liquidacion],COSTO_OPORTUNIDAD!$C281)</f>
        <v>0</v>
      </c>
      <c r="O281" s="263"/>
      <c r="P281" s="263">
        <f>+SUMIFS(Tabla6[Nominal COP],Tabla6[Concepto],COSTO_OPORTUNIDAD!$B$18,Tabla6[Nemotécnico],COSTO_OPORTUNIDAD!P$16,Tabla6[Fecha Cumplimiento y/ liquidacion],COSTO_OPORTUNIDAD!$C281)/+SUMIFS(Tabla6[Nominal COP],Tabla6[Concepto],COSTO_OPORTUNIDAD!$B$18,Tabla6[Fecha Cumplimiento y/ liquidacion],COSTO_OPORTUNIDAD!$C281)</f>
        <v>0</v>
      </c>
      <c r="Q281" s="263"/>
      <c r="R281" s="263">
        <f>+SUMIFS(Tabla6[Nominal COP],Tabla6[Concepto],COSTO_OPORTUNIDAD!$B$18,Tabla6[Nemotécnico],COSTO_OPORTUNIDAD!R$16,Tabla6[Fecha Cumplimiento y/ liquidacion],COSTO_OPORTUNIDAD!$C281)/+SUMIFS(Tabla6[Nominal COP],Tabla6[Concepto],COSTO_OPORTUNIDAD!$B$18,Tabla6[Fecha Cumplimiento y/ liquidacion],COSTO_OPORTUNIDAD!$C281)</f>
        <v>0</v>
      </c>
      <c r="S281" s="263">
        <f>+SUMIFS(Tabla6[Nominal COP],Tabla6[Concepto],COSTO_OPORTUNIDAD!$B$18,Tabla6[Nemotécnico],COSTO_OPORTUNIDAD!S$16,Tabla6[Fecha Cumplimiento y/ liquidacion],COSTO_OPORTUNIDAD!$C281)/+SUMIFS(Tabla6[Nominal COP],Tabla6[Concepto],COSTO_OPORTUNIDAD!$B$18,Tabla6[Fecha Cumplimiento y/ liquidacion],COSTO_OPORTUNIDAD!$C281)</f>
        <v>1</v>
      </c>
      <c r="T281" s="263">
        <f>+SUMIFS(Tabla6[Nominal COP],Tabla6[Concepto],COSTO_OPORTUNIDAD!$B$18,Tabla6[Nemotécnico],COSTO_OPORTUNIDAD!T$16,Tabla6[Fecha Cumplimiento y/ liquidacion],COSTO_OPORTUNIDAD!$C281)/+SUMIFS(Tabla6[Nominal COP],Tabla6[Concepto],COSTO_OPORTUNIDAD!$B$18,Tabla6[Fecha Cumplimiento y/ liquidacion],COSTO_OPORTUNIDAD!$C281)</f>
        <v>0</v>
      </c>
      <c r="U281" s="263"/>
      <c r="V281" s="263">
        <f>+SUMIFS(Tabla6[Nominal COP],Tabla6[Concepto],COSTO_OPORTUNIDAD!$B$18,Tabla6[Nemotécnico],COSTO_OPORTUNIDAD!V$16,Tabla6[Fecha Cumplimiento y/ liquidacion],COSTO_OPORTUNIDAD!$C281)/+SUMIFS(Tabla6[Nominal COP],Tabla6[Concepto],COSTO_OPORTUNIDAD!$B$18,Tabla6[Fecha Cumplimiento y/ liquidacion],COSTO_OPORTUNIDAD!$C281)</f>
        <v>0</v>
      </c>
      <c r="W281" s="263">
        <f>+SUMIFS(Tabla6[Nominal COP],Tabla6[Concepto],COSTO_OPORTUNIDAD!$B$18,Tabla6[Nemotécnico],COSTO_OPORTUNIDAD!W$16,Tabla6[Fecha Cumplimiento y/ liquidacion],COSTO_OPORTUNIDAD!$C281)/+SUMIFS(Tabla6[Nominal COP],Tabla6[Concepto],COSTO_OPORTUNIDAD!$B$18,Tabla6[Fecha Cumplimiento y/ liquidacion],COSTO_OPORTUNIDAD!$C281)</f>
        <v>0</v>
      </c>
      <c r="X281" s="263">
        <f>+SUMIFS(Tabla6[Nominal COP],Tabla6[Concepto],COSTO_OPORTUNIDAD!$B$18,Tabla6[Nemotécnico],COSTO_OPORTUNIDAD!X$16,Tabla6[Fecha Cumplimiento y/ liquidacion],COSTO_OPORTUNIDAD!$C281)/+SUMIFS(Tabla6[Nominal COP],Tabla6[Concepto],COSTO_OPORTUNIDAD!$B$18,Tabla6[Fecha Cumplimiento y/ liquidacion],COSTO_OPORTUNIDAD!$C281)</f>
        <v>0</v>
      </c>
      <c r="Y281" s="263"/>
      <c r="Z281" s="263">
        <f>+SUMIFS(Tabla6[Nominal COP],Tabla6[Concepto],COSTO_OPORTUNIDAD!$B$18,Tabla6[Nemotécnico],COSTO_OPORTUNIDAD!Z$16,Tabla6[Fecha Cumplimiento y/ liquidacion],COSTO_OPORTUNIDAD!$C281)/+SUMIFS(Tabla6[Nominal COP],Tabla6[Concepto],COSTO_OPORTUNIDAD!$B$18,Tabla6[Fecha Cumplimiento y/ liquidacion],COSTO_OPORTUNIDAD!$C281)</f>
        <v>0</v>
      </c>
      <c r="AA281" s="263">
        <f>+SUMIFS(Tabla6[Nominal COP],Tabla6[Concepto],COSTO_OPORTUNIDAD!$B$18,Tabla6[Nemotécnico],COSTO_OPORTUNIDAD!AA$16,Tabla6[Fecha Cumplimiento y/ liquidacion],COSTO_OPORTUNIDAD!$C281)/+SUMIFS(Tabla6[Nominal COP],Tabla6[Concepto],COSTO_OPORTUNIDAD!$B$18,Tabla6[Fecha Cumplimiento y/ liquidacion],COSTO_OPORTUNIDAD!$C281)</f>
        <v>0</v>
      </c>
      <c r="AB281" s="263">
        <f>+SUMIFS(Tabla6[Nominal COP],Tabla6[Concepto],COSTO_OPORTUNIDAD!$B$18,Tabla6[Nemotécnico],COSTO_OPORTUNIDAD!AB$16,Tabla6[Fecha Cumplimiento y/ liquidacion],COSTO_OPORTUNIDAD!$C281)/+SUMIFS(Tabla6[Nominal COP],Tabla6[Concepto],COSTO_OPORTUNIDAD!$B$18,Tabla6[Fecha Cumplimiento y/ liquidacion],COSTO_OPORTUNIDAD!$C281)</f>
        <v>0</v>
      </c>
      <c r="AC281" s="263">
        <f>+SUMIFS(Tabla6[Nominal COP],Tabla6[Concepto],COSTO_OPORTUNIDAD!$B$18,Tabla6[Nemotécnico],COSTO_OPORTUNIDAD!AC$16,Tabla6[Fecha Cumplimiento y/ liquidacion],COSTO_OPORTUNIDAD!$C281)/+SUMIFS(Tabla6[Nominal COP],Tabla6[Concepto],COSTO_OPORTUNIDAD!$B$18,Tabla6[Fecha Cumplimiento y/ liquidacion],COSTO_OPORTUNIDAD!$C281)</f>
        <v>0</v>
      </c>
      <c r="AD281" s="263">
        <f>+SUMIFS(Tabla6[Nominal COP],Tabla6[Concepto],COSTO_OPORTUNIDAD!$B$18,Tabla6[Nemotécnico],COSTO_OPORTUNIDAD!AC$16,Tabla6[Fecha Cumplimiento y/ liquidacion],COSTO_OPORTUNIDAD!$C281)/+SUMIFS(Tabla6[Nominal COP],Tabla6[Concepto],COSTO_OPORTUNIDAD!$B$18,Tabla6[Fecha Cumplimiento y/ liquidacion],COSTO_OPORTUNIDAD!$C281)</f>
        <v>0</v>
      </c>
      <c r="AE281" s="263">
        <f>+SUMIFS(Tabla6[Nominal COP],Tabla6[Concepto],COSTO_OPORTUNIDAD!$B$18,Tabla6[Nemotécnico],COSTO_OPORTUNIDAD!AE$16,Tabla6[Fecha Cumplimiento y/ liquidacion],COSTO_OPORTUNIDAD!$C281)/+SUMIFS(Tabla6[Nominal COP],Tabla6[Concepto],COSTO_OPORTUNIDAD!$B$18,Tabla6[Fecha Cumplimiento y/ liquidacion],COSTO_OPORTUNIDAD!$C281)</f>
        <v>0</v>
      </c>
      <c r="AF281" s="263">
        <f>+SUMIFS(Tabla6[Nominal COP],Tabla6[Concepto],COSTO_OPORTUNIDAD!$B$18,Tabla6[Nemotécnico],COSTO_OPORTUNIDAD!AF$16,Tabla6[Fecha Cumplimiento y/ liquidacion],COSTO_OPORTUNIDAD!$C281)/+SUMIFS(Tabla6[Nominal COP],Tabla6[Concepto],COSTO_OPORTUNIDAD!$B$18,Tabla6[Fecha Cumplimiento y/ liquidacion],COSTO_OPORTUNIDAD!$C281)</f>
        <v>0</v>
      </c>
      <c r="AH281" s="274">
        <f t="shared" si="275"/>
        <v>531</v>
      </c>
      <c r="AI281" s="274">
        <f t="shared" si="276"/>
        <v>965</v>
      </c>
      <c r="AJ281" s="274">
        <f t="shared" si="277"/>
        <v>1142</v>
      </c>
      <c r="AK281" s="274">
        <f t="shared" si="300"/>
        <v>1623</v>
      </c>
      <c r="AL281" s="274">
        <f t="shared" si="278"/>
        <v>2015</v>
      </c>
      <c r="AM281" s="274">
        <f t="shared" si="279"/>
        <v>2204</v>
      </c>
      <c r="AN281" s="274">
        <f t="shared" si="280"/>
        <v>2666</v>
      </c>
      <c r="AO281" s="274">
        <f t="shared" si="281"/>
        <v>2890</v>
      </c>
      <c r="AP281" s="274">
        <f t="shared" si="282"/>
        <v>3506</v>
      </c>
      <c r="AQ281" s="274"/>
      <c r="AR281" s="274">
        <f t="shared" si="313"/>
        <v>4136</v>
      </c>
      <c r="AS281" s="274">
        <f t="shared" si="301"/>
        <v>5739</v>
      </c>
      <c r="AT281" s="274">
        <f t="shared" si="283"/>
        <v>6285</v>
      </c>
      <c r="AU281" s="274">
        <f t="shared" si="284"/>
        <v>7804</v>
      </c>
      <c r="AV281" s="274">
        <f t="shared" si="285"/>
        <v>9358</v>
      </c>
      <c r="AW281" s="274"/>
      <c r="AX281" s="274">
        <f t="shared" si="286"/>
        <v>55</v>
      </c>
      <c r="AY281" s="274">
        <f t="shared" si="287"/>
        <v>734</v>
      </c>
      <c r="AZ281" s="274">
        <f t="shared" si="267"/>
        <v>1497</v>
      </c>
      <c r="BA281" s="274"/>
      <c r="BB281" s="274">
        <f t="shared" si="314"/>
        <v>2934</v>
      </c>
      <c r="BC281" s="274">
        <f t="shared" si="315"/>
        <v>3674</v>
      </c>
      <c r="BD281" s="274">
        <f t="shared" si="316"/>
        <v>4367</v>
      </c>
      <c r="BE281" s="274">
        <f t="shared" si="288"/>
        <v>5851</v>
      </c>
      <c r="BF281" s="274">
        <f t="shared" si="317"/>
        <v>8861</v>
      </c>
      <c r="BG281" s="274">
        <f t="shared" si="289"/>
        <v>11024</v>
      </c>
      <c r="BH281" s="274">
        <f t="shared" si="308"/>
        <v>13474</v>
      </c>
      <c r="BI281" s="266">
        <f t="shared" si="318"/>
        <v>0</v>
      </c>
      <c r="BJ281" s="266">
        <f t="shared" si="319"/>
        <v>1</v>
      </c>
      <c r="BK281" s="263">
        <f t="shared" si="320"/>
        <v>0</v>
      </c>
      <c r="BL281" s="263">
        <f t="shared" si="321"/>
        <v>0</v>
      </c>
      <c r="BM281" s="263">
        <f t="shared" si="322"/>
        <v>0</v>
      </c>
      <c r="BN281" s="263"/>
      <c r="BO281" s="263">
        <f t="shared" si="323"/>
        <v>0</v>
      </c>
      <c r="BP281" s="263">
        <f t="shared" si="324"/>
        <v>0</v>
      </c>
      <c r="BQ281" s="263">
        <f t="shared" si="325"/>
        <v>0</v>
      </c>
      <c r="BR281" s="263">
        <f t="shared" si="326"/>
        <v>0</v>
      </c>
      <c r="BS281" s="263">
        <f t="shared" si="327"/>
        <v>0</v>
      </c>
      <c r="BT281" s="263">
        <f t="shared" si="328"/>
        <v>0</v>
      </c>
      <c r="BU281" s="263">
        <f t="shared" si="329"/>
        <v>0</v>
      </c>
      <c r="BV281" s="263"/>
      <c r="BW281" s="263">
        <f t="shared" si="330"/>
        <v>0</v>
      </c>
      <c r="BX281" s="263">
        <f t="shared" si="337"/>
        <v>1</v>
      </c>
      <c r="BY281" s="263">
        <f t="shared" si="331"/>
        <v>0</v>
      </c>
      <c r="BZ281" s="263"/>
      <c r="CA281" s="263" t="str">
        <f t="shared" si="254"/>
        <v/>
      </c>
      <c r="CB281" s="263" t="str">
        <f t="shared" si="332"/>
        <v/>
      </c>
      <c r="CC281" s="263" t="str">
        <f t="shared" si="255"/>
        <v/>
      </c>
      <c r="CD281" s="263" t="str">
        <f t="shared" si="333"/>
        <v/>
      </c>
      <c r="CE281" s="263" t="str">
        <f t="shared" ref="CE281:CE304" si="346">IFERROR(Z281/$BI281,"")</f>
        <v/>
      </c>
      <c r="CF281" s="263" t="str">
        <f t="shared" si="256"/>
        <v/>
      </c>
      <c r="CG281" s="263" t="str">
        <f t="shared" si="257"/>
        <v/>
      </c>
      <c r="CH281" s="263" t="str">
        <f t="shared" si="290"/>
        <v/>
      </c>
      <c r="CI281" s="263" t="str">
        <f t="shared" si="334"/>
        <v/>
      </c>
      <c r="CJ281" s="263" t="str">
        <f t="shared" si="291"/>
        <v/>
      </c>
      <c r="CK281" s="263" t="str">
        <f t="shared" si="335"/>
        <v/>
      </c>
      <c r="CL281" s="264">
        <f t="shared" si="338"/>
        <v>7804</v>
      </c>
      <c r="CM281" s="264">
        <f t="shared" si="292"/>
        <v>0</v>
      </c>
      <c r="CO281" s="265">
        <v>8.8849999999999998E-2</v>
      </c>
      <c r="CP281" s="265">
        <v>9.4320000000000001E-2</v>
      </c>
      <c r="CQ281" s="265">
        <v>9.8680000000000004E-2</v>
      </c>
      <c r="CS281" s="265">
        <v>0.10705000000000001</v>
      </c>
      <c r="CT281" s="265">
        <v>0.11021</v>
      </c>
      <c r="CU281" s="265">
        <v>0.11275</v>
      </c>
      <c r="CV281" s="265">
        <v>0.11410000000000001</v>
      </c>
      <c r="CW281" s="265">
        <v>0.1162</v>
      </c>
      <c r="CY281" s="265">
        <v>0.11871999999999999</v>
      </c>
      <c r="DA281" s="265">
        <v>0.12230000000000001</v>
      </c>
      <c r="DB281" s="265">
        <v>0.12533</v>
      </c>
      <c r="DC281" s="265">
        <v>0.12414</v>
      </c>
      <c r="DE281" s="265">
        <v>4.718E-2</v>
      </c>
      <c r="DF281" s="265">
        <v>5.2300000000000006E-2</v>
      </c>
      <c r="DH281" s="265">
        <v>5.4600000000000003E-2</v>
      </c>
      <c r="DI281" s="265">
        <v>5.5399999999999998E-2</v>
      </c>
      <c r="DJ281" s="265">
        <v>5.6710000000000003E-2</v>
      </c>
      <c r="DK281" s="265">
        <v>5.7279999999999998E-2</v>
      </c>
      <c r="DL281" s="265">
        <v>5.3460000000000001E-2</v>
      </c>
      <c r="DM281" s="265">
        <v>5.3449999999999998E-2</v>
      </c>
      <c r="DO281" s="264">
        <f t="shared" si="268"/>
        <v>7804</v>
      </c>
      <c r="DP281" s="264" cm="1">
        <f t="array" ref="DP281">+INDEX(AH281:AV281,MATCH(DO281,AH281:AV281,1)+1)</f>
        <v>9358</v>
      </c>
      <c r="DQ281" s="265">
        <f t="shared" si="269"/>
        <v>0.12533</v>
      </c>
      <c r="DR281" s="267">
        <f t="shared" si="270"/>
        <v>0.12414</v>
      </c>
      <c r="DS281" s="267">
        <f t="shared" si="297"/>
        <v>0.12533</v>
      </c>
      <c r="DT281" s="268" t="e">
        <f t="shared" si="293"/>
        <v>#N/A</v>
      </c>
      <c r="DU281" s="268" t="e" cm="1">
        <f t="array" ref="DU281">+INDEX(AX281:BG281,MATCH(DT281,AX281:BG281,1)+1)</f>
        <v>#N/A</v>
      </c>
      <c r="DV281" s="267" t="e">
        <f t="shared" si="249"/>
        <v>#N/A</v>
      </c>
      <c r="DW281" s="267" t="e">
        <f t="shared" si="294"/>
        <v>#N/A</v>
      </c>
      <c r="DX281" s="267" t="e">
        <f t="shared" si="345"/>
        <v>#N/A</v>
      </c>
      <c r="DY281" s="267">
        <f t="shared" si="341"/>
        <v>5.28E-2</v>
      </c>
      <c r="DZ281" s="205" t="e">
        <f t="shared" ref="DZ281" si="347">+(1+DX281)*(1+DY281)-1</f>
        <v>#N/A</v>
      </c>
      <c r="EA281" s="205">
        <f t="shared" si="252"/>
        <v>0.12533</v>
      </c>
    </row>
    <row r="282" spans="2:131">
      <c r="B282" s="272">
        <v>45785</v>
      </c>
      <c r="C282" s="271">
        <f t="shared" si="343"/>
        <v>45785</v>
      </c>
      <c r="D282" s="263">
        <f>+SUMIFS(Tabla6[Nominal COP],Tabla6[Concepto],COSTO_OPORTUNIDAD!$B$18,Tabla6[Nemotécnico],COSTO_OPORTUNIDAD!D$16,Tabla6[Fecha Cumplimiento y/ liquidacion],COSTO_OPORTUNIDAD!$C282)/+SUMIFS(Tabla6[Nominal COP],Tabla6[Concepto],COSTO_OPORTUNIDAD!$B$18,Tabla6[Fecha Cumplimiento y/ liquidacion],COSTO_OPORTUNIDAD!$C282)</f>
        <v>0</v>
      </c>
      <c r="E282" s="263">
        <f>+SUMIFS(Tabla6[Nominal COP],Tabla6[Concepto],COSTO_OPORTUNIDAD!$B$18,Tabla6[Nemotécnico],COSTO_OPORTUNIDAD!E$16,Tabla6[Fecha Cumplimiento y/ liquidacion],COSTO_OPORTUNIDAD!$C282)/+SUMIFS(Tabla6[Nominal COP],Tabla6[Concepto],COSTO_OPORTUNIDAD!$B$18,Tabla6[Fecha Cumplimiento y/ liquidacion],COSTO_OPORTUNIDAD!$C282)</f>
        <v>0</v>
      </c>
      <c r="F282" s="263">
        <f>+SUMIFS(Tabla6[Nominal COP],Tabla6[Concepto],COSTO_OPORTUNIDAD!$B$18,Tabla6[Nemotécnico],COSTO_OPORTUNIDAD!F$16,Tabla6[Fecha Cumplimiento y/ liquidacion],COSTO_OPORTUNIDAD!$C282)/+SUMIFS(Tabla6[Nominal COP],Tabla6[Concepto],COSTO_OPORTUNIDAD!$B$18,Tabla6[Fecha Cumplimiento y/ liquidacion],COSTO_OPORTUNIDAD!$C282)</f>
        <v>0</v>
      </c>
      <c r="G282" s="263">
        <f>+SUMIFS(Tabla6[Nominal COP],Tabla6[Concepto],COSTO_OPORTUNIDAD!$B$18,Tabla6[Nemotécnico],COSTO_OPORTUNIDAD!G$16,Tabla6[Fecha Cumplimiento y/ liquidacion],COSTO_OPORTUNIDAD!$C282)/+SUMIFS(Tabla6[Nominal COP],Tabla6[Concepto],COSTO_OPORTUNIDAD!$B$18,Tabla6[Fecha Cumplimiento y/ liquidacion],COSTO_OPORTUNIDAD!$C282)</f>
        <v>0</v>
      </c>
      <c r="H282" s="263">
        <f>+SUMIFS(Tabla6[Nominal COP],Tabla6[Concepto],COSTO_OPORTUNIDAD!$B$18,Tabla6[Nemotécnico],COSTO_OPORTUNIDAD!H$16,Tabla6[Fecha Cumplimiento y/ liquidacion],COSTO_OPORTUNIDAD!$C282)/+SUMIFS(Tabla6[Nominal COP],Tabla6[Concepto],COSTO_OPORTUNIDAD!$B$18,Tabla6[Fecha Cumplimiento y/ liquidacion],COSTO_OPORTUNIDAD!$C282)</f>
        <v>0</v>
      </c>
      <c r="I282" s="263">
        <f>+SUMIFS(Tabla6[Nominal COP],Tabla6[Concepto],COSTO_OPORTUNIDAD!$B$18,Tabla6[Nemotécnico],COSTO_OPORTUNIDAD!I$16,Tabla6[Fecha Cumplimiento y/ liquidacion],COSTO_OPORTUNIDAD!$C282)/+SUMIFS(Tabla6[Nominal COP],Tabla6[Concepto],COSTO_OPORTUNIDAD!$B$18,Tabla6[Fecha Cumplimiento y/ liquidacion],COSTO_OPORTUNIDAD!$C282)</f>
        <v>0.78644067796610173</v>
      </c>
      <c r="J282" s="263">
        <f>+SUMIFS(Tabla6[Nominal COP],Tabla6[Concepto],COSTO_OPORTUNIDAD!$B$18,Tabla6[Nemotécnico],COSTO_OPORTUNIDAD!J$16,Tabla6[Fecha Cumplimiento y/ liquidacion],COSTO_OPORTUNIDAD!$C282)/+SUMIFS(Tabla6[Nominal COP],Tabla6[Concepto],COSTO_OPORTUNIDAD!$B$18,Tabla6[Fecha Cumplimiento y/ liquidacion],COSTO_OPORTUNIDAD!$C282)</f>
        <v>0</v>
      </c>
      <c r="K282" s="263">
        <f>+SUMIFS(Tabla6[Nominal COP],Tabla6[Concepto],COSTO_OPORTUNIDAD!$B$18,Tabla6[Nemotécnico],COSTO_OPORTUNIDAD!K$16,Tabla6[Fecha Cumplimiento y/ liquidacion],COSTO_OPORTUNIDAD!$C282)/+SUMIFS(Tabla6[Nominal COP],Tabla6[Concepto],COSTO_OPORTUNIDAD!$B$18,Tabla6[Fecha Cumplimiento y/ liquidacion],COSTO_OPORTUNIDAD!$C282)</f>
        <v>0.2135593220338983</v>
      </c>
      <c r="L282" s="263">
        <f>+SUMIFS(Tabla6[Nominal COP],Tabla6[Concepto],COSTO_OPORTUNIDAD!$B$18,Tabla6[Nemotécnico],COSTO_OPORTUNIDAD!L$16,Tabla6[Fecha Cumplimiento y/ liquidacion],COSTO_OPORTUNIDAD!$C282)/+SUMIFS(Tabla6[Nominal COP],Tabla6[Concepto],COSTO_OPORTUNIDAD!$B$18,Tabla6[Fecha Cumplimiento y/ liquidacion],COSTO_OPORTUNIDAD!$C282)</f>
        <v>0</v>
      </c>
      <c r="M282" s="263">
        <f>+SUMIFS(Tabla6[Nominal COP],Tabla6[Concepto],COSTO_OPORTUNIDAD!$B$18,Tabla6[Nemotécnico],COSTO_OPORTUNIDAD!M$16,Tabla6[Fecha Cumplimiento y/ liquidacion],COSTO_OPORTUNIDAD!$C282)/+SUMIFS(Tabla6[Nominal COP],Tabla6[Concepto],COSTO_OPORTUNIDAD!$B$18,Tabla6[Fecha Cumplimiento y/ liquidacion],COSTO_OPORTUNIDAD!$C282)</f>
        <v>0</v>
      </c>
      <c r="N282" s="263">
        <f>+SUMIFS(Tabla6[Nominal COP],Tabla6[Concepto],COSTO_OPORTUNIDAD!$B$18,Tabla6[Nemotécnico],COSTO_OPORTUNIDAD!N$16,Tabla6[Fecha Cumplimiento y/ liquidacion],COSTO_OPORTUNIDAD!$C282)/+SUMIFS(Tabla6[Nominal COP],Tabla6[Concepto],COSTO_OPORTUNIDAD!$B$18,Tabla6[Fecha Cumplimiento y/ liquidacion],COSTO_OPORTUNIDAD!$C282)</f>
        <v>0</v>
      </c>
      <c r="O282" s="263"/>
      <c r="P282" s="263">
        <f>+SUMIFS(Tabla6[Nominal COP],Tabla6[Concepto],COSTO_OPORTUNIDAD!$B$18,Tabla6[Nemotécnico],COSTO_OPORTUNIDAD!P$16,Tabla6[Fecha Cumplimiento y/ liquidacion],COSTO_OPORTUNIDAD!$C282)/+SUMIFS(Tabla6[Nominal COP],Tabla6[Concepto],COSTO_OPORTUNIDAD!$B$18,Tabla6[Fecha Cumplimiento y/ liquidacion],COSTO_OPORTUNIDAD!$C282)</f>
        <v>0</v>
      </c>
      <c r="Q282" s="263">
        <f>+SUMIFS(Tabla6[Nominal COP],Tabla6[Concepto],COSTO_OPORTUNIDAD!$B$18,Tabla6[Nemotécnico],COSTO_OPORTUNIDAD!Q$16,Tabla6[Fecha Cumplimiento y/ liquidacion],COSTO_OPORTUNIDAD!$C282)/+SUMIFS(Tabla6[Nominal COP],Tabla6[Concepto],COSTO_OPORTUNIDAD!$B$18,Tabla6[Fecha Cumplimiento y/ liquidacion],COSTO_OPORTUNIDAD!$C282)</f>
        <v>0</v>
      </c>
      <c r="R282" s="263">
        <f>+SUMIFS(Tabla6[Nominal COP],Tabla6[Concepto],COSTO_OPORTUNIDAD!$B$18,Tabla6[Nemotécnico],COSTO_OPORTUNIDAD!R$16,Tabla6[Fecha Cumplimiento y/ liquidacion],COSTO_OPORTUNIDAD!$C282)/+SUMIFS(Tabla6[Nominal COP],Tabla6[Concepto],COSTO_OPORTUNIDAD!$B$18,Tabla6[Fecha Cumplimiento y/ liquidacion],COSTO_OPORTUNIDAD!$C282)</f>
        <v>0</v>
      </c>
      <c r="S282" s="263">
        <f>+SUMIFS(Tabla6[Nominal COP],Tabla6[Concepto],COSTO_OPORTUNIDAD!$B$18,Tabla6[Nemotécnico],COSTO_OPORTUNIDAD!S$16,Tabla6[Fecha Cumplimiento y/ liquidacion],COSTO_OPORTUNIDAD!$C282)/+SUMIFS(Tabla6[Nominal COP],Tabla6[Concepto],COSTO_OPORTUNIDAD!$B$18,Tabla6[Fecha Cumplimiento y/ liquidacion],COSTO_OPORTUNIDAD!$C282)</f>
        <v>0</v>
      </c>
      <c r="T282" s="263">
        <f>+SUMIFS(Tabla6[Nominal COP],Tabla6[Concepto],COSTO_OPORTUNIDAD!$B$18,Tabla6[Nemotécnico],COSTO_OPORTUNIDAD!T$16,Tabla6[Fecha Cumplimiento y/ liquidacion],COSTO_OPORTUNIDAD!$C282)/+SUMIFS(Tabla6[Nominal COP],Tabla6[Concepto],COSTO_OPORTUNIDAD!$B$18,Tabla6[Fecha Cumplimiento y/ liquidacion],COSTO_OPORTUNIDAD!$C282)</f>
        <v>0</v>
      </c>
      <c r="U282" s="263"/>
      <c r="V282" s="263">
        <f>+SUMIFS(Tabla6[Nominal COP],Tabla6[Concepto],COSTO_OPORTUNIDAD!$B$18,Tabla6[Nemotécnico],COSTO_OPORTUNIDAD!V$16,Tabla6[Fecha Cumplimiento y/ liquidacion],COSTO_OPORTUNIDAD!$C282)/+SUMIFS(Tabla6[Nominal COP],Tabla6[Concepto],COSTO_OPORTUNIDAD!$B$18,Tabla6[Fecha Cumplimiento y/ liquidacion],COSTO_OPORTUNIDAD!$C282)</f>
        <v>0</v>
      </c>
      <c r="W282" s="263">
        <f>+SUMIFS(Tabla6[Nominal COP],Tabla6[Concepto],COSTO_OPORTUNIDAD!$B$18,Tabla6[Nemotécnico],COSTO_OPORTUNIDAD!W$16,Tabla6[Fecha Cumplimiento y/ liquidacion],COSTO_OPORTUNIDAD!$C282)/+SUMIFS(Tabla6[Nominal COP],Tabla6[Concepto],COSTO_OPORTUNIDAD!$B$18,Tabla6[Fecha Cumplimiento y/ liquidacion],COSTO_OPORTUNIDAD!$C282)</f>
        <v>0</v>
      </c>
      <c r="X282" s="263">
        <f>+SUMIFS(Tabla6[Nominal COP],Tabla6[Concepto],COSTO_OPORTUNIDAD!$B$18,Tabla6[Nemotécnico],COSTO_OPORTUNIDAD!X$16,Tabla6[Fecha Cumplimiento y/ liquidacion],COSTO_OPORTUNIDAD!$C282)/+SUMIFS(Tabla6[Nominal COP],Tabla6[Concepto],COSTO_OPORTUNIDAD!$B$18,Tabla6[Fecha Cumplimiento y/ liquidacion],COSTO_OPORTUNIDAD!$C282)</f>
        <v>0</v>
      </c>
      <c r="Y282" s="263"/>
      <c r="Z282" s="263">
        <f>+SUMIFS(Tabla6[Nominal COP],Tabla6[Concepto],COSTO_OPORTUNIDAD!$B$18,Tabla6[Nemotécnico],COSTO_OPORTUNIDAD!Z$16,Tabla6[Fecha Cumplimiento y/ liquidacion],COSTO_OPORTUNIDAD!$C282)/+SUMIFS(Tabla6[Nominal COP],Tabla6[Concepto],COSTO_OPORTUNIDAD!$B$18,Tabla6[Fecha Cumplimiento y/ liquidacion],COSTO_OPORTUNIDAD!$C282)</f>
        <v>0</v>
      </c>
      <c r="AA282" s="263">
        <f>+SUMIFS(Tabla6[Nominal COP],Tabla6[Concepto],COSTO_OPORTUNIDAD!$B$18,Tabla6[Nemotécnico],COSTO_OPORTUNIDAD!AA$16,Tabla6[Fecha Cumplimiento y/ liquidacion],COSTO_OPORTUNIDAD!$C282)/+SUMIFS(Tabla6[Nominal COP],Tabla6[Concepto],COSTO_OPORTUNIDAD!$B$18,Tabla6[Fecha Cumplimiento y/ liquidacion],COSTO_OPORTUNIDAD!$C282)</f>
        <v>0</v>
      </c>
      <c r="AB282" s="263">
        <f>+SUMIFS(Tabla6[Nominal COP],Tabla6[Concepto],COSTO_OPORTUNIDAD!$B$18,Tabla6[Nemotécnico],COSTO_OPORTUNIDAD!AB$16,Tabla6[Fecha Cumplimiento y/ liquidacion],COSTO_OPORTUNIDAD!$C282)/+SUMIFS(Tabla6[Nominal COP],Tabla6[Concepto],COSTO_OPORTUNIDAD!$B$18,Tabla6[Fecha Cumplimiento y/ liquidacion],COSTO_OPORTUNIDAD!$C282)</f>
        <v>0</v>
      </c>
      <c r="AC282" s="263">
        <f>+SUMIFS(Tabla6[Nominal COP],Tabla6[Concepto],COSTO_OPORTUNIDAD!$B$18,Tabla6[Nemotécnico],COSTO_OPORTUNIDAD!AC$16,Tabla6[Fecha Cumplimiento y/ liquidacion],COSTO_OPORTUNIDAD!$C282)/+SUMIFS(Tabla6[Nominal COP],Tabla6[Concepto],COSTO_OPORTUNIDAD!$B$18,Tabla6[Fecha Cumplimiento y/ liquidacion],COSTO_OPORTUNIDAD!$C282)</f>
        <v>0</v>
      </c>
      <c r="AD282" s="263">
        <f>+SUMIFS(Tabla6[Nominal COP],Tabla6[Concepto],COSTO_OPORTUNIDAD!$B$18,Tabla6[Nemotécnico],COSTO_OPORTUNIDAD!AC$16,Tabla6[Fecha Cumplimiento y/ liquidacion],COSTO_OPORTUNIDAD!$C282)/+SUMIFS(Tabla6[Nominal COP],Tabla6[Concepto],COSTO_OPORTUNIDAD!$B$18,Tabla6[Fecha Cumplimiento y/ liquidacion],COSTO_OPORTUNIDAD!$C282)</f>
        <v>0</v>
      </c>
      <c r="AE282" s="263">
        <f>+SUMIFS(Tabla6[Nominal COP],Tabla6[Concepto],COSTO_OPORTUNIDAD!$B$18,Tabla6[Nemotécnico],COSTO_OPORTUNIDAD!AE$16,Tabla6[Fecha Cumplimiento y/ liquidacion],COSTO_OPORTUNIDAD!$C282)/+SUMIFS(Tabla6[Nominal COP],Tabla6[Concepto],COSTO_OPORTUNIDAD!$B$18,Tabla6[Fecha Cumplimiento y/ liquidacion],COSTO_OPORTUNIDAD!$C282)</f>
        <v>0</v>
      </c>
      <c r="AF282" s="263">
        <f>+SUMIFS(Tabla6[Nominal COP],Tabla6[Concepto],COSTO_OPORTUNIDAD!$B$18,Tabla6[Nemotécnico],COSTO_OPORTUNIDAD!AF$16,Tabla6[Fecha Cumplimiento y/ liquidacion],COSTO_OPORTUNIDAD!$C282)/+SUMIFS(Tabla6[Nominal COP],Tabla6[Concepto],COSTO_OPORTUNIDAD!$B$18,Tabla6[Fecha Cumplimiento y/ liquidacion],COSTO_OPORTUNIDAD!$C282)</f>
        <v>0</v>
      </c>
      <c r="AH282" s="274">
        <f t="shared" ref="AH282:AH291" si="348">(F$17-$B282)</f>
        <v>475</v>
      </c>
      <c r="AI282" s="274">
        <f t="shared" ref="AI282:AI291" si="349">(G$17-$B282)</f>
        <v>909</v>
      </c>
      <c r="AJ282" s="274">
        <f t="shared" ref="AJ282:AK289" si="350">(H$17-$B282)</f>
        <v>1086</v>
      </c>
      <c r="AK282" s="274">
        <f t="shared" si="350"/>
        <v>1567</v>
      </c>
      <c r="AL282" s="274">
        <f t="shared" si="278"/>
        <v>1959</v>
      </c>
      <c r="AM282" s="274">
        <f t="shared" si="279"/>
        <v>2148</v>
      </c>
      <c r="AN282" s="274">
        <f t="shared" si="280"/>
        <v>2610</v>
      </c>
      <c r="AO282" s="274">
        <f t="shared" si="281"/>
        <v>2834</v>
      </c>
      <c r="AP282" s="274">
        <f t="shared" si="282"/>
        <v>3450</v>
      </c>
      <c r="AQ282" s="274"/>
      <c r="AR282" s="274">
        <f t="shared" si="313"/>
        <v>4080</v>
      </c>
      <c r="AS282" s="274">
        <f t="shared" si="301"/>
        <v>5683</v>
      </c>
      <c r="AT282" s="274">
        <f t="shared" si="283"/>
        <v>6229</v>
      </c>
      <c r="AU282" s="274">
        <f t="shared" si="284"/>
        <v>7748</v>
      </c>
      <c r="AV282" s="274">
        <f t="shared" si="285"/>
        <v>9302</v>
      </c>
      <c r="AW282" s="274"/>
      <c r="AX282" s="274">
        <f t="shared" si="286"/>
        <v>-1</v>
      </c>
      <c r="AY282" s="274">
        <f t="shared" si="287"/>
        <v>678</v>
      </c>
      <c r="AZ282" s="274">
        <f t="shared" si="267"/>
        <v>1441</v>
      </c>
      <c r="BA282" s="274"/>
      <c r="BB282" s="274">
        <f t="shared" si="314"/>
        <v>2878</v>
      </c>
      <c r="BC282" s="274">
        <f t="shared" si="315"/>
        <v>3618</v>
      </c>
      <c r="BD282" s="274">
        <f t="shared" si="316"/>
        <v>4311</v>
      </c>
      <c r="BE282" s="274">
        <f t="shared" si="288"/>
        <v>5795</v>
      </c>
      <c r="BF282" s="274">
        <f t="shared" si="317"/>
        <v>8805</v>
      </c>
      <c r="BG282" s="274">
        <f t="shared" si="289"/>
        <v>10968</v>
      </c>
      <c r="BH282" s="274">
        <f t="shared" si="308"/>
        <v>13418</v>
      </c>
      <c r="BI282" s="266">
        <f t="shared" si="318"/>
        <v>0</v>
      </c>
      <c r="BJ282" s="266">
        <f t="shared" si="319"/>
        <v>1</v>
      </c>
      <c r="BK282" s="263">
        <f t="shared" si="320"/>
        <v>0</v>
      </c>
      <c r="BL282" s="263">
        <f t="shared" si="321"/>
        <v>0</v>
      </c>
      <c r="BM282" s="263">
        <f t="shared" si="322"/>
        <v>0</v>
      </c>
      <c r="BN282" s="263">
        <f t="shared" ref="BN282:BN304" si="351">IFERROR(I282/$BJ282,"")</f>
        <v>0.78644067796610173</v>
      </c>
      <c r="BO282" s="263">
        <f t="shared" si="323"/>
        <v>0</v>
      </c>
      <c r="BP282" s="263">
        <f t="shared" si="324"/>
        <v>0.2135593220338983</v>
      </c>
      <c r="BQ282" s="263">
        <f t="shared" si="325"/>
        <v>0</v>
      </c>
      <c r="BR282" s="263">
        <f t="shared" si="326"/>
        <v>0</v>
      </c>
      <c r="BS282" s="263">
        <f t="shared" si="327"/>
        <v>0</v>
      </c>
      <c r="BT282" s="263">
        <f t="shared" si="328"/>
        <v>0</v>
      </c>
      <c r="BU282" s="263">
        <f t="shared" si="329"/>
        <v>0</v>
      </c>
      <c r="BV282" s="263">
        <f t="shared" ref="BV282:BV304" si="352">IFERROR(Q282/$BJ282,"")</f>
        <v>0</v>
      </c>
      <c r="BW282" s="263">
        <f t="shared" si="330"/>
        <v>0</v>
      </c>
      <c r="BX282" s="263">
        <f t="shared" si="337"/>
        <v>0</v>
      </c>
      <c r="BY282" s="263">
        <f t="shared" si="331"/>
        <v>0</v>
      </c>
      <c r="BZ282" s="263"/>
      <c r="CA282" s="263" t="str">
        <f t="shared" si="254"/>
        <v/>
      </c>
      <c r="CB282" s="263" t="str">
        <f t="shared" si="332"/>
        <v/>
      </c>
      <c r="CC282" s="263" t="str">
        <f t="shared" si="255"/>
        <v/>
      </c>
      <c r="CD282" s="263" t="str">
        <f t="shared" si="333"/>
        <v/>
      </c>
      <c r="CE282" s="263" t="str">
        <f t="shared" si="346"/>
        <v/>
      </c>
      <c r="CF282" s="263" t="str">
        <f t="shared" si="256"/>
        <v/>
      </c>
      <c r="CG282" s="263" t="str">
        <f t="shared" si="257"/>
        <v/>
      </c>
      <c r="CH282" s="263" t="str">
        <f t="shared" si="290"/>
        <v/>
      </c>
      <c r="CI282" s="263" t="str">
        <f t="shared" si="334"/>
        <v/>
      </c>
      <c r="CJ282" s="263" t="str">
        <f t="shared" si="291"/>
        <v/>
      </c>
      <c r="CK282" s="263" t="str">
        <f t="shared" si="335"/>
        <v/>
      </c>
      <c r="CL282" s="264">
        <f t="shared" ref="CL282:CL287" si="353">ROUND(IFERROR((_xlfn.DAYS($F$17,B282)*BK282),0)+IFERROR((_xlfn.DAYS($G$17,B282)*BL282),0)+IFERROR((_xlfn.DAYS($H$17,B282)*BM282),0)+IFERROR((_xlfn.DAYS($I$17,B282)*BN282),0)+IFERROR((_xlfn.DAYS($J$17,B282)*BO282),0)+IFERROR((_xlfn.DAYS($K$17,B282)*BP282),0)+IFERROR((_xlfn.DAYS($L$17,B282)*BQ282),0)+IFERROR((_xlfn.DAYS($M$17,B282)*BR282),0)+IFERROR((_xlfn.DAYS($N$17,B282)*BS282),0)+IFERROR((_xlfn.DAYS($P$17,B282)*BU282),0)+IFERROR((_xlfn.DAYS($Q$17,B282)*BV282),0)+IFERROR((_xlfn.DAYS($R$17,B282)*BW282),0)+IFERROR((_xlfn.DAYS($S$17,B282)*BX282),0)+IFERROR((_xlfn.DAYS($T$17,B282)*BY282),0),0)</f>
        <v>1691</v>
      </c>
      <c r="CM282" s="264">
        <f t="shared" si="292"/>
        <v>0</v>
      </c>
      <c r="CO282" s="265">
        <v>8.9270000000000002E-2</v>
      </c>
      <c r="CP282" s="265">
        <v>9.2749999999999999E-2</v>
      </c>
      <c r="CQ282" s="265">
        <v>9.7799999999999998E-2</v>
      </c>
      <c r="CR282" s="265">
        <v>0.10644999999999999</v>
      </c>
      <c r="CS282" s="265">
        <v>0.1082</v>
      </c>
      <c r="CT282" s="265">
        <v>0.11327999999999999</v>
      </c>
      <c r="CU282" s="265">
        <v>0.11571999999999999</v>
      </c>
      <c r="CV282" s="265">
        <v>0.11788999999999999</v>
      </c>
      <c r="CW282" s="265">
        <v>0.11949</v>
      </c>
      <c r="CY282" s="265">
        <v>0.12189999999999999</v>
      </c>
      <c r="CZ282" s="265">
        <v>0.1255</v>
      </c>
      <c r="DA282" s="265">
        <v>0.12686</v>
      </c>
      <c r="DB282" s="265">
        <v>0.12686</v>
      </c>
      <c r="DC282" s="265">
        <v>0.12617</v>
      </c>
      <c r="DE282" s="265">
        <v>4.718E-2</v>
      </c>
      <c r="DF282" s="265">
        <v>5.2300000000000006E-2</v>
      </c>
      <c r="DH282" s="265">
        <v>5.4600000000000003E-2</v>
      </c>
      <c r="DI282" s="265">
        <v>5.5399999999999998E-2</v>
      </c>
      <c r="DJ282" s="265">
        <v>5.6710000000000003E-2</v>
      </c>
      <c r="DK282" s="265">
        <v>5.7279999999999998E-2</v>
      </c>
      <c r="DL282" s="265">
        <v>5.3460000000000001E-2</v>
      </c>
      <c r="DM282" s="265">
        <v>5.3449999999999998E-2</v>
      </c>
      <c r="DO282" s="264">
        <f t="shared" si="268"/>
        <v>1567</v>
      </c>
      <c r="DP282" s="264" cm="1">
        <f t="array" ref="DP282">+INDEX(AH282:AV282,MATCH(DO282,AH282:AV282,1)+1)</f>
        <v>1959</v>
      </c>
      <c r="DQ282" s="265">
        <f t="shared" si="269"/>
        <v>0.10644999999999999</v>
      </c>
      <c r="DR282" s="267">
        <f t="shared" si="270"/>
        <v>0.1082</v>
      </c>
      <c r="DS282" s="267">
        <f t="shared" si="297"/>
        <v>0.107004</v>
      </c>
      <c r="DT282" s="268">
        <f t="shared" si="293"/>
        <v>-1</v>
      </c>
      <c r="DU282" s="268" cm="1">
        <f t="array" ref="DU282">+INDEX(AX282:BG282,MATCH(DT282,AX282:BG282,1)+1)</f>
        <v>678</v>
      </c>
      <c r="DV282" s="267">
        <f t="shared" si="249"/>
        <v>4.718E-2</v>
      </c>
      <c r="DW282" s="267">
        <f t="shared" si="294"/>
        <v>5.2300000000000006E-2</v>
      </c>
      <c r="DX282" s="267">
        <f t="shared" si="345"/>
        <v>4.7190000000000003E-2</v>
      </c>
      <c r="DY282" s="267">
        <f t="shared" si="341"/>
        <v>5.28E-2</v>
      </c>
      <c r="DZ282" s="205">
        <f t="shared" ref="DZ282" si="354">+(1+DX282)*(1+DY282)-1</f>
        <v>0.10248163199999993</v>
      </c>
      <c r="EA282" s="205">
        <f t="shared" si="252"/>
        <v>0.107004</v>
      </c>
    </row>
    <row r="283" spans="2:131">
      <c r="B283" s="272">
        <v>45786</v>
      </c>
      <c r="C283" s="271">
        <f t="shared" si="343"/>
        <v>45786</v>
      </c>
      <c r="D283" s="263">
        <f>+SUMIFS(Tabla6[Nominal COP],Tabla6[Concepto],COSTO_OPORTUNIDAD!$B$18,Tabla6[Nemotécnico],COSTO_OPORTUNIDAD!D$16,Tabla6[Fecha Cumplimiento y/ liquidacion],COSTO_OPORTUNIDAD!$C283)/+SUMIFS(Tabla6[Nominal COP],Tabla6[Concepto],COSTO_OPORTUNIDAD!$B$18,Tabla6[Fecha Cumplimiento y/ liquidacion],COSTO_OPORTUNIDAD!$C283)</f>
        <v>0</v>
      </c>
      <c r="E283" s="263">
        <f>+SUMIFS(Tabla6[Nominal COP],Tabla6[Concepto],COSTO_OPORTUNIDAD!$B$18,Tabla6[Nemotécnico],COSTO_OPORTUNIDAD!E$16,Tabla6[Fecha Cumplimiento y/ liquidacion],COSTO_OPORTUNIDAD!$C283)/+SUMIFS(Tabla6[Nominal COP],Tabla6[Concepto],COSTO_OPORTUNIDAD!$B$18,Tabla6[Fecha Cumplimiento y/ liquidacion],COSTO_OPORTUNIDAD!$C283)</f>
        <v>0</v>
      </c>
      <c r="F283" s="263">
        <f>+SUMIFS(Tabla6[Nominal COP],Tabla6[Concepto],COSTO_OPORTUNIDAD!$B$18,Tabla6[Nemotécnico],COSTO_OPORTUNIDAD!F$16,Tabla6[Fecha Cumplimiento y/ liquidacion],COSTO_OPORTUNIDAD!$C283)/+SUMIFS(Tabla6[Nominal COP],Tabla6[Concepto],COSTO_OPORTUNIDAD!$B$18,Tabla6[Fecha Cumplimiento y/ liquidacion],COSTO_OPORTUNIDAD!$C283)</f>
        <v>0</v>
      </c>
      <c r="G283" s="263">
        <f>+SUMIFS(Tabla6[Nominal COP],Tabla6[Concepto],COSTO_OPORTUNIDAD!$B$18,Tabla6[Nemotécnico],COSTO_OPORTUNIDAD!G$16,Tabla6[Fecha Cumplimiento y/ liquidacion],COSTO_OPORTUNIDAD!$C283)/+SUMIFS(Tabla6[Nominal COP],Tabla6[Concepto],COSTO_OPORTUNIDAD!$B$18,Tabla6[Fecha Cumplimiento y/ liquidacion],COSTO_OPORTUNIDAD!$C283)</f>
        <v>0</v>
      </c>
      <c r="H283" s="263">
        <f>+SUMIFS(Tabla6[Nominal COP],Tabla6[Concepto],COSTO_OPORTUNIDAD!$B$18,Tabla6[Nemotécnico],COSTO_OPORTUNIDAD!H$16,Tabla6[Fecha Cumplimiento y/ liquidacion],COSTO_OPORTUNIDAD!$C283)/+SUMIFS(Tabla6[Nominal COP],Tabla6[Concepto],COSTO_OPORTUNIDAD!$B$18,Tabla6[Fecha Cumplimiento y/ liquidacion],COSTO_OPORTUNIDAD!$C283)</f>
        <v>0</v>
      </c>
      <c r="I283" s="263">
        <f>+SUMIFS(Tabla6[Nominal COP],Tabla6[Concepto],COSTO_OPORTUNIDAD!$B$18,Tabla6[Nemotécnico],COSTO_OPORTUNIDAD!I$16,Tabla6[Fecha Cumplimiento y/ liquidacion],COSTO_OPORTUNIDAD!$C283)/+SUMIFS(Tabla6[Nominal COP],Tabla6[Concepto],COSTO_OPORTUNIDAD!$B$18,Tabla6[Fecha Cumplimiento y/ liquidacion],COSTO_OPORTUNIDAD!$C283)</f>
        <v>0.69767441860465118</v>
      </c>
      <c r="J283" s="263">
        <f>+SUMIFS(Tabla6[Nominal COP],Tabla6[Concepto],COSTO_OPORTUNIDAD!$B$18,Tabla6[Nemotécnico],COSTO_OPORTUNIDAD!J$16,Tabla6[Fecha Cumplimiento y/ liquidacion],COSTO_OPORTUNIDAD!$C283)/+SUMIFS(Tabla6[Nominal COP],Tabla6[Concepto],COSTO_OPORTUNIDAD!$B$18,Tabla6[Fecha Cumplimiento y/ liquidacion],COSTO_OPORTUNIDAD!$C283)</f>
        <v>0</v>
      </c>
      <c r="K283" s="263">
        <f>+SUMIFS(Tabla6[Nominal COP],Tabla6[Concepto],COSTO_OPORTUNIDAD!$B$18,Tabla6[Nemotécnico],COSTO_OPORTUNIDAD!K$16,Tabla6[Fecha Cumplimiento y/ liquidacion],COSTO_OPORTUNIDAD!$C283)/+SUMIFS(Tabla6[Nominal COP],Tabla6[Concepto],COSTO_OPORTUNIDAD!$B$18,Tabla6[Fecha Cumplimiento y/ liquidacion],COSTO_OPORTUNIDAD!$C283)</f>
        <v>0.30232558139534882</v>
      </c>
      <c r="L283" s="263">
        <f>+SUMIFS(Tabla6[Nominal COP],Tabla6[Concepto],COSTO_OPORTUNIDAD!$B$18,Tabla6[Nemotécnico],COSTO_OPORTUNIDAD!L$16,Tabla6[Fecha Cumplimiento y/ liquidacion],COSTO_OPORTUNIDAD!$C283)/+SUMIFS(Tabla6[Nominal COP],Tabla6[Concepto],COSTO_OPORTUNIDAD!$B$18,Tabla6[Fecha Cumplimiento y/ liquidacion],COSTO_OPORTUNIDAD!$C283)</f>
        <v>0</v>
      </c>
      <c r="M283" s="263">
        <f>+SUMIFS(Tabla6[Nominal COP],Tabla6[Concepto],COSTO_OPORTUNIDAD!$B$18,Tabla6[Nemotécnico],COSTO_OPORTUNIDAD!M$16,Tabla6[Fecha Cumplimiento y/ liquidacion],COSTO_OPORTUNIDAD!$C283)/+SUMIFS(Tabla6[Nominal COP],Tabla6[Concepto],COSTO_OPORTUNIDAD!$B$18,Tabla6[Fecha Cumplimiento y/ liquidacion],COSTO_OPORTUNIDAD!$C283)</f>
        <v>0</v>
      </c>
      <c r="N283" s="263">
        <f>+SUMIFS(Tabla6[Nominal COP],Tabla6[Concepto],COSTO_OPORTUNIDAD!$B$18,Tabla6[Nemotécnico],COSTO_OPORTUNIDAD!N$16,Tabla6[Fecha Cumplimiento y/ liquidacion],COSTO_OPORTUNIDAD!$C283)/+SUMIFS(Tabla6[Nominal COP],Tabla6[Concepto],COSTO_OPORTUNIDAD!$B$18,Tabla6[Fecha Cumplimiento y/ liquidacion],COSTO_OPORTUNIDAD!$C283)</f>
        <v>0</v>
      </c>
      <c r="O283" s="263"/>
      <c r="P283" s="263">
        <f>+SUMIFS(Tabla6[Nominal COP],Tabla6[Concepto],COSTO_OPORTUNIDAD!$B$18,Tabla6[Nemotécnico],COSTO_OPORTUNIDAD!P$16,Tabla6[Fecha Cumplimiento y/ liquidacion],COSTO_OPORTUNIDAD!$C283)/+SUMIFS(Tabla6[Nominal COP],Tabla6[Concepto],COSTO_OPORTUNIDAD!$B$18,Tabla6[Fecha Cumplimiento y/ liquidacion],COSTO_OPORTUNIDAD!$C283)</f>
        <v>0</v>
      </c>
      <c r="Q283" s="263">
        <f>+SUMIFS(Tabla6[Nominal COP],Tabla6[Concepto],COSTO_OPORTUNIDAD!$B$18,Tabla6[Nemotécnico],COSTO_OPORTUNIDAD!Q$16,Tabla6[Fecha Cumplimiento y/ liquidacion],COSTO_OPORTUNIDAD!$C283)/+SUMIFS(Tabla6[Nominal COP],Tabla6[Concepto],COSTO_OPORTUNIDAD!$B$18,Tabla6[Fecha Cumplimiento y/ liquidacion],COSTO_OPORTUNIDAD!$C283)</f>
        <v>0</v>
      </c>
      <c r="R283" s="263">
        <f>+SUMIFS(Tabla6[Nominal COP],Tabla6[Concepto],COSTO_OPORTUNIDAD!$B$18,Tabla6[Nemotécnico],COSTO_OPORTUNIDAD!R$16,Tabla6[Fecha Cumplimiento y/ liquidacion],COSTO_OPORTUNIDAD!$C283)/+SUMIFS(Tabla6[Nominal COP],Tabla6[Concepto],COSTO_OPORTUNIDAD!$B$18,Tabla6[Fecha Cumplimiento y/ liquidacion],COSTO_OPORTUNIDAD!$C283)</f>
        <v>0</v>
      </c>
      <c r="S283" s="263">
        <f>+SUMIFS(Tabla6[Nominal COP],Tabla6[Concepto],COSTO_OPORTUNIDAD!$B$18,Tabla6[Nemotécnico],COSTO_OPORTUNIDAD!S$16,Tabla6[Fecha Cumplimiento y/ liquidacion],COSTO_OPORTUNIDAD!$C283)/+SUMIFS(Tabla6[Nominal COP],Tabla6[Concepto],COSTO_OPORTUNIDAD!$B$18,Tabla6[Fecha Cumplimiento y/ liquidacion],COSTO_OPORTUNIDAD!$C283)</f>
        <v>0</v>
      </c>
      <c r="T283" s="263">
        <f>+SUMIFS(Tabla6[Nominal COP],Tabla6[Concepto],COSTO_OPORTUNIDAD!$B$18,Tabla6[Nemotécnico],COSTO_OPORTUNIDAD!T$16,Tabla6[Fecha Cumplimiento y/ liquidacion],COSTO_OPORTUNIDAD!$C283)/+SUMIFS(Tabla6[Nominal COP],Tabla6[Concepto],COSTO_OPORTUNIDAD!$B$18,Tabla6[Fecha Cumplimiento y/ liquidacion],COSTO_OPORTUNIDAD!$C283)</f>
        <v>0</v>
      </c>
      <c r="U283" s="263">
        <f>+SUMIFS(Tabla6[Nominal COP],Tabla6[Concepto],COSTO_OPORTUNIDAD!$B$18,Tabla6[Nemotécnico],COSTO_OPORTUNIDAD!U$16,Tabla6[Fecha Cumplimiento y/ liquidacion],COSTO_OPORTUNIDAD!$C283)/+SUMIFS(Tabla6[Nominal COP],Tabla6[Concepto],COSTO_OPORTUNIDAD!$B$18,Tabla6[Fecha Cumplimiento y/ liquidacion],COSTO_OPORTUNIDAD!$C283)</f>
        <v>0</v>
      </c>
      <c r="V283" s="263">
        <f>+SUMIFS(Tabla6[Nominal COP],Tabla6[Concepto],COSTO_OPORTUNIDAD!$B$18,Tabla6[Nemotécnico],COSTO_OPORTUNIDAD!V$16,Tabla6[Fecha Cumplimiento y/ liquidacion],COSTO_OPORTUNIDAD!$C283)/+SUMIFS(Tabla6[Nominal COP],Tabla6[Concepto],COSTO_OPORTUNIDAD!$B$18,Tabla6[Fecha Cumplimiento y/ liquidacion],COSTO_OPORTUNIDAD!$C283)</f>
        <v>0</v>
      </c>
      <c r="W283" s="263">
        <f>+SUMIFS(Tabla6[Nominal COP],Tabla6[Concepto],COSTO_OPORTUNIDAD!$B$18,Tabla6[Nemotécnico],COSTO_OPORTUNIDAD!W$16,Tabla6[Fecha Cumplimiento y/ liquidacion],COSTO_OPORTUNIDAD!$C283)/+SUMIFS(Tabla6[Nominal COP],Tabla6[Concepto],COSTO_OPORTUNIDAD!$B$18,Tabla6[Fecha Cumplimiento y/ liquidacion],COSTO_OPORTUNIDAD!$C283)</f>
        <v>0</v>
      </c>
      <c r="X283" s="263">
        <f>+SUMIFS(Tabla6[Nominal COP],Tabla6[Concepto],COSTO_OPORTUNIDAD!$B$18,Tabla6[Nemotécnico],COSTO_OPORTUNIDAD!X$16,Tabla6[Fecha Cumplimiento y/ liquidacion],COSTO_OPORTUNIDAD!$C283)/+SUMIFS(Tabla6[Nominal COP],Tabla6[Concepto],COSTO_OPORTUNIDAD!$B$18,Tabla6[Fecha Cumplimiento y/ liquidacion],COSTO_OPORTUNIDAD!$C283)</f>
        <v>0</v>
      </c>
      <c r="Y283" s="263"/>
      <c r="Z283" s="263">
        <f>+SUMIFS(Tabla6[Nominal COP],Tabla6[Concepto],COSTO_OPORTUNIDAD!$B$18,Tabla6[Nemotécnico],COSTO_OPORTUNIDAD!Z$16,Tabla6[Fecha Cumplimiento y/ liquidacion],COSTO_OPORTUNIDAD!$C283)/+SUMIFS(Tabla6[Nominal COP],Tabla6[Concepto],COSTO_OPORTUNIDAD!$B$18,Tabla6[Fecha Cumplimiento y/ liquidacion],COSTO_OPORTUNIDAD!$C283)</f>
        <v>0</v>
      </c>
      <c r="AA283" s="263">
        <f>+SUMIFS(Tabla6[Nominal COP],Tabla6[Concepto],COSTO_OPORTUNIDAD!$B$18,Tabla6[Nemotécnico],COSTO_OPORTUNIDAD!AA$16,Tabla6[Fecha Cumplimiento y/ liquidacion],COSTO_OPORTUNIDAD!$C283)/+SUMIFS(Tabla6[Nominal COP],Tabla6[Concepto],COSTO_OPORTUNIDAD!$B$18,Tabla6[Fecha Cumplimiento y/ liquidacion],COSTO_OPORTUNIDAD!$C283)</f>
        <v>0</v>
      </c>
      <c r="AB283" s="263">
        <f>+SUMIFS(Tabla6[Nominal COP],Tabla6[Concepto],COSTO_OPORTUNIDAD!$B$18,Tabla6[Nemotécnico],COSTO_OPORTUNIDAD!AB$16,Tabla6[Fecha Cumplimiento y/ liquidacion],COSTO_OPORTUNIDAD!$C283)/+SUMIFS(Tabla6[Nominal COP],Tabla6[Concepto],COSTO_OPORTUNIDAD!$B$18,Tabla6[Fecha Cumplimiento y/ liquidacion],COSTO_OPORTUNIDAD!$C283)</f>
        <v>0</v>
      </c>
      <c r="AC283" s="263">
        <f>+SUMIFS(Tabla6[Nominal COP],Tabla6[Concepto],COSTO_OPORTUNIDAD!$B$18,Tabla6[Nemotécnico],COSTO_OPORTUNIDAD!AC$16,Tabla6[Fecha Cumplimiento y/ liquidacion],COSTO_OPORTUNIDAD!$C283)/+SUMIFS(Tabla6[Nominal COP],Tabla6[Concepto],COSTO_OPORTUNIDAD!$B$18,Tabla6[Fecha Cumplimiento y/ liquidacion],COSTO_OPORTUNIDAD!$C283)</f>
        <v>0</v>
      </c>
      <c r="AD283" s="263">
        <f>+SUMIFS(Tabla6[Nominal COP],Tabla6[Concepto],COSTO_OPORTUNIDAD!$B$18,Tabla6[Nemotécnico],COSTO_OPORTUNIDAD!AC$16,Tabla6[Fecha Cumplimiento y/ liquidacion],COSTO_OPORTUNIDAD!$C283)/+SUMIFS(Tabla6[Nominal COP],Tabla6[Concepto],COSTO_OPORTUNIDAD!$B$18,Tabla6[Fecha Cumplimiento y/ liquidacion],COSTO_OPORTUNIDAD!$C283)</f>
        <v>0</v>
      </c>
      <c r="AE283" s="263">
        <f>+SUMIFS(Tabla6[Nominal COP],Tabla6[Concepto],COSTO_OPORTUNIDAD!$B$18,Tabla6[Nemotécnico],COSTO_OPORTUNIDAD!AE$16,Tabla6[Fecha Cumplimiento y/ liquidacion],COSTO_OPORTUNIDAD!$C283)/+SUMIFS(Tabla6[Nominal COP],Tabla6[Concepto],COSTO_OPORTUNIDAD!$B$18,Tabla6[Fecha Cumplimiento y/ liquidacion],COSTO_OPORTUNIDAD!$C283)</f>
        <v>0</v>
      </c>
      <c r="AF283" s="263">
        <f>+SUMIFS(Tabla6[Nominal COP],Tabla6[Concepto],COSTO_OPORTUNIDAD!$B$18,Tabla6[Nemotécnico],COSTO_OPORTUNIDAD!AF$16,Tabla6[Fecha Cumplimiento y/ liquidacion],COSTO_OPORTUNIDAD!$C283)/+SUMIFS(Tabla6[Nominal COP],Tabla6[Concepto],COSTO_OPORTUNIDAD!$B$18,Tabla6[Fecha Cumplimiento y/ liquidacion],COSTO_OPORTUNIDAD!$C283)</f>
        <v>0</v>
      </c>
      <c r="AH283" s="274">
        <f t="shared" si="348"/>
        <v>474</v>
      </c>
      <c r="AI283" s="274">
        <f t="shared" si="349"/>
        <v>908</v>
      </c>
      <c r="AJ283" s="274">
        <f t="shared" si="350"/>
        <v>1085</v>
      </c>
      <c r="AK283" s="274">
        <f t="shared" si="350"/>
        <v>1566</v>
      </c>
      <c r="AL283" s="274">
        <f t="shared" si="278"/>
        <v>1958</v>
      </c>
      <c r="AM283" s="274">
        <f t="shared" si="279"/>
        <v>2147</v>
      </c>
      <c r="AN283" s="274">
        <f t="shared" si="280"/>
        <v>2609</v>
      </c>
      <c r="AO283" s="274">
        <f t="shared" si="281"/>
        <v>2833</v>
      </c>
      <c r="AP283" s="274">
        <f t="shared" si="282"/>
        <v>3449</v>
      </c>
      <c r="AQ283" s="274"/>
      <c r="AR283" s="274">
        <f t="shared" si="313"/>
        <v>4079</v>
      </c>
      <c r="AS283" s="274">
        <f t="shared" si="301"/>
        <v>5682</v>
      </c>
      <c r="AT283" s="274">
        <f t="shared" si="283"/>
        <v>6228</v>
      </c>
      <c r="AU283" s="274">
        <f t="shared" si="284"/>
        <v>7747</v>
      </c>
      <c r="AV283" s="274">
        <f t="shared" si="285"/>
        <v>9301</v>
      </c>
      <c r="AW283" s="274"/>
      <c r="AX283" s="274">
        <f t="shared" si="286"/>
        <v>-2</v>
      </c>
      <c r="AY283" s="274">
        <f t="shared" si="287"/>
        <v>677</v>
      </c>
      <c r="AZ283" s="274">
        <f t="shared" si="267"/>
        <v>1440</v>
      </c>
      <c r="BA283" s="274"/>
      <c r="BB283" s="274">
        <f t="shared" si="314"/>
        <v>2877</v>
      </c>
      <c r="BC283" s="274">
        <f t="shared" si="315"/>
        <v>3617</v>
      </c>
      <c r="BD283" s="274">
        <f t="shared" si="316"/>
        <v>4310</v>
      </c>
      <c r="BE283" s="274">
        <f t="shared" si="288"/>
        <v>5794</v>
      </c>
      <c r="BF283" s="274">
        <f t="shared" si="317"/>
        <v>8804</v>
      </c>
      <c r="BG283" s="274">
        <f t="shared" si="289"/>
        <v>10967</v>
      </c>
      <c r="BH283" s="274">
        <f t="shared" si="308"/>
        <v>13417</v>
      </c>
      <c r="BI283" s="266">
        <f t="shared" si="318"/>
        <v>0</v>
      </c>
      <c r="BJ283" s="266">
        <f t="shared" si="319"/>
        <v>1</v>
      </c>
      <c r="BK283" s="263">
        <f t="shared" si="320"/>
        <v>0</v>
      </c>
      <c r="BL283" s="263">
        <f t="shared" si="321"/>
        <v>0</v>
      </c>
      <c r="BM283" s="263">
        <f t="shared" si="322"/>
        <v>0</v>
      </c>
      <c r="BN283" s="263">
        <f t="shared" si="351"/>
        <v>0.69767441860465118</v>
      </c>
      <c r="BO283" s="263">
        <f t="shared" si="323"/>
        <v>0</v>
      </c>
      <c r="BP283" s="263">
        <f t="shared" si="324"/>
        <v>0.30232558139534882</v>
      </c>
      <c r="BQ283" s="263">
        <f t="shared" si="325"/>
        <v>0</v>
      </c>
      <c r="BR283" s="263">
        <f t="shared" si="326"/>
        <v>0</v>
      </c>
      <c r="BS283" s="263">
        <f t="shared" si="327"/>
        <v>0</v>
      </c>
      <c r="BT283" s="263">
        <f t="shared" si="328"/>
        <v>0</v>
      </c>
      <c r="BU283" s="263">
        <f t="shared" si="329"/>
        <v>0</v>
      </c>
      <c r="BV283" s="263">
        <f t="shared" si="352"/>
        <v>0</v>
      </c>
      <c r="BW283" s="263">
        <f t="shared" si="330"/>
        <v>0</v>
      </c>
      <c r="BX283" s="263">
        <f t="shared" si="337"/>
        <v>0</v>
      </c>
      <c r="BY283" s="263">
        <f t="shared" si="331"/>
        <v>0</v>
      </c>
      <c r="BZ283" s="263"/>
      <c r="CA283" s="263" t="str">
        <f t="shared" si="254"/>
        <v/>
      </c>
      <c r="CB283" s="263" t="str">
        <f t="shared" si="332"/>
        <v/>
      </c>
      <c r="CC283" s="263" t="str">
        <f t="shared" si="255"/>
        <v/>
      </c>
      <c r="CD283" s="263" t="str">
        <f t="shared" si="333"/>
        <v/>
      </c>
      <c r="CE283" s="263" t="str">
        <f t="shared" si="346"/>
        <v/>
      </c>
      <c r="CF283" s="263" t="str">
        <f t="shared" si="256"/>
        <v/>
      </c>
      <c r="CG283" s="263" t="str">
        <f t="shared" si="257"/>
        <v/>
      </c>
      <c r="CH283" s="263" t="str">
        <f t="shared" si="290"/>
        <v/>
      </c>
      <c r="CI283" s="263" t="str">
        <f t="shared" si="334"/>
        <v/>
      </c>
      <c r="CJ283" s="263" t="str">
        <f t="shared" si="291"/>
        <v/>
      </c>
      <c r="CK283" s="263" t="str">
        <f t="shared" si="335"/>
        <v/>
      </c>
      <c r="CL283" s="264">
        <f t="shared" si="353"/>
        <v>1742</v>
      </c>
      <c r="CM283" s="264">
        <f t="shared" si="292"/>
        <v>0</v>
      </c>
      <c r="CO283" s="265">
        <v>9.0139999999999998E-2</v>
      </c>
      <c r="CP283" s="265">
        <v>9.3789999999999998E-2</v>
      </c>
      <c r="CQ283" s="265">
        <v>9.8420000000000007E-2</v>
      </c>
      <c r="CR283" s="265">
        <v>0.10702</v>
      </c>
      <c r="CS283" s="265">
        <v>0.10918</v>
      </c>
      <c r="CT283" s="265">
        <v>0.11391999999999999</v>
      </c>
      <c r="CU283" s="265">
        <v>0.11609999999999999</v>
      </c>
      <c r="CV283" s="265">
        <v>0.11800000000000001</v>
      </c>
      <c r="CW283" s="265">
        <v>0.12032999999999999</v>
      </c>
      <c r="CY283" s="265">
        <v>0.12231</v>
      </c>
      <c r="CZ283" s="265">
        <v>0.12523999999999999</v>
      </c>
      <c r="DA283" s="265">
        <v>0.12717999999999999</v>
      </c>
      <c r="DB283" s="265">
        <v>0.12717999999999999</v>
      </c>
      <c r="DC283" s="265">
        <v>0.12615000000000001</v>
      </c>
      <c r="DE283" s="265">
        <v>4.718E-2</v>
      </c>
      <c r="DF283" s="265">
        <v>5.2300000000000006E-2</v>
      </c>
      <c r="DH283" s="265">
        <v>5.4600000000000003E-2</v>
      </c>
      <c r="DI283" s="265">
        <v>5.5399999999999998E-2</v>
      </c>
      <c r="DJ283" s="265">
        <v>5.6710000000000003E-2</v>
      </c>
      <c r="DK283" s="265">
        <v>5.7279999999999998E-2</v>
      </c>
      <c r="DL283" s="265">
        <v>5.3460000000000001E-2</v>
      </c>
      <c r="DM283" s="265">
        <v>5.3449999999999998E-2</v>
      </c>
      <c r="DO283" s="264">
        <f t="shared" si="268"/>
        <v>1566</v>
      </c>
      <c r="DP283" s="264" cm="1">
        <f t="array" ref="DP283">+INDEX(AH283:AV283,MATCH(DO283,AH283:AV283,1)+1)</f>
        <v>1958</v>
      </c>
      <c r="DQ283" s="265">
        <f t="shared" si="269"/>
        <v>0.10702</v>
      </c>
      <c r="DR283" s="267">
        <f t="shared" si="270"/>
        <v>0.10918</v>
      </c>
      <c r="DS283" s="267">
        <f t="shared" si="297"/>
        <v>0.10799</v>
      </c>
      <c r="DT283" s="268">
        <f t="shared" si="293"/>
        <v>-2</v>
      </c>
      <c r="DU283" s="268" cm="1">
        <f t="array" ref="DU283">+INDEX(AX283:BG283,MATCH(DT283,AX283:BG283,1)+1)</f>
        <v>677</v>
      </c>
      <c r="DV283" s="267">
        <f t="shared" si="249"/>
        <v>4.718E-2</v>
      </c>
      <c r="DW283" s="267">
        <f t="shared" si="294"/>
        <v>5.2300000000000006E-2</v>
      </c>
      <c r="DX283" s="267">
        <f t="shared" si="345"/>
        <v>4.7199999999999999E-2</v>
      </c>
      <c r="DY283" s="267">
        <f t="shared" si="341"/>
        <v>5.28E-2</v>
      </c>
      <c r="DZ283" s="205">
        <f t="shared" ref="DZ283" si="355">+(1+DX283)*(1+DY283)-1</f>
        <v>0.10249215999999994</v>
      </c>
      <c r="EA283" s="205">
        <f t="shared" si="252"/>
        <v>0.10799</v>
      </c>
    </row>
    <row r="284" spans="2:131">
      <c r="B284" s="272">
        <v>45797</v>
      </c>
      <c r="C284" s="271">
        <f t="shared" si="343"/>
        <v>45797</v>
      </c>
      <c r="D284" s="263">
        <f>+SUMIFS(Tabla6[Nominal COP],Tabla6[Concepto],COSTO_OPORTUNIDAD!$B$18,Tabla6[Nemotécnico],COSTO_OPORTUNIDAD!D$16,Tabla6[Fecha Cumplimiento y/ liquidacion],COSTO_OPORTUNIDAD!$C284)/+SUMIFS(Tabla6[Nominal COP],Tabla6[Concepto],COSTO_OPORTUNIDAD!$B$18,Tabla6[Fecha Cumplimiento y/ liquidacion],COSTO_OPORTUNIDAD!$C284)</f>
        <v>0</v>
      </c>
      <c r="E284" s="263">
        <f>+SUMIFS(Tabla6[Nominal COP],Tabla6[Concepto],COSTO_OPORTUNIDAD!$B$18,Tabla6[Nemotécnico],COSTO_OPORTUNIDAD!E$16,Tabla6[Fecha Cumplimiento y/ liquidacion],COSTO_OPORTUNIDAD!$C284)/+SUMIFS(Tabla6[Nominal COP],Tabla6[Concepto],COSTO_OPORTUNIDAD!$B$18,Tabla6[Fecha Cumplimiento y/ liquidacion],COSTO_OPORTUNIDAD!$C284)</f>
        <v>0</v>
      </c>
      <c r="F284" s="263">
        <f>+SUMIFS(Tabla6[Nominal COP],Tabla6[Concepto],COSTO_OPORTUNIDAD!$B$18,Tabla6[Nemotécnico],COSTO_OPORTUNIDAD!F$16,Tabla6[Fecha Cumplimiento y/ liquidacion],COSTO_OPORTUNIDAD!$C284)/+SUMIFS(Tabla6[Nominal COP],Tabla6[Concepto],COSTO_OPORTUNIDAD!$B$18,Tabla6[Fecha Cumplimiento y/ liquidacion],COSTO_OPORTUNIDAD!$C284)</f>
        <v>0</v>
      </c>
      <c r="G284" s="263">
        <f>+SUMIFS(Tabla6[Nominal COP],Tabla6[Concepto],COSTO_OPORTUNIDAD!$B$18,Tabla6[Nemotécnico],COSTO_OPORTUNIDAD!G$16,Tabla6[Fecha Cumplimiento y/ liquidacion],COSTO_OPORTUNIDAD!$C284)/+SUMIFS(Tabla6[Nominal COP],Tabla6[Concepto],COSTO_OPORTUNIDAD!$B$18,Tabla6[Fecha Cumplimiento y/ liquidacion],COSTO_OPORTUNIDAD!$C284)</f>
        <v>0</v>
      </c>
      <c r="H284" s="263">
        <f>+SUMIFS(Tabla6[Nominal COP],Tabla6[Concepto],COSTO_OPORTUNIDAD!$B$18,Tabla6[Nemotécnico],COSTO_OPORTUNIDAD!H$16,Tabla6[Fecha Cumplimiento y/ liquidacion],COSTO_OPORTUNIDAD!$C284)/+SUMIFS(Tabla6[Nominal COP],Tabla6[Concepto],COSTO_OPORTUNIDAD!$B$18,Tabla6[Fecha Cumplimiento y/ liquidacion],COSTO_OPORTUNIDAD!$C284)</f>
        <v>0</v>
      </c>
      <c r="I284" s="263">
        <f>+SUMIFS(Tabla6[Nominal COP],Tabla6[Concepto],COSTO_OPORTUNIDAD!$B$18,Tabla6[Nemotécnico],COSTO_OPORTUNIDAD!I$16,Tabla6[Fecha Cumplimiento y/ liquidacion],COSTO_OPORTUNIDAD!$C284)/+SUMIFS(Tabla6[Nominal COP],Tabla6[Concepto],COSTO_OPORTUNIDAD!$B$18,Tabla6[Fecha Cumplimiento y/ liquidacion],COSTO_OPORTUNIDAD!$C284)</f>
        <v>1</v>
      </c>
      <c r="J284" s="263">
        <f>+SUMIFS(Tabla6[Nominal COP],Tabla6[Concepto],COSTO_OPORTUNIDAD!$B$18,Tabla6[Nemotécnico],COSTO_OPORTUNIDAD!J$16,Tabla6[Fecha Cumplimiento y/ liquidacion],COSTO_OPORTUNIDAD!$C284)/+SUMIFS(Tabla6[Nominal COP],Tabla6[Concepto],COSTO_OPORTUNIDAD!$B$18,Tabla6[Fecha Cumplimiento y/ liquidacion],COSTO_OPORTUNIDAD!$C284)</f>
        <v>0</v>
      </c>
      <c r="K284" s="263">
        <f>+SUMIFS(Tabla6[Nominal COP],Tabla6[Concepto],COSTO_OPORTUNIDAD!$B$18,Tabla6[Nemotécnico],COSTO_OPORTUNIDAD!K$16,Tabla6[Fecha Cumplimiento y/ liquidacion],COSTO_OPORTUNIDAD!$C284)/+SUMIFS(Tabla6[Nominal COP],Tabla6[Concepto],COSTO_OPORTUNIDAD!$B$18,Tabla6[Fecha Cumplimiento y/ liquidacion],COSTO_OPORTUNIDAD!$C284)</f>
        <v>0</v>
      </c>
      <c r="L284" s="263">
        <f>+SUMIFS(Tabla6[Nominal COP],Tabla6[Concepto],COSTO_OPORTUNIDAD!$B$18,Tabla6[Nemotécnico],COSTO_OPORTUNIDAD!L$16,Tabla6[Fecha Cumplimiento y/ liquidacion],COSTO_OPORTUNIDAD!$C284)/+SUMIFS(Tabla6[Nominal COP],Tabla6[Concepto],COSTO_OPORTUNIDAD!$B$18,Tabla6[Fecha Cumplimiento y/ liquidacion],COSTO_OPORTUNIDAD!$C284)</f>
        <v>0</v>
      </c>
      <c r="M284" s="263">
        <f>+SUMIFS(Tabla6[Nominal COP],Tabla6[Concepto],COSTO_OPORTUNIDAD!$B$18,Tabla6[Nemotécnico],COSTO_OPORTUNIDAD!M$16,Tabla6[Fecha Cumplimiento y/ liquidacion],COSTO_OPORTUNIDAD!$C284)/+SUMIFS(Tabla6[Nominal COP],Tabla6[Concepto],COSTO_OPORTUNIDAD!$B$18,Tabla6[Fecha Cumplimiento y/ liquidacion],COSTO_OPORTUNIDAD!$C284)</f>
        <v>0</v>
      </c>
      <c r="N284" s="263">
        <f>+SUMIFS(Tabla6[Nominal COP],Tabla6[Concepto],COSTO_OPORTUNIDAD!$B$18,Tabla6[Nemotécnico],COSTO_OPORTUNIDAD!N$16,Tabla6[Fecha Cumplimiento y/ liquidacion],COSTO_OPORTUNIDAD!$C284)/+SUMIFS(Tabla6[Nominal COP],Tabla6[Concepto],COSTO_OPORTUNIDAD!$B$18,Tabla6[Fecha Cumplimiento y/ liquidacion],COSTO_OPORTUNIDAD!$C284)</f>
        <v>0</v>
      </c>
      <c r="O284" s="263"/>
      <c r="P284" s="263">
        <f>+SUMIFS(Tabla6[Nominal COP],Tabla6[Concepto],COSTO_OPORTUNIDAD!$B$18,Tabla6[Nemotécnico],COSTO_OPORTUNIDAD!P$16,Tabla6[Fecha Cumplimiento y/ liquidacion],COSTO_OPORTUNIDAD!$C284)/+SUMIFS(Tabla6[Nominal COP],Tabla6[Concepto],COSTO_OPORTUNIDAD!$B$18,Tabla6[Fecha Cumplimiento y/ liquidacion],COSTO_OPORTUNIDAD!$C284)</f>
        <v>0</v>
      </c>
      <c r="Q284" s="263">
        <f>+SUMIFS(Tabla6[Nominal COP],Tabla6[Concepto],COSTO_OPORTUNIDAD!$B$18,Tabla6[Nemotécnico],COSTO_OPORTUNIDAD!Q$16,Tabla6[Fecha Cumplimiento y/ liquidacion],COSTO_OPORTUNIDAD!$C284)/+SUMIFS(Tabla6[Nominal COP],Tabla6[Concepto],COSTO_OPORTUNIDAD!$B$18,Tabla6[Fecha Cumplimiento y/ liquidacion],COSTO_OPORTUNIDAD!$C284)</f>
        <v>0</v>
      </c>
      <c r="R284" s="263">
        <f>+SUMIFS(Tabla6[Nominal COP],Tabla6[Concepto],COSTO_OPORTUNIDAD!$B$18,Tabla6[Nemotécnico],COSTO_OPORTUNIDAD!R$16,Tabla6[Fecha Cumplimiento y/ liquidacion],COSTO_OPORTUNIDAD!$C284)/+SUMIFS(Tabla6[Nominal COP],Tabla6[Concepto],COSTO_OPORTUNIDAD!$B$18,Tabla6[Fecha Cumplimiento y/ liquidacion],COSTO_OPORTUNIDAD!$C284)</f>
        <v>0</v>
      </c>
      <c r="S284" s="263">
        <f>+SUMIFS(Tabla6[Nominal COP],Tabla6[Concepto],COSTO_OPORTUNIDAD!$B$18,Tabla6[Nemotécnico],COSTO_OPORTUNIDAD!S$16,Tabla6[Fecha Cumplimiento y/ liquidacion],COSTO_OPORTUNIDAD!$C284)/+SUMIFS(Tabla6[Nominal COP],Tabla6[Concepto],COSTO_OPORTUNIDAD!$B$18,Tabla6[Fecha Cumplimiento y/ liquidacion],COSTO_OPORTUNIDAD!$C284)</f>
        <v>0</v>
      </c>
      <c r="T284" s="263">
        <f>+SUMIFS(Tabla6[Nominal COP],Tabla6[Concepto],COSTO_OPORTUNIDAD!$B$18,Tabla6[Nemotécnico],COSTO_OPORTUNIDAD!T$16,Tabla6[Fecha Cumplimiento y/ liquidacion],COSTO_OPORTUNIDAD!$C284)/+SUMIFS(Tabla6[Nominal COP],Tabla6[Concepto],COSTO_OPORTUNIDAD!$B$18,Tabla6[Fecha Cumplimiento y/ liquidacion],COSTO_OPORTUNIDAD!$C284)</f>
        <v>0</v>
      </c>
      <c r="U284" s="263">
        <f>+SUMIFS(Tabla6[Nominal COP],Tabla6[Concepto],COSTO_OPORTUNIDAD!$B$18,Tabla6[Nemotécnico],COSTO_OPORTUNIDAD!U$16,Tabla6[Fecha Cumplimiento y/ liquidacion],COSTO_OPORTUNIDAD!$C284)/+SUMIFS(Tabla6[Nominal COP],Tabla6[Concepto],COSTO_OPORTUNIDAD!$B$18,Tabla6[Fecha Cumplimiento y/ liquidacion],COSTO_OPORTUNIDAD!$C284)</f>
        <v>0</v>
      </c>
      <c r="V284" s="263">
        <f>+SUMIFS(Tabla6[Nominal COP],Tabla6[Concepto],COSTO_OPORTUNIDAD!$B$18,Tabla6[Nemotécnico],COSTO_OPORTUNIDAD!V$16,Tabla6[Fecha Cumplimiento y/ liquidacion],COSTO_OPORTUNIDAD!$C284)/+SUMIFS(Tabla6[Nominal COP],Tabla6[Concepto],COSTO_OPORTUNIDAD!$B$18,Tabla6[Fecha Cumplimiento y/ liquidacion],COSTO_OPORTUNIDAD!$C284)</f>
        <v>0</v>
      </c>
      <c r="W284" s="263">
        <f>+SUMIFS(Tabla6[Nominal COP],Tabla6[Concepto],COSTO_OPORTUNIDAD!$B$18,Tabla6[Nemotécnico],COSTO_OPORTUNIDAD!W$16,Tabla6[Fecha Cumplimiento y/ liquidacion],COSTO_OPORTUNIDAD!$C284)/+SUMIFS(Tabla6[Nominal COP],Tabla6[Concepto],COSTO_OPORTUNIDAD!$B$18,Tabla6[Fecha Cumplimiento y/ liquidacion],COSTO_OPORTUNIDAD!$C284)</f>
        <v>0</v>
      </c>
      <c r="X284" s="263">
        <f>+SUMIFS(Tabla6[Nominal COP],Tabla6[Concepto],COSTO_OPORTUNIDAD!$B$18,Tabla6[Nemotécnico],COSTO_OPORTUNIDAD!X$16,Tabla6[Fecha Cumplimiento y/ liquidacion],COSTO_OPORTUNIDAD!$C284)/+SUMIFS(Tabla6[Nominal COP],Tabla6[Concepto],COSTO_OPORTUNIDAD!$B$18,Tabla6[Fecha Cumplimiento y/ liquidacion],COSTO_OPORTUNIDAD!$C284)</f>
        <v>0</v>
      </c>
      <c r="Y284" s="263"/>
      <c r="Z284" s="263">
        <f>+SUMIFS(Tabla6[Nominal COP],Tabla6[Concepto],COSTO_OPORTUNIDAD!$B$18,Tabla6[Nemotécnico],COSTO_OPORTUNIDAD!Z$16,Tabla6[Fecha Cumplimiento y/ liquidacion],COSTO_OPORTUNIDAD!$C284)/+SUMIFS(Tabla6[Nominal COP],Tabla6[Concepto],COSTO_OPORTUNIDAD!$B$18,Tabla6[Fecha Cumplimiento y/ liquidacion],COSTO_OPORTUNIDAD!$C284)</f>
        <v>0</v>
      </c>
      <c r="AA284" s="263">
        <f>+SUMIFS(Tabla6[Nominal COP],Tabla6[Concepto],COSTO_OPORTUNIDAD!$B$18,Tabla6[Nemotécnico],COSTO_OPORTUNIDAD!AA$16,Tabla6[Fecha Cumplimiento y/ liquidacion],COSTO_OPORTUNIDAD!$C284)/+SUMIFS(Tabla6[Nominal COP],Tabla6[Concepto],COSTO_OPORTUNIDAD!$B$18,Tabla6[Fecha Cumplimiento y/ liquidacion],COSTO_OPORTUNIDAD!$C284)</f>
        <v>0</v>
      </c>
      <c r="AB284" s="263">
        <f>+SUMIFS(Tabla6[Nominal COP],Tabla6[Concepto],COSTO_OPORTUNIDAD!$B$18,Tabla6[Nemotécnico],COSTO_OPORTUNIDAD!AB$16,Tabla6[Fecha Cumplimiento y/ liquidacion],COSTO_OPORTUNIDAD!$C284)/+SUMIFS(Tabla6[Nominal COP],Tabla6[Concepto],COSTO_OPORTUNIDAD!$B$18,Tabla6[Fecha Cumplimiento y/ liquidacion],COSTO_OPORTUNIDAD!$C284)</f>
        <v>0</v>
      </c>
      <c r="AC284" s="263">
        <f>+SUMIFS(Tabla6[Nominal COP],Tabla6[Concepto],COSTO_OPORTUNIDAD!$B$18,Tabla6[Nemotécnico],COSTO_OPORTUNIDAD!AC$16,Tabla6[Fecha Cumplimiento y/ liquidacion],COSTO_OPORTUNIDAD!$C284)/+SUMIFS(Tabla6[Nominal COP],Tabla6[Concepto],COSTO_OPORTUNIDAD!$B$18,Tabla6[Fecha Cumplimiento y/ liquidacion],COSTO_OPORTUNIDAD!$C284)</f>
        <v>0</v>
      </c>
      <c r="AD284" s="263">
        <f>+SUMIFS(Tabla6[Nominal COP],Tabla6[Concepto],COSTO_OPORTUNIDAD!$B$18,Tabla6[Nemotécnico],COSTO_OPORTUNIDAD!AC$16,Tabla6[Fecha Cumplimiento y/ liquidacion],COSTO_OPORTUNIDAD!$C284)/+SUMIFS(Tabla6[Nominal COP],Tabla6[Concepto],COSTO_OPORTUNIDAD!$B$18,Tabla6[Fecha Cumplimiento y/ liquidacion],COSTO_OPORTUNIDAD!$C284)</f>
        <v>0</v>
      </c>
      <c r="AE284" s="263">
        <f>+SUMIFS(Tabla6[Nominal COP],Tabla6[Concepto],COSTO_OPORTUNIDAD!$B$18,Tabla6[Nemotécnico],COSTO_OPORTUNIDAD!AE$16,Tabla6[Fecha Cumplimiento y/ liquidacion],COSTO_OPORTUNIDAD!$C284)/+SUMIFS(Tabla6[Nominal COP],Tabla6[Concepto],COSTO_OPORTUNIDAD!$B$18,Tabla6[Fecha Cumplimiento y/ liquidacion],COSTO_OPORTUNIDAD!$C284)</f>
        <v>0</v>
      </c>
      <c r="AF284" s="263">
        <f>+SUMIFS(Tabla6[Nominal COP],Tabla6[Concepto],COSTO_OPORTUNIDAD!$B$18,Tabla6[Nemotécnico],COSTO_OPORTUNIDAD!AF$16,Tabla6[Fecha Cumplimiento y/ liquidacion],COSTO_OPORTUNIDAD!$C284)/+SUMIFS(Tabla6[Nominal COP],Tabla6[Concepto],COSTO_OPORTUNIDAD!$B$18,Tabla6[Fecha Cumplimiento y/ liquidacion],COSTO_OPORTUNIDAD!$C284)</f>
        <v>0</v>
      </c>
      <c r="AH284" s="274">
        <f t="shared" si="348"/>
        <v>463</v>
      </c>
      <c r="AI284" s="274">
        <f t="shared" si="349"/>
        <v>897</v>
      </c>
      <c r="AJ284" s="274">
        <f t="shared" si="350"/>
        <v>1074</v>
      </c>
      <c r="AK284" s="274">
        <f t="shared" si="350"/>
        <v>1555</v>
      </c>
      <c r="AL284" s="274">
        <f t="shared" si="278"/>
        <v>1947</v>
      </c>
      <c r="AM284" s="274">
        <f t="shared" si="279"/>
        <v>2136</v>
      </c>
      <c r="AN284" s="274">
        <f t="shared" si="280"/>
        <v>2598</v>
      </c>
      <c r="AO284" s="274">
        <f t="shared" si="281"/>
        <v>2822</v>
      </c>
      <c r="AP284" s="274">
        <f t="shared" si="282"/>
        <v>3438</v>
      </c>
      <c r="AQ284" s="274"/>
      <c r="AR284" s="274">
        <f t="shared" si="313"/>
        <v>4068</v>
      </c>
      <c r="AS284" s="274">
        <f t="shared" si="301"/>
        <v>5671</v>
      </c>
      <c r="AT284" s="274">
        <f t="shared" si="283"/>
        <v>6217</v>
      </c>
      <c r="AU284" s="274">
        <f t="shared" si="284"/>
        <v>7736</v>
      </c>
      <c r="AV284" s="274">
        <f t="shared" si="285"/>
        <v>9290</v>
      </c>
      <c r="AW284" s="274"/>
      <c r="AX284" s="274">
        <f t="shared" si="286"/>
        <v>-13</v>
      </c>
      <c r="AY284" s="274">
        <f t="shared" si="287"/>
        <v>666</v>
      </c>
      <c r="AZ284" s="274">
        <f t="shared" si="267"/>
        <v>1429</v>
      </c>
      <c r="BA284" s="274"/>
      <c r="BB284" s="274">
        <f t="shared" si="314"/>
        <v>2866</v>
      </c>
      <c r="BC284" s="274">
        <f t="shared" si="315"/>
        <v>3606</v>
      </c>
      <c r="BD284" s="274">
        <f t="shared" si="316"/>
        <v>4299</v>
      </c>
      <c r="BE284" s="274">
        <f t="shared" si="288"/>
        <v>5783</v>
      </c>
      <c r="BF284" s="274">
        <f t="shared" si="317"/>
        <v>8793</v>
      </c>
      <c r="BG284" s="274">
        <f t="shared" si="289"/>
        <v>10956</v>
      </c>
      <c r="BH284" s="274">
        <f t="shared" si="308"/>
        <v>13406</v>
      </c>
      <c r="BI284" s="266">
        <f t="shared" si="318"/>
        <v>0</v>
      </c>
      <c r="BJ284" s="266">
        <f t="shared" si="319"/>
        <v>1</v>
      </c>
      <c r="BK284" s="263">
        <f t="shared" si="320"/>
        <v>0</v>
      </c>
      <c r="BL284" s="263">
        <f t="shared" si="321"/>
        <v>0</v>
      </c>
      <c r="BM284" s="263">
        <f t="shared" si="322"/>
        <v>0</v>
      </c>
      <c r="BN284" s="263">
        <f t="shared" si="351"/>
        <v>1</v>
      </c>
      <c r="BO284" s="263">
        <f t="shared" si="323"/>
        <v>0</v>
      </c>
      <c r="BP284" s="263">
        <f t="shared" si="324"/>
        <v>0</v>
      </c>
      <c r="BQ284" s="263">
        <f t="shared" si="325"/>
        <v>0</v>
      </c>
      <c r="BR284" s="263">
        <f t="shared" si="326"/>
        <v>0</v>
      </c>
      <c r="BS284" s="263">
        <f t="shared" si="327"/>
        <v>0</v>
      </c>
      <c r="BT284" s="263">
        <f t="shared" si="328"/>
        <v>0</v>
      </c>
      <c r="BU284" s="263">
        <f t="shared" si="329"/>
        <v>0</v>
      </c>
      <c r="BV284" s="263">
        <f t="shared" si="352"/>
        <v>0</v>
      </c>
      <c r="BW284" s="263">
        <f t="shared" si="330"/>
        <v>0</v>
      </c>
      <c r="BX284" s="263">
        <f t="shared" si="337"/>
        <v>0</v>
      </c>
      <c r="BY284" s="263">
        <f t="shared" si="331"/>
        <v>0</v>
      </c>
      <c r="BZ284" s="263"/>
      <c r="CA284" s="263" t="str">
        <f t="shared" si="254"/>
        <v/>
      </c>
      <c r="CB284" s="263" t="str">
        <f t="shared" si="332"/>
        <v/>
      </c>
      <c r="CC284" s="263" t="str">
        <f t="shared" si="255"/>
        <v/>
      </c>
      <c r="CD284" s="263" t="str">
        <f t="shared" si="333"/>
        <v/>
      </c>
      <c r="CE284" s="263" t="str">
        <f t="shared" si="346"/>
        <v/>
      </c>
      <c r="CF284" s="263" t="str">
        <f t="shared" si="256"/>
        <v/>
      </c>
      <c r="CG284" s="263" t="str">
        <f t="shared" si="257"/>
        <v/>
      </c>
      <c r="CH284" s="263" t="str">
        <f t="shared" si="290"/>
        <v/>
      </c>
      <c r="CI284" s="263" t="str">
        <f t="shared" si="334"/>
        <v/>
      </c>
      <c r="CJ284" s="263" t="str">
        <f t="shared" si="291"/>
        <v/>
      </c>
      <c r="CK284" s="263" t="str">
        <f t="shared" si="335"/>
        <v/>
      </c>
      <c r="CL284" s="264">
        <f t="shared" si="353"/>
        <v>1555</v>
      </c>
      <c r="CM284" s="264">
        <f t="shared" si="292"/>
        <v>0</v>
      </c>
      <c r="CO284" s="265">
        <v>8.8849999999999998E-2</v>
      </c>
      <c r="CP284" s="265">
        <v>9.5000000000000001E-2</v>
      </c>
      <c r="CQ284" s="265">
        <v>0.10035999999999999</v>
      </c>
      <c r="CR284" s="265">
        <v>0.10962</v>
      </c>
      <c r="CS284" s="265">
        <v>0.11220000000000001</v>
      </c>
      <c r="CT284" s="265">
        <v>0.11689999999999999</v>
      </c>
      <c r="CU284" s="265">
        <v>0.11900000000000001</v>
      </c>
      <c r="CV284" s="265">
        <v>0.11990000000000001</v>
      </c>
      <c r="CW284" s="265">
        <v>0.12140000000000001</v>
      </c>
      <c r="CY284" s="265">
        <v>0.1225</v>
      </c>
      <c r="CZ284" s="265">
        <v>0.1242</v>
      </c>
      <c r="DA284" s="265">
        <v>0.12612000000000001</v>
      </c>
      <c r="DB284" s="265">
        <v>0.12612000000000001</v>
      </c>
      <c r="DC284" s="265">
        <v>0.12490999999999999</v>
      </c>
      <c r="DE284" s="265">
        <v>5.2350000000000001E-2</v>
      </c>
      <c r="DF284" s="265">
        <v>5.9200000000000003E-2</v>
      </c>
      <c r="DH284" s="265" t="e">
        <v>#VALUE!</v>
      </c>
      <c r="DI284" s="265" t="e">
        <v>#VALUE!</v>
      </c>
      <c r="DJ284" s="265" t="e">
        <v>#VALUE!</v>
      </c>
      <c r="DK284" s="265">
        <v>6.3399999999999998E-2</v>
      </c>
      <c r="DL284" s="265">
        <v>5.9029999999999999E-2</v>
      </c>
      <c r="DM284" s="265">
        <v>5.7000000000000002E-2</v>
      </c>
      <c r="DO284" s="264">
        <f t="shared" si="268"/>
        <v>1555</v>
      </c>
      <c r="DP284" s="264" cm="1">
        <f t="array" ref="DP284">+INDEX(AH284:AV284,MATCH(DO284,AH284:AV284,1)+1)</f>
        <v>1947</v>
      </c>
      <c r="DQ284" s="265">
        <f t="shared" si="269"/>
        <v>0.10962</v>
      </c>
      <c r="DR284" s="267">
        <f t="shared" si="270"/>
        <v>0.11220000000000001</v>
      </c>
      <c r="DS284" s="267">
        <f t="shared" si="297"/>
        <v>0.10962</v>
      </c>
      <c r="DT284" s="268">
        <f t="shared" si="293"/>
        <v>-13</v>
      </c>
      <c r="DU284" s="268" cm="1">
        <f t="array" ref="DU284">+INDEX(AX284:BG284,MATCH(DT284,AX284:BG284,1)+1)</f>
        <v>666</v>
      </c>
      <c r="DV284" s="267">
        <f t="shared" si="249"/>
        <v>5.2350000000000001E-2</v>
      </c>
      <c r="DW284" s="267">
        <f t="shared" si="294"/>
        <v>5.9200000000000003E-2</v>
      </c>
      <c r="DX284" s="267">
        <f t="shared" si="345"/>
        <v>5.2479999999999999E-2</v>
      </c>
      <c r="DY284" s="267">
        <f t="shared" si="341"/>
        <v>5.28E-2</v>
      </c>
      <c r="DZ284" s="205">
        <f t="shared" ref="DZ284" si="356">+(1+DX284)*(1+DY284)-1</f>
        <v>0.10805094400000015</v>
      </c>
      <c r="EA284" s="205">
        <f t="shared" si="252"/>
        <v>0.10962</v>
      </c>
    </row>
    <row r="285" spans="2:131">
      <c r="B285" s="272">
        <v>45821</v>
      </c>
      <c r="C285" s="271">
        <f t="shared" si="343"/>
        <v>45821</v>
      </c>
      <c r="D285" s="263">
        <f>+SUMIFS(Tabla6[Nominal COP],Tabla6[Concepto],COSTO_OPORTUNIDAD!$B$18,Tabla6[Nemotécnico],COSTO_OPORTUNIDAD!D$16,Tabla6[Fecha Cumplimiento y/ liquidacion],COSTO_OPORTUNIDAD!$C285)/+SUMIFS(Tabla6[Nominal COP],Tabla6[Concepto],COSTO_OPORTUNIDAD!$B$18,Tabla6[Fecha Cumplimiento y/ liquidacion],COSTO_OPORTUNIDAD!$C285)</f>
        <v>0</v>
      </c>
      <c r="E285" s="263">
        <f>+SUMIFS(Tabla6[Nominal COP],Tabla6[Concepto],COSTO_OPORTUNIDAD!$B$18,Tabla6[Nemotécnico],COSTO_OPORTUNIDAD!E$16,Tabla6[Fecha Cumplimiento y/ liquidacion],COSTO_OPORTUNIDAD!$C285)/+SUMIFS(Tabla6[Nominal COP],Tabla6[Concepto],COSTO_OPORTUNIDAD!$B$18,Tabla6[Fecha Cumplimiento y/ liquidacion],COSTO_OPORTUNIDAD!$C285)</f>
        <v>0</v>
      </c>
      <c r="F285" s="263">
        <f>+SUMIFS(Tabla6[Nominal COP],Tabla6[Concepto],COSTO_OPORTUNIDAD!$B$18,Tabla6[Nemotécnico],COSTO_OPORTUNIDAD!F$16,Tabla6[Fecha Cumplimiento y/ liquidacion],COSTO_OPORTUNIDAD!$C285)/+SUMIFS(Tabla6[Nominal COP],Tabla6[Concepto],COSTO_OPORTUNIDAD!$B$18,Tabla6[Fecha Cumplimiento y/ liquidacion],COSTO_OPORTUNIDAD!$C285)</f>
        <v>0</v>
      </c>
      <c r="G285" s="263">
        <f>+SUMIFS(Tabla6[Nominal COP],Tabla6[Concepto],COSTO_OPORTUNIDAD!$B$18,Tabla6[Nemotécnico],COSTO_OPORTUNIDAD!G$16,Tabla6[Fecha Cumplimiento y/ liquidacion],COSTO_OPORTUNIDAD!$C285)/+SUMIFS(Tabla6[Nominal COP],Tabla6[Concepto],COSTO_OPORTUNIDAD!$B$18,Tabla6[Fecha Cumplimiento y/ liquidacion],COSTO_OPORTUNIDAD!$C285)</f>
        <v>0</v>
      </c>
      <c r="H285" s="263">
        <f>+SUMIFS(Tabla6[Nominal COP],Tabla6[Concepto],COSTO_OPORTUNIDAD!$B$18,Tabla6[Nemotécnico],COSTO_OPORTUNIDAD!H$16,Tabla6[Fecha Cumplimiento y/ liquidacion],COSTO_OPORTUNIDAD!$C285)/+SUMIFS(Tabla6[Nominal COP],Tabla6[Concepto],COSTO_OPORTUNIDAD!$B$18,Tabla6[Fecha Cumplimiento y/ liquidacion],COSTO_OPORTUNIDAD!$C285)</f>
        <v>1</v>
      </c>
      <c r="I285" s="263">
        <f>+SUMIFS(Tabla6[Nominal COP],Tabla6[Concepto],COSTO_OPORTUNIDAD!$B$18,Tabla6[Nemotécnico],COSTO_OPORTUNIDAD!I$16,Tabla6[Fecha Cumplimiento y/ liquidacion],COSTO_OPORTUNIDAD!$C285)/+SUMIFS(Tabla6[Nominal COP],Tabla6[Concepto],COSTO_OPORTUNIDAD!$B$18,Tabla6[Fecha Cumplimiento y/ liquidacion],COSTO_OPORTUNIDAD!$C285)</f>
        <v>0</v>
      </c>
      <c r="J285" s="263">
        <f>+SUMIFS(Tabla6[Nominal COP],Tabla6[Concepto],COSTO_OPORTUNIDAD!$B$18,Tabla6[Nemotécnico],COSTO_OPORTUNIDAD!J$16,Tabla6[Fecha Cumplimiento y/ liquidacion],COSTO_OPORTUNIDAD!$C285)/+SUMIFS(Tabla6[Nominal COP],Tabla6[Concepto],COSTO_OPORTUNIDAD!$B$18,Tabla6[Fecha Cumplimiento y/ liquidacion],COSTO_OPORTUNIDAD!$C285)</f>
        <v>0</v>
      </c>
      <c r="K285" s="263">
        <f>+SUMIFS(Tabla6[Nominal COP],Tabla6[Concepto],COSTO_OPORTUNIDAD!$B$18,Tabla6[Nemotécnico],COSTO_OPORTUNIDAD!K$16,Tabla6[Fecha Cumplimiento y/ liquidacion],COSTO_OPORTUNIDAD!$C285)/+SUMIFS(Tabla6[Nominal COP],Tabla6[Concepto],COSTO_OPORTUNIDAD!$B$18,Tabla6[Fecha Cumplimiento y/ liquidacion],COSTO_OPORTUNIDAD!$C285)</f>
        <v>0</v>
      </c>
      <c r="L285" s="263">
        <f>+SUMIFS(Tabla6[Nominal COP],Tabla6[Concepto],COSTO_OPORTUNIDAD!$B$18,Tabla6[Nemotécnico],COSTO_OPORTUNIDAD!L$16,Tabla6[Fecha Cumplimiento y/ liquidacion],COSTO_OPORTUNIDAD!$C285)/+SUMIFS(Tabla6[Nominal COP],Tabla6[Concepto],COSTO_OPORTUNIDAD!$B$18,Tabla6[Fecha Cumplimiento y/ liquidacion],COSTO_OPORTUNIDAD!$C285)</f>
        <v>0</v>
      </c>
      <c r="M285" s="263">
        <f>+SUMIFS(Tabla6[Nominal COP],Tabla6[Concepto],COSTO_OPORTUNIDAD!$B$18,Tabla6[Nemotécnico],COSTO_OPORTUNIDAD!M$16,Tabla6[Fecha Cumplimiento y/ liquidacion],COSTO_OPORTUNIDAD!$C285)/+SUMIFS(Tabla6[Nominal COP],Tabla6[Concepto],COSTO_OPORTUNIDAD!$B$18,Tabla6[Fecha Cumplimiento y/ liquidacion],COSTO_OPORTUNIDAD!$C285)</f>
        <v>0</v>
      </c>
      <c r="N285" s="263">
        <f>+SUMIFS(Tabla6[Nominal COP],Tabla6[Concepto],COSTO_OPORTUNIDAD!$B$18,Tabla6[Nemotécnico],COSTO_OPORTUNIDAD!N$16,Tabla6[Fecha Cumplimiento y/ liquidacion],COSTO_OPORTUNIDAD!$C285)/+SUMIFS(Tabla6[Nominal COP],Tabla6[Concepto],COSTO_OPORTUNIDAD!$B$18,Tabla6[Fecha Cumplimiento y/ liquidacion],COSTO_OPORTUNIDAD!$C285)</f>
        <v>0</v>
      </c>
      <c r="O285" s="263"/>
      <c r="P285" s="263">
        <f>+SUMIFS(Tabla6[Nominal COP],Tabla6[Concepto],COSTO_OPORTUNIDAD!$B$18,Tabla6[Nemotécnico],COSTO_OPORTUNIDAD!P$16,Tabla6[Fecha Cumplimiento y/ liquidacion],COSTO_OPORTUNIDAD!$C285)/+SUMIFS(Tabla6[Nominal COP],Tabla6[Concepto],COSTO_OPORTUNIDAD!$B$18,Tabla6[Fecha Cumplimiento y/ liquidacion],COSTO_OPORTUNIDAD!$C285)</f>
        <v>0</v>
      </c>
      <c r="Q285" s="263">
        <f>+SUMIFS(Tabla6[Nominal COP],Tabla6[Concepto],COSTO_OPORTUNIDAD!$B$18,Tabla6[Nemotécnico],COSTO_OPORTUNIDAD!Q$16,Tabla6[Fecha Cumplimiento y/ liquidacion],COSTO_OPORTUNIDAD!$C285)/+SUMIFS(Tabla6[Nominal COP],Tabla6[Concepto],COSTO_OPORTUNIDAD!$B$18,Tabla6[Fecha Cumplimiento y/ liquidacion],COSTO_OPORTUNIDAD!$C285)</f>
        <v>0</v>
      </c>
      <c r="R285" s="263">
        <f>+SUMIFS(Tabla6[Nominal COP],Tabla6[Concepto],COSTO_OPORTUNIDAD!$B$18,Tabla6[Nemotécnico],COSTO_OPORTUNIDAD!R$16,Tabla6[Fecha Cumplimiento y/ liquidacion],COSTO_OPORTUNIDAD!$C285)/+SUMIFS(Tabla6[Nominal COP],Tabla6[Concepto],COSTO_OPORTUNIDAD!$B$18,Tabla6[Fecha Cumplimiento y/ liquidacion],COSTO_OPORTUNIDAD!$C285)</f>
        <v>0</v>
      </c>
      <c r="S285" s="263">
        <f>+SUMIFS(Tabla6[Nominal COP],Tabla6[Concepto],COSTO_OPORTUNIDAD!$B$18,Tabla6[Nemotécnico],COSTO_OPORTUNIDAD!S$16,Tabla6[Fecha Cumplimiento y/ liquidacion],COSTO_OPORTUNIDAD!$C285)/+SUMIFS(Tabla6[Nominal COP],Tabla6[Concepto],COSTO_OPORTUNIDAD!$B$18,Tabla6[Fecha Cumplimiento y/ liquidacion],COSTO_OPORTUNIDAD!$C285)</f>
        <v>0</v>
      </c>
      <c r="T285" s="263">
        <f>+SUMIFS(Tabla6[Nominal COP],Tabla6[Concepto],COSTO_OPORTUNIDAD!$B$18,Tabla6[Nemotécnico],COSTO_OPORTUNIDAD!T$16,Tabla6[Fecha Cumplimiento y/ liquidacion],COSTO_OPORTUNIDAD!$C285)/+SUMIFS(Tabla6[Nominal COP],Tabla6[Concepto],COSTO_OPORTUNIDAD!$B$18,Tabla6[Fecha Cumplimiento y/ liquidacion],COSTO_OPORTUNIDAD!$C285)</f>
        <v>0</v>
      </c>
      <c r="U285" s="263">
        <f>+SUMIFS(Tabla6[Nominal COP],Tabla6[Concepto],COSTO_OPORTUNIDAD!$B$18,Tabla6[Nemotécnico],COSTO_OPORTUNIDAD!U$16,Tabla6[Fecha Cumplimiento y/ liquidacion],COSTO_OPORTUNIDAD!$C285)/+SUMIFS(Tabla6[Nominal COP],Tabla6[Concepto],COSTO_OPORTUNIDAD!$B$18,Tabla6[Fecha Cumplimiento y/ liquidacion],COSTO_OPORTUNIDAD!$C285)</f>
        <v>0</v>
      </c>
      <c r="V285" s="263">
        <f>+SUMIFS(Tabla6[Nominal COP],Tabla6[Concepto],COSTO_OPORTUNIDAD!$B$18,Tabla6[Nemotécnico],COSTO_OPORTUNIDAD!V$16,Tabla6[Fecha Cumplimiento y/ liquidacion],COSTO_OPORTUNIDAD!$C285)/+SUMIFS(Tabla6[Nominal COP],Tabla6[Concepto],COSTO_OPORTUNIDAD!$B$18,Tabla6[Fecha Cumplimiento y/ liquidacion],COSTO_OPORTUNIDAD!$C285)</f>
        <v>0</v>
      </c>
      <c r="W285" s="263">
        <f>+SUMIFS(Tabla6[Nominal COP],Tabla6[Concepto],COSTO_OPORTUNIDAD!$B$18,Tabla6[Nemotécnico],COSTO_OPORTUNIDAD!W$16,Tabla6[Fecha Cumplimiento y/ liquidacion],COSTO_OPORTUNIDAD!$C285)/+SUMIFS(Tabla6[Nominal COP],Tabla6[Concepto],COSTO_OPORTUNIDAD!$B$18,Tabla6[Fecha Cumplimiento y/ liquidacion],COSTO_OPORTUNIDAD!$C285)</f>
        <v>0</v>
      </c>
      <c r="X285" s="263">
        <f>+SUMIFS(Tabla6[Nominal COP],Tabla6[Concepto],COSTO_OPORTUNIDAD!$B$18,Tabla6[Nemotécnico],COSTO_OPORTUNIDAD!X$16,Tabla6[Fecha Cumplimiento y/ liquidacion],COSTO_OPORTUNIDAD!$C285)/+SUMIFS(Tabla6[Nominal COP],Tabla6[Concepto],COSTO_OPORTUNIDAD!$B$18,Tabla6[Fecha Cumplimiento y/ liquidacion],COSTO_OPORTUNIDAD!$C285)</f>
        <v>0</v>
      </c>
      <c r="Y285" s="263">
        <f>+SUMIFS(Tabla6[Nominal COP],Tabla6[Concepto],COSTO_OPORTUNIDAD!$B$18,Tabla6[Nemotécnico],COSTO_OPORTUNIDAD!Y$16,Tabla6[Fecha Cumplimiento y/ liquidacion],COSTO_OPORTUNIDAD!$C285)/+SUMIFS(Tabla6[Nominal COP],Tabla6[Concepto],COSTO_OPORTUNIDAD!$B$18,Tabla6[Fecha Cumplimiento y/ liquidacion],COSTO_OPORTUNIDAD!$C285)</f>
        <v>0</v>
      </c>
      <c r="Z285" s="263">
        <f>+SUMIFS(Tabla6[Nominal COP],Tabla6[Concepto],COSTO_OPORTUNIDAD!$B$18,Tabla6[Nemotécnico],COSTO_OPORTUNIDAD!Z$16,Tabla6[Fecha Cumplimiento y/ liquidacion],COSTO_OPORTUNIDAD!$C285)/+SUMIFS(Tabla6[Nominal COP],Tabla6[Concepto],COSTO_OPORTUNIDAD!$B$18,Tabla6[Fecha Cumplimiento y/ liquidacion],COSTO_OPORTUNIDAD!$C285)</f>
        <v>0</v>
      </c>
      <c r="AA285" s="263">
        <f>+SUMIFS(Tabla6[Nominal COP],Tabla6[Concepto],COSTO_OPORTUNIDAD!$B$18,Tabla6[Nemotécnico],COSTO_OPORTUNIDAD!AA$16,Tabla6[Fecha Cumplimiento y/ liquidacion],COSTO_OPORTUNIDAD!$C285)/+SUMIFS(Tabla6[Nominal COP],Tabla6[Concepto],COSTO_OPORTUNIDAD!$B$18,Tabla6[Fecha Cumplimiento y/ liquidacion],COSTO_OPORTUNIDAD!$C285)</f>
        <v>0</v>
      </c>
      <c r="AB285" s="263">
        <f>+SUMIFS(Tabla6[Nominal COP],Tabla6[Concepto],COSTO_OPORTUNIDAD!$B$18,Tabla6[Nemotécnico],COSTO_OPORTUNIDAD!AB$16,Tabla6[Fecha Cumplimiento y/ liquidacion],COSTO_OPORTUNIDAD!$C285)/+SUMIFS(Tabla6[Nominal COP],Tabla6[Concepto],COSTO_OPORTUNIDAD!$B$18,Tabla6[Fecha Cumplimiento y/ liquidacion],COSTO_OPORTUNIDAD!$C285)</f>
        <v>0</v>
      </c>
      <c r="AC285" s="263">
        <f>+SUMIFS(Tabla6[Nominal COP],Tabla6[Concepto],COSTO_OPORTUNIDAD!$B$18,Tabla6[Nemotécnico],COSTO_OPORTUNIDAD!AC$16,Tabla6[Fecha Cumplimiento y/ liquidacion],COSTO_OPORTUNIDAD!$C285)/+SUMIFS(Tabla6[Nominal COP],Tabla6[Concepto],COSTO_OPORTUNIDAD!$B$18,Tabla6[Fecha Cumplimiento y/ liquidacion],COSTO_OPORTUNIDAD!$C285)</f>
        <v>0</v>
      </c>
      <c r="AD285" s="263">
        <f>+SUMIFS(Tabla6[Nominal COP],Tabla6[Concepto],COSTO_OPORTUNIDAD!$B$18,Tabla6[Nemotécnico],COSTO_OPORTUNIDAD!AC$16,Tabla6[Fecha Cumplimiento y/ liquidacion],COSTO_OPORTUNIDAD!$C285)/+SUMIFS(Tabla6[Nominal COP],Tabla6[Concepto],COSTO_OPORTUNIDAD!$B$18,Tabla6[Fecha Cumplimiento y/ liquidacion],COSTO_OPORTUNIDAD!$C285)</f>
        <v>0</v>
      </c>
      <c r="AE285" s="263">
        <f>+SUMIFS(Tabla6[Nominal COP],Tabla6[Concepto],COSTO_OPORTUNIDAD!$B$18,Tabla6[Nemotécnico],COSTO_OPORTUNIDAD!AE$16,Tabla6[Fecha Cumplimiento y/ liquidacion],COSTO_OPORTUNIDAD!$C285)/+SUMIFS(Tabla6[Nominal COP],Tabla6[Concepto],COSTO_OPORTUNIDAD!$B$18,Tabla6[Fecha Cumplimiento y/ liquidacion],COSTO_OPORTUNIDAD!$C285)</f>
        <v>0</v>
      </c>
      <c r="AF285" s="263">
        <f>+SUMIFS(Tabla6[Nominal COP],Tabla6[Concepto],COSTO_OPORTUNIDAD!$B$18,Tabla6[Nemotécnico],COSTO_OPORTUNIDAD!AF$16,Tabla6[Fecha Cumplimiento y/ liquidacion],COSTO_OPORTUNIDAD!$C285)/+SUMIFS(Tabla6[Nominal COP],Tabla6[Concepto],COSTO_OPORTUNIDAD!$B$18,Tabla6[Fecha Cumplimiento y/ liquidacion],COSTO_OPORTUNIDAD!$C285)</f>
        <v>0</v>
      </c>
      <c r="AH285" s="274">
        <f t="shared" si="348"/>
        <v>439</v>
      </c>
      <c r="AI285" s="274">
        <f t="shared" si="349"/>
        <v>873</v>
      </c>
      <c r="AJ285" s="274">
        <f t="shared" si="350"/>
        <v>1050</v>
      </c>
      <c r="AK285" s="274">
        <f t="shared" si="350"/>
        <v>1531</v>
      </c>
      <c r="AL285" s="274">
        <f t="shared" si="278"/>
        <v>1923</v>
      </c>
      <c r="AM285" s="274">
        <f t="shared" si="279"/>
        <v>2112</v>
      </c>
      <c r="AN285" s="274">
        <f t="shared" si="280"/>
        <v>2574</v>
      </c>
      <c r="AO285" s="274">
        <f t="shared" si="281"/>
        <v>2798</v>
      </c>
      <c r="AP285" s="274">
        <f t="shared" si="282"/>
        <v>3414</v>
      </c>
      <c r="AQ285" s="274"/>
      <c r="AR285" s="274">
        <f t="shared" si="313"/>
        <v>4044</v>
      </c>
      <c r="AS285" s="274">
        <f t="shared" si="301"/>
        <v>5647</v>
      </c>
      <c r="AT285" s="274">
        <f t="shared" si="283"/>
        <v>6193</v>
      </c>
      <c r="AU285" s="274">
        <f t="shared" si="284"/>
        <v>7712</v>
      </c>
      <c r="AV285" s="274">
        <f t="shared" si="285"/>
        <v>9266</v>
      </c>
      <c r="AW285" s="274"/>
      <c r="AX285" s="274">
        <f t="shared" si="286"/>
        <v>-37</v>
      </c>
      <c r="AY285" s="274">
        <f t="shared" si="287"/>
        <v>642</v>
      </c>
      <c r="AZ285" s="274">
        <f t="shared" si="267"/>
        <v>1405</v>
      </c>
      <c r="BA285" s="274"/>
      <c r="BB285" s="274">
        <f t="shared" si="314"/>
        <v>2842</v>
      </c>
      <c r="BC285" s="274">
        <f t="shared" si="315"/>
        <v>3582</v>
      </c>
      <c r="BD285" s="274">
        <f t="shared" si="316"/>
        <v>4275</v>
      </c>
      <c r="BE285" s="274">
        <f t="shared" si="288"/>
        <v>5759</v>
      </c>
      <c r="BF285" s="274">
        <f t="shared" si="317"/>
        <v>8769</v>
      </c>
      <c r="BG285" s="274">
        <f t="shared" si="289"/>
        <v>10932</v>
      </c>
      <c r="BH285" s="274">
        <f t="shared" si="308"/>
        <v>13382</v>
      </c>
      <c r="BI285" s="266">
        <f t="shared" si="318"/>
        <v>0</v>
      </c>
      <c r="BJ285" s="266">
        <f t="shared" si="319"/>
        <v>1</v>
      </c>
      <c r="BK285" s="263">
        <f t="shared" si="320"/>
        <v>0</v>
      </c>
      <c r="BL285" s="263">
        <f t="shared" si="321"/>
        <v>0</v>
      </c>
      <c r="BM285" s="263">
        <f t="shared" si="322"/>
        <v>1</v>
      </c>
      <c r="BN285" s="263">
        <f t="shared" si="351"/>
        <v>0</v>
      </c>
      <c r="BO285" s="263">
        <f t="shared" si="323"/>
        <v>0</v>
      </c>
      <c r="BP285" s="263">
        <f t="shared" si="324"/>
        <v>0</v>
      </c>
      <c r="BQ285" s="263">
        <f t="shared" si="325"/>
        <v>0</v>
      </c>
      <c r="BR285" s="263">
        <f t="shared" si="326"/>
        <v>0</v>
      </c>
      <c r="BS285" s="263">
        <f t="shared" si="327"/>
        <v>0</v>
      </c>
      <c r="BT285" s="263">
        <f t="shared" si="328"/>
        <v>0</v>
      </c>
      <c r="BU285" s="263">
        <f t="shared" si="329"/>
        <v>0</v>
      </c>
      <c r="BV285" s="263">
        <f t="shared" si="352"/>
        <v>0</v>
      </c>
      <c r="BW285" s="263">
        <f t="shared" si="330"/>
        <v>0</v>
      </c>
      <c r="BX285" s="263">
        <f t="shared" si="337"/>
        <v>0</v>
      </c>
      <c r="BY285" s="263">
        <f t="shared" si="331"/>
        <v>0</v>
      </c>
      <c r="BZ285" s="263"/>
      <c r="CA285" s="263" t="str">
        <f t="shared" si="254"/>
        <v/>
      </c>
      <c r="CB285" s="263" t="str">
        <f t="shared" si="332"/>
        <v/>
      </c>
      <c r="CC285" s="263" t="str">
        <f t="shared" si="255"/>
        <v/>
      </c>
      <c r="CD285" s="263" t="str">
        <f t="shared" si="333"/>
        <v/>
      </c>
      <c r="CE285" s="263" t="str">
        <f t="shared" si="346"/>
        <v/>
      </c>
      <c r="CF285" s="263" t="str">
        <f t="shared" si="256"/>
        <v/>
      </c>
      <c r="CG285" s="263" t="str">
        <f t="shared" si="257"/>
        <v/>
      </c>
      <c r="CH285" s="263" t="str">
        <f t="shared" si="290"/>
        <v/>
      </c>
      <c r="CI285" s="263" t="str">
        <f t="shared" si="334"/>
        <v/>
      </c>
      <c r="CJ285" s="263" t="str">
        <f t="shared" si="291"/>
        <v/>
      </c>
      <c r="CK285" s="263" t="str">
        <f t="shared" si="335"/>
        <v/>
      </c>
      <c r="CL285" s="264">
        <f t="shared" si="353"/>
        <v>1050</v>
      </c>
      <c r="CM285" s="264">
        <f t="shared" si="292"/>
        <v>0</v>
      </c>
      <c r="CO285" s="265">
        <v>9.2509999999999995E-2</v>
      </c>
      <c r="CP285" s="265">
        <v>9.7500000000000003E-2</v>
      </c>
      <c r="CQ285" s="265">
        <v>0.10300000000000001</v>
      </c>
      <c r="CR285" s="265">
        <v>0.11249000000000001</v>
      </c>
      <c r="CS285" s="265">
        <v>0.11609999999999999</v>
      </c>
      <c r="CT285" s="265">
        <v>0.12039999999999999</v>
      </c>
      <c r="CU285" s="265">
        <v>0.12347</v>
      </c>
      <c r="CV285" s="265">
        <v>0.12475</v>
      </c>
      <c r="CW285" s="265">
        <v>0.12659999999999999</v>
      </c>
      <c r="CY285" s="265">
        <v>0.12759000000000001</v>
      </c>
      <c r="CZ285" s="265">
        <v>0.12970999999999999</v>
      </c>
      <c r="DA285" s="265">
        <v>0.13150000000000001</v>
      </c>
      <c r="DB285" s="265">
        <v>0.13150000000000001</v>
      </c>
      <c r="DC285" s="265">
        <v>0.13</v>
      </c>
      <c r="DE285" s="265">
        <v>5.5869999999999996E-2</v>
      </c>
      <c r="DF285" s="265">
        <v>6.3410000000000008E-2</v>
      </c>
      <c r="DH285" s="265">
        <v>6.6890000000000005E-2</v>
      </c>
      <c r="DI285" s="265">
        <v>6.7000000000000004E-2</v>
      </c>
      <c r="DJ285" s="265">
        <v>6.7400000000000002E-2</v>
      </c>
      <c r="DK285" s="265">
        <v>6.7500000000000004E-2</v>
      </c>
      <c r="DL285" s="265" t="e">
        <v>#VALUE!</v>
      </c>
      <c r="DM285" s="265" t="e">
        <v>#VALUE!</v>
      </c>
      <c r="DO285" s="264">
        <f t="shared" si="268"/>
        <v>1050</v>
      </c>
      <c r="DP285" s="264" cm="1">
        <f t="array" ref="DP285">+INDEX(AH285:AV285,MATCH(DO285,AH285:AV285,1)+1)</f>
        <v>1531</v>
      </c>
      <c r="DQ285" s="265">
        <f t="shared" si="269"/>
        <v>0.10300000000000001</v>
      </c>
      <c r="DR285" s="267">
        <f t="shared" si="270"/>
        <v>0.11249000000000001</v>
      </c>
      <c r="DS285" s="267">
        <f t="shared" si="297"/>
        <v>0.10299999999999999</v>
      </c>
      <c r="DT285" s="268">
        <f t="shared" si="293"/>
        <v>-37</v>
      </c>
      <c r="DU285" s="268" cm="1">
        <f t="array" ref="DU285">+INDEX(AX285:BG285,MATCH(DT285,AX285:BG285,1)+1)</f>
        <v>642</v>
      </c>
      <c r="DV285" s="267">
        <f t="shared" si="249"/>
        <v>5.5869999999999996E-2</v>
      </c>
      <c r="DW285" s="267">
        <f t="shared" si="294"/>
        <v>6.3410000000000008E-2</v>
      </c>
      <c r="DX285" s="267">
        <f t="shared" si="345"/>
        <v>5.6279999999999997E-2</v>
      </c>
      <c r="DY285" s="267">
        <f t="shared" si="341"/>
        <v>5.28E-2</v>
      </c>
      <c r="DZ285" s="205">
        <f t="shared" ref="DZ285" si="357">+(1+DX285)*(1+DY285)-1</f>
        <v>0.11205158400000004</v>
      </c>
      <c r="EA285" s="205">
        <f t="shared" si="252"/>
        <v>0.10299999999999999</v>
      </c>
    </row>
    <row r="286" spans="2:131">
      <c r="B286" s="272">
        <v>45860</v>
      </c>
      <c r="C286" s="271">
        <f t="shared" si="343"/>
        <v>45860</v>
      </c>
      <c r="D286" s="263">
        <f>+SUMIFS(Tabla6[Nominal COP],Tabla6[Concepto],COSTO_OPORTUNIDAD!$B$18,Tabla6[Nemotécnico],COSTO_OPORTUNIDAD!D$16,Tabla6[Fecha Cumplimiento y/ liquidacion],COSTO_OPORTUNIDAD!$C286)/+SUMIFS(Tabla6[Nominal COP],Tabla6[Concepto],COSTO_OPORTUNIDAD!$B$18,Tabla6[Fecha Cumplimiento y/ liquidacion],COSTO_OPORTUNIDAD!$C286)</f>
        <v>0</v>
      </c>
      <c r="E286" s="263">
        <f>+SUMIFS(Tabla6[Nominal COP],Tabla6[Concepto],COSTO_OPORTUNIDAD!$B$18,Tabla6[Nemotécnico],COSTO_OPORTUNIDAD!E$16,Tabla6[Fecha Cumplimiento y/ liquidacion],COSTO_OPORTUNIDAD!$C286)/+SUMIFS(Tabla6[Nominal COP],Tabla6[Concepto],COSTO_OPORTUNIDAD!$B$18,Tabla6[Fecha Cumplimiento y/ liquidacion],COSTO_OPORTUNIDAD!$C286)</f>
        <v>0</v>
      </c>
      <c r="F286" s="263">
        <f>+SUMIFS(Tabla6[Nominal COP],Tabla6[Concepto],COSTO_OPORTUNIDAD!$B$18,Tabla6[Nemotécnico],COSTO_OPORTUNIDAD!F$16,Tabla6[Fecha Cumplimiento y/ liquidacion],COSTO_OPORTUNIDAD!$C286)/+SUMIFS(Tabla6[Nominal COP],Tabla6[Concepto],COSTO_OPORTUNIDAD!$B$18,Tabla6[Fecha Cumplimiento y/ liquidacion],COSTO_OPORTUNIDAD!$C286)</f>
        <v>0</v>
      </c>
      <c r="G286" s="263">
        <f>+SUMIFS(Tabla6[Nominal COP],Tabla6[Concepto],COSTO_OPORTUNIDAD!$B$18,Tabla6[Nemotécnico],COSTO_OPORTUNIDAD!G$16,Tabla6[Fecha Cumplimiento y/ liquidacion],COSTO_OPORTUNIDAD!$C286)/+SUMIFS(Tabla6[Nominal COP],Tabla6[Concepto],COSTO_OPORTUNIDAD!$B$18,Tabla6[Fecha Cumplimiento y/ liquidacion],COSTO_OPORTUNIDAD!$C286)</f>
        <v>0</v>
      </c>
      <c r="H286" s="263">
        <f>+SUMIFS(Tabla6[Nominal COP],Tabla6[Concepto],COSTO_OPORTUNIDAD!$B$18,Tabla6[Nemotécnico],COSTO_OPORTUNIDAD!H$16,Tabla6[Fecha Cumplimiento y/ liquidacion],COSTO_OPORTUNIDAD!$C286)/+SUMIFS(Tabla6[Nominal COP],Tabla6[Concepto],COSTO_OPORTUNIDAD!$B$18,Tabla6[Fecha Cumplimiento y/ liquidacion],COSTO_OPORTUNIDAD!$C286)</f>
        <v>0</v>
      </c>
      <c r="I286" s="263">
        <f>+SUMIFS(Tabla6[Nominal COP],Tabla6[Concepto],COSTO_OPORTUNIDAD!$B$18,Tabla6[Nemotécnico],COSTO_OPORTUNIDAD!I$16,Tabla6[Fecha Cumplimiento y/ liquidacion],COSTO_OPORTUNIDAD!$C286)/+SUMIFS(Tabla6[Nominal COP],Tabla6[Concepto],COSTO_OPORTUNIDAD!$B$18,Tabla6[Fecha Cumplimiento y/ liquidacion],COSTO_OPORTUNIDAD!$C286)</f>
        <v>7.0082525933258255E-2</v>
      </c>
      <c r="J286" s="263">
        <f>+SUMIFS(Tabla6[Nominal COP],Tabla6[Concepto],COSTO_OPORTUNIDAD!$B$18,Tabla6[Nemotécnico],COSTO_OPORTUNIDAD!J$16,Tabla6[Fecha Cumplimiento y/ liquidacion],COSTO_OPORTUNIDAD!$C286)/+SUMIFS(Tabla6[Nominal COP],Tabla6[Concepto],COSTO_OPORTUNIDAD!$B$18,Tabla6[Fecha Cumplimiento y/ liquidacion],COSTO_OPORTUNIDAD!$C286)</f>
        <v>0</v>
      </c>
      <c r="K286" s="263">
        <f>+SUMIFS(Tabla6[Nominal COP],Tabla6[Concepto],COSTO_OPORTUNIDAD!$B$18,Tabla6[Nemotécnico],COSTO_OPORTUNIDAD!K$16,Tabla6[Fecha Cumplimiento y/ liquidacion],COSTO_OPORTUNIDAD!$C286)/+SUMIFS(Tabla6[Nominal COP],Tabla6[Concepto],COSTO_OPORTUNIDAD!$B$18,Tabla6[Fecha Cumplimiento y/ liquidacion],COSTO_OPORTUNIDAD!$C286)</f>
        <v>0</v>
      </c>
      <c r="L286" s="263">
        <f>+SUMIFS(Tabla6[Nominal COP],Tabla6[Concepto],COSTO_OPORTUNIDAD!$B$18,Tabla6[Nemotécnico],COSTO_OPORTUNIDAD!L$16,Tabla6[Fecha Cumplimiento y/ liquidacion],COSTO_OPORTUNIDAD!$C286)/+SUMIFS(Tabla6[Nominal COP],Tabla6[Concepto],COSTO_OPORTUNIDAD!$B$18,Tabla6[Fecha Cumplimiento y/ liquidacion],COSTO_OPORTUNIDAD!$C286)</f>
        <v>0</v>
      </c>
      <c r="M286" s="263">
        <f>+SUMIFS(Tabla6[Nominal COP],Tabla6[Concepto],COSTO_OPORTUNIDAD!$B$18,Tabla6[Nemotécnico],COSTO_OPORTUNIDAD!M$16,Tabla6[Fecha Cumplimiento y/ liquidacion],COSTO_OPORTUNIDAD!$C286)/+SUMIFS(Tabla6[Nominal COP],Tabla6[Concepto],COSTO_OPORTUNIDAD!$B$18,Tabla6[Fecha Cumplimiento y/ liquidacion],COSTO_OPORTUNIDAD!$C286)</f>
        <v>0.92991747406674174</v>
      </c>
      <c r="N286" s="263">
        <f>+SUMIFS(Tabla6[Nominal COP],Tabla6[Concepto],COSTO_OPORTUNIDAD!$B$18,Tabla6[Nemotécnico],COSTO_OPORTUNIDAD!N$16,Tabla6[Fecha Cumplimiento y/ liquidacion],COSTO_OPORTUNIDAD!$C286)/+SUMIFS(Tabla6[Nominal COP],Tabla6[Concepto],COSTO_OPORTUNIDAD!$B$18,Tabla6[Fecha Cumplimiento y/ liquidacion],COSTO_OPORTUNIDAD!$C286)</f>
        <v>0</v>
      </c>
      <c r="O286" s="263"/>
      <c r="P286" s="263">
        <f>+SUMIFS(Tabla6[Nominal COP],Tabla6[Concepto],COSTO_OPORTUNIDAD!$B$18,Tabla6[Nemotécnico],COSTO_OPORTUNIDAD!P$16,Tabla6[Fecha Cumplimiento y/ liquidacion],COSTO_OPORTUNIDAD!$C286)/+SUMIFS(Tabla6[Nominal COP],Tabla6[Concepto],COSTO_OPORTUNIDAD!$B$18,Tabla6[Fecha Cumplimiento y/ liquidacion],COSTO_OPORTUNIDAD!$C286)</f>
        <v>0</v>
      </c>
      <c r="Q286" s="263">
        <f>+SUMIFS(Tabla6[Nominal COP],Tabla6[Concepto],COSTO_OPORTUNIDAD!$B$18,Tabla6[Nemotécnico],COSTO_OPORTUNIDAD!Q$16,Tabla6[Fecha Cumplimiento y/ liquidacion],COSTO_OPORTUNIDAD!$C286)/+SUMIFS(Tabla6[Nominal COP],Tabla6[Concepto],COSTO_OPORTUNIDAD!$B$18,Tabla6[Fecha Cumplimiento y/ liquidacion],COSTO_OPORTUNIDAD!$C286)</f>
        <v>0</v>
      </c>
      <c r="R286" s="263">
        <f>+SUMIFS(Tabla6[Nominal COP],Tabla6[Concepto],COSTO_OPORTUNIDAD!$B$18,Tabla6[Nemotécnico],COSTO_OPORTUNIDAD!R$16,Tabla6[Fecha Cumplimiento y/ liquidacion],COSTO_OPORTUNIDAD!$C286)/+SUMIFS(Tabla6[Nominal COP],Tabla6[Concepto],COSTO_OPORTUNIDAD!$B$18,Tabla6[Fecha Cumplimiento y/ liquidacion],COSTO_OPORTUNIDAD!$C286)</f>
        <v>0</v>
      </c>
      <c r="S286" s="263">
        <f>+SUMIFS(Tabla6[Nominal COP],Tabla6[Concepto],COSTO_OPORTUNIDAD!$B$18,Tabla6[Nemotécnico],COSTO_OPORTUNIDAD!S$16,Tabla6[Fecha Cumplimiento y/ liquidacion],COSTO_OPORTUNIDAD!$C286)/+SUMIFS(Tabla6[Nominal COP],Tabla6[Concepto],COSTO_OPORTUNIDAD!$B$18,Tabla6[Fecha Cumplimiento y/ liquidacion],COSTO_OPORTUNIDAD!$C286)</f>
        <v>0</v>
      </c>
      <c r="T286" s="263">
        <f>+SUMIFS(Tabla6[Nominal COP],Tabla6[Concepto],COSTO_OPORTUNIDAD!$B$18,Tabla6[Nemotécnico],COSTO_OPORTUNIDAD!T$16,Tabla6[Fecha Cumplimiento y/ liquidacion],COSTO_OPORTUNIDAD!$C286)/+SUMIFS(Tabla6[Nominal COP],Tabla6[Concepto],COSTO_OPORTUNIDAD!$B$18,Tabla6[Fecha Cumplimiento y/ liquidacion],COSTO_OPORTUNIDAD!$C286)</f>
        <v>0</v>
      </c>
      <c r="U286" s="263">
        <f>+SUMIFS(Tabla6[Nominal COP],Tabla6[Concepto],COSTO_OPORTUNIDAD!$B$18,Tabla6[Nemotécnico],COSTO_OPORTUNIDAD!U$16,Tabla6[Fecha Cumplimiento y/ liquidacion],COSTO_OPORTUNIDAD!$C286)/+SUMIFS(Tabla6[Nominal COP],Tabla6[Concepto],COSTO_OPORTUNIDAD!$B$18,Tabla6[Fecha Cumplimiento y/ liquidacion],COSTO_OPORTUNIDAD!$C286)</f>
        <v>0</v>
      </c>
      <c r="V286" s="263">
        <f>+SUMIFS(Tabla6[Nominal COP],Tabla6[Concepto],COSTO_OPORTUNIDAD!$B$18,Tabla6[Nemotécnico],COSTO_OPORTUNIDAD!V$16,Tabla6[Fecha Cumplimiento y/ liquidacion],COSTO_OPORTUNIDAD!$C286)/+SUMIFS(Tabla6[Nominal COP],Tabla6[Concepto],COSTO_OPORTUNIDAD!$B$18,Tabla6[Fecha Cumplimiento y/ liquidacion],COSTO_OPORTUNIDAD!$C286)</f>
        <v>0</v>
      </c>
      <c r="W286" s="263">
        <f>+SUMIFS(Tabla6[Nominal COP],Tabla6[Concepto],COSTO_OPORTUNIDAD!$B$18,Tabla6[Nemotécnico],COSTO_OPORTUNIDAD!W$16,Tabla6[Fecha Cumplimiento y/ liquidacion],COSTO_OPORTUNIDAD!$C286)/+SUMIFS(Tabla6[Nominal COP],Tabla6[Concepto],COSTO_OPORTUNIDAD!$B$18,Tabla6[Fecha Cumplimiento y/ liquidacion],COSTO_OPORTUNIDAD!$C286)</f>
        <v>0</v>
      </c>
      <c r="X286" s="263">
        <f>+SUMIFS(Tabla6[Nominal COP],Tabla6[Concepto],COSTO_OPORTUNIDAD!$B$18,Tabla6[Nemotécnico],COSTO_OPORTUNIDAD!X$16,Tabla6[Fecha Cumplimiento y/ liquidacion],COSTO_OPORTUNIDAD!$C286)/+SUMIFS(Tabla6[Nominal COP],Tabla6[Concepto],COSTO_OPORTUNIDAD!$B$18,Tabla6[Fecha Cumplimiento y/ liquidacion],COSTO_OPORTUNIDAD!$C286)</f>
        <v>0</v>
      </c>
      <c r="Y286" s="263">
        <f>+SUMIFS(Tabla6[Nominal COP],Tabla6[Concepto],COSTO_OPORTUNIDAD!$B$18,Tabla6[Nemotécnico],COSTO_OPORTUNIDAD!Y$16,Tabla6[Fecha Cumplimiento y/ liquidacion],COSTO_OPORTUNIDAD!$C286)/+SUMIFS(Tabla6[Nominal COP],Tabla6[Concepto],COSTO_OPORTUNIDAD!$B$18,Tabla6[Fecha Cumplimiento y/ liquidacion],COSTO_OPORTUNIDAD!$C286)</f>
        <v>0</v>
      </c>
      <c r="Z286" s="263">
        <f>+SUMIFS(Tabla6[Nominal COP],Tabla6[Concepto],COSTO_OPORTUNIDAD!$B$18,Tabla6[Nemotécnico],COSTO_OPORTUNIDAD!Z$16,Tabla6[Fecha Cumplimiento y/ liquidacion],COSTO_OPORTUNIDAD!$C286)/+SUMIFS(Tabla6[Nominal COP],Tabla6[Concepto],COSTO_OPORTUNIDAD!$B$18,Tabla6[Fecha Cumplimiento y/ liquidacion],COSTO_OPORTUNIDAD!$C286)</f>
        <v>0</v>
      </c>
      <c r="AA286" s="263">
        <f>+SUMIFS(Tabla6[Nominal COP],Tabla6[Concepto],COSTO_OPORTUNIDAD!$B$18,Tabla6[Nemotécnico],COSTO_OPORTUNIDAD!AA$16,Tabla6[Fecha Cumplimiento y/ liquidacion],COSTO_OPORTUNIDAD!$C286)/+SUMIFS(Tabla6[Nominal COP],Tabla6[Concepto],COSTO_OPORTUNIDAD!$B$18,Tabla6[Fecha Cumplimiento y/ liquidacion],COSTO_OPORTUNIDAD!$C286)</f>
        <v>0</v>
      </c>
      <c r="AB286" s="263">
        <f>+SUMIFS(Tabla6[Nominal COP],Tabla6[Concepto],COSTO_OPORTUNIDAD!$B$18,Tabla6[Nemotécnico],COSTO_OPORTUNIDAD!AB$16,Tabla6[Fecha Cumplimiento y/ liquidacion],COSTO_OPORTUNIDAD!$C286)/+SUMIFS(Tabla6[Nominal COP],Tabla6[Concepto],COSTO_OPORTUNIDAD!$B$18,Tabla6[Fecha Cumplimiento y/ liquidacion],COSTO_OPORTUNIDAD!$C286)</f>
        <v>0</v>
      </c>
      <c r="AC286" s="263">
        <f>+SUMIFS(Tabla6[Nominal COP],Tabla6[Concepto],COSTO_OPORTUNIDAD!$B$18,Tabla6[Nemotécnico],COSTO_OPORTUNIDAD!AC$16,Tabla6[Fecha Cumplimiento y/ liquidacion],COSTO_OPORTUNIDAD!$C286)/+SUMIFS(Tabla6[Nominal COP],Tabla6[Concepto],COSTO_OPORTUNIDAD!$B$18,Tabla6[Fecha Cumplimiento y/ liquidacion],COSTO_OPORTUNIDAD!$C286)</f>
        <v>0</v>
      </c>
      <c r="AD286" s="263">
        <f>+SUMIFS(Tabla6[Nominal COP],Tabla6[Concepto],COSTO_OPORTUNIDAD!$B$18,Tabla6[Nemotécnico],COSTO_OPORTUNIDAD!AC$16,Tabla6[Fecha Cumplimiento y/ liquidacion],COSTO_OPORTUNIDAD!$C286)/+SUMIFS(Tabla6[Nominal COP],Tabla6[Concepto],COSTO_OPORTUNIDAD!$B$18,Tabla6[Fecha Cumplimiento y/ liquidacion],COSTO_OPORTUNIDAD!$C286)</f>
        <v>0</v>
      </c>
      <c r="AE286" s="263">
        <f>+SUMIFS(Tabla6[Nominal COP],Tabla6[Concepto],COSTO_OPORTUNIDAD!$B$18,Tabla6[Nemotécnico],COSTO_OPORTUNIDAD!AE$16,Tabla6[Fecha Cumplimiento y/ liquidacion],COSTO_OPORTUNIDAD!$C286)/+SUMIFS(Tabla6[Nominal COP],Tabla6[Concepto],COSTO_OPORTUNIDAD!$B$18,Tabla6[Fecha Cumplimiento y/ liquidacion],COSTO_OPORTUNIDAD!$C286)</f>
        <v>0</v>
      </c>
      <c r="AF286" s="263">
        <f>+SUMIFS(Tabla6[Nominal COP],Tabla6[Concepto],COSTO_OPORTUNIDAD!$B$18,Tabla6[Nemotécnico],COSTO_OPORTUNIDAD!AF$16,Tabla6[Fecha Cumplimiento y/ liquidacion],COSTO_OPORTUNIDAD!$C286)/+SUMIFS(Tabla6[Nominal COP],Tabla6[Concepto],COSTO_OPORTUNIDAD!$B$18,Tabla6[Fecha Cumplimiento y/ liquidacion],COSTO_OPORTUNIDAD!$C286)</f>
        <v>0</v>
      </c>
      <c r="AH286" s="274">
        <f t="shared" si="348"/>
        <v>400</v>
      </c>
      <c r="AI286" s="274">
        <f t="shared" si="349"/>
        <v>834</v>
      </c>
      <c r="AJ286" s="274">
        <f t="shared" si="350"/>
        <v>1011</v>
      </c>
      <c r="AK286" s="274">
        <f t="shared" si="350"/>
        <v>1492</v>
      </c>
      <c r="AL286" s="274">
        <f t="shared" si="278"/>
        <v>1884</v>
      </c>
      <c r="AM286" s="274">
        <f t="shared" si="279"/>
        <v>2073</v>
      </c>
      <c r="AN286" s="274">
        <f t="shared" si="280"/>
        <v>2535</v>
      </c>
      <c r="AO286" s="274">
        <f t="shared" si="281"/>
        <v>2759</v>
      </c>
      <c r="AP286" s="274">
        <f t="shared" si="282"/>
        <v>3375</v>
      </c>
      <c r="AQ286" s="274"/>
      <c r="AR286" s="274">
        <f t="shared" si="313"/>
        <v>4005</v>
      </c>
      <c r="AS286" s="274">
        <f t="shared" si="301"/>
        <v>5608</v>
      </c>
      <c r="AT286" s="274">
        <f t="shared" si="283"/>
        <v>6154</v>
      </c>
      <c r="AU286" s="274">
        <f t="shared" si="284"/>
        <v>7673</v>
      </c>
      <c r="AV286" s="274">
        <f t="shared" si="285"/>
        <v>9227</v>
      </c>
      <c r="AW286" s="274"/>
      <c r="AX286" s="274">
        <f t="shared" si="286"/>
        <v>-76</v>
      </c>
      <c r="AY286" s="274">
        <f t="shared" si="287"/>
        <v>603</v>
      </c>
      <c r="AZ286" s="274">
        <f t="shared" si="267"/>
        <v>1366</v>
      </c>
      <c r="BA286" s="274">
        <f t="shared" ref="BA286:BA291" si="358">(Y$17-$B286)</f>
        <v>2010</v>
      </c>
      <c r="BB286" s="274">
        <f t="shared" si="314"/>
        <v>2803</v>
      </c>
      <c r="BC286" s="274">
        <f t="shared" si="315"/>
        <v>3543</v>
      </c>
      <c r="BD286" s="274">
        <f t="shared" si="316"/>
        <v>4236</v>
      </c>
      <c r="BE286" s="274">
        <f t="shared" si="288"/>
        <v>5720</v>
      </c>
      <c r="BF286" s="274">
        <f t="shared" si="317"/>
        <v>8730</v>
      </c>
      <c r="BG286" s="274">
        <f t="shared" si="289"/>
        <v>10893</v>
      </c>
      <c r="BH286" s="274">
        <f t="shared" si="308"/>
        <v>13343</v>
      </c>
      <c r="BI286" s="266">
        <f t="shared" si="318"/>
        <v>0</v>
      </c>
      <c r="BJ286" s="266">
        <f t="shared" si="319"/>
        <v>1</v>
      </c>
      <c r="BK286" s="263">
        <f t="shared" si="320"/>
        <v>0</v>
      </c>
      <c r="BL286" s="263">
        <f t="shared" si="321"/>
        <v>0</v>
      </c>
      <c r="BM286" s="263">
        <f t="shared" si="322"/>
        <v>0</v>
      </c>
      <c r="BN286" s="263">
        <f t="shared" si="351"/>
        <v>7.0082525933258255E-2</v>
      </c>
      <c r="BO286" s="263">
        <f t="shared" si="323"/>
        <v>0</v>
      </c>
      <c r="BP286" s="263">
        <f t="shared" si="324"/>
        <v>0</v>
      </c>
      <c r="BQ286" s="263">
        <f t="shared" si="325"/>
        <v>0</v>
      </c>
      <c r="BR286" s="263">
        <f t="shared" si="326"/>
        <v>0.92991747406674174</v>
      </c>
      <c r="BS286" s="263">
        <f t="shared" si="327"/>
        <v>0</v>
      </c>
      <c r="BT286" s="263">
        <f t="shared" si="328"/>
        <v>0</v>
      </c>
      <c r="BU286" s="263">
        <f t="shared" si="329"/>
        <v>0</v>
      </c>
      <c r="BV286" s="263">
        <f t="shared" si="352"/>
        <v>0</v>
      </c>
      <c r="BW286" s="263">
        <f t="shared" si="330"/>
        <v>0</v>
      </c>
      <c r="BX286" s="263">
        <f t="shared" si="337"/>
        <v>0</v>
      </c>
      <c r="BY286" s="263">
        <f t="shared" si="331"/>
        <v>0</v>
      </c>
      <c r="BZ286" s="263"/>
      <c r="CA286" s="263" t="str">
        <f t="shared" si="254"/>
        <v/>
      </c>
      <c r="CB286" s="263" t="str">
        <f t="shared" si="332"/>
        <v/>
      </c>
      <c r="CC286" s="263" t="str">
        <f t="shared" si="255"/>
        <v/>
      </c>
      <c r="CD286" s="263" t="str">
        <f t="shared" si="333"/>
        <v/>
      </c>
      <c r="CE286" s="263" t="str">
        <f t="shared" si="346"/>
        <v/>
      </c>
      <c r="CF286" s="263" t="str">
        <f t="shared" si="256"/>
        <v/>
      </c>
      <c r="CG286" s="263" t="str">
        <f t="shared" si="257"/>
        <v/>
      </c>
      <c r="CH286" s="263" t="str">
        <f t="shared" si="290"/>
        <v/>
      </c>
      <c r="CI286" s="263" t="str">
        <f t="shared" si="334"/>
        <v/>
      </c>
      <c r="CJ286" s="263" t="str">
        <f t="shared" si="291"/>
        <v/>
      </c>
      <c r="CK286" s="263" t="str">
        <f t="shared" si="335"/>
        <v/>
      </c>
      <c r="CL286" s="264">
        <f t="shared" si="353"/>
        <v>2670</v>
      </c>
      <c r="CM286" s="264">
        <f t="shared" si="292"/>
        <v>0</v>
      </c>
      <c r="CO286" s="265">
        <v>8.9039999999999994E-2</v>
      </c>
      <c r="CP286" s="265">
        <v>9.4689999999999996E-2</v>
      </c>
      <c r="CQ286" s="265">
        <v>9.9299999999999999E-2</v>
      </c>
      <c r="CR286" s="265">
        <v>0.10699</v>
      </c>
      <c r="CS286" s="265">
        <v>0.11</v>
      </c>
      <c r="CT286" s="265">
        <v>0.113</v>
      </c>
      <c r="CU286" s="265">
        <v>0.11601</v>
      </c>
      <c r="CV286" s="265">
        <v>0.11659000000000001</v>
      </c>
      <c r="CW286" s="265">
        <v>0.11666</v>
      </c>
      <c r="CY286" s="265">
        <v>0.11677</v>
      </c>
      <c r="CZ286" s="265">
        <v>0.1195</v>
      </c>
      <c r="DA286" s="265">
        <v>0.12137000000000001</v>
      </c>
      <c r="DB286" s="265">
        <v>0.12137000000000001</v>
      </c>
      <c r="DC286" s="265">
        <v>0.11939999999999999</v>
      </c>
      <c r="DE286" s="265">
        <v>6.0499999999999998E-2</v>
      </c>
      <c r="DF286" s="265">
        <v>6.2E-2</v>
      </c>
      <c r="DH286" s="265">
        <v>6.3299999999999995E-2</v>
      </c>
      <c r="DJ286" s="265">
        <v>6.4530000000000004E-2</v>
      </c>
      <c r="DK286" s="265">
        <v>6.4500000000000002E-2</v>
      </c>
      <c r="DL286" s="265">
        <v>6.4930000000000002E-2</v>
      </c>
      <c r="DM286" s="265">
        <v>6.2899999999999998E-2</v>
      </c>
      <c r="DO286" s="264">
        <f t="shared" si="268"/>
        <v>2535</v>
      </c>
      <c r="DP286" s="264" cm="1">
        <f t="array" ref="DP286">+INDEX(AH286:AV286,MATCH(DO286,AH286:AV286,1)+1)</f>
        <v>2759</v>
      </c>
      <c r="DQ286" s="265">
        <f t="shared" si="269"/>
        <v>0.11601</v>
      </c>
      <c r="DR286" s="267">
        <f t="shared" si="270"/>
        <v>0.11659000000000001</v>
      </c>
      <c r="DS286" s="267">
        <f t="shared" si="297"/>
        <v>0.11636000000000001</v>
      </c>
      <c r="DT286" s="268">
        <f t="shared" si="293"/>
        <v>-76</v>
      </c>
      <c r="DU286" s="268" cm="1">
        <f t="array" ref="DU286">+INDEX(AX286:BG286,MATCH(DT286,AX286:BG286,1)+1)</f>
        <v>603</v>
      </c>
      <c r="DV286" s="267">
        <f t="shared" si="249"/>
        <v>6.0499999999999998E-2</v>
      </c>
      <c r="DW286" s="267">
        <f t="shared" si="294"/>
        <v>6.2E-2</v>
      </c>
      <c r="DX286" s="267">
        <f t="shared" si="345"/>
        <v>6.0670000000000002E-2</v>
      </c>
      <c r="DY286" s="267">
        <f t="shared" si="341"/>
        <v>5.28E-2</v>
      </c>
      <c r="DZ286" s="205">
        <f t="shared" ref="DZ286" si="359">+(1+DX286)*(1+DY286)-1</f>
        <v>0.11667337600000005</v>
      </c>
      <c r="EA286" s="205">
        <f t="shared" si="252"/>
        <v>0.11636000000000001</v>
      </c>
    </row>
    <row r="287" spans="2:131">
      <c r="B287" s="272">
        <v>45863</v>
      </c>
      <c r="C287" s="271">
        <f>+B287</f>
        <v>45863</v>
      </c>
      <c r="D287" s="263">
        <f>+SUMIFS(Tabla6[Nominal COP],Tabla6[Concepto],COSTO_OPORTUNIDAD!$B$18,Tabla6[Nemotécnico],COSTO_OPORTUNIDAD!D$16,Tabla6[Fecha Cumplimiento y/ liquidacion],COSTO_OPORTUNIDAD!$C287)/+SUMIFS(Tabla6[Nominal COP],Tabla6[Concepto],COSTO_OPORTUNIDAD!$B$18,Tabla6[Fecha Cumplimiento y/ liquidacion],COSTO_OPORTUNIDAD!$C287)</f>
        <v>0</v>
      </c>
      <c r="E287" s="263">
        <f>+SUMIFS(Tabla6[Nominal COP],Tabla6[Concepto],COSTO_OPORTUNIDAD!$B$18,Tabla6[Nemotécnico],COSTO_OPORTUNIDAD!E$16,Tabla6[Fecha Cumplimiento y/ liquidacion],COSTO_OPORTUNIDAD!$C287)/+SUMIFS(Tabla6[Nominal COP],Tabla6[Concepto],COSTO_OPORTUNIDAD!$B$18,Tabla6[Fecha Cumplimiento y/ liquidacion],COSTO_OPORTUNIDAD!$C287)</f>
        <v>0</v>
      </c>
      <c r="F287" s="263">
        <f>+SUMIFS(Tabla6[Nominal COP],Tabla6[Concepto],COSTO_OPORTUNIDAD!$B$18,Tabla6[Nemotécnico],COSTO_OPORTUNIDAD!F$16,Tabla6[Fecha Cumplimiento y/ liquidacion],COSTO_OPORTUNIDAD!$C287)/+SUMIFS(Tabla6[Nominal COP],Tabla6[Concepto],COSTO_OPORTUNIDAD!$B$18,Tabla6[Fecha Cumplimiento y/ liquidacion],COSTO_OPORTUNIDAD!$C287)</f>
        <v>0</v>
      </c>
      <c r="G287" s="263">
        <f>+SUMIFS(Tabla6[Nominal COP],Tabla6[Concepto],COSTO_OPORTUNIDAD!$B$18,Tabla6[Nemotécnico],COSTO_OPORTUNIDAD!G$16,Tabla6[Fecha Cumplimiento y/ liquidacion],COSTO_OPORTUNIDAD!$C287)/+SUMIFS(Tabla6[Nominal COP],Tabla6[Concepto],COSTO_OPORTUNIDAD!$B$18,Tabla6[Fecha Cumplimiento y/ liquidacion],COSTO_OPORTUNIDAD!$C287)</f>
        <v>0</v>
      </c>
      <c r="H287" s="263">
        <f>+SUMIFS(Tabla6[Nominal COP],Tabla6[Concepto],COSTO_OPORTUNIDAD!$B$18,Tabla6[Nemotécnico],COSTO_OPORTUNIDAD!H$16,Tabla6[Fecha Cumplimiento y/ liquidacion],COSTO_OPORTUNIDAD!$C287)/+SUMIFS(Tabla6[Nominal COP],Tabla6[Concepto],COSTO_OPORTUNIDAD!$B$18,Tabla6[Fecha Cumplimiento y/ liquidacion],COSTO_OPORTUNIDAD!$C287)</f>
        <v>0</v>
      </c>
      <c r="I287" s="263">
        <f>+SUMIFS(Tabla6[Nominal COP],Tabla6[Concepto],COSTO_OPORTUNIDAD!$B$18,Tabla6[Nemotécnico],COSTO_OPORTUNIDAD!I$16,Tabla6[Fecha Cumplimiento y/ liquidacion],COSTO_OPORTUNIDAD!$C287)/+SUMIFS(Tabla6[Nominal COP],Tabla6[Concepto],COSTO_OPORTUNIDAD!$B$18,Tabla6[Fecha Cumplimiento y/ liquidacion],COSTO_OPORTUNIDAD!$C287)</f>
        <v>0</v>
      </c>
      <c r="J287" s="263">
        <f>+SUMIFS(Tabla6[Nominal COP],Tabla6[Concepto],COSTO_OPORTUNIDAD!$B$18,Tabla6[Nemotécnico],COSTO_OPORTUNIDAD!J$16,Tabla6[Fecha Cumplimiento y/ liquidacion],COSTO_OPORTUNIDAD!$C287)/+SUMIFS(Tabla6[Nominal COP],Tabla6[Concepto],COSTO_OPORTUNIDAD!$B$18,Tabla6[Fecha Cumplimiento y/ liquidacion],COSTO_OPORTUNIDAD!$C287)</f>
        <v>0</v>
      </c>
      <c r="K287" s="263">
        <f>+SUMIFS(Tabla6[Nominal COP],Tabla6[Concepto],COSTO_OPORTUNIDAD!$B$18,Tabla6[Nemotécnico],COSTO_OPORTUNIDAD!K$16,Tabla6[Fecha Cumplimiento y/ liquidacion],COSTO_OPORTUNIDAD!$C287)/+SUMIFS(Tabla6[Nominal COP],Tabla6[Concepto],COSTO_OPORTUNIDAD!$B$18,Tabla6[Fecha Cumplimiento y/ liquidacion],COSTO_OPORTUNIDAD!$C287)</f>
        <v>0</v>
      </c>
      <c r="L287" s="263">
        <f>+SUMIFS(Tabla6[Nominal COP],Tabla6[Concepto],COSTO_OPORTUNIDAD!$B$18,Tabla6[Nemotécnico],COSTO_OPORTUNIDAD!L$16,Tabla6[Fecha Cumplimiento y/ liquidacion],COSTO_OPORTUNIDAD!$C287)/+SUMIFS(Tabla6[Nominal COP],Tabla6[Concepto],COSTO_OPORTUNIDAD!$B$18,Tabla6[Fecha Cumplimiento y/ liquidacion],COSTO_OPORTUNIDAD!$C287)</f>
        <v>0</v>
      </c>
      <c r="M287" s="263">
        <f>+SUMIFS(Tabla6[Nominal COP],Tabla6[Concepto],COSTO_OPORTUNIDAD!$B$18,Tabla6[Nemotécnico],COSTO_OPORTUNIDAD!M$16,Tabla6[Fecha Cumplimiento y/ liquidacion],COSTO_OPORTUNIDAD!$C287)/+SUMIFS(Tabla6[Nominal COP],Tabla6[Concepto],COSTO_OPORTUNIDAD!$B$18,Tabla6[Fecha Cumplimiento y/ liquidacion],COSTO_OPORTUNIDAD!$C287)</f>
        <v>0</v>
      </c>
      <c r="N287" s="263">
        <f>+SUMIFS(Tabla6[Nominal COP],Tabla6[Concepto],COSTO_OPORTUNIDAD!$B$18,Tabla6[Nemotécnico],COSTO_OPORTUNIDAD!N$16,Tabla6[Fecha Cumplimiento y/ liquidacion],COSTO_OPORTUNIDAD!$C287)/+SUMIFS(Tabla6[Nominal COP],Tabla6[Concepto],COSTO_OPORTUNIDAD!$B$18,Tabla6[Fecha Cumplimiento y/ liquidacion],COSTO_OPORTUNIDAD!$C287)</f>
        <v>0</v>
      </c>
      <c r="O287" s="263"/>
      <c r="P287" s="263">
        <f>+SUMIFS(Tabla6[Nominal COP],Tabla6[Concepto],COSTO_OPORTUNIDAD!$B$18,Tabla6[Nemotécnico],COSTO_OPORTUNIDAD!P$16,Tabla6[Fecha Cumplimiento y/ liquidacion],COSTO_OPORTUNIDAD!$C287)/+SUMIFS(Tabla6[Nominal COP],Tabla6[Concepto],COSTO_OPORTUNIDAD!$B$18,Tabla6[Fecha Cumplimiento y/ liquidacion],COSTO_OPORTUNIDAD!$C287)</f>
        <v>0</v>
      </c>
      <c r="Q287" s="263">
        <f>+SUMIFS(Tabla6[Nominal COP],Tabla6[Concepto],COSTO_OPORTUNIDAD!$B$18,Tabla6[Nemotécnico],COSTO_OPORTUNIDAD!Q$16,Tabla6[Fecha Cumplimiento y/ liquidacion],COSTO_OPORTUNIDAD!$C287)/+SUMIFS(Tabla6[Nominal COP],Tabla6[Concepto],COSTO_OPORTUNIDAD!$B$18,Tabla6[Fecha Cumplimiento y/ liquidacion],COSTO_OPORTUNIDAD!$C287)</f>
        <v>0</v>
      </c>
      <c r="R287" s="263">
        <f>+SUMIFS(Tabla6[Nominal COP],Tabla6[Concepto],COSTO_OPORTUNIDAD!$B$18,Tabla6[Nemotécnico],COSTO_OPORTUNIDAD!R$16,Tabla6[Fecha Cumplimiento y/ liquidacion],COSTO_OPORTUNIDAD!$C287)/+SUMIFS(Tabla6[Nominal COP],Tabla6[Concepto],COSTO_OPORTUNIDAD!$B$18,Tabla6[Fecha Cumplimiento y/ liquidacion],COSTO_OPORTUNIDAD!$C287)</f>
        <v>0</v>
      </c>
      <c r="S287" s="263">
        <f>+SUMIFS(Tabla6[Nominal COP],Tabla6[Concepto],COSTO_OPORTUNIDAD!$B$18,Tabla6[Nemotécnico],COSTO_OPORTUNIDAD!S$16,Tabla6[Fecha Cumplimiento y/ liquidacion],COSTO_OPORTUNIDAD!$C287)/+SUMIFS(Tabla6[Nominal COP],Tabla6[Concepto],COSTO_OPORTUNIDAD!$B$18,Tabla6[Fecha Cumplimiento y/ liquidacion],COSTO_OPORTUNIDAD!$C287)</f>
        <v>0</v>
      </c>
      <c r="T287" s="263">
        <f>+SUMIFS(Tabla6[Nominal COP],Tabla6[Concepto],COSTO_OPORTUNIDAD!$B$18,Tabla6[Nemotécnico],COSTO_OPORTUNIDAD!T$16,Tabla6[Fecha Cumplimiento y/ liquidacion],COSTO_OPORTUNIDAD!$C287)/+SUMIFS(Tabla6[Nominal COP],Tabla6[Concepto],COSTO_OPORTUNIDAD!$B$18,Tabla6[Fecha Cumplimiento y/ liquidacion],COSTO_OPORTUNIDAD!$C287)</f>
        <v>0</v>
      </c>
      <c r="U287" s="263">
        <f>+SUMIFS(Tabla6[Nominal COP],Tabla6[Concepto],COSTO_OPORTUNIDAD!$B$18,Tabla6[Nemotécnico],COSTO_OPORTUNIDAD!U$16,Tabla6[Fecha Cumplimiento y/ liquidacion],COSTO_OPORTUNIDAD!$C287)/+SUMIFS(Tabla6[Nominal COP],Tabla6[Concepto],COSTO_OPORTUNIDAD!$B$18,Tabla6[Fecha Cumplimiento y/ liquidacion],COSTO_OPORTUNIDAD!$C287)</f>
        <v>0</v>
      </c>
      <c r="V287" s="263">
        <f>+SUMIFS(Tabla6[Nominal COP],Tabla6[Concepto],COSTO_OPORTUNIDAD!$B$18,Tabla6[Nemotécnico],COSTO_OPORTUNIDAD!V$16,Tabla6[Fecha Cumplimiento y/ liquidacion],COSTO_OPORTUNIDAD!$C287)/+SUMIFS(Tabla6[Nominal COP],Tabla6[Concepto],COSTO_OPORTUNIDAD!$B$18,Tabla6[Fecha Cumplimiento y/ liquidacion],COSTO_OPORTUNIDAD!$C287)</f>
        <v>0</v>
      </c>
      <c r="W287" s="263">
        <f>+SUMIFS(Tabla6[Nominal COP],Tabla6[Concepto],COSTO_OPORTUNIDAD!$B$18,Tabla6[Nemotécnico],COSTO_OPORTUNIDAD!W$16,Tabla6[Fecha Cumplimiento y/ liquidacion],COSTO_OPORTUNIDAD!$C287)/+SUMIFS(Tabla6[Nominal COP],Tabla6[Concepto],COSTO_OPORTUNIDAD!$B$18,Tabla6[Fecha Cumplimiento y/ liquidacion],COSTO_OPORTUNIDAD!$C287)</f>
        <v>0</v>
      </c>
      <c r="X287" s="263">
        <f>+SUMIFS(Tabla6[Nominal COP],Tabla6[Concepto],COSTO_OPORTUNIDAD!$B$18,Tabla6[Nemotécnico],COSTO_OPORTUNIDAD!X$16,Tabla6[Fecha Cumplimiento y/ liquidacion],COSTO_OPORTUNIDAD!$C287)/+SUMIFS(Tabla6[Nominal COP],Tabla6[Concepto],COSTO_OPORTUNIDAD!$B$18,Tabla6[Fecha Cumplimiento y/ liquidacion],COSTO_OPORTUNIDAD!$C287)</f>
        <v>0</v>
      </c>
      <c r="Y287" s="263">
        <f>+SUMIFS(Tabla6[Nominal COP],Tabla6[Concepto],COSTO_OPORTUNIDAD!$B$18,Tabla6[Nemotécnico],COSTO_OPORTUNIDAD!Y$16,Tabla6[Fecha Cumplimiento y/ liquidacion],COSTO_OPORTUNIDAD!$C287)/+SUMIFS(Tabla6[Nominal COP],Tabla6[Concepto],COSTO_OPORTUNIDAD!$B$18,Tabla6[Fecha Cumplimiento y/ liquidacion],COSTO_OPORTUNIDAD!$C287)</f>
        <v>0.58313804350613418</v>
      </c>
      <c r="Z287" s="263">
        <f>+SUMIFS(Tabla6[Nominal COP],Tabla6[Concepto],COSTO_OPORTUNIDAD!$B$18,Tabla6[Nemotécnico],COSTO_OPORTUNIDAD!Z$16,Tabla6[Fecha Cumplimiento y/ liquidacion],COSTO_OPORTUNIDAD!$C287)/+SUMIFS(Tabla6[Nominal COP],Tabla6[Concepto],COSTO_OPORTUNIDAD!$B$18,Tabla6[Fecha Cumplimiento y/ liquidacion],COSTO_OPORTUNIDAD!$C287)</f>
        <v>0</v>
      </c>
      <c r="AA287" s="263">
        <f>+SUMIFS(Tabla6[Nominal COP],Tabla6[Concepto],COSTO_OPORTUNIDAD!$B$18,Tabla6[Nemotécnico],COSTO_OPORTUNIDAD!AA$16,Tabla6[Fecha Cumplimiento y/ liquidacion],COSTO_OPORTUNIDAD!$C287)/+SUMIFS(Tabla6[Nominal COP],Tabla6[Concepto],COSTO_OPORTUNIDAD!$B$18,Tabla6[Fecha Cumplimiento y/ liquidacion],COSTO_OPORTUNIDAD!$C287)</f>
        <v>0</v>
      </c>
      <c r="AB287" s="263">
        <f>+SUMIFS(Tabla6[Nominal COP],Tabla6[Concepto],COSTO_OPORTUNIDAD!$B$18,Tabla6[Nemotécnico],COSTO_OPORTUNIDAD!AB$16,Tabla6[Fecha Cumplimiento y/ liquidacion],COSTO_OPORTUNIDAD!$C287)/+SUMIFS(Tabla6[Nominal COP],Tabla6[Concepto],COSTO_OPORTUNIDAD!$B$18,Tabla6[Fecha Cumplimiento y/ liquidacion],COSTO_OPORTUNIDAD!$C287)</f>
        <v>0</v>
      </c>
      <c r="AC287" s="263">
        <f>+SUMIFS(Tabla6[Nominal COP],Tabla6[Concepto],COSTO_OPORTUNIDAD!$B$18,Tabla6[Nemotécnico],COSTO_OPORTUNIDAD!AC$16,Tabla6[Fecha Cumplimiento y/ liquidacion],COSTO_OPORTUNIDAD!$C287)/+SUMIFS(Tabla6[Nominal COP],Tabla6[Concepto],COSTO_OPORTUNIDAD!$B$18,Tabla6[Fecha Cumplimiento y/ liquidacion],COSTO_OPORTUNIDAD!$C287)</f>
        <v>0</v>
      </c>
      <c r="AD287" s="263">
        <f>+SUMIFS(Tabla6[Nominal COP],Tabla6[Concepto],COSTO_OPORTUNIDAD!$B$18,Tabla6[Nemotécnico],COSTO_OPORTUNIDAD!AC$16,Tabla6[Fecha Cumplimiento y/ liquidacion],COSTO_OPORTUNIDAD!$C287)/+SUMIFS(Tabla6[Nominal COP],Tabla6[Concepto],COSTO_OPORTUNIDAD!$B$18,Tabla6[Fecha Cumplimiento y/ liquidacion],COSTO_OPORTUNIDAD!$C287)</f>
        <v>0</v>
      </c>
      <c r="AE287" s="263">
        <f>+SUMIFS(Tabla6[Nominal COP],Tabla6[Concepto],COSTO_OPORTUNIDAD!$B$18,Tabla6[Nemotécnico],COSTO_OPORTUNIDAD!AE$16,Tabla6[Fecha Cumplimiento y/ liquidacion],COSTO_OPORTUNIDAD!$C287)/+SUMIFS(Tabla6[Nominal COP],Tabla6[Concepto],COSTO_OPORTUNIDAD!$B$18,Tabla6[Fecha Cumplimiento y/ liquidacion],COSTO_OPORTUNIDAD!$C287)</f>
        <v>0</v>
      </c>
      <c r="AF287" s="263">
        <f>+SUMIFS(Tabla6[Nominal COP],Tabla6[Concepto],COSTO_OPORTUNIDAD!$B$18,Tabla6[Nemotécnico],COSTO_OPORTUNIDAD!AF$16,Tabla6[Fecha Cumplimiento y/ liquidacion],COSTO_OPORTUNIDAD!$C287)/+SUMIFS(Tabla6[Nominal COP],Tabla6[Concepto],COSTO_OPORTUNIDAD!$B$18,Tabla6[Fecha Cumplimiento y/ liquidacion],COSTO_OPORTUNIDAD!$C287)</f>
        <v>0.41686195649386587</v>
      </c>
      <c r="AH287" s="274">
        <f t="shared" si="348"/>
        <v>397</v>
      </c>
      <c r="AI287" s="274">
        <f t="shared" si="349"/>
        <v>831</v>
      </c>
      <c r="AJ287" s="274">
        <f t="shared" si="350"/>
        <v>1008</v>
      </c>
      <c r="AK287" s="274">
        <f t="shared" si="350"/>
        <v>1489</v>
      </c>
      <c r="AL287" s="274">
        <f t="shared" si="278"/>
        <v>1881</v>
      </c>
      <c r="AM287" s="274">
        <f t="shared" si="279"/>
        <v>2070</v>
      </c>
      <c r="AN287" s="274">
        <f t="shared" si="280"/>
        <v>2532</v>
      </c>
      <c r="AO287" s="274">
        <f t="shared" si="281"/>
        <v>2756</v>
      </c>
      <c r="AP287" s="274">
        <f t="shared" si="282"/>
        <v>3372</v>
      </c>
      <c r="AQ287" s="274"/>
      <c r="AR287" s="274">
        <f t="shared" si="313"/>
        <v>4002</v>
      </c>
      <c r="AS287" s="274">
        <f t="shared" si="301"/>
        <v>5605</v>
      </c>
      <c r="AT287" s="274">
        <f t="shared" si="283"/>
        <v>6151</v>
      </c>
      <c r="AU287" s="274">
        <f t="shared" si="284"/>
        <v>7670</v>
      </c>
      <c r="AV287" s="274">
        <f t="shared" si="285"/>
        <v>9224</v>
      </c>
      <c r="AW287" s="274"/>
      <c r="AX287" s="274">
        <f t="shared" si="286"/>
        <v>-79</v>
      </c>
      <c r="AY287" s="274">
        <f t="shared" si="287"/>
        <v>600</v>
      </c>
      <c r="AZ287" s="274">
        <f t="shared" si="267"/>
        <v>1363</v>
      </c>
      <c r="BA287" s="274">
        <f t="shared" si="358"/>
        <v>2007</v>
      </c>
      <c r="BB287" s="274">
        <f t="shared" si="314"/>
        <v>2800</v>
      </c>
      <c r="BC287" s="274">
        <f t="shared" si="315"/>
        <v>3540</v>
      </c>
      <c r="BD287" s="274">
        <f t="shared" si="316"/>
        <v>4233</v>
      </c>
      <c r="BE287" s="274">
        <f t="shared" si="288"/>
        <v>5717</v>
      </c>
      <c r="BF287" s="274">
        <f t="shared" si="317"/>
        <v>8727</v>
      </c>
      <c r="BG287" s="274">
        <f t="shared" si="289"/>
        <v>10890</v>
      </c>
      <c r="BH287" s="274">
        <f t="shared" si="308"/>
        <v>13340</v>
      </c>
      <c r="BI287" s="266">
        <f t="shared" si="318"/>
        <v>1</v>
      </c>
      <c r="BJ287" s="266">
        <f t="shared" si="319"/>
        <v>0</v>
      </c>
      <c r="BK287" s="263" t="str">
        <f t="shared" si="320"/>
        <v/>
      </c>
      <c r="BL287" s="263" t="str">
        <f t="shared" si="321"/>
        <v/>
      </c>
      <c r="BM287" s="263" t="str">
        <f t="shared" si="322"/>
        <v/>
      </c>
      <c r="BN287" s="263" t="str">
        <f t="shared" si="351"/>
        <v/>
      </c>
      <c r="BO287" s="263" t="str">
        <f t="shared" si="323"/>
        <v/>
      </c>
      <c r="BP287" s="263" t="str">
        <f t="shared" si="324"/>
        <v/>
      </c>
      <c r="BQ287" s="263" t="str">
        <f t="shared" si="325"/>
        <v/>
      </c>
      <c r="BR287" s="263" t="str">
        <f t="shared" si="326"/>
        <v/>
      </c>
      <c r="BS287" s="263" t="str">
        <f t="shared" si="327"/>
        <v/>
      </c>
      <c r="BT287" s="263" t="str">
        <f t="shared" si="328"/>
        <v/>
      </c>
      <c r="BU287" s="263" t="str">
        <f t="shared" si="329"/>
        <v/>
      </c>
      <c r="BV287" s="263" t="str">
        <f t="shared" si="352"/>
        <v/>
      </c>
      <c r="BW287" s="263" t="str">
        <f t="shared" si="330"/>
        <v/>
      </c>
      <c r="BX287" s="263" t="str">
        <f t="shared" si="337"/>
        <v/>
      </c>
      <c r="BY287" s="263" t="str">
        <f t="shared" si="331"/>
        <v/>
      </c>
      <c r="BZ287" s="263"/>
      <c r="CA287" s="263">
        <f t="shared" si="254"/>
        <v>0</v>
      </c>
      <c r="CB287" s="263">
        <f t="shared" si="332"/>
        <v>0</v>
      </c>
      <c r="CC287" s="263">
        <f t="shared" si="255"/>
        <v>0</v>
      </c>
      <c r="CD287" s="263">
        <f t="shared" si="333"/>
        <v>0.58313804350613418</v>
      </c>
      <c r="CE287" s="263">
        <f t="shared" si="346"/>
        <v>0</v>
      </c>
      <c r="CF287" s="263">
        <f t="shared" si="256"/>
        <v>0</v>
      </c>
      <c r="CG287" s="263">
        <f t="shared" si="257"/>
        <v>0</v>
      </c>
      <c r="CH287" s="263">
        <f t="shared" si="290"/>
        <v>0</v>
      </c>
      <c r="CI287" s="263">
        <f t="shared" si="334"/>
        <v>0</v>
      </c>
      <c r="CJ287" s="263">
        <f t="shared" si="291"/>
        <v>0</v>
      </c>
      <c r="CK287" s="263">
        <f t="shared" si="335"/>
        <v>0.41686195649386587</v>
      </c>
      <c r="CL287" s="264">
        <f t="shared" si="353"/>
        <v>0</v>
      </c>
      <c r="CM287" s="264">
        <f t="shared" si="292"/>
        <v>0</v>
      </c>
      <c r="CO287" s="265">
        <v>8.6690000000000003E-2</v>
      </c>
      <c r="CP287" s="265">
        <v>9.2920000000000003E-2</v>
      </c>
      <c r="CQ287" s="265">
        <v>9.8490000000000008E-2</v>
      </c>
      <c r="CR287" s="265">
        <v>0.10708000000000001</v>
      </c>
      <c r="CS287" s="265">
        <v>0.10979</v>
      </c>
      <c r="CT287" s="265">
        <v>0.11380000000000001</v>
      </c>
      <c r="CU287" s="265">
        <v>0.11538999999999999</v>
      </c>
      <c r="CV287" s="265">
        <v>0.1176</v>
      </c>
      <c r="CW287" s="265">
        <v>0.1177</v>
      </c>
      <c r="CY287" s="265">
        <v>0.11810999999999999</v>
      </c>
      <c r="CZ287" s="265">
        <v>0.12267</v>
      </c>
      <c r="DA287" s="265">
        <v>0.12073</v>
      </c>
      <c r="DB287" s="265">
        <v>0.12265000000000001</v>
      </c>
      <c r="DC287" s="265">
        <v>0.1198</v>
      </c>
      <c r="DE287" s="265">
        <v>5.7000000000000002E-2</v>
      </c>
      <c r="DF287" s="265">
        <v>6.1500000000000006E-2</v>
      </c>
      <c r="DH287" s="265">
        <v>6.5189999999999998E-2</v>
      </c>
      <c r="DI287" s="265">
        <v>6.5599999999999992E-2</v>
      </c>
      <c r="DJ287" s="265">
        <v>6.5290000000000001E-2</v>
      </c>
      <c r="DK287" s="265">
        <v>6.6559999999999994E-2</v>
      </c>
      <c r="DL287" s="265">
        <v>6.3479999999999995E-2</v>
      </c>
      <c r="DM287" s="265">
        <v>6.3979999999999995E-2</v>
      </c>
      <c r="DO287" s="264" t="e">
        <f t="shared" si="268"/>
        <v>#N/A</v>
      </c>
      <c r="DP287" s="264" t="e" cm="1">
        <f t="array" ref="DP287">+INDEX(AH287:AV287,MATCH(DO287,AH287:AV287,1)+1)</f>
        <v>#N/A</v>
      </c>
      <c r="DQ287" s="265" t="e">
        <f t="shared" si="269"/>
        <v>#N/A</v>
      </c>
      <c r="DR287" s="267" t="e">
        <f t="shared" si="270"/>
        <v>#N/A</v>
      </c>
      <c r="DS287" s="267" t="e">
        <f t="shared" si="297"/>
        <v>#N/A</v>
      </c>
      <c r="DT287" s="268">
        <f t="shared" si="293"/>
        <v>-79</v>
      </c>
      <c r="DU287" s="268" cm="1">
        <f t="array" ref="DU287">+INDEX(AX287:BG287,MATCH(DT287,AX287:BG287,1)+1)</f>
        <v>600</v>
      </c>
      <c r="DV287" s="267">
        <f t="shared" si="249"/>
        <v>5.7000000000000002E-2</v>
      </c>
      <c r="DW287" s="267">
        <f t="shared" si="294"/>
        <v>6.1500000000000006E-2</v>
      </c>
      <c r="DX287" s="267">
        <f t="shared" si="345"/>
        <v>5.7520000000000002E-2</v>
      </c>
      <c r="DY287" s="267">
        <f t="shared" si="341"/>
        <v>5.28E-2</v>
      </c>
      <c r="DZ287" s="205">
        <f t="shared" ref="DZ287" si="360">+(1+DX287)*(1+DY287)-1</f>
        <v>0.1133570559999999</v>
      </c>
      <c r="EA287" s="205">
        <f t="shared" si="252"/>
        <v>0.1133570559999999</v>
      </c>
    </row>
    <row r="288" spans="2:131">
      <c r="B288" s="272">
        <v>45869</v>
      </c>
      <c r="C288" s="271">
        <f t="shared" si="343"/>
        <v>45869</v>
      </c>
      <c r="D288" s="263">
        <f>+SUMIFS(Tabla6[Nominal COP],Tabla6[Concepto],COSTO_OPORTUNIDAD!$B$18,Tabla6[Nemotécnico],COSTO_OPORTUNIDAD!D$16,Tabla6[Fecha Cumplimiento y/ liquidacion],COSTO_OPORTUNIDAD!$C288)/+SUMIFS(Tabla6[Nominal COP],Tabla6[Concepto],COSTO_OPORTUNIDAD!$B$18,Tabla6[Fecha Cumplimiento y/ liquidacion],COSTO_OPORTUNIDAD!$C288)</f>
        <v>0</v>
      </c>
      <c r="E288" s="263">
        <f>+SUMIFS(Tabla6[Nominal COP],Tabla6[Concepto],COSTO_OPORTUNIDAD!$B$18,Tabla6[Nemotécnico],COSTO_OPORTUNIDAD!E$16,Tabla6[Fecha Cumplimiento y/ liquidacion],COSTO_OPORTUNIDAD!$C288)/+SUMIFS(Tabla6[Nominal COP],Tabla6[Concepto],COSTO_OPORTUNIDAD!$B$18,Tabla6[Fecha Cumplimiento y/ liquidacion],COSTO_OPORTUNIDAD!$C288)</f>
        <v>0</v>
      </c>
      <c r="F288" s="263">
        <f>+SUMIFS(Tabla6[Nominal COP],Tabla6[Concepto],COSTO_OPORTUNIDAD!$B$18,Tabla6[Nemotécnico],COSTO_OPORTUNIDAD!F$16,Tabla6[Fecha Cumplimiento y/ liquidacion],COSTO_OPORTUNIDAD!$C288)/+SUMIFS(Tabla6[Nominal COP],Tabla6[Concepto],COSTO_OPORTUNIDAD!$B$18,Tabla6[Fecha Cumplimiento y/ liquidacion],COSTO_OPORTUNIDAD!$C288)</f>
        <v>0</v>
      </c>
      <c r="G288" s="263">
        <f>+SUMIFS(Tabla6[Nominal COP],Tabla6[Concepto],COSTO_OPORTUNIDAD!$B$18,Tabla6[Nemotécnico],COSTO_OPORTUNIDAD!G$16,Tabla6[Fecha Cumplimiento y/ liquidacion],COSTO_OPORTUNIDAD!$C288)/+SUMIFS(Tabla6[Nominal COP],Tabla6[Concepto],COSTO_OPORTUNIDAD!$B$18,Tabla6[Fecha Cumplimiento y/ liquidacion],COSTO_OPORTUNIDAD!$C288)</f>
        <v>0</v>
      </c>
      <c r="H288" s="263">
        <f>+SUMIFS(Tabla6[Nominal COP],Tabla6[Concepto],COSTO_OPORTUNIDAD!$B$18,Tabla6[Nemotécnico],COSTO_OPORTUNIDAD!H$16,Tabla6[Fecha Cumplimiento y/ liquidacion],COSTO_OPORTUNIDAD!$C288)/+SUMIFS(Tabla6[Nominal COP],Tabla6[Concepto],COSTO_OPORTUNIDAD!$B$18,Tabla6[Fecha Cumplimiento y/ liquidacion],COSTO_OPORTUNIDAD!$C288)</f>
        <v>0</v>
      </c>
      <c r="I288" s="263">
        <f>+SUMIFS(Tabla6[Nominal COP],Tabla6[Concepto],COSTO_OPORTUNIDAD!$B$18,Tabla6[Nemotécnico],COSTO_OPORTUNIDAD!I$16,Tabla6[Fecha Cumplimiento y/ liquidacion],COSTO_OPORTUNIDAD!$C288)/+SUMIFS(Tabla6[Nominal COP],Tabla6[Concepto],COSTO_OPORTUNIDAD!$B$18,Tabla6[Fecha Cumplimiento y/ liquidacion],COSTO_OPORTUNIDAD!$C288)</f>
        <v>1</v>
      </c>
      <c r="J288" s="263">
        <f>+SUMIFS(Tabla6[Nominal COP],Tabla6[Concepto],COSTO_OPORTUNIDAD!$B$18,Tabla6[Nemotécnico],COSTO_OPORTUNIDAD!J$16,Tabla6[Fecha Cumplimiento y/ liquidacion],COSTO_OPORTUNIDAD!$C288)/+SUMIFS(Tabla6[Nominal COP],Tabla6[Concepto],COSTO_OPORTUNIDAD!$B$18,Tabla6[Fecha Cumplimiento y/ liquidacion],COSTO_OPORTUNIDAD!$C288)</f>
        <v>0</v>
      </c>
      <c r="K288" s="263">
        <f>+SUMIFS(Tabla6[Nominal COP],Tabla6[Concepto],COSTO_OPORTUNIDAD!$B$18,Tabla6[Nemotécnico],COSTO_OPORTUNIDAD!K$16,Tabla6[Fecha Cumplimiento y/ liquidacion],COSTO_OPORTUNIDAD!$C288)/+SUMIFS(Tabla6[Nominal COP],Tabla6[Concepto],COSTO_OPORTUNIDAD!$B$18,Tabla6[Fecha Cumplimiento y/ liquidacion],COSTO_OPORTUNIDAD!$C288)</f>
        <v>0</v>
      </c>
      <c r="L288" s="263">
        <f>+SUMIFS(Tabla6[Nominal COP],Tabla6[Concepto],COSTO_OPORTUNIDAD!$B$18,Tabla6[Nemotécnico],COSTO_OPORTUNIDAD!L$16,Tabla6[Fecha Cumplimiento y/ liquidacion],COSTO_OPORTUNIDAD!$C288)/+SUMIFS(Tabla6[Nominal COP],Tabla6[Concepto],COSTO_OPORTUNIDAD!$B$18,Tabla6[Fecha Cumplimiento y/ liquidacion],COSTO_OPORTUNIDAD!$C288)</f>
        <v>0</v>
      </c>
      <c r="M288" s="263">
        <f>+SUMIFS(Tabla6[Nominal COP],Tabla6[Concepto],COSTO_OPORTUNIDAD!$B$18,Tabla6[Nemotécnico],COSTO_OPORTUNIDAD!M$16,Tabla6[Fecha Cumplimiento y/ liquidacion],COSTO_OPORTUNIDAD!$C288)/+SUMIFS(Tabla6[Nominal COP],Tabla6[Concepto],COSTO_OPORTUNIDAD!$B$18,Tabla6[Fecha Cumplimiento y/ liquidacion],COSTO_OPORTUNIDAD!$C288)</f>
        <v>0</v>
      </c>
      <c r="N288" s="263">
        <f>+SUMIFS(Tabla6[Nominal COP],Tabla6[Concepto],COSTO_OPORTUNIDAD!$B$18,Tabla6[Nemotécnico],COSTO_OPORTUNIDAD!N$16,Tabla6[Fecha Cumplimiento y/ liquidacion],COSTO_OPORTUNIDAD!$C288)/+SUMIFS(Tabla6[Nominal COP],Tabla6[Concepto],COSTO_OPORTUNIDAD!$B$18,Tabla6[Fecha Cumplimiento y/ liquidacion],COSTO_OPORTUNIDAD!$C288)</f>
        <v>0</v>
      </c>
      <c r="O288" s="263"/>
      <c r="P288" s="263">
        <f>+SUMIFS(Tabla6[Nominal COP],Tabla6[Concepto],COSTO_OPORTUNIDAD!$B$18,Tabla6[Nemotécnico],COSTO_OPORTUNIDAD!P$16,Tabla6[Fecha Cumplimiento y/ liquidacion],COSTO_OPORTUNIDAD!$C288)/+SUMIFS(Tabla6[Nominal COP],Tabla6[Concepto],COSTO_OPORTUNIDAD!$B$18,Tabla6[Fecha Cumplimiento y/ liquidacion],COSTO_OPORTUNIDAD!$C288)</f>
        <v>0</v>
      </c>
      <c r="Q288" s="263">
        <f>+SUMIFS(Tabla6[Nominal COP],Tabla6[Concepto],COSTO_OPORTUNIDAD!$B$18,Tabla6[Nemotécnico],COSTO_OPORTUNIDAD!Q$16,Tabla6[Fecha Cumplimiento y/ liquidacion],COSTO_OPORTUNIDAD!$C288)/+SUMIFS(Tabla6[Nominal COP],Tabla6[Concepto],COSTO_OPORTUNIDAD!$B$18,Tabla6[Fecha Cumplimiento y/ liquidacion],COSTO_OPORTUNIDAD!$C288)</f>
        <v>0</v>
      </c>
      <c r="R288" s="263">
        <f>+SUMIFS(Tabla6[Nominal COP],Tabla6[Concepto],COSTO_OPORTUNIDAD!$B$18,Tabla6[Nemotécnico],COSTO_OPORTUNIDAD!R$16,Tabla6[Fecha Cumplimiento y/ liquidacion],COSTO_OPORTUNIDAD!$C288)/+SUMIFS(Tabla6[Nominal COP],Tabla6[Concepto],COSTO_OPORTUNIDAD!$B$18,Tabla6[Fecha Cumplimiento y/ liquidacion],COSTO_OPORTUNIDAD!$C288)</f>
        <v>0</v>
      </c>
      <c r="S288" s="263">
        <f>+SUMIFS(Tabla6[Nominal COP],Tabla6[Concepto],COSTO_OPORTUNIDAD!$B$18,Tabla6[Nemotécnico],COSTO_OPORTUNIDAD!S$16,Tabla6[Fecha Cumplimiento y/ liquidacion],COSTO_OPORTUNIDAD!$C288)/+SUMIFS(Tabla6[Nominal COP],Tabla6[Concepto],COSTO_OPORTUNIDAD!$B$18,Tabla6[Fecha Cumplimiento y/ liquidacion],COSTO_OPORTUNIDAD!$C288)</f>
        <v>0</v>
      </c>
      <c r="T288" s="263">
        <f>+SUMIFS(Tabla6[Nominal COP],Tabla6[Concepto],COSTO_OPORTUNIDAD!$B$18,Tabla6[Nemotécnico],COSTO_OPORTUNIDAD!T$16,Tabla6[Fecha Cumplimiento y/ liquidacion],COSTO_OPORTUNIDAD!$C288)/+SUMIFS(Tabla6[Nominal COP],Tabla6[Concepto],COSTO_OPORTUNIDAD!$B$18,Tabla6[Fecha Cumplimiento y/ liquidacion],COSTO_OPORTUNIDAD!$C288)</f>
        <v>0</v>
      </c>
      <c r="U288" s="263">
        <f>+SUMIFS(Tabla6[Nominal COP],Tabla6[Concepto],COSTO_OPORTUNIDAD!$B$18,Tabla6[Nemotécnico],COSTO_OPORTUNIDAD!U$16,Tabla6[Fecha Cumplimiento y/ liquidacion],COSTO_OPORTUNIDAD!$C288)/+SUMIFS(Tabla6[Nominal COP],Tabla6[Concepto],COSTO_OPORTUNIDAD!$B$18,Tabla6[Fecha Cumplimiento y/ liquidacion],COSTO_OPORTUNIDAD!$C288)</f>
        <v>0</v>
      </c>
      <c r="V288" s="263">
        <f>+SUMIFS(Tabla6[Nominal COP],Tabla6[Concepto],COSTO_OPORTUNIDAD!$B$18,Tabla6[Nemotécnico],COSTO_OPORTUNIDAD!V$16,Tabla6[Fecha Cumplimiento y/ liquidacion],COSTO_OPORTUNIDAD!$C288)/+SUMIFS(Tabla6[Nominal COP],Tabla6[Concepto],COSTO_OPORTUNIDAD!$B$18,Tabla6[Fecha Cumplimiento y/ liquidacion],COSTO_OPORTUNIDAD!$C288)</f>
        <v>0</v>
      </c>
      <c r="W288" s="263">
        <f>+SUMIFS(Tabla6[Nominal COP],Tabla6[Concepto],COSTO_OPORTUNIDAD!$B$18,Tabla6[Nemotécnico],COSTO_OPORTUNIDAD!W$16,Tabla6[Fecha Cumplimiento y/ liquidacion],COSTO_OPORTUNIDAD!$C288)/+SUMIFS(Tabla6[Nominal COP],Tabla6[Concepto],COSTO_OPORTUNIDAD!$B$18,Tabla6[Fecha Cumplimiento y/ liquidacion],COSTO_OPORTUNIDAD!$C288)</f>
        <v>0</v>
      </c>
      <c r="X288" s="263">
        <f>+SUMIFS(Tabla6[Nominal COP],Tabla6[Concepto],COSTO_OPORTUNIDAD!$B$18,Tabla6[Nemotécnico],COSTO_OPORTUNIDAD!X$16,Tabla6[Fecha Cumplimiento y/ liquidacion],COSTO_OPORTUNIDAD!$C288)/+SUMIFS(Tabla6[Nominal COP],Tabla6[Concepto],COSTO_OPORTUNIDAD!$B$18,Tabla6[Fecha Cumplimiento y/ liquidacion],COSTO_OPORTUNIDAD!$C288)</f>
        <v>0</v>
      </c>
      <c r="Y288" s="263">
        <f>+SUMIFS(Tabla6[Nominal COP],Tabla6[Concepto],COSTO_OPORTUNIDAD!$B$18,Tabla6[Nemotécnico],COSTO_OPORTUNIDAD!Y$16,Tabla6[Fecha Cumplimiento y/ liquidacion],COSTO_OPORTUNIDAD!$C288)/+SUMIFS(Tabla6[Nominal COP],Tabla6[Concepto],COSTO_OPORTUNIDAD!$B$18,Tabla6[Fecha Cumplimiento y/ liquidacion],COSTO_OPORTUNIDAD!$C288)</f>
        <v>0</v>
      </c>
      <c r="Z288" s="263">
        <f>+SUMIFS(Tabla6[Nominal COP],Tabla6[Concepto],COSTO_OPORTUNIDAD!$B$18,Tabla6[Nemotécnico],COSTO_OPORTUNIDAD!Z$16,Tabla6[Fecha Cumplimiento y/ liquidacion],COSTO_OPORTUNIDAD!$C288)/+SUMIFS(Tabla6[Nominal COP],Tabla6[Concepto],COSTO_OPORTUNIDAD!$B$18,Tabla6[Fecha Cumplimiento y/ liquidacion],COSTO_OPORTUNIDAD!$C288)</f>
        <v>0</v>
      </c>
      <c r="AA288" s="263">
        <f>+SUMIFS(Tabla6[Nominal COP],Tabla6[Concepto],COSTO_OPORTUNIDAD!$B$18,Tabla6[Nemotécnico],COSTO_OPORTUNIDAD!AA$16,Tabla6[Fecha Cumplimiento y/ liquidacion],COSTO_OPORTUNIDAD!$C288)/+SUMIFS(Tabla6[Nominal COP],Tabla6[Concepto],COSTO_OPORTUNIDAD!$B$18,Tabla6[Fecha Cumplimiento y/ liquidacion],COSTO_OPORTUNIDAD!$C288)</f>
        <v>0</v>
      </c>
      <c r="AB288" s="263">
        <f>+SUMIFS(Tabla6[Nominal COP],Tabla6[Concepto],COSTO_OPORTUNIDAD!$B$18,Tabla6[Nemotécnico],COSTO_OPORTUNIDAD!AB$16,Tabla6[Fecha Cumplimiento y/ liquidacion],COSTO_OPORTUNIDAD!$C288)/+SUMIFS(Tabla6[Nominal COP],Tabla6[Concepto],COSTO_OPORTUNIDAD!$B$18,Tabla6[Fecha Cumplimiento y/ liquidacion],COSTO_OPORTUNIDAD!$C288)</f>
        <v>0</v>
      </c>
      <c r="AC288" s="263">
        <f>+SUMIFS(Tabla6[Nominal COP],Tabla6[Concepto],COSTO_OPORTUNIDAD!$B$18,Tabla6[Nemotécnico],COSTO_OPORTUNIDAD!AC$16,Tabla6[Fecha Cumplimiento y/ liquidacion],COSTO_OPORTUNIDAD!$C288)/+SUMIFS(Tabla6[Nominal COP],Tabla6[Concepto],COSTO_OPORTUNIDAD!$B$18,Tabla6[Fecha Cumplimiento y/ liquidacion],COSTO_OPORTUNIDAD!$C288)</f>
        <v>0</v>
      </c>
      <c r="AD288" s="263">
        <f>+SUMIFS(Tabla6[Nominal COP],Tabla6[Concepto],COSTO_OPORTUNIDAD!$B$18,Tabla6[Nemotécnico],COSTO_OPORTUNIDAD!AC$16,Tabla6[Fecha Cumplimiento y/ liquidacion],COSTO_OPORTUNIDAD!$C288)/+SUMIFS(Tabla6[Nominal COP],Tabla6[Concepto],COSTO_OPORTUNIDAD!$B$18,Tabla6[Fecha Cumplimiento y/ liquidacion],COSTO_OPORTUNIDAD!$C288)</f>
        <v>0</v>
      </c>
      <c r="AE288" s="263">
        <f>+SUMIFS(Tabla6[Nominal COP],Tabla6[Concepto],COSTO_OPORTUNIDAD!$B$18,Tabla6[Nemotécnico],COSTO_OPORTUNIDAD!AE$16,Tabla6[Fecha Cumplimiento y/ liquidacion],COSTO_OPORTUNIDAD!$C288)/+SUMIFS(Tabla6[Nominal COP],Tabla6[Concepto],COSTO_OPORTUNIDAD!$B$18,Tabla6[Fecha Cumplimiento y/ liquidacion],COSTO_OPORTUNIDAD!$C288)</f>
        <v>0</v>
      </c>
      <c r="AF288" s="263">
        <f>+SUMIFS(Tabla6[Nominal COP],Tabla6[Concepto],COSTO_OPORTUNIDAD!$B$18,Tabla6[Nemotécnico],COSTO_OPORTUNIDAD!AF$16,Tabla6[Fecha Cumplimiento y/ liquidacion],COSTO_OPORTUNIDAD!$C288)/+SUMIFS(Tabla6[Nominal COP],Tabla6[Concepto],COSTO_OPORTUNIDAD!$B$18,Tabla6[Fecha Cumplimiento y/ liquidacion],COSTO_OPORTUNIDAD!$C288)</f>
        <v>0</v>
      </c>
      <c r="AH288" s="274">
        <f t="shared" si="348"/>
        <v>391</v>
      </c>
      <c r="AI288" s="274">
        <f t="shared" si="349"/>
        <v>825</v>
      </c>
      <c r="AJ288" s="274">
        <f t="shared" si="350"/>
        <v>1002</v>
      </c>
      <c r="AK288" s="274">
        <f t="shared" si="350"/>
        <v>1483</v>
      </c>
      <c r="AL288" s="274">
        <f t="shared" si="278"/>
        <v>1875</v>
      </c>
      <c r="AM288" s="274">
        <f t="shared" si="279"/>
        <v>2064</v>
      </c>
      <c r="AN288" s="274">
        <f t="shared" si="280"/>
        <v>2526</v>
      </c>
      <c r="AO288" s="274">
        <f t="shared" si="281"/>
        <v>2750</v>
      </c>
      <c r="AP288" s="274">
        <f t="shared" si="282"/>
        <v>3366</v>
      </c>
      <c r="AQ288" s="274"/>
      <c r="AR288" s="274">
        <f t="shared" si="313"/>
        <v>3996</v>
      </c>
      <c r="AS288" s="274">
        <f t="shared" si="301"/>
        <v>5599</v>
      </c>
      <c r="AT288" s="274">
        <f t="shared" si="283"/>
        <v>6145</v>
      </c>
      <c r="AU288" s="274">
        <f t="shared" si="284"/>
        <v>7664</v>
      </c>
      <c r="AV288" s="274">
        <f t="shared" si="285"/>
        <v>9218</v>
      </c>
      <c r="AW288" s="274">
        <f t="shared" ref="AW288:AW304" si="361">(U$17-$B288)</f>
        <v>11913</v>
      </c>
      <c r="AX288" s="274">
        <f t="shared" si="286"/>
        <v>-85</v>
      </c>
      <c r="AY288" s="274">
        <f t="shared" si="287"/>
        <v>594</v>
      </c>
      <c r="AZ288" s="274">
        <f t="shared" si="267"/>
        <v>1357</v>
      </c>
      <c r="BA288" s="274">
        <f t="shared" si="358"/>
        <v>2001</v>
      </c>
      <c r="BB288" s="274">
        <f t="shared" si="314"/>
        <v>2794</v>
      </c>
      <c r="BC288" s="274">
        <f t="shared" si="315"/>
        <v>3534</v>
      </c>
      <c r="BD288" s="274">
        <f t="shared" si="316"/>
        <v>4227</v>
      </c>
      <c r="BE288" s="274">
        <f t="shared" si="288"/>
        <v>5711</v>
      </c>
      <c r="BF288" s="274">
        <f t="shared" si="317"/>
        <v>8721</v>
      </c>
      <c r="BG288" s="274">
        <f t="shared" si="289"/>
        <v>10884</v>
      </c>
      <c r="BH288" s="274">
        <f t="shared" si="308"/>
        <v>13334</v>
      </c>
      <c r="BI288" s="266">
        <f t="shared" si="318"/>
        <v>0</v>
      </c>
      <c r="BJ288" s="266">
        <f t="shared" si="319"/>
        <v>1</v>
      </c>
      <c r="BK288" s="263">
        <f t="shared" si="320"/>
        <v>0</v>
      </c>
      <c r="BL288" s="263">
        <f t="shared" si="321"/>
        <v>0</v>
      </c>
      <c r="BM288" s="263">
        <f t="shared" si="322"/>
        <v>0</v>
      </c>
      <c r="BN288" s="263">
        <f t="shared" si="351"/>
        <v>1</v>
      </c>
      <c r="BO288" s="263">
        <f t="shared" si="323"/>
        <v>0</v>
      </c>
      <c r="BP288" s="263">
        <f t="shared" si="324"/>
        <v>0</v>
      </c>
      <c r="BQ288" s="263">
        <f t="shared" si="325"/>
        <v>0</v>
      </c>
      <c r="BR288" s="263">
        <f t="shared" si="326"/>
        <v>0</v>
      </c>
      <c r="BS288" s="263">
        <f t="shared" si="327"/>
        <v>0</v>
      </c>
      <c r="BT288" s="263">
        <f t="shared" si="328"/>
        <v>0</v>
      </c>
      <c r="BU288" s="263">
        <f t="shared" si="329"/>
        <v>0</v>
      </c>
      <c r="BV288" s="263">
        <f t="shared" si="352"/>
        <v>0</v>
      </c>
      <c r="BW288" s="263">
        <f t="shared" si="330"/>
        <v>0</v>
      </c>
      <c r="BX288" s="263">
        <f t="shared" si="337"/>
        <v>0</v>
      </c>
      <c r="BY288" s="263">
        <f t="shared" si="331"/>
        <v>0</v>
      </c>
      <c r="BZ288" s="263">
        <f>IFERROR(V288/$BJ288,"")</f>
        <v>0</v>
      </c>
      <c r="CA288" s="263" t="str">
        <f t="shared" si="254"/>
        <v/>
      </c>
      <c r="CB288" s="263" t="str">
        <f t="shared" si="332"/>
        <v/>
      </c>
      <c r="CC288" s="263" t="str">
        <f t="shared" si="255"/>
        <v/>
      </c>
      <c r="CD288" s="263" t="str">
        <f t="shared" si="333"/>
        <v/>
      </c>
      <c r="CE288" s="263" t="str">
        <f t="shared" si="346"/>
        <v/>
      </c>
      <c r="CF288" s="263" t="str">
        <f t="shared" si="256"/>
        <v/>
      </c>
      <c r="CG288" s="263" t="str">
        <f t="shared" si="257"/>
        <v/>
      </c>
      <c r="CH288" s="263" t="str">
        <f t="shared" si="290"/>
        <v/>
      </c>
      <c r="CI288" s="263" t="str">
        <f t="shared" si="334"/>
        <v/>
      </c>
      <c r="CJ288" s="263" t="str">
        <f t="shared" si="291"/>
        <v/>
      </c>
      <c r="CK288" s="263" t="str">
        <f t="shared" si="335"/>
        <v/>
      </c>
      <c r="CL288" s="264">
        <f>ROUND(IFERROR((_xlfn.DAYS($F$17,B288)*BK288),0)+IFERROR((_xlfn.DAYS($G$17,B288)*BL288),0)+IFERROR((_xlfn.DAYS($H$17,B288)*BM288),0)+IFERROR((_xlfn.DAYS($I$17,B288)*BN288),0)+IFERROR((_xlfn.DAYS($J$17,B288)*BO288),0)+IFERROR((_xlfn.DAYS($K$17,B288)*BP288),0)+IFERROR((_xlfn.DAYS($L$17,B288)*BQ288),0)+IFERROR((_xlfn.DAYS($M$17,B288)*BR288),0)+IFERROR((_xlfn.DAYS($N$17,B288)*BS288),0)+IFERROR((_xlfn.DAYS($P$17,B288)*BU288),0)+IFERROR((_xlfn.DAYS($Q$17,B288)*BV288),0)+IFERROR((_xlfn.DAYS($R$17,B288)*BW288),0)+IFERROR((_xlfn.DAYS($S$17,B288)*BX288),0)+IFERROR((_xlfn.DAYS($T$17,B288)*BY288),0)+IFERROR((_xlfn.DAYS($T$17,B288)*BZ288),0),0)</f>
        <v>1483</v>
      </c>
      <c r="CM288" s="264">
        <f t="shared" ref="CM288:CM304" si="362">ROUND(IFERROR((_xlfn.DAYS($V$17,B288)*CA288),0)+IFERROR((_xlfn.DAYS($Z$17,B288)*CB288),0)+IFERROR((_xlfn.DAYS($W$17,B288)*CC288),0)+IFERROR((_xlfn.DAYS($X$17,B288)*CE288),0)+IFERROR((_xlfn.DAYS($AA$17,B288)*CF288),0)+IFERROR((_xlfn.DAYS($AB$17,B288)*CG288),0)+IFERROR((_xlfn.DAYS($AC$17,B288)*CH288),0)+IFERROR((_xlfn.DAYS($AD$17,B288)*CI288),0)+IFERROR((_xlfn.DAYS($AE$17,B288)*CJ288),0)+IFERROR((_xlfn.DAYS($AE$17,B288)*CD288),0)+IFERROR((_xlfn.DAYS($AE$17,B288)*CK288),0),0)</f>
        <v>0</v>
      </c>
      <c r="CO288" s="265">
        <v>8.5660000000000014E-2</v>
      </c>
      <c r="CP288" s="265">
        <v>9.144999999999999E-2</v>
      </c>
      <c r="CQ288" s="265">
        <v>9.7889999999999991E-2</v>
      </c>
      <c r="CR288" s="265">
        <v>0.10685</v>
      </c>
      <c r="CS288" s="265">
        <v>0.10999</v>
      </c>
      <c r="CT288" s="265">
        <v>0.11433</v>
      </c>
      <c r="CU288" s="265">
        <v>0.11670999999999999</v>
      </c>
      <c r="CV288" s="265">
        <v>0.11888</v>
      </c>
      <c r="CW288" s="265">
        <v>0.11890000000000001</v>
      </c>
      <c r="CY288" s="265">
        <v>0.1186</v>
      </c>
      <c r="CZ288" s="265">
        <v>0.11939999999999999</v>
      </c>
      <c r="DA288" s="265">
        <v>0.1235</v>
      </c>
      <c r="DB288" s="265">
        <v>0.12164999999999999</v>
      </c>
      <c r="DC288" s="265">
        <v>0.1234</v>
      </c>
      <c r="DE288" s="265">
        <v>5.697E-2</v>
      </c>
      <c r="DF288" s="265">
        <v>6.1429999999999998E-2</v>
      </c>
      <c r="DH288" s="265">
        <v>6.6360000000000002E-2</v>
      </c>
      <c r="DI288" s="265">
        <v>6.5500000000000003E-2</v>
      </c>
      <c r="DJ288" s="265">
        <v>6.5290000000000001E-2</v>
      </c>
      <c r="DK288" s="265">
        <v>6.6619999999999999E-2</v>
      </c>
      <c r="DL288" s="265">
        <v>6.7339999999999997E-2</v>
      </c>
      <c r="DM288" s="265">
        <v>6.6199999999999995E-2</v>
      </c>
      <c r="DO288" s="264">
        <f t="shared" ref="DO288:DO304" si="363">+INDEX(AH288:AW288,MATCH(CL288,AH288:AW288,1))</f>
        <v>1483</v>
      </c>
      <c r="DP288" s="264" cm="1">
        <f t="array" ref="DP288">+INDEX(AH288:AW288,MATCH(DO288,AH288:AW288,1)+1)</f>
        <v>1875</v>
      </c>
      <c r="DQ288" s="265">
        <f t="shared" ref="DQ288:DQ304" si="364">+INDEX(CO288:DD288,MATCH(DO288,AH288:AV288,1))</f>
        <v>0.10685</v>
      </c>
      <c r="DR288" s="267">
        <f t="shared" ref="DR288:DR304" si="365">+INDEX(CO288:DD288,MATCH(DP288,AH288:AV288,1))</f>
        <v>0.10999</v>
      </c>
      <c r="DS288" s="267">
        <f t="shared" si="297"/>
        <v>0.10685</v>
      </c>
      <c r="DT288" s="268">
        <f t="shared" si="293"/>
        <v>-85</v>
      </c>
      <c r="DU288" s="268" cm="1">
        <f t="array" ref="DU288">+INDEX(AX288:BG288,MATCH(DT288,AX288:BG288,1)+1)</f>
        <v>594</v>
      </c>
      <c r="DV288" s="267">
        <f t="shared" ref="DV288:DV302" si="366">+INDEX(DE288:DL288,MATCH(DT288,AX288:BF288,1))</f>
        <v>5.697E-2</v>
      </c>
      <c r="DW288" s="267">
        <f t="shared" si="294"/>
        <v>6.1429999999999998E-2</v>
      </c>
      <c r="DX288" s="267">
        <f t="shared" si="345"/>
        <v>5.7529999999999998E-2</v>
      </c>
      <c r="DY288" s="267">
        <f t="shared" si="341"/>
        <v>5.28E-2</v>
      </c>
      <c r="DZ288" s="205">
        <f>+(1+DX288)*(1+DY288)-1</f>
        <v>0.11336758400000013</v>
      </c>
      <c r="EA288" s="205">
        <f t="shared" si="252"/>
        <v>0.10685</v>
      </c>
    </row>
    <row r="289" spans="2:131">
      <c r="B289" s="272">
        <v>45881</v>
      </c>
      <c r="C289" s="271">
        <f t="shared" si="343"/>
        <v>45881</v>
      </c>
      <c r="D289" s="263">
        <f>+SUMIFS(Tabla6[Nominal COP],Tabla6[Concepto],COSTO_OPORTUNIDAD!$B$18,Tabla6[Nemotécnico],COSTO_OPORTUNIDAD!D$16,Tabla6[Fecha Cumplimiento y/ liquidacion],COSTO_OPORTUNIDAD!$C289)/+SUMIFS(Tabla6[Nominal COP],Tabla6[Concepto],COSTO_OPORTUNIDAD!$B$18,Tabla6[Fecha Cumplimiento y/ liquidacion],COSTO_OPORTUNIDAD!$C289)</f>
        <v>0</v>
      </c>
      <c r="E289" s="263">
        <f>+SUMIFS(Tabla6[Nominal COP],Tabla6[Concepto],COSTO_OPORTUNIDAD!$B$18,Tabla6[Nemotécnico],COSTO_OPORTUNIDAD!E$16,Tabla6[Fecha Cumplimiento y/ liquidacion],COSTO_OPORTUNIDAD!$C289)/+SUMIFS(Tabla6[Nominal COP],Tabla6[Concepto],COSTO_OPORTUNIDAD!$B$18,Tabla6[Fecha Cumplimiento y/ liquidacion],COSTO_OPORTUNIDAD!$C289)</f>
        <v>0</v>
      </c>
      <c r="F289" s="263">
        <f>+SUMIFS(Tabla6[Nominal COP],Tabla6[Concepto],COSTO_OPORTUNIDAD!$B$18,Tabla6[Nemotécnico],COSTO_OPORTUNIDAD!F$16,Tabla6[Fecha Cumplimiento y/ liquidacion],COSTO_OPORTUNIDAD!$C289)/+SUMIFS(Tabla6[Nominal COP],Tabla6[Concepto],COSTO_OPORTUNIDAD!$B$18,Tabla6[Fecha Cumplimiento y/ liquidacion],COSTO_OPORTUNIDAD!$C289)</f>
        <v>0</v>
      </c>
      <c r="G289" s="263">
        <f>+SUMIFS(Tabla6[Nominal COP],Tabla6[Concepto],COSTO_OPORTUNIDAD!$B$18,Tabla6[Nemotécnico],COSTO_OPORTUNIDAD!G$16,Tabla6[Fecha Cumplimiento y/ liquidacion],COSTO_OPORTUNIDAD!$C289)/+SUMIFS(Tabla6[Nominal COP],Tabla6[Concepto],COSTO_OPORTUNIDAD!$B$18,Tabla6[Fecha Cumplimiento y/ liquidacion],COSTO_OPORTUNIDAD!$C289)</f>
        <v>0</v>
      </c>
      <c r="H289" s="263">
        <f>+SUMIFS(Tabla6[Nominal COP],Tabla6[Concepto],COSTO_OPORTUNIDAD!$B$18,Tabla6[Nemotécnico],COSTO_OPORTUNIDAD!H$16,Tabla6[Fecha Cumplimiento y/ liquidacion],COSTO_OPORTUNIDAD!$C289)/+SUMIFS(Tabla6[Nominal COP],Tabla6[Concepto],COSTO_OPORTUNIDAD!$B$18,Tabla6[Fecha Cumplimiento y/ liquidacion],COSTO_OPORTUNIDAD!$C289)</f>
        <v>0</v>
      </c>
      <c r="I289" s="263">
        <f>+SUMIFS(Tabla6[Nominal COP],Tabla6[Concepto],COSTO_OPORTUNIDAD!$B$18,Tabla6[Nemotécnico],COSTO_OPORTUNIDAD!I$16,Tabla6[Fecha Cumplimiento y/ liquidacion],COSTO_OPORTUNIDAD!$C289)/+SUMIFS(Tabla6[Nominal COP],Tabla6[Concepto],COSTO_OPORTUNIDAD!$B$18,Tabla6[Fecha Cumplimiento y/ liquidacion],COSTO_OPORTUNIDAD!$C289)</f>
        <v>0.52443520622693385</v>
      </c>
      <c r="J289" s="263">
        <f>+SUMIFS(Tabla6[Nominal COP],Tabla6[Concepto],COSTO_OPORTUNIDAD!$B$18,Tabla6[Nemotécnico],COSTO_OPORTUNIDAD!J$16,Tabla6[Fecha Cumplimiento y/ liquidacion],COSTO_OPORTUNIDAD!$C289)/+SUMIFS(Tabla6[Nominal COP],Tabla6[Concepto],COSTO_OPORTUNIDAD!$B$18,Tabla6[Fecha Cumplimiento y/ liquidacion],COSTO_OPORTUNIDAD!$C289)</f>
        <v>0</v>
      </c>
      <c r="K289" s="263">
        <f>+SUMIFS(Tabla6[Nominal COP],Tabla6[Concepto],COSTO_OPORTUNIDAD!$B$18,Tabla6[Nemotécnico],COSTO_OPORTUNIDAD!K$16,Tabla6[Fecha Cumplimiento y/ liquidacion],COSTO_OPORTUNIDAD!$C289)/+SUMIFS(Tabla6[Nominal COP],Tabla6[Concepto],COSTO_OPORTUNIDAD!$B$18,Tabla6[Fecha Cumplimiento y/ liquidacion],COSTO_OPORTUNIDAD!$C289)</f>
        <v>0</v>
      </c>
      <c r="L289" s="263">
        <f>+SUMIFS(Tabla6[Nominal COP],Tabla6[Concepto],COSTO_OPORTUNIDAD!$B$18,Tabla6[Nemotécnico],COSTO_OPORTUNIDAD!L$16,Tabla6[Fecha Cumplimiento y/ liquidacion],COSTO_OPORTUNIDAD!$C289)/+SUMIFS(Tabla6[Nominal COP],Tabla6[Concepto],COSTO_OPORTUNIDAD!$B$18,Tabla6[Fecha Cumplimiento y/ liquidacion],COSTO_OPORTUNIDAD!$C289)</f>
        <v>0</v>
      </c>
      <c r="M289" s="263">
        <f>+SUMIFS(Tabla6[Nominal COP],Tabla6[Concepto],COSTO_OPORTUNIDAD!$B$18,Tabla6[Nemotécnico],COSTO_OPORTUNIDAD!M$16,Tabla6[Fecha Cumplimiento y/ liquidacion],COSTO_OPORTUNIDAD!$C289)/+SUMIFS(Tabla6[Nominal COP],Tabla6[Concepto],COSTO_OPORTUNIDAD!$B$18,Tabla6[Fecha Cumplimiento y/ liquidacion],COSTO_OPORTUNIDAD!$C289)</f>
        <v>0.47556479377306615</v>
      </c>
      <c r="N289" s="263">
        <f>+SUMIFS(Tabla6[Nominal COP],Tabla6[Concepto],COSTO_OPORTUNIDAD!$B$18,Tabla6[Nemotécnico],COSTO_OPORTUNIDAD!N$16,Tabla6[Fecha Cumplimiento y/ liquidacion],COSTO_OPORTUNIDAD!$C289)/+SUMIFS(Tabla6[Nominal COP],Tabla6[Concepto],COSTO_OPORTUNIDAD!$B$18,Tabla6[Fecha Cumplimiento y/ liquidacion],COSTO_OPORTUNIDAD!$C289)</f>
        <v>0</v>
      </c>
      <c r="O289" s="263"/>
      <c r="P289" s="263">
        <f>+SUMIFS(Tabla6[Nominal COP],Tabla6[Concepto],COSTO_OPORTUNIDAD!$B$18,Tabla6[Nemotécnico],COSTO_OPORTUNIDAD!P$16,Tabla6[Fecha Cumplimiento y/ liquidacion],COSTO_OPORTUNIDAD!$C289)/+SUMIFS(Tabla6[Nominal COP],Tabla6[Concepto],COSTO_OPORTUNIDAD!$B$18,Tabla6[Fecha Cumplimiento y/ liquidacion],COSTO_OPORTUNIDAD!$C289)</f>
        <v>0</v>
      </c>
      <c r="Q289" s="263">
        <f>+SUMIFS(Tabla6[Nominal COP],Tabla6[Concepto],COSTO_OPORTUNIDAD!$B$18,Tabla6[Nemotécnico],COSTO_OPORTUNIDAD!Q$16,Tabla6[Fecha Cumplimiento y/ liquidacion],COSTO_OPORTUNIDAD!$C289)/+SUMIFS(Tabla6[Nominal COP],Tabla6[Concepto],COSTO_OPORTUNIDAD!$B$18,Tabla6[Fecha Cumplimiento y/ liquidacion],COSTO_OPORTUNIDAD!$C289)</f>
        <v>0</v>
      </c>
      <c r="R289" s="263">
        <f>+SUMIFS(Tabla6[Nominal COP],Tabla6[Concepto],COSTO_OPORTUNIDAD!$B$18,Tabla6[Nemotécnico],COSTO_OPORTUNIDAD!R$16,Tabla6[Fecha Cumplimiento y/ liquidacion],COSTO_OPORTUNIDAD!$C289)/+SUMIFS(Tabla6[Nominal COP],Tabla6[Concepto],COSTO_OPORTUNIDAD!$B$18,Tabla6[Fecha Cumplimiento y/ liquidacion],COSTO_OPORTUNIDAD!$C289)</f>
        <v>0</v>
      </c>
      <c r="S289" s="263">
        <f>+SUMIFS(Tabla6[Nominal COP],Tabla6[Concepto],COSTO_OPORTUNIDAD!$B$18,Tabla6[Nemotécnico],COSTO_OPORTUNIDAD!S$16,Tabla6[Fecha Cumplimiento y/ liquidacion],COSTO_OPORTUNIDAD!$C289)/+SUMIFS(Tabla6[Nominal COP],Tabla6[Concepto],COSTO_OPORTUNIDAD!$B$18,Tabla6[Fecha Cumplimiento y/ liquidacion],COSTO_OPORTUNIDAD!$C289)</f>
        <v>0</v>
      </c>
      <c r="T289" s="263">
        <f>+SUMIFS(Tabla6[Nominal COP],Tabla6[Concepto],COSTO_OPORTUNIDAD!$B$18,Tabla6[Nemotécnico],COSTO_OPORTUNIDAD!T$16,Tabla6[Fecha Cumplimiento y/ liquidacion],COSTO_OPORTUNIDAD!$C289)/+SUMIFS(Tabla6[Nominal COP],Tabla6[Concepto],COSTO_OPORTUNIDAD!$B$18,Tabla6[Fecha Cumplimiento y/ liquidacion],COSTO_OPORTUNIDAD!$C289)</f>
        <v>0</v>
      </c>
      <c r="U289" s="263">
        <f>+SUMIFS(Tabla6[Nominal COP],Tabla6[Concepto],COSTO_OPORTUNIDAD!$B$18,Tabla6[Nemotécnico],COSTO_OPORTUNIDAD!U$16,Tabla6[Fecha Cumplimiento y/ liquidacion],COSTO_OPORTUNIDAD!$C289)/+SUMIFS(Tabla6[Nominal COP],Tabla6[Concepto],COSTO_OPORTUNIDAD!$B$18,Tabla6[Fecha Cumplimiento y/ liquidacion],COSTO_OPORTUNIDAD!$C289)</f>
        <v>0</v>
      </c>
      <c r="V289" s="263">
        <f>+SUMIFS(Tabla6[Nominal COP],Tabla6[Concepto],COSTO_OPORTUNIDAD!$B$18,Tabla6[Nemotécnico],COSTO_OPORTUNIDAD!V$16,Tabla6[Fecha Cumplimiento y/ liquidacion],COSTO_OPORTUNIDAD!$C289)/+SUMIFS(Tabla6[Nominal COP],Tabla6[Concepto],COSTO_OPORTUNIDAD!$B$18,Tabla6[Fecha Cumplimiento y/ liquidacion],COSTO_OPORTUNIDAD!$C289)</f>
        <v>0</v>
      </c>
      <c r="W289" s="263">
        <f>+SUMIFS(Tabla6[Nominal COP],Tabla6[Concepto],COSTO_OPORTUNIDAD!$B$18,Tabla6[Nemotécnico],COSTO_OPORTUNIDAD!W$16,Tabla6[Fecha Cumplimiento y/ liquidacion],COSTO_OPORTUNIDAD!$C289)/+SUMIFS(Tabla6[Nominal COP],Tabla6[Concepto],COSTO_OPORTUNIDAD!$B$18,Tabla6[Fecha Cumplimiento y/ liquidacion],COSTO_OPORTUNIDAD!$C289)</f>
        <v>0</v>
      </c>
      <c r="X289" s="263">
        <f>+SUMIFS(Tabla6[Nominal COP],Tabla6[Concepto],COSTO_OPORTUNIDAD!$B$18,Tabla6[Nemotécnico],COSTO_OPORTUNIDAD!X$16,Tabla6[Fecha Cumplimiento y/ liquidacion],COSTO_OPORTUNIDAD!$C289)/+SUMIFS(Tabla6[Nominal COP],Tabla6[Concepto],COSTO_OPORTUNIDAD!$B$18,Tabla6[Fecha Cumplimiento y/ liquidacion],COSTO_OPORTUNIDAD!$C289)</f>
        <v>0</v>
      </c>
      <c r="Y289" s="263">
        <f>+SUMIFS(Tabla6[Nominal COP],Tabla6[Concepto],COSTO_OPORTUNIDAD!$B$18,Tabla6[Nemotécnico],COSTO_OPORTUNIDAD!Y$16,Tabla6[Fecha Cumplimiento y/ liquidacion],COSTO_OPORTUNIDAD!$C289)/+SUMIFS(Tabla6[Nominal COP],Tabla6[Concepto],COSTO_OPORTUNIDAD!$B$18,Tabla6[Fecha Cumplimiento y/ liquidacion],COSTO_OPORTUNIDAD!$C289)</f>
        <v>0</v>
      </c>
      <c r="Z289" s="263">
        <f>+SUMIFS(Tabla6[Nominal COP],Tabla6[Concepto],COSTO_OPORTUNIDAD!$B$18,Tabla6[Nemotécnico],COSTO_OPORTUNIDAD!Z$16,Tabla6[Fecha Cumplimiento y/ liquidacion],COSTO_OPORTUNIDAD!$C289)/+SUMIFS(Tabla6[Nominal COP],Tabla6[Concepto],COSTO_OPORTUNIDAD!$B$18,Tabla6[Fecha Cumplimiento y/ liquidacion],COSTO_OPORTUNIDAD!$C289)</f>
        <v>0</v>
      </c>
      <c r="AA289" s="263">
        <f>+SUMIFS(Tabla6[Nominal COP],Tabla6[Concepto],COSTO_OPORTUNIDAD!$B$18,Tabla6[Nemotécnico],COSTO_OPORTUNIDAD!AA$16,Tabla6[Fecha Cumplimiento y/ liquidacion],COSTO_OPORTUNIDAD!$C289)/+SUMIFS(Tabla6[Nominal COP],Tabla6[Concepto],COSTO_OPORTUNIDAD!$B$18,Tabla6[Fecha Cumplimiento y/ liquidacion],COSTO_OPORTUNIDAD!$C289)</f>
        <v>0</v>
      </c>
      <c r="AB289" s="263">
        <f>+SUMIFS(Tabla6[Nominal COP],Tabla6[Concepto],COSTO_OPORTUNIDAD!$B$18,Tabla6[Nemotécnico],COSTO_OPORTUNIDAD!AB$16,Tabla6[Fecha Cumplimiento y/ liquidacion],COSTO_OPORTUNIDAD!$C289)/+SUMIFS(Tabla6[Nominal COP],Tabla6[Concepto],COSTO_OPORTUNIDAD!$B$18,Tabla6[Fecha Cumplimiento y/ liquidacion],COSTO_OPORTUNIDAD!$C289)</f>
        <v>0</v>
      </c>
      <c r="AC289" s="263">
        <f>+SUMIFS(Tabla6[Nominal COP],Tabla6[Concepto],COSTO_OPORTUNIDAD!$B$18,Tabla6[Nemotécnico],COSTO_OPORTUNIDAD!AC$16,Tabla6[Fecha Cumplimiento y/ liquidacion],COSTO_OPORTUNIDAD!$C289)/+SUMIFS(Tabla6[Nominal COP],Tabla6[Concepto],COSTO_OPORTUNIDAD!$B$18,Tabla6[Fecha Cumplimiento y/ liquidacion],COSTO_OPORTUNIDAD!$C289)</f>
        <v>0</v>
      </c>
      <c r="AD289" s="263">
        <f>+SUMIFS(Tabla6[Nominal COP],Tabla6[Concepto],COSTO_OPORTUNIDAD!$B$18,Tabla6[Nemotécnico],COSTO_OPORTUNIDAD!AC$16,Tabla6[Fecha Cumplimiento y/ liquidacion],COSTO_OPORTUNIDAD!$C289)/+SUMIFS(Tabla6[Nominal COP],Tabla6[Concepto],COSTO_OPORTUNIDAD!$B$18,Tabla6[Fecha Cumplimiento y/ liquidacion],COSTO_OPORTUNIDAD!$C289)</f>
        <v>0</v>
      </c>
      <c r="AE289" s="263">
        <f>+SUMIFS(Tabla6[Nominal COP],Tabla6[Concepto],COSTO_OPORTUNIDAD!$B$18,Tabla6[Nemotécnico],COSTO_OPORTUNIDAD!AE$16,Tabla6[Fecha Cumplimiento y/ liquidacion],COSTO_OPORTUNIDAD!$C289)/+SUMIFS(Tabla6[Nominal COP],Tabla6[Concepto],COSTO_OPORTUNIDAD!$B$18,Tabla6[Fecha Cumplimiento y/ liquidacion],COSTO_OPORTUNIDAD!$C289)</f>
        <v>0</v>
      </c>
      <c r="AF289" s="263">
        <f>+SUMIFS(Tabla6[Nominal COP],Tabla6[Concepto],COSTO_OPORTUNIDAD!$B$18,Tabla6[Nemotécnico],COSTO_OPORTUNIDAD!AF$16,Tabla6[Fecha Cumplimiento y/ liquidacion],COSTO_OPORTUNIDAD!$C289)/+SUMIFS(Tabla6[Nominal COP],Tabla6[Concepto],COSTO_OPORTUNIDAD!$B$18,Tabla6[Fecha Cumplimiento y/ liquidacion],COSTO_OPORTUNIDAD!$C289)</f>
        <v>0</v>
      </c>
      <c r="AH289" s="274">
        <f t="shared" si="348"/>
        <v>379</v>
      </c>
      <c r="AI289" s="274">
        <f t="shared" si="349"/>
        <v>813</v>
      </c>
      <c r="AJ289" s="274">
        <f t="shared" si="350"/>
        <v>990</v>
      </c>
      <c r="AK289" s="274">
        <f t="shared" si="350"/>
        <v>1471</v>
      </c>
      <c r="AL289" s="274">
        <f t="shared" si="278"/>
        <v>1863</v>
      </c>
      <c r="AM289" s="274">
        <f t="shared" si="279"/>
        <v>2052</v>
      </c>
      <c r="AN289" s="274">
        <f t="shared" si="280"/>
        <v>2514</v>
      </c>
      <c r="AO289" s="274">
        <f t="shared" si="281"/>
        <v>2738</v>
      </c>
      <c r="AP289" s="274">
        <f t="shared" si="282"/>
        <v>3354</v>
      </c>
      <c r="AQ289" s="274"/>
      <c r="AR289" s="274">
        <f t="shared" si="313"/>
        <v>3984</v>
      </c>
      <c r="AS289" s="274">
        <f t="shared" si="301"/>
        <v>5587</v>
      </c>
      <c r="AT289" s="274">
        <f t="shared" si="283"/>
        <v>6133</v>
      </c>
      <c r="AU289" s="274">
        <f t="shared" si="284"/>
        <v>7652</v>
      </c>
      <c r="AV289" s="274">
        <f t="shared" si="285"/>
        <v>9206</v>
      </c>
      <c r="AW289" s="274">
        <f t="shared" si="361"/>
        <v>11901</v>
      </c>
      <c r="AX289" s="274">
        <f t="shared" si="286"/>
        <v>-97</v>
      </c>
      <c r="AY289" s="274">
        <f t="shared" si="287"/>
        <v>582</v>
      </c>
      <c r="AZ289" s="274">
        <f t="shared" si="267"/>
        <v>1345</v>
      </c>
      <c r="BA289" s="274">
        <f t="shared" si="358"/>
        <v>1989</v>
      </c>
      <c r="BB289" s="274">
        <f t="shared" si="314"/>
        <v>2782</v>
      </c>
      <c r="BC289" s="274">
        <f t="shared" si="315"/>
        <v>3522</v>
      </c>
      <c r="BD289" s="274">
        <f t="shared" si="316"/>
        <v>4215</v>
      </c>
      <c r="BE289" s="274">
        <f t="shared" si="288"/>
        <v>5699</v>
      </c>
      <c r="BF289" s="274">
        <f t="shared" si="317"/>
        <v>8709</v>
      </c>
      <c r="BG289" s="274">
        <f t="shared" si="289"/>
        <v>10872</v>
      </c>
      <c r="BH289" s="274">
        <f t="shared" si="308"/>
        <v>13322</v>
      </c>
      <c r="BI289" s="266">
        <f t="shared" si="318"/>
        <v>0</v>
      </c>
      <c r="BJ289" s="266">
        <f t="shared" si="319"/>
        <v>1</v>
      </c>
      <c r="BK289" s="263">
        <f t="shared" si="320"/>
        <v>0</v>
      </c>
      <c r="BL289" s="263">
        <f t="shared" si="321"/>
        <v>0</v>
      </c>
      <c r="BM289" s="263">
        <f t="shared" si="322"/>
        <v>0</v>
      </c>
      <c r="BN289" s="263">
        <f t="shared" si="351"/>
        <v>0.52443520622693385</v>
      </c>
      <c r="BO289" s="263">
        <f t="shared" si="323"/>
        <v>0</v>
      </c>
      <c r="BP289" s="263">
        <f t="shared" si="324"/>
        <v>0</v>
      </c>
      <c r="BQ289" s="263">
        <f t="shared" si="325"/>
        <v>0</v>
      </c>
      <c r="BR289" s="263">
        <f t="shared" si="326"/>
        <v>0.47556479377306615</v>
      </c>
      <c r="BS289" s="263">
        <f t="shared" si="327"/>
        <v>0</v>
      </c>
      <c r="BT289" s="263">
        <f t="shared" si="328"/>
        <v>0</v>
      </c>
      <c r="BU289" s="263">
        <f t="shared" si="329"/>
        <v>0</v>
      </c>
      <c r="BV289" s="263">
        <f t="shared" si="352"/>
        <v>0</v>
      </c>
      <c r="BW289" s="263">
        <f t="shared" si="330"/>
        <v>0</v>
      </c>
      <c r="BX289" s="263">
        <f t="shared" si="337"/>
        <v>0</v>
      </c>
      <c r="BY289" s="263">
        <f t="shared" si="331"/>
        <v>0</v>
      </c>
      <c r="BZ289" s="263">
        <f>IFERROR(V289/$BJ289,"")</f>
        <v>0</v>
      </c>
      <c r="CA289" s="263" t="str">
        <f t="shared" si="254"/>
        <v/>
      </c>
      <c r="CB289" s="263" t="str">
        <f t="shared" si="332"/>
        <v/>
      </c>
      <c r="CC289" s="263" t="str">
        <f t="shared" si="255"/>
        <v/>
      </c>
      <c r="CD289" s="263" t="str">
        <f t="shared" si="333"/>
        <v/>
      </c>
      <c r="CE289" s="263" t="str">
        <f t="shared" si="346"/>
        <v/>
      </c>
      <c r="CF289" s="263" t="str">
        <f t="shared" si="256"/>
        <v/>
      </c>
      <c r="CG289" s="263" t="str">
        <f t="shared" si="257"/>
        <v/>
      </c>
      <c r="CH289" s="263" t="str">
        <f t="shared" si="290"/>
        <v/>
      </c>
      <c r="CI289" s="263" t="str">
        <f t="shared" si="334"/>
        <v/>
      </c>
      <c r="CJ289" s="263" t="str">
        <f t="shared" si="291"/>
        <v/>
      </c>
      <c r="CK289" s="263" t="str">
        <f t="shared" si="335"/>
        <v/>
      </c>
      <c r="CL289" s="264">
        <f>ROUND(IFERROR((_xlfn.DAYS($F$17,B289)*BK289),0)+IFERROR((_xlfn.DAYS($G$17,B289)*BL289),0)+IFERROR((_xlfn.DAYS($H$17,B289)*BM289),0)+IFERROR((_xlfn.DAYS($I$17,B289)*BN289),0)+IFERROR((_xlfn.DAYS($J$17,B289)*BO289),0)+IFERROR((_xlfn.DAYS($K$17,B289)*BP289),0)+IFERROR((_xlfn.DAYS($L$17,B289)*BQ289),0)+IFERROR((_xlfn.DAYS($M$17,B289)*BR289),0)+IFERROR((_xlfn.DAYS($N$17,B289)*BS289),0)+IFERROR((_xlfn.DAYS($P$17,B289)*BU289),0)+IFERROR((_xlfn.DAYS($Q$17,B289)*BV289),0)+IFERROR((_xlfn.DAYS($R$17,B289)*BW289),0)+IFERROR((_xlfn.DAYS($S$17,B289)*BX289),0)+IFERROR((_xlfn.DAYS($T$17,B289)*BY289),0)+IFERROR((_xlfn.DAYS($T$17,B289)*BZ289),0),0)</f>
        <v>2074</v>
      </c>
      <c r="CM289" s="264">
        <f t="shared" si="362"/>
        <v>0</v>
      </c>
      <c r="CO289" s="265">
        <v>9.0289999999999995E-2</v>
      </c>
      <c r="CP289" s="265">
        <v>9.3000000000000013E-2</v>
      </c>
      <c r="CQ289" s="265">
        <v>9.8000000000000004E-2</v>
      </c>
      <c r="CR289" s="265">
        <v>0.10615999999999999</v>
      </c>
      <c r="CS289" s="265">
        <v>0.1085</v>
      </c>
      <c r="CT289" s="265">
        <v>0.11269999999999999</v>
      </c>
      <c r="CU289" s="265">
        <v>0.11551</v>
      </c>
      <c r="CV289" s="265">
        <v>0.11669</v>
      </c>
      <c r="CW289" s="265">
        <v>0.11638999999999999</v>
      </c>
      <c r="CY289" s="265">
        <v>0.11846</v>
      </c>
      <c r="CZ289" s="265">
        <v>0.1173</v>
      </c>
      <c r="DA289" s="265">
        <v>0.1215</v>
      </c>
      <c r="DB289" s="265">
        <v>0.12029999999999999</v>
      </c>
      <c r="DC289" s="265">
        <v>0.12189</v>
      </c>
      <c r="DD289" s="265">
        <v>0.12</v>
      </c>
      <c r="DE289" s="265">
        <v>6.1030000000000001E-2</v>
      </c>
      <c r="DF289" s="265">
        <v>6.6199999999999995E-2</v>
      </c>
      <c r="DH289" s="265">
        <v>6.3399999999999998E-2</v>
      </c>
      <c r="DI289" s="265">
        <v>6.4240000000000005E-2</v>
      </c>
      <c r="DJ289" s="265">
        <v>6.4710000000000004E-2</v>
      </c>
      <c r="DK289" s="265">
        <v>6.5199999999999994E-2</v>
      </c>
      <c r="DL289" s="265">
        <v>6.4699999999999994E-2</v>
      </c>
      <c r="DM289" s="265">
        <v>6.4269999999999994E-2</v>
      </c>
      <c r="DN289" s="265">
        <v>6.3810000000000006E-2</v>
      </c>
      <c r="DO289" s="264">
        <f t="shared" si="363"/>
        <v>2052</v>
      </c>
      <c r="DP289" s="264" cm="1">
        <f t="array" ref="DP289">+INDEX(AH289:AW289,MATCH(DO289,AH289:AW289,1)+1)</f>
        <v>2514</v>
      </c>
      <c r="DQ289" s="265">
        <f t="shared" si="364"/>
        <v>0.11269999999999999</v>
      </c>
      <c r="DR289" s="267">
        <f t="shared" si="365"/>
        <v>0.11551</v>
      </c>
      <c r="DS289" s="267">
        <f t="shared" si="297"/>
        <v>0.112834</v>
      </c>
      <c r="DT289" s="268">
        <f t="shared" si="293"/>
        <v>-97</v>
      </c>
      <c r="DU289" s="268" cm="1">
        <f t="array" ref="DU289">+INDEX(AX289:BG289,MATCH(DT289,AX289:BG289,1)+1)</f>
        <v>582</v>
      </c>
      <c r="DV289" s="267">
        <f t="shared" si="366"/>
        <v>6.1030000000000001E-2</v>
      </c>
      <c r="DW289" s="267">
        <f t="shared" si="294"/>
        <v>6.6199999999999995E-2</v>
      </c>
      <c r="DX289" s="267">
        <f t="shared" si="345"/>
        <v>6.1769999999999999E-2</v>
      </c>
      <c r="DY289" s="267">
        <f t="shared" si="341"/>
        <v>5.28E-2</v>
      </c>
      <c r="DZ289" s="205">
        <f>+(1+DX289)*(1+DY289)-1</f>
        <v>0.117831456</v>
      </c>
      <c r="EA289" s="205">
        <f t="shared" si="252"/>
        <v>0.112834</v>
      </c>
    </row>
    <row r="290" spans="2:131">
      <c r="B290" s="272">
        <v>45904</v>
      </c>
      <c r="C290" s="271">
        <f t="shared" si="343"/>
        <v>45904</v>
      </c>
      <c r="D290" s="263">
        <f>+SUMIFS(Tabla6[Nominal COP],Tabla6[Concepto],COSTO_OPORTUNIDAD!$B$18,Tabla6[Nemotécnico],COSTO_OPORTUNIDAD!D$16,Tabla6[Fecha Cumplimiento y/ liquidacion],COSTO_OPORTUNIDAD!$C290)/+SUMIFS(Tabla6[Nominal COP],Tabla6[Concepto],COSTO_OPORTUNIDAD!$B$18,Tabla6[Fecha Cumplimiento y/ liquidacion],COSTO_OPORTUNIDAD!$C290)</f>
        <v>0</v>
      </c>
      <c r="E290" s="263">
        <f>+SUMIFS(Tabla6[Nominal COP],Tabla6[Concepto],COSTO_OPORTUNIDAD!$B$18,Tabla6[Nemotécnico],COSTO_OPORTUNIDAD!E$16,Tabla6[Fecha Cumplimiento y/ liquidacion],COSTO_OPORTUNIDAD!$C290)/+SUMIFS(Tabla6[Nominal COP],Tabla6[Concepto],COSTO_OPORTUNIDAD!$B$18,Tabla6[Fecha Cumplimiento y/ liquidacion],COSTO_OPORTUNIDAD!$C290)</f>
        <v>0</v>
      </c>
      <c r="F290" s="263">
        <f>+SUMIFS(Tabla6[Nominal COP],Tabla6[Concepto],COSTO_OPORTUNIDAD!$B$18,Tabla6[Nemotécnico],COSTO_OPORTUNIDAD!F$16,Tabla6[Fecha Cumplimiento y/ liquidacion],COSTO_OPORTUNIDAD!$C290)/+SUMIFS(Tabla6[Nominal COP],Tabla6[Concepto],COSTO_OPORTUNIDAD!$B$18,Tabla6[Fecha Cumplimiento y/ liquidacion],COSTO_OPORTUNIDAD!$C290)</f>
        <v>0</v>
      </c>
      <c r="G290" s="263">
        <f>+SUMIFS(Tabla6[Nominal COP],Tabla6[Concepto],COSTO_OPORTUNIDAD!$B$18,Tabla6[Nemotécnico],COSTO_OPORTUNIDAD!G$16,Tabla6[Fecha Cumplimiento y/ liquidacion],COSTO_OPORTUNIDAD!$C290)/+SUMIFS(Tabla6[Nominal COP],Tabla6[Concepto],COSTO_OPORTUNIDAD!$B$18,Tabla6[Fecha Cumplimiento y/ liquidacion],COSTO_OPORTUNIDAD!$C290)</f>
        <v>0</v>
      </c>
      <c r="H290" s="263">
        <f>+SUMIFS(Tabla6[Nominal COP],Tabla6[Concepto],COSTO_OPORTUNIDAD!$B$18,Tabla6[Nemotécnico],COSTO_OPORTUNIDAD!H$16,Tabla6[Fecha Cumplimiento y/ liquidacion],COSTO_OPORTUNIDAD!$C290)/+SUMIFS(Tabla6[Nominal COP],Tabla6[Concepto],COSTO_OPORTUNIDAD!$B$18,Tabla6[Fecha Cumplimiento y/ liquidacion],COSTO_OPORTUNIDAD!$C290)</f>
        <v>0</v>
      </c>
      <c r="I290" s="263">
        <f>+SUMIFS(Tabla6[Nominal COP],Tabla6[Concepto],COSTO_OPORTUNIDAD!$B$18,Tabla6[Nemotécnico],COSTO_OPORTUNIDAD!I$16,Tabla6[Fecha Cumplimiento y/ liquidacion],COSTO_OPORTUNIDAD!$C290)/+SUMIFS(Tabla6[Nominal COP],Tabla6[Concepto],COSTO_OPORTUNIDAD!$B$18,Tabla6[Fecha Cumplimiento y/ liquidacion],COSTO_OPORTUNIDAD!$C290)</f>
        <v>0</v>
      </c>
      <c r="J290" s="263">
        <f>+SUMIFS(Tabla6[Nominal COP],Tabla6[Concepto],COSTO_OPORTUNIDAD!$B$18,Tabla6[Nemotécnico],COSTO_OPORTUNIDAD!J$16,Tabla6[Fecha Cumplimiento y/ liquidacion],COSTO_OPORTUNIDAD!$C290)/+SUMIFS(Tabla6[Nominal COP],Tabla6[Concepto],COSTO_OPORTUNIDAD!$B$18,Tabla6[Fecha Cumplimiento y/ liquidacion],COSTO_OPORTUNIDAD!$C290)</f>
        <v>0</v>
      </c>
      <c r="K290" s="263">
        <f>+SUMIFS(Tabla6[Nominal COP],Tabla6[Concepto],COSTO_OPORTUNIDAD!$B$18,Tabla6[Nemotécnico],COSTO_OPORTUNIDAD!K$16,Tabla6[Fecha Cumplimiento y/ liquidacion],COSTO_OPORTUNIDAD!$C290)/+SUMIFS(Tabla6[Nominal COP],Tabla6[Concepto],COSTO_OPORTUNIDAD!$B$18,Tabla6[Fecha Cumplimiento y/ liquidacion],COSTO_OPORTUNIDAD!$C290)</f>
        <v>0</v>
      </c>
      <c r="L290" s="263">
        <f>+SUMIFS(Tabla6[Nominal COP],Tabla6[Concepto],COSTO_OPORTUNIDAD!$B$18,Tabla6[Nemotécnico],COSTO_OPORTUNIDAD!L$16,Tabla6[Fecha Cumplimiento y/ liquidacion],COSTO_OPORTUNIDAD!$C290)/+SUMIFS(Tabla6[Nominal COP],Tabla6[Concepto],COSTO_OPORTUNIDAD!$B$18,Tabla6[Fecha Cumplimiento y/ liquidacion],COSTO_OPORTUNIDAD!$C290)</f>
        <v>0</v>
      </c>
      <c r="M290" s="263">
        <f>+SUMIFS(Tabla6[Nominal COP],Tabla6[Concepto],COSTO_OPORTUNIDAD!$B$18,Tabla6[Nemotécnico],COSTO_OPORTUNIDAD!M$16,Tabla6[Fecha Cumplimiento y/ liquidacion],COSTO_OPORTUNIDAD!$C290)/+SUMIFS(Tabla6[Nominal COP],Tabla6[Concepto],COSTO_OPORTUNIDAD!$B$18,Tabla6[Fecha Cumplimiento y/ liquidacion],COSTO_OPORTUNIDAD!$C290)</f>
        <v>0</v>
      </c>
      <c r="N290" s="263">
        <f>+SUMIFS(Tabla6[Nominal COP],Tabla6[Concepto],COSTO_OPORTUNIDAD!$B$18,Tabla6[Nemotécnico],COSTO_OPORTUNIDAD!N$16,Tabla6[Fecha Cumplimiento y/ liquidacion],COSTO_OPORTUNIDAD!$C290)/+SUMIFS(Tabla6[Nominal COP],Tabla6[Concepto],COSTO_OPORTUNIDAD!$B$18,Tabla6[Fecha Cumplimiento y/ liquidacion],COSTO_OPORTUNIDAD!$C290)</f>
        <v>0</v>
      </c>
      <c r="O290" s="263"/>
      <c r="P290" s="263">
        <f>+SUMIFS(Tabla6[Nominal COP],Tabla6[Concepto],COSTO_OPORTUNIDAD!$B$18,Tabla6[Nemotécnico],COSTO_OPORTUNIDAD!P$16,Tabla6[Fecha Cumplimiento y/ liquidacion],COSTO_OPORTUNIDAD!$C290)/+SUMIFS(Tabla6[Nominal COP],Tabla6[Concepto],COSTO_OPORTUNIDAD!$B$18,Tabla6[Fecha Cumplimiento y/ liquidacion],COSTO_OPORTUNIDAD!$C290)</f>
        <v>0</v>
      </c>
      <c r="Q290" s="263">
        <f>+SUMIFS(Tabla6[Nominal COP],Tabla6[Concepto],COSTO_OPORTUNIDAD!$B$18,Tabla6[Nemotécnico],COSTO_OPORTUNIDAD!Q$16,Tabla6[Fecha Cumplimiento y/ liquidacion],COSTO_OPORTUNIDAD!$C290)/+SUMIFS(Tabla6[Nominal COP],Tabla6[Concepto],COSTO_OPORTUNIDAD!$B$18,Tabla6[Fecha Cumplimiento y/ liquidacion],COSTO_OPORTUNIDAD!$C290)</f>
        <v>1</v>
      </c>
      <c r="R290" s="263">
        <f>+SUMIFS(Tabla6[Nominal COP],Tabla6[Concepto],COSTO_OPORTUNIDAD!$B$18,Tabla6[Nemotécnico],COSTO_OPORTUNIDAD!R$16,Tabla6[Fecha Cumplimiento y/ liquidacion],COSTO_OPORTUNIDAD!$C290)/+SUMIFS(Tabla6[Nominal COP],Tabla6[Concepto],COSTO_OPORTUNIDAD!$B$18,Tabla6[Fecha Cumplimiento y/ liquidacion],COSTO_OPORTUNIDAD!$C290)</f>
        <v>0</v>
      </c>
      <c r="S290" s="263">
        <f>+SUMIFS(Tabla6[Nominal COP],Tabla6[Concepto],COSTO_OPORTUNIDAD!$B$18,Tabla6[Nemotécnico],COSTO_OPORTUNIDAD!S$16,Tabla6[Fecha Cumplimiento y/ liquidacion],COSTO_OPORTUNIDAD!$C290)/+SUMIFS(Tabla6[Nominal COP],Tabla6[Concepto],COSTO_OPORTUNIDAD!$B$18,Tabla6[Fecha Cumplimiento y/ liquidacion],COSTO_OPORTUNIDAD!$C290)</f>
        <v>0</v>
      </c>
      <c r="T290" s="263">
        <f>+SUMIFS(Tabla6[Nominal COP],Tabla6[Concepto],COSTO_OPORTUNIDAD!$B$18,Tabla6[Nemotécnico],COSTO_OPORTUNIDAD!T$16,Tabla6[Fecha Cumplimiento y/ liquidacion],COSTO_OPORTUNIDAD!$C290)/+SUMIFS(Tabla6[Nominal COP],Tabla6[Concepto],COSTO_OPORTUNIDAD!$B$18,Tabla6[Fecha Cumplimiento y/ liquidacion],COSTO_OPORTUNIDAD!$C290)</f>
        <v>0</v>
      </c>
      <c r="U290" s="263">
        <f>+SUMIFS(Tabla6[Nominal COP],Tabla6[Concepto],COSTO_OPORTUNIDAD!$B$18,Tabla6[Nemotécnico],COSTO_OPORTUNIDAD!U$16,Tabla6[Fecha Cumplimiento y/ liquidacion],COSTO_OPORTUNIDAD!$C290)/+SUMIFS(Tabla6[Nominal COP],Tabla6[Concepto],COSTO_OPORTUNIDAD!$B$18,Tabla6[Fecha Cumplimiento y/ liquidacion],COSTO_OPORTUNIDAD!$C290)</f>
        <v>0</v>
      </c>
      <c r="V290" s="263">
        <f>+SUMIFS(Tabla6[Nominal COP],Tabla6[Concepto],COSTO_OPORTUNIDAD!$B$18,Tabla6[Nemotécnico],COSTO_OPORTUNIDAD!V$16,Tabla6[Fecha Cumplimiento y/ liquidacion],COSTO_OPORTUNIDAD!$C290)/+SUMIFS(Tabla6[Nominal COP],Tabla6[Concepto],COSTO_OPORTUNIDAD!$B$18,Tabla6[Fecha Cumplimiento y/ liquidacion],COSTO_OPORTUNIDAD!$C290)</f>
        <v>0</v>
      </c>
      <c r="W290" s="263">
        <f>+SUMIFS(Tabla6[Nominal COP],Tabla6[Concepto],COSTO_OPORTUNIDAD!$B$18,Tabla6[Nemotécnico],COSTO_OPORTUNIDAD!W$16,Tabla6[Fecha Cumplimiento y/ liquidacion],COSTO_OPORTUNIDAD!$C290)/+SUMIFS(Tabla6[Nominal COP],Tabla6[Concepto],COSTO_OPORTUNIDAD!$B$18,Tabla6[Fecha Cumplimiento y/ liquidacion],COSTO_OPORTUNIDAD!$C290)</f>
        <v>0</v>
      </c>
      <c r="X290" s="263">
        <f>+SUMIFS(Tabla6[Nominal COP],Tabla6[Concepto],COSTO_OPORTUNIDAD!$B$18,Tabla6[Nemotécnico],COSTO_OPORTUNIDAD!X$16,Tabla6[Fecha Cumplimiento y/ liquidacion],COSTO_OPORTUNIDAD!$C290)/+SUMIFS(Tabla6[Nominal COP],Tabla6[Concepto],COSTO_OPORTUNIDAD!$B$18,Tabla6[Fecha Cumplimiento y/ liquidacion],COSTO_OPORTUNIDAD!$C290)</f>
        <v>0</v>
      </c>
      <c r="Y290" s="263">
        <f>+SUMIFS(Tabla6[Nominal COP],Tabla6[Concepto],COSTO_OPORTUNIDAD!$B$18,Tabla6[Nemotécnico],COSTO_OPORTUNIDAD!Y$16,Tabla6[Fecha Cumplimiento y/ liquidacion],COSTO_OPORTUNIDAD!$C290)/+SUMIFS(Tabla6[Nominal COP],Tabla6[Concepto],COSTO_OPORTUNIDAD!$B$18,Tabla6[Fecha Cumplimiento y/ liquidacion],COSTO_OPORTUNIDAD!$C290)</f>
        <v>0</v>
      </c>
      <c r="Z290" s="263">
        <f>+SUMIFS(Tabla6[Nominal COP],Tabla6[Concepto],COSTO_OPORTUNIDAD!$B$18,Tabla6[Nemotécnico],COSTO_OPORTUNIDAD!Z$16,Tabla6[Fecha Cumplimiento y/ liquidacion],COSTO_OPORTUNIDAD!$C290)/+SUMIFS(Tabla6[Nominal COP],Tabla6[Concepto],COSTO_OPORTUNIDAD!$B$18,Tabla6[Fecha Cumplimiento y/ liquidacion],COSTO_OPORTUNIDAD!$C290)</f>
        <v>0</v>
      </c>
      <c r="AA290" s="263">
        <f>+SUMIFS(Tabla6[Nominal COP],Tabla6[Concepto],COSTO_OPORTUNIDAD!$B$18,Tabla6[Nemotécnico],COSTO_OPORTUNIDAD!AA$16,Tabla6[Fecha Cumplimiento y/ liquidacion],COSTO_OPORTUNIDAD!$C290)/+SUMIFS(Tabla6[Nominal COP],Tabla6[Concepto],COSTO_OPORTUNIDAD!$B$18,Tabla6[Fecha Cumplimiento y/ liquidacion],COSTO_OPORTUNIDAD!$C290)</f>
        <v>0</v>
      </c>
      <c r="AB290" s="263">
        <f>+SUMIFS(Tabla6[Nominal COP],Tabla6[Concepto],COSTO_OPORTUNIDAD!$B$18,Tabla6[Nemotécnico],COSTO_OPORTUNIDAD!AB$16,Tabla6[Fecha Cumplimiento y/ liquidacion],COSTO_OPORTUNIDAD!$C290)/+SUMIFS(Tabla6[Nominal COP],Tabla6[Concepto],COSTO_OPORTUNIDAD!$B$18,Tabla6[Fecha Cumplimiento y/ liquidacion],COSTO_OPORTUNIDAD!$C290)</f>
        <v>0</v>
      </c>
      <c r="AC290" s="263">
        <f>+SUMIFS(Tabla6[Nominal COP],Tabla6[Concepto],COSTO_OPORTUNIDAD!$B$18,Tabla6[Nemotécnico],COSTO_OPORTUNIDAD!AC$16,Tabla6[Fecha Cumplimiento y/ liquidacion],COSTO_OPORTUNIDAD!$C290)/+SUMIFS(Tabla6[Nominal COP],Tabla6[Concepto],COSTO_OPORTUNIDAD!$B$18,Tabla6[Fecha Cumplimiento y/ liquidacion],COSTO_OPORTUNIDAD!$C290)</f>
        <v>0</v>
      </c>
      <c r="AD290" s="263">
        <f>+SUMIFS(Tabla6[Nominal COP],Tabla6[Concepto],COSTO_OPORTUNIDAD!$B$18,Tabla6[Nemotécnico],COSTO_OPORTUNIDAD!AC$16,Tabla6[Fecha Cumplimiento y/ liquidacion],COSTO_OPORTUNIDAD!$C290)/+SUMIFS(Tabla6[Nominal COP],Tabla6[Concepto],COSTO_OPORTUNIDAD!$B$18,Tabla6[Fecha Cumplimiento y/ liquidacion],COSTO_OPORTUNIDAD!$C290)</f>
        <v>0</v>
      </c>
      <c r="AE290" s="263">
        <f>+SUMIFS(Tabla6[Nominal COP],Tabla6[Concepto],COSTO_OPORTUNIDAD!$B$18,Tabla6[Nemotécnico],COSTO_OPORTUNIDAD!AE$16,Tabla6[Fecha Cumplimiento y/ liquidacion],COSTO_OPORTUNIDAD!$C290)/+SUMIFS(Tabla6[Nominal COP],Tabla6[Concepto],COSTO_OPORTUNIDAD!$B$18,Tabla6[Fecha Cumplimiento y/ liquidacion],COSTO_OPORTUNIDAD!$C290)</f>
        <v>0</v>
      </c>
      <c r="AF290" s="263">
        <f>+SUMIFS(Tabla6[Nominal COP],Tabla6[Concepto],COSTO_OPORTUNIDAD!$B$18,Tabla6[Nemotécnico],COSTO_OPORTUNIDAD!AF$16,Tabla6[Fecha Cumplimiento y/ liquidacion],COSTO_OPORTUNIDAD!$C290)/+SUMIFS(Tabla6[Nominal COP],Tabla6[Concepto],COSTO_OPORTUNIDAD!$B$18,Tabla6[Fecha Cumplimiento y/ liquidacion],COSTO_OPORTUNIDAD!$C290)</f>
        <v>0</v>
      </c>
      <c r="AH290" s="274">
        <f t="shared" si="348"/>
        <v>356</v>
      </c>
      <c r="AI290" s="274">
        <f t="shared" si="349"/>
        <v>790</v>
      </c>
      <c r="AJ290" s="274">
        <f>(H$17-$B290)</f>
        <v>967</v>
      </c>
      <c r="AK290" s="274">
        <f>(I$17-$B290)</f>
        <v>1448</v>
      </c>
      <c r="AL290" s="274">
        <f t="shared" si="278"/>
        <v>1840</v>
      </c>
      <c r="AM290" s="274">
        <f t="shared" si="279"/>
        <v>2029</v>
      </c>
      <c r="AN290" s="274">
        <f t="shared" si="280"/>
        <v>2491</v>
      </c>
      <c r="AO290" s="274">
        <f t="shared" si="281"/>
        <v>2715</v>
      </c>
      <c r="AP290" s="274">
        <f t="shared" si="282"/>
        <v>3331</v>
      </c>
      <c r="AQ290" s="274"/>
      <c r="AR290" s="274">
        <f t="shared" si="313"/>
        <v>3961</v>
      </c>
      <c r="AS290" s="274">
        <f t="shared" si="301"/>
        <v>5564</v>
      </c>
      <c r="AT290" s="274">
        <f t="shared" si="283"/>
        <v>6110</v>
      </c>
      <c r="AU290" s="274">
        <f t="shared" si="284"/>
        <v>7629</v>
      </c>
      <c r="AV290" s="274">
        <f t="shared" si="285"/>
        <v>9183</v>
      </c>
      <c r="AW290" s="274">
        <f t="shared" si="361"/>
        <v>11878</v>
      </c>
      <c r="AX290" s="274">
        <f t="shared" si="286"/>
        <v>-120</v>
      </c>
      <c r="AY290" s="274">
        <f t="shared" si="287"/>
        <v>559</v>
      </c>
      <c r="AZ290" s="274">
        <f t="shared" si="267"/>
        <v>1322</v>
      </c>
      <c r="BA290" s="274">
        <f t="shared" si="358"/>
        <v>1966</v>
      </c>
      <c r="BB290" s="274">
        <f t="shared" si="314"/>
        <v>2759</v>
      </c>
      <c r="BC290" s="274">
        <f t="shared" si="315"/>
        <v>3499</v>
      </c>
      <c r="BD290" s="274">
        <f t="shared" si="316"/>
        <v>4192</v>
      </c>
      <c r="BE290" s="274">
        <f t="shared" si="288"/>
        <v>5676</v>
      </c>
      <c r="BF290" s="274">
        <f t="shared" si="317"/>
        <v>8686</v>
      </c>
      <c r="BG290" s="274">
        <f>(AE$17-$B290)</f>
        <v>10849</v>
      </c>
      <c r="BH290" s="274">
        <f t="shared" si="308"/>
        <v>13299</v>
      </c>
      <c r="BI290" s="266">
        <f t="shared" si="318"/>
        <v>0</v>
      </c>
      <c r="BJ290" s="266">
        <f t="shared" si="319"/>
        <v>1</v>
      </c>
      <c r="BK290" s="263">
        <f t="shared" si="320"/>
        <v>0</v>
      </c>
      <c r="BL290" s="263">
        <f t="shared" si="321"/>
        <v>0</v>
      </c>
      <c r="BM290" s="263">
        <f t="shared" si="322"/>
        <v>0</v>
      </c>
      <c r="BN290" s="263">
        <f t="shared" si="351"/>
        <v>0</v>
      </c>
      <c r="BO290" s="263">
        <f t="shared" si="323"/>
        <v>0</v>
      </c>
      <c r="BP290" s="263">
        <f t="shared" si="324"/>
        <v>0</v>
      </c>
      <c r="BQ290" s="263">
        <f t="shared" si="325"/>
        <v>0</v>
      </c>
      <c r="BR290" s="263">
        <f t="shared" si="326"/>
        <v>0</v>
      </c>
      <c r="BS290" s="263">
        <f t="shared" si="327"/>
        <v>0</v>
      </c>
      <c r="BT290" s="263">
        <f t="shared" si="328"/>
        <v>0</v>
      </c>
      <c r="BU290" s="263">
        <f t="shared" si="329"/>
        <v>0</v>
      </c>
      <c r="BV290" s="263">
        <f t="shared" si="352"/>
        <v>1</v>
      </c>
      <c r="BW290" s="263">
        <f t="shared" si="330"/>
        <v>0</v>
      </c>
      <c r="BX290" s="263">
        <f t="shared" si="337"/>
        <v>0</v>
      </c>
      <c r="BY290" s="263">
        <f t="shared" si="331"/>
        <v>0</v>
      </c>
      <c r="BZ290" s="263">
        <f>IFERROR(V290/$BJ290,"")</f>
        <v>0</v>
      </c>
      <c r="CA290" s="263" t="str">
        <f t="shared" si="254"/>
        <v/>
      </c>
      <c r="CB290" s="263" t="str">
        <f t="shared" si="332"/>
        <v/>
      </c>
      <c r="CC290" s="263" t="str">
        <f t="shared" si="255"/>
        <v/>
      </c>
      <c r="CD290" s="263" t="str">
        <f t="shared" si="333"/>
        <v/>
      </c>
      <c r="CE290" s="263" t="str">
        <f t="shared" si="346"/>
        <v/>
      </c>
      <c r="CF290" s="263" t="str">
        <f t="shared" si="256"/>
        <v/>
      </c>
      <c r="CG290" s="263" t="str">
        <f t="shared" si="257"/>
        <v/>
      </c>
      <c r="CH290" s="263" t="str">
        <f t="shared" si="290"/>
        <v/>
      </c>
      <c r="CI290" s="263" t="str">
        <f t="shared" si="334"/>
        <v/>
      </c>
      <c r="CJ290" s="263" t="str">
        <f t="shared" si="291"/>
        <v/>
      </c>
      <c r="CK290" s="263" t="str">
        <f t="shared" si="335"/>
        <v/>
      </c>
      <c r="CL290" s="264">
        <f t="shared" ref="CL290:CL304" si="367">ROUND(IFERROR((_xlfn.DAYS($F$17,B290)*BK290),0)+IFERROR((_xlfn.DAYS($G$17,B290)*BL290),0)+IFERROR((_xlfn.DAYS($H$17,B290)*BM290),0)+IFERROR((_xlfn.DAYS($I$17,B290)*BN290),0)+IFERROR((_xlfn.DAYS($J$17,B290)*BO290),0)+IFERROR((_xlfn.DAYS($K$17,B290)*BP290),0)+IFERROR((_xlfn.DAYS($L$17,B290)*BQ290),0)+IFERROR((_xlfn.DAYS($M$17,B290)*BR290),0)+IFERROR((_xlfn.DAYS($N$17,B290)*BS290),0)+IFERROR((_xlfn.DAYS($P$17,B290)*BU290),0)+IFERROR((_xlfn.DAYS($Q$17,B290)*BV290),0)+IFERROR((_xlfn.DAYS($R$17,B290)*BW290),0)+IFERROR((_xlfn.DAYS($S$17,B290)*BX290),0)+IFERROR((_xlfn.DAYS($T$17,B290)*BY290),0)+IFERROR((_xlfn.DAYS($T$17,B290)*BZ290),0)+IFERROR((_xlfn.DAYS($T$17,B290)*BT290),0),0)</f>
        <v>5564</v>
      </c>
      <c r="CM290" s="264">
        <f t="shared" si="362"/>
        <v>0</v>
      </c>
      <c r="CO290" s="265">
        <v>9.06E-2</v>
      </c>
      <c r="CP290" s="265">
        <v>9.3599999999999989E-2</v>
      </c>
      <c r="CQ290" s="265">
        <v>9.9360000000000004E-2</v>
      </c>
      <c r="CR290" s="265">
        <v>0.10843</v>
      </c>
      <c r="CS290" s="265">
        <v>0.11039</v>
      </c>
      <c r="CT290" s="265">
        <v>0.11429</v>
      </c>
      <c r="CU290" s="265">
        <v>0.1168</v>
      </c>
      <c r="CV290" s="265">
        <v>0.1192</v>
      </c>
      <c r="CW290" s="265">
        <v>0.11733</v>
      </c>
      <c r="CX290" s="265">
        <v>0.1215</v>
      </c>
      <c r="CY290" s="265">
        <v>0.11560000000000001</v>
      </c>
      <c r="CZ290" s="265">
        <v>0.1265</v>
      </c>
      <c r="DA290" s="265">
        <v>0.12021000000000001</v>
      </c>
      <c r="DB290" s="265">
        <v>0.12300000000000001</v>
      </c>
      <c r="DC290" s="265">
        <v>0.11939</v>
      </c>
      <c r="DD290" s="265">
        <v>0.12509999999999999</v>
      </c>
      <c r="DE290" s="265">
        <v>6.2190000000000002E-2</v>
      </c>
      <c r="DF290" s="265">
        <v>6.8099999999999994E-2</v>
      </c>
      <c r="DH290" s="265">
        <v>6.3730000000000009E-2</v>
      </c>
      <c r="DI290" s="265">
        <v>6.5610000000000002E-2</v>
      </c>
      <c r="DJ290" s="265">
        <v>6.6699999999999995E-2</v>
      </c>
      <c r="DK290" s="265">
        <v>6.6100000000000006E-2</v>
      </c>
      <c r="DL290" s="265">
        <v>6.3969999999999999E-2</v>
      </c>
      <c r="DM290" s="265">
        <v>6.4899999999999999E-2</v>
      </c>
      <c r="DN290" s="265">
        <v>6.5070000000000003E-2</v>
      </c>
      <c r="DO290" s="264">
        <f t="shared" si="363"/>
        <v>5564</v>
      </c>
      <c r="DP290" s="264" cm="1">
        <f t="array" ref="DP290">+INDEX(AH290:AW290,MATCH(DO290,AH290:AW290,1)+1)</f>
        <v>6110</v>
      </c>
      <c r="DQ290" s="265">
        <f t="shared" si="364"/>
        <v>0.1265</v>
      </c>
      <c r="DR290" s="267">
        <f t="shared" si="365"/>
        <v>0.12021000000000001</v>
      </c>
      <c r="DS290" s="267">
        <f t="shared" si="297"/>
        <v>0.1265</v>
      </c>
      <c r="DT290" s="268">
        <f t="shared" si="293"/>
        <v>-120</v>
      </c>
      <c r="DU290" s="268" cm="1">
        <f t="array" ref="DU290">+INDEX(AX290:BG290,MATCH(DT290,AX290:BG290,1)+1)</f>
        <v>559</v>
      </c>
      <c r="DV290" s="267">
        <f t="shared" si="366"/>
        <v>6.2190000000000002E-2</v>
      </c>
      <c r="DW290" s="267">
        <f t="shared" si="294"/>
        <v>6.8099999999999994E-2</v>
      </c>
      <c r="DX290" s="267">
        <f t="shared" si="345"/>
        <v>6.3229999999999995E-2</v>
      </c>
      <c r="DY290" s="267">
        <f t="shared" si="341"/>
        <v>5.28E-2</v>
      </c>
      <c r="DZ290" s="205">
        <f>+(1+DX290)*(1+DY290)-1</f>
        <v>0.11936854399999985</v>
      </c>
      <c r="EA290" s="205">
        <f t="shared" si="252"/>
        <v>0.1265</v>
      </c>
    </row>
    <row r="291" spans="2:131">
      <c r="B291" s="272">
        <v>45905</v>
      </c>
      <c r="C291" s="271">
        <f>+B291</f>
        <v>45905</v>
      </c>
      <c r="D291" s="263">
        <f>+SUMIFS(Tabla6[Nominal COP],Tabla6[Concepto],COSTO_OPORTUNIDAD!$B$18,Tabla6[Nemotécnico],COSTO_OPORTUNIDAD!D$16,Tabla6[Fecha Cumplimiento y/ liquidacion],COSTO_OPORTUNIDAD!$C291)/+SUMIFS(Tabla6[Nominal COP],Tabla6[Concepto],COSTO_OPORTUNIDAD!$B$18,Tabla6[Fecha Cumplimiento y/ liquidacion],COSTO_OPORTUNIDAD!$C291)</f>
        <v>0</v>
      </c>
      <c r="E291" s="263">
        <f>+SUMIFS(Tabla6[Nominal COP],Tabla6[Concepto],COSTO_OPORTUNIDAD!$B$18,Tabla6[Nemotécnico],COSTO_OPORTUNIDAD!E$16,Tabla6[Fecha Cumplimiento y/ liquidacion],COSTO_OPORTUNIDAD!$C291)/+SUMIFS(Tabla6[Nominal COP],Tabla6[Concepto],COSTO_OPORTUNIDAD!$B$18,Tabla6[Fecha Cumplimiento y/ liquidacion],COSTO_OPORTUNIDAD!$C291)</f>
        <v>0</v>
      </c>
      <c r="F291" s="263">
        <f>+SUMIFS(Tabla6[Nominal COP],Tabla6[Concepto],COSTO_OPORTUNIDAD!$B$18,Tabla6[Nemotécnico],COSTO_OPORTUNIDAD!F$16,Tabla6[Fecha Cumplimiento y/ liquidacion],COSTO_OPORTUNIDAD!$C291)/+SUMIFS(Tabla6[Nominal COP],Tabla6[Concepto],COSTO_OPORTUNIDAD!$B$18,Tabla6[Fecha Cumplimiento y/ liquidacion],COSTO_OPORTUNIDAD!$C291)</f>
        <v>0</v>
      </c>
      <c r="G291" s="263">
        <f>+SUMIFS(Tabla6[Nominal COP],Tabla6[Concepto],COSTO_OPORTUNIDAD!$B$18,Tabla6[Nemotécnico],COSTO_OPORTUNIDAD!G$16,Tabla6[Fecha Cumplimiento y/ liquidacion],COSTO_OPORTUNIDAD!$C291)/+SUMIFS(Tabla6[Nominal COP],Tabla6[Concepto],COSTO_OPORTUNIDAD!$B$18,Tabla6[Fecha Cumplimiento y/ liquidacion],COSTO_OPORTUNIDAD!$C291)</f>
        <v>0</v>
      </c>
      <c r="H291" s="263">
        <f>+SUMIFS(Tabla6[Nominal COP],Tabla6[Concepto],COSTO_OPORTUNIDAD!$B$18,Tabla6[Nemotécnico],COSTO_OPORTUNIDAD!H$16,Tabla6[Fecha Cumplimiento y/ liquidacion],COSTO_OPORTUNIDAD!$C291)/+SUMIFS(Tabla6[Nominal COP],Tabla6[Concepto],COSTO_OPORTUNIDAD!$B$18,Tabla6[Fecha Cumplimiento y/ liquidacion],COSTO_OPORTUNIDAD!$C291)</f>
        <v>0</v>
      </c>
      <c r="I291" s="263">
        <f>+SUMIFS(Tabla6[Nominal COP],Tabla6[Concepto],COSTO_OPORTUNIDAD!$B$18,Tabla6[Nemotécnico],COSTO_OPORTUNIDAD!I$16,Tabla6[Fecha Cumplimiento y/ liquidacion],COSTO_OPORTUNIDAD!$C291)/+SUMIFS(Tabla6[Nominal COP],Tabla6[Concepto],COSTO_OPORTUNIDAD!$B$18,Tabla6[Fecha Cumplimiento y/ liquidacion],COSTO_OPORTUNIDAD!$C291)</f>
        <v>0</v>
      </c>
      <c r="J291" s="263">
        <f>+SUMIFS(Tabla6[Nominal COP],Tabla6[Concepto],COSTO_OPORTUNIDAD!$B$18,Tabla6[Nemotécnico],COSTO_OPORTUNIDAD!J$16,Tabla6[Fecha Cumplimiento y/ liquidacion],COSTO_OPORTUNIDAD!$C291)/+SUMIFS(Tabla6[Nominal COP],Tabla6[Concepto],COSTO_OPORTUNIDAD!$B$18,Tabla6[Fecha Cumplimiento y/ liquidacion],COSTO_OPORTUNIDAD!$C291)</f>
        <v>0</v>
      </c>
      <c r="K291" s="263">
        <f>+SUMIFS(Tabla6[Nominal COP],Tabla6[Concepto],COSTO_OPORTUNIDAD!$B$18,Tabla6[Nemotécnico],COSTO_OPORTUNIDAD!K$16,Tabla6[Fecha Cumplimiento y/ liquidacion],COSTO_OPORTUNIDAD!$C291)/+SUMIFS(Tabla6[Nominal COP],Tabla6[Concepto],COSTO_OPORTUNIDAD!$B$18,Tabla6[Fecha Cumplimiento y/ liquidacion],COSTO_OPORTUNIDAD!$C291)</f>
        <v>0</v>
      </c>
      <c r="L291" s="263">
        <f>+SUMIFS(Tabla6[Nominal COP],Tabla6[Concepto],COSTO_OPORTUNIDAD!$B$18,Tabla6[Nemotécnico],COSTO_OPORTUNIDAD!L$16,Tabla6[Fecha Cumplimiento y/ liquidacion],COSTO_OPORTUNIDAD!$C291)/+SUMIFS(Tabla6[Nominal COP],Tabla6[Concepto],COSTO_OPORTUNIDAD!$B$18,Tabla6[Fecha Cumplimiento y/ liquidacion],COSTO_OPORTUNIDAD!$C291)</f>
        <v>0</v>
      </c>
      <c r="M291" s="263">
        <f>+SUMIFS(Tabla6[Nominal COP],Tabla6[Concepto],COSTO_OPORTUNIDAD!$B$18,Tabla6[Nemotécnico],COSTO_OPORTUNIDAD!M$16,Tabla6[Fecha Cumplimiento y/ liquidacion],COSTO_OPORTUNIDAD!$C291)/+SUMIFS(Tabla6[Nominal COP],Tabla6[Concepto],COSTO_OPORTUNIDAD!$B$18,Tabla6[Fecha Cumplimiento y/ liquidacion],COSTO_OPORTUNIDAD!$C291)</f>
        <v>0</v>
      </c>
      <c r="N291" s="263">
        <f>+SUMIFS(Tabla6[Nominal COP],Tabla6[Concepto],COSTO_OPORTUNIDAD!$B$18,Tabla6[Nemotécnico],COSTO_OPORTUNIDAD!N$16,Tabla6[Fecha Cumplimiento y/ liquidacion],COSTO_OPORTUNIDAD!$C291)/+SUMIFS(Tabla6[Nominal COP],Tabla6[Concepto],COSTO_OPORTUNIDAD!$B$18,Tabla6[Fecha Cumplimiento y/ liquidacion],COSTO_OPORTUNIDAD!$C291)</f>
        <v>0</v>
      </c>
      <c r="O291" s="263"/>
      <c r="P291" s="263">
        <f>+SUMIFS(Tabla6[Nominal COP],Tabla6[Concepto],COSTO_OPORTUNIDAD!$B$18,Tabla6[Nemotécnico],COSTO_OPORTUNIDAD!P$16,Tabla6[Fecha Cumplimiento y/ liquidacion],COSTO_OPORTUNIDAD!$C291)/+SUMIFS(Tabla6[Nominal COP],Tabla6[Concepto],COSTO_OPORTUNIDAD!$B$18,Tabla6[Fecha Cumplimiento y/ liquidacion],COSTO_OPORTUNIDAD!$C291)</f>
        <v>0</v>
      </c>
      <c r="Q291" s="263">
        <f>+SUMIFS(Tabla6[Nominal COP],Tabla6[Concepto],COSTO_OPORTUNIDAD!$B$18,Tabla6[Nemotécnico],COSTO_OPORTUNIDAD!Q$16,Tabla6[Fecha Cumplimiento y/ liquidacion],COSTO_OPORTUNIDAD!$C291)/+SUMIFS(Tabla6[Nominal COP],Tabla6[Concepto],COSTO_OPORTUNIDAD!$B$18,Tabla6[Fecha Cumplimiento y/ liquidacion],COSTO_OPORTUNIDAD!$C291)</f>
        <v>1</v>
      </c>
      <c r="R291" s="263">
        <f>+SUMIFS(Tabla6[Nominal COP],Tabla6[Concepto],COSTO_OPORTUNIDAD!$B$18,Tabla6[Nemotécnico],COSTO_OPORTUNIDAD!R$16,Tabla6[Fecha Cumplimiento y/ liquidacion],COSTO_OPORTUNIDAD!$C291)/+SUMIFS(Tabla6[Nominal COP],Tabla6[Concepto],COSTO_OPORTUNIDAD!$B$18,Tabla6[Fecha Cumplimiento y/ liquidacion],COSTO_OPORTUNIDAD!$C291)</f>
        <v>0</v>
      </c>
      <c r="S291" s="263">
        <f>+SUMIFS(Tabla6[Nominal COP],Tabla6[Concepto],COSTO_OPORTUNIDAD!$B$18,Tabla6[Nemotécnico],COSTO_OPORTUNIDAD!S$16,Tabla6[Fecha Cumplimiento y/ liquidacion],COSTO_OPORTUNIDAD!$C291)/+SUMIFS(Tabla6[Nominal COP],Tabla6[Concepto],COSTO_OPORTUNIDAD!$B$18,Tabla6[Fecha Cumplimiento y/ liquidacion],COSTO_OPORTUNIDAD!$C291)</f>
        <v>0</v>
      </c>
      <c r="T291" s="263">
        <f>+SUMIFS(Tabla6[Nominal COP],Tabla6[Concepto],COSTO_OPORTUNIDAD!$B$18,Tabla6[Nemotécnico],COSTO_OPORTUNIDAD!T$16,Tabla6[Fecha Cumplimiento y/ liquidacion],COSTO_OPORTUNIDAD!$C291)/+SUMIFS(Tabla6[Nominal COP],Tabla6[Concepto],COSTO_OPORTUNIDAD!$B$18,Tabla6[Fecha Cumplimiento y/ liquidacion],COSTO_OPORTUNIDAD!$C291)</f>
        <v>0</v>
      </c>
      <c r="U291" s="263">
        <f>+SUMIFS(Tabla6[Nominal COP],Tabla6[Concepto],COSTO_OPORTUNIDAD!$B$18,Tabla6[Nemotécnico],COSTO_OPORTUNIDAD!U$16,Tabla6[Fecha Cumplimiento y/ liquidacion],COSTO_OPORTUNIDAD!$C291)/+SUMIFS(Tabla6[Nominal COP],Tabla6[Concepto],COSTO_OPORTUNIDAD!$B$18,Tabla6[Fecha Cumplimiento y/ liquidacion],COSTO_OPORTUNIDAD!$C291)</f>
        <v>0</v>
      </c>
      <c r="V291" s="263">
        <f>+SUMIFS(Tabla6[Nominal COP],Tabla6[Concepto],COSTO_OPORTUNIDAD!$B$18,Tabla6[Nemotécnico],COSTO_OPORTUNIDAD!V$16,Tabla6[Fecha Cumplimiento y/ liquidacion],COSTO_OPORTUNIDAD!$C291)/+SUMIFS(Tabla6[Nominal COP],Tabla6[Concepto],COSTO_OPORTUNIDAD!$B$18,Tabla6[Fecha Cumplimiento y/ liquidacion],COSTO_OPORTUNIDAD!$C291)</f>
        <v>0</v>
      </c>
      <c r="W291" s="263">
        <f>+SUMIFS(Tabla6[Nominal COP],Tabla6[Concepto],COSTO_OPORTUNIDAD!$B$18,Tabla6[Nemotécnico],COSTO_OPORTUNIDAD!W$16,Tabla6[Fecha Cumplimiento y/ liquidacion],COSTO_OPORTUNIDAD!$C291)/+SUMIFS(Tabla6[Nominal COP],Tabla6[Concepto],COSTO_OPORTUNIDAD!$B$18,Tabla6[Fecha Cumplimiento y/ liquidacion],COSTO_OPORTUNIDAD!$C291)</f>
        <v>0</v>
      </c>
      <c r="X291" s="263">
        <f>+SUMIFS(Tabla6[Nominal COP],Tabla6[Concepto],COSTO_OPORTUNIDAD!$B$18,Tabla6[Nemotécnico],COSTO_OPORTUNIDAD!X$16,Tabla6[Fecha Cumplimiento y/ liquidacion],COSTO_OPORTUNIDAD!$C291)/+SUMIFS(Tabla6[Nominal COP],Tabla6[Concepto],COSTO_OPORTUNIDAD!$B$18,Tabla6[Fecha Cumplimiento y/ liquidacion],COSTO_OPORTUNIDAD!$C291)</f>
        <v>0</v>
      </c>
      <c r="Y291" s="263">
        <f>+SUMIFS(Tabla6[Nominal COP],Tabla6[Concepto],COSTO_OPORTUNIDAD!$B$18,Tabla6[Nemotécnico],COSTO_OPORTUNIDAD!Y$16,Tabla6[Fecha Cumplimiento y/ liquidacion],COSTO_OPORTUNIDAD!$C291)/+SUMIFS(Tabla6[Nominal COP],Tabla6[Concepto],COSTO_OPORTUNIDAD!$B$18,Tabla6[Fecha Cumplimiento y/ liquidacion],COSTO_OPORTUNIDAD!$C291)</f>
        <v>0</v>
      </c>
      <c r="Z291" s="263">
        <f>+SUMIFS(Tabla6[Nominal COP],Tabla6[Concepto],COSTO_OPORTUNIDAD!$B$18,Tabla6[Nemotécnico],COSTO_OPORTUNIDAD!Z$16,Tabla6[Fecha Cumplimiento y/ liquidacion],COSTO_OPORTUNIDAD!$C291)/+SUMIFS(Tabla6[Nominal COP],Tabla6[Concepto],COSTO_OPORTUNIDAD!$B$18,Tabla6[Fecha Cumplimiento y/ liquidacion],COSTO_OPORTUNIDAD!$C291)</f>
        <v>0</v>
      </c>
      <c r="AA291" s="263">
        <f>+SUMIFS(Tabla6[Nominal COP],Tabla6[Concepto],COSTO_OPORTUNIDAD!$B$18,Tabla6[Nemotécnico],COSTO_OPORTUNIDAD!AA$16,Tabla6[Fecha Cumplimiento y/ liquidacion],COSTO_OPORTUNIDAD!$C291)/+SUMIFS(Tabla6[Nominal COP],Tabla6[Concepto],COSTO_OPORTUNIDAD!$B$18,Tabla6[Fecha Cumplimiento y/ liquidacion],COSTO_OPORTUNIDAD!$C291)</f>
        <v>0</v>
      </c>
      <c r="AB291" s="263">
        <f>+SUMIFS(Tabla6[Nominal COP],Tabla6[Concepto],COSTO_OPORTUNIDAD!$B$18,Tabla6[Nemotécnico],COSTO_OPORTUNIDAD!AB$16,Tabla6[Fecha Cumplimiento y/ liquidacion],COSTO_OPORTUNIDAD!$C291)/+SUMIFS(Tabla6[Nominal COP],Tabla6[Concepto],COSTO_OPORTUNIDAD!$B$18,Tabla6[Fecha Cumplimiento y/ liquidacion],COSTO_OPORTUNIDAD!$C291)</f>
        <v>0</v>
      </c>
      <c r="AC291" s="263">
        <f>+SUMIFS(Tabla6[Nominal COP],Tabla6[Concepto],COSTO_OPORTUNIDAD!$B$18,Tabla6[Nemotécnico],COSTO_OPORTUNIDAD!AC$16,Tabla6[Fecha Cumplimiento y/ liquidacion],COSTO_OPORTUNIDAD!$C291)/+SUMIFS(Tabla6[Nominal COP],Tabla6[Concepto],COSTO_OPORTUNIDAD!$B$18,Tabla6[Fecha Cumplimiento y/ liquidacion],COSTO_OPORTUNIDAD!$C291)</f>
        <v>0</v>
      </c>
      <c r="AD291" s="263">
        <f>+SUMIFS(Tabla6[Nominal COP],Tabla6[Concepto],COSTO_OPORTUNIDAD!$B$18,Tabla6[Nemotécnico],COSTO_OPORTUNIDAD!AC$16,Tabla6[Fecha Cumplimiento y/ liquidacion],COSTO_OPORTUNIDAD!$C291)/+SUMIFS(Tabla6[Nominal COP],Tabla6[Concepto],COSTO_OPORTUNIDAD!$B$18,Tabla6[Fecha Cumplimiento y/ liquidacion],COSTO_OPORTUNIDAD!$C291)</f>
        <v>0</v>
      </c>
      <c r="AE291" s="263">
        <f>+SUMIFS(Tabla6[Nominal COP],Tabla6[Concepto],COSTO_OPORTUNIDAD!$B$18,Tabla6[Nemotécnico],COSTO_OPORTUNIDAD!AE$16,Tabla6[Fecha Cumplimiento y/ liquidacion],COSTO_OPORTUNIDAD!$C291)/+SUMIFS(Tabla6[Nominal COP],Tabla6[Concepto],COSTO_OPORTUNIDAD!$B$18,Tabla6[Fecha Cumplimiento y/ liquidacion],COSTO_OPORTUNIDAD!$C291)</f>
        <v>0</v>
      </c>
      <c r="AF291" s="263">
        <f>+SUMIFS(Tabla6[Nominal COP],Tabla6[Concepto],COSTO_OPORTUNIDAD!$B$18,Tabla6[Nemotécnico],COSTO_OPORTUNIDAD!AF$16,Tabla6[Fecha Cumplimiento y/ liquidacion],COSTO_OPORTUNIDAD!$C291)/+SUMIFS(Tabla6[Nominal COP],Tabla6[Concepto],COSTO_OPORTUNIDAD!$B$18,Tabla6[Fecha Cumplimiento y/ liquidacion],COSTO_OPORTUNIDAD!$C291)</f>
        <v>0</v>
      </c>
      <c r="AH291" s="274">
        <f t="shared" si="348"/>
        <v>355</v>
      </c>
      <c r="AI291" s="274">
        <f t="shared" si="349"/>
        <v>789</v>
      </c>
      <c r="AJ291" s="274">
        <f>(H$17-$B291)</f>
        <v>966</v>
      </c>
      <c r="AK291" s="274">
        <f>(I$17-$B291)</f>
        <v>1447</v>
      </c>
      <c r="AL291" s="274">
        <f t="shared" si="278"/>
        <v>1839</v>
      </c>
      <c r="AM291" s="274">
        <f t="shared" si="279"/>
        <v>2028</v>
      </c>
      <c r="AN291" s="274">
        <f t="shared" si="280"/>
        <v>2490</v>
      </c>
      <c r="AO291" s="274">
        <f t="shared" si="281"/>
        <v>2714</v>
      </c>
      <c r="AP291" s="274">
        <f t="shared" si="282"/>
        <v>3330</v>
      </c>
      <c r="AQ291" s="274"/>
      <c r="AR291" s="274">
        <f t="shared" si="313"/>
        <v>3960</v>
      </c>
      <c r="AS291" s="274">
        <f t="shared" si="301"/>
        <v>5563</v>
      </c>
      <c r="AT291" s="274">
        <f t="shared" si="283"/>
        <v>6109</v>
      </c>
      <c r="AU291" s="274">
        <f t="shared" si="284"/>
        <v>7628</v>
      </c>
      <c r="AV291" s="274">
        <f t="shared" si="285"/>
        <v>9182</v>
      </c>
      <c r="AW291" s="274">
        <f t="shared" si="361"/>
        <v>11877</v>
      </c>
      <c r="AX291" s="274">
        <f t="shared" si="286"/>
        <v>-121</v>
      </c>
      <c r="AY291" s="274">
        <f t="shared" si="287"/>
        <v>558</v>
      </c>
      <c r="AZ291" s="274">
        <f t="shared" si="267"/>
        <v>1321</v>
      </c>
      <c r="BA291" s="274">
        <f t="shared" si="358"/>
        <v>1965</v>
      </c>
      <c r="BB291" s="274">
        <f t="shared" si="314"/>
        <v>2758</v>
      </c>
      <c r="BC291" s="274">
        <f t="shared" si="315"/>
        <v>3498</v>
      </c>
      <c r="BD291" s="274">
        <f t="shared" si="316"/>
        <v>4191</v>
      </c>
      <c r="BE291" s="274">
        <f t="shared" si="288"/>
        <v>5675</v>
      </c>
      <c r="BF291" s="274">
        <f t="shared" si="317"/>
        <v>8685</v>
      </c>
      <c r="BG291" s="274">
        <f>(AE$17-$B291)</f>
        <v>10848</v>
      </c>
      <c r="BH291" s="274">
        <f>(AF$17-$B291)</f>
        <v>13298</v>
      </c>
      <c r="BI291" s="266">
        <f t="shared" si="318"/>
        <v>0</v>
      </c>
      <c r="BJ291" s="266">
        <f t="shared" si="319"/>
        <v>1</v>
      </c>
      <c r="BK291" s="263">
        <f t="shared" si="320"/>
        <v>0</v>
      </c>
      <c r="BL291" s="263">
        <f t="shared" si="321"/>
        <v>0</v>
      </c>
      <c r="BM291" s="263">
        <f t="shared" si="322"/>
        <v>0</v>
      </c>
      <c r="BN291" s="263">
        <f t="shared" si="351"/>
        <v>0</v>
      </c>
      <c r="BO291" s="263">
        <f t="shared" si="323"/>
        <v>0</v>
      </c>
      <c r="BP291" s="263">
        <f t="shared" si="324"/>
        <v>0</v>
      </c>
      <c r="BQ291" s="263">
        <f t="shared" si="325"/>
        <v>0</v>
      </c>
      <c r="BR291" s="263">
        <f t="shared" si="326"/>
        <v>0</v>
      </c>
      <c r="BS291" s="263">
        <f t="shared" si="327"/>
        <v>0</v>
      </c>
      <c r="BT291" s="263">
        <f t="shared" si="328"/>
        <v>0</v>
      </c>
      <c r="BU291" s="263">
        <f t="shared" si="329"/>
        <v>0</v>
      </c>
      <c r="BV291" s="263">
        <f t="shared" si="352"/>
        <v>1</v>
      </c>
      <c r="BW291" s="263">
        <f t="shared" si="330"/>
        <v>0</v>
      </c>
      <c r="BX291" s="263">
        <f t="shared" si="337"/>
        <v>0</v>
      </c>
      <c r="BY291" s="263">
        <f t="shared" si="331"/>
        <v>0</v>
      </c>
      <c r="BZ291" s="263">
        <f>IFERROR(V291/$BJ291,"")</f>
        <v>0</v>
      </c>
      <c r="CA291" s="263" t="str">
        <f t="shared" si="254"/>
        <v/>
      </c>
      <c r="CB291" s="263" t="str">
        <f t="shared" si="332"/>
        <v/>
      </c>
      <c r="CC291" s="263" t="str">
        <f t="shared" si="255"/>
        <v/>
      </c>
      <c r="CD291" s="263" t="str">
        <f t="shared" si="333"/>
        <v/>
      </c>
      <c r="CE291" s="263" t="str">
        <f t="shared" si="346"/>
        <v/>
      </c>
      <c r="CF291" s="263" t="str">
        <f t="shared" si="256"/>
        <v/>
      </c>
      <c r="CG291" s="263" t="str">
        <f t="shared" si="257"/>
        <v/>
      </c>
      <c r="CH291" s="263" t="str">
        <f t="shared" si="290"/>
        <v/>
      </c>
      <c r="CI291" s="263" t="str">
        <f t="shared" si="334"/>
        <v/>
      </c>
      <c r="CJ291" s="263" t="str">
        <f t="shared" si="291"/>
        <v/>
      </c>
      <c r="CK291" s="263" t="str">
        <f t="shared" si="335"/>
        <v/>
      </c>
      <c r="CL291" s="264">
        <f t="shared" si="367"/>
        <v>5563</v>
      </c>
      <c r="CM291" s="264">
        <f t="shared" si="362"/>
        <v>0</v>
      </c>
      <c r="CO291" s="265">
        <v>8.9499999999999996E-2</v>
      </c>
      <c r="CP291" s="265">
        <v>9.3100000000000002E-2</v>
      </c>
      <c r="CQ291" s="265">
        <v>9.8599999999999993E-2</v>
      </c>
      <c r="CR291" s="265">
        <v>0.1074</v>
      </c>
      <c r="CS291" s="265">
        <v>0.10920000000000001</v>
      </c>
      <c r="CT291" s="265">
        <v>0.113</v>
      </c>
      <c r="CU291" s="265">
        <v>0.11550000000000001</v>
      </c>
      <c r="CV291" s="265">
        <v>0.11771000000000001</v>
      </c>
      <c r="CW291" s="265">
        <v>0.1166</v>
      </c>
      <c r="CX291" s="265">
        <v>0.12115000000000001</v>
      </c>
      <c r="CY291" s="265">
        <v>0.1152</v>
      </c>
      <c r="CZ291" s="265">
        <v>0.127</v>
      </c>
      <c r="DA291" s="265">
        <v>0.12050000000000001</v>
      </c>
      <c r="DB291" s="265">
        <v>0.12250999999999999</v>
      </c>
      <c r="DC291" s="265">
        <v>0.11942</v>
      </c>
      <c r="DD291" s="265">
        <v>0.125</v>
      </c>
      <c r="DE291" s="265">
        <v>6.2009999999999996E-2</v>
      </c>
      <c r="DF291" s="265">
        <v>6.7430000000000004E-2</v>
      </c>
      <c r="DH291" s="265">
        <v>6.3570000000000002E-2</v>
      </c>
      <c r="DI291" s="265">
        <v>6.4699999999999994E-2</v>
      </c>
      <c r="DJ291" s="265">
        <v>6.6699999999999995E-2</v>
      </c>
      <c r="DK291" s="265">
        <v>6.5659999999999996E-2</v>
      </c>
      <c r="DL291" s="265">
        <v>6.3810000000000006E-2</v>
      </c>
      <c r="DM291" s="265">
        <v>6.5000000000000002E-2</v>
      </c>
      <c r="DN291" s="265">
        <v>6.4979999999999996E-2</v>
      </c>
      <c r="DO291" s="264">
        <f t="shared" si="363"/>
        <v>5563</v>
      </c>
      <c r="DP291" s="264" cm="1">
        <f t="array" ref="DP291">+INDEX(AH291:AW291,MATCH(DO291,AH291:AW291,1)+1)</f>
        <v>6109</v>
      </c>
      <c r="DQ291" s="265">
        <f t="shared" si="364"/>
        <v>0.127</v>
      </c>
      <c r="DR291" s="267">
        <f t="shared" si="365"/>
        <v>0.12050000000000001</v>
      </c>
      <c r="DS291" s="267">
        <f t="shared" si="297"/>
        <v>0.127</v>
      </c>
      <c r="DT291" s="268">
        <f t="shared" si="293"/>
        <v>-121</v>
      </c>
      <c r="DU291" s="268" cm="1">
        <f t="array" ref="DU291">+INDEX(AX291:BG291,MATCH(DT291,AX291:BG291,1)+1)</f>
        <v>558</v>
      </c>
      <c r="DV291" s="267">
        <f t="shared" si="366"/>
        <v>6.2009999999999996E-2</v>
      </c>
      <c r="DW291" s="267">
        <f t="shared" si="294"/>
        <v>6.7430000000000004E-2</v>
      </c>
      <c r="DX291" s="267">
        <f t="shared" si="345"/>
        <v>6.2979999999999994E-2</v>
      </c>
      <c r="DY291" s="267">
        <f t="shared" si="341"/>
        <v>5.28E-2</v>
      </c>
      <c r="DZ291" s="205">
        <f>+(1+DX291)*(1+DY291)-1</f>
        <v>0.11910534400000006</v>
      </c>
      <c r="EA291" s="205">
        <f t="shared" si="252"/>
        <v>0.127</v>
      </c>
    </row>
    <row r="292" spans="2:131">
      <c r="B292" s="272">
        <v>45908</v>
      </c>
      <c r="C292" s="271">
        <f>+B292</f>
        <v>45908</v>
      </c>
      <c r="D292" s="263">
        <f>+SUMIFS(Tabla6[Nominal COP],Tabla6[Concepto],COSTO_OPORTUNIDAD!$B$18,Tabla6[Nemotécnico],COSTO_OPORTUNIDAD!D$16,Tabla6[Fecha Cumplimiento y/ liquidacion],COSTO_OPORTUNIDAD!$C292)/+SUMIFS(Tabla6[Nominal COP],Tabla6[Concepto],COSTO_OPORTUNIDAD!$B$18,Tabla6[Fecha Cumplimiento y/ liquidacion],COSTO_OPORTUNIDAD!$C292)</f>
        <v>0</v>
      </c>
      <c r="E292" s="263">
        <f>+SUMIFS(Tabla6[Nominal COP],Tabla6[Concepto],COSTO_OPORTUNIDAD!$B$18,Tabla6[Nemotécnico],COSTO_OPORTUNIDAD!E$16,Tabla6[Fecha Cumplimiento y/ liquidacion],COSTO_OPORTUNIDAD!$C292)/+SUMIFS(Tabla6[Nominal COP],Tabla6[Concepto],COSTO_OPORTUNIDAD!$B$18,Tabla6[Fecha Cumplimiento y/ liquidacion],COSTO_OPORTUNIDAD!$C292)</f>
        <v>0</v>
      </c>
      <c r="F292" s="263">
        <f>+SUMIFS(Tabla6[Nominal COP],Tabla6[Concepto],COSTO_OPORTUNIDAD!$B$18,Tabla6[Nemotécnico],COSTO_OPORTUNIDAD!F$16,Tabla6[Fecha Cumplimiento y/ liquidacion],COSTO_OPORTUNIDAD!$C292)/+SUMIFS(Tabla6[Nominal COP],Tabla6[Concepto],COSTO_OPORTUNIDAD!$B$18,Tabla6[Fecha Cumplimiento y/ liquidacion],COSTO_OPORTUNIDAD!$C292)</f>
        <v>0</v>
      </c>
      <c r="G292" s="263">
        <f>+SUMIFS(Tabla6[Nominal COP],Tabla6[Concepto],COSTO_OPORTUNIDAD!$B$18,Tabla6[Nemotécnico],COSTO_OPORTUNIDAD!G$16,Tabla6[Fecha Cumplimiento y/ liquidacion],COSTO_OPORTUNIDAD!$C292)/+SUMIFS(Tabla6[Nominal COP],Tabla6[Concepto],COSTO_OPORTUNIDAD!$B$18,Tabla6[Fecha Cumplimiento y/ liquidacion],COSTO_OPORTUNIDAD!$C292)</f>
        <v>0</v>
      </c>
      <c r="H292" s="263">
        <f>+SUMIFS(Tabla6[Nominal COP],Tabla6[Concepto],COSTO_OPORTUNIDAD!$B$18,Tabla6[Nemotécnico],COSTO_OPORTUNIDAD!H$16,Tabla6[Fecha Cumplimiento y/ liquidacion],COSTO_OPORTUNIDAD!$C292)/+SUMIFS(Tabla6[Nominal COP],Tabla6[Concepto],COSTO_OPORTUNIDAD!$B$18,Tabla6[Fecha Cumplimiento y/ liquidacion],COSTO_OPORTUNIDAD!$C292)</f>
        <v>0</v>
      </c>
      <c r="I292" s="263">
        <f>+SUMIFS(Tabla6[Nominal COP],Tabla6[Concepto],COSTO_OPORTUNIDAD!$B$18,Tabla6[Nemotécnico],COSTO_OPORTUNIDAD!I$16,Tabla6[Fecha Cumplimiento y/ liquidacion],COSTO_OPORTUNIDAD!$C292)/+SUMIFS(Tabla6[Nominal COP],Tabla6[Concepto],COSTO_OPORTUNIDAD!$B$18,Tabla6[Fecha Cumplimiento y/ liquidacion],COSTO_OPORTUNIDAD!$C292)</f>
        <v>0</v>
      </c>
      <c r="J292" s="263">
        <f>+SUMIFS(Tabla6[Nominal COP],Tabla6[Concepto],COSTO_OPORTUNIDAD!$B$18,Tabla6[Nemotécnico],COSTO_OPORTUNIDAD!J$16,Tabla6[Fecha Cumplimiento y/ liquidacion],COSTO_OPORTUNIDAD!$C292)/+SUMIFS(Tabla6[Nominal COP],Tabla6[Concepto],COSTO_OPORTUNIDAD!$B$18,Tabla6[Fecha Cumplimiento y/ liquidacion],COSTO_OPORTUNIDAD!$C292)</f>
        <v>0</v>
      </c>
      <c r="K292" s="263">
        <f>+SUMIFS(Tabla6[Nominal COP],Tabla6[Concepto],COSTO_OPORTUNIDAD!$B$18,Tabla6[Nemotécnico],COSTO_OPORTUNIDAD!K$16,Tabla6[Fecha Cumplimiento y/ liquidacion],COSTO_OPORTUNIDAD!$C292)/+SUMIFS(Tabla6[Nominal COP],Tabla6[Concepto],COSTO_OPORTUNIDAD!$B$18,Tabla6[Fecha Cumplimiento y/ liquidacion],COSTO_OPORTUNIDAD!$C292)</f>
        <v>0</v>
      </c>
      <c r="L292" s="263">
        <f>+SUMIFS(Tabla6[Nominal COP],Tabla6[Concepto],COSTO_OPORTUNIDAD!$B$18,Tabla6[Nemotécnico],COSTO_OPORTUNIDAD!L$16,Tabla6[Fecha Cumplimiento y/ liquidacion],COSTO_OPORTUNIDAD!$C292)/+SUMIFS(Tabla6[Nominal COP],Tabla6[Concepto],COSTO_OPORTUNIDAD!$B$18,Tabla6[Fecha Cumplimiento y/ liquidacion],COSTO_OPORTUNIDAD!$C292)</f>
        <v>0</v>
      </c>
      <c r="M292" s="263">
        <f>+SUMIFS(Tabla6[Nominal COP],Tabla6[Concepto],COSTO_OPORTUNIDAD!$B$18,Tabla6[Nemotécnico],COSTO_OPORTUNIDAD!M$16,Tabla6[Fecha Cumplimiento y/ liquidacion],COSTO_OPORTUNIDAD!$C292)/+SUMIFS(Tabla6[Nominal COP],Tabla6[Concepto],COSTO_OPORTUNIDAD!$B$18,Tabla6[Fecha Cumplimiento y/ liquidacion],COSTO_OPORTUNIDAD!$C292)</f>
        <v>0</v>
      </c>
      <c r="N292" s="263">
        <f>+SUMIFS(Tabla6[Nominal COP],Tabla6[Concepto],COSTO_OPORTUNIDAD!$B$18,Tabla6[Nemotécnico],COSTO_OPORTUNIDAD!N$16,Tabla6[Fecha Cumplimiento y/ liquidacion],COSTO_OPORTUNIDAD!$C292)/+SUMIFS(Tabla6[Nominal COP],Tabla6[Concepto],COSTO_OPORTUNIDAD!$B$18,Tabla6[Fecha Cumplimiento y/ liquidacion],COSTO_OPORTUNIDAD!$C292)</f>
        <v>0</v>
      </c>
      <c r="O292" s="263"/>
      <c r="P292" s="263">
        <f>+SUMIFS(Tabla6[Nominal COP],Tabla6[Concepto],COSTO_OPORTUNIDAD!$B$18,Tabla6[Nemotécnico],COSTO_OPORTUNIDAD!P$16,Tabla6[Fecha Cumplimiento y/ liquidacion],COSTO_OPORTUNIDAD!$C292)/+SUMIFS(Tabla6[Nominal COP],Tabla6[Concepto],COSTO_OPORTUNIDAD!$B$18,Tabla6[Fecha Cumplimiento y/ liquidacion],COSTO_OPORTUNIDAD!$C292)</f>
        <v>0.11133603238866396</v>
      </c>
      <c r="Q292" s="263">
        <f>+SUMIFS(Tabla6[Nominal COP],Tabla6[Concepto],COSTO_OPORTUNIDAD!$B$18,Tabla6[Nemotécnico],COSTO_OPORTUNIDAD!Q$16,Tabla6[Fecha Cumplimiento y/ liquidacion],COSTO_OPORTUNIDAD!$C292)/+SUMIFS(Tabla6[Nominal COP],Tabla6[Concepto],COSTO_OPORTUNIDAD!$B$18,Tabla6[Fecha Cumplimiento y/ liquidacion],COSTO_OPORTUNIDAD!$C292)</f>
        <v>0.20242914979757085</v>
      </c>
      <c r="R292" s="263">
        <f>+SUMIFS(Tabla6[Nominal COP],Tabla6[Concepto],COSTO_OPORTUNIDAD!$B$18,Tabla6[Nemotécnico],COSTO_OPORTUNIDAD!R$16,Tabla6[Fecha Cumplimiento y/ liquidacion],COSTO_OPORTUNIDAD!$C292)/+SUMIFS(Tabla6[Nominal COP],Tabla6[Concepto],COSTO_OPORTUNIDAD!$B$18,Tabla6[Fecha Cumplimiento y/ liquidacion],COSTO_OPORTUNIDAD!$C292)</f>
        <v>0.23279352226720648</v>
      </c>
      <c r="S292" s="263">
        <f>+SUMIFS(Tabla6[Nominal COP],Tabla6[Concepto],COSTO_OPORTUNIDAD!$B$18,Tabla6[Nemotécnico],COSTO_OPORTUNIDAD!S$16,Tabla6[Fecha Cumplimiento y/ liquidacion],COSTO_OPORTUNIDAD!$C292)/+SUMIFS(Tabla6[Nominal COP],Tabla6[Concepto],COSTO_OPORTUNIDAD!$B$18,Tabla6[Fecha Cumplimiento y/ liquidacion],COSTO_OPORTUNIDAD!$C292)</f>
        <v>0.13157894736842105</v>
      </c>
      <c r="T292" s="263">
        <f>+SUMIFS(Tabla6[Nominal COP],Tabla6[Concepto],COSTO_OPORTUNIDAD!$B$18,Tabla6[Nemotécnico],COSTO_OPORTUNIDAD!T$16,Tabla6[Fecha Cumplimiento y/ liquidacion],COSTO_OPORTUNIDAD!$C292)/+SUMIFS(Tabla6[Nominal COP],Tabla6[Concepto],COSTO_OPORTUNIDAD!$B$18,Tabla6[Fecha Cumplimiento y/ liquidacion],COSTO_OPORTUNIDAD!$C292)</f>
        <v>0.32186234817813764</v>
      </c>
      <c r="U292" s="263">
        <f>+SUMIFS(Tabla6[Nominal COP],Tabla6[Concepto],COSTO_OPORTUNIDAD!$B$18,Tabla6[Nemotécnico],COSTO_OPORTUNIDAD!U$16,Tabla6[Fecha Cumplimiento y/ liquidacion],COSTO_OPORTUNIDAD!$C292)/+SUMIFS(Tabla6[Nominal COP],Tabla6[Concepto],COSTO_OPORTUNIDAD!$B$18,Tabla6[Fecha Cumplimiento y/ liquidacion],COSTO_OPORTUNIDAD!$C292)</f>
        <v>0</v>
      </c>
      <c r="V292" s="263">
        <f>+SUMIFS(Tabla6[Nominal COP],Tabla6[Concepto],COSTO_OPORTUNIDAD!$B$18,Tabla6[Nemotécnico],COSTO_OPORTUNIDAD!V$16,Tabla6[Fecha Cumplimiento y/ liquidacion],COSTO_OPORTUNIDAD!$C292)/+SUMIFS(Tabla6[Nominal COP],Tabla6[Concepto],COSTO_OPORTUNIDAD!$B$18,Tabla6[Fecha Cumplimiento y/ liquidacion],COSTO_OPORTUNIDAD!$C292)</f>
        <v>0</v>
      </c>
      <c r="W292" s="263">
        <f>+SUMIFS(Tabla6[Nominal COP],Tabla6[Concepto],COSTO_OPORTUNIDAD!$B$18,Tabla6[Nemotécnico],COSTO_OPORTUNIDAD!W$16,Tabla6[Fecha Cumplimiento y/ liquidacion],COSTO_OPORTUNIDAD!$C292)/+SUMIFS(Tabla6[Nominal COP],Tabla6[Concepto],COSTO_OPORTUNIDAD!$B$18,Tabla6[Fecha Cumplimiento y/ liquidacion],COSTO_OPORTUNIDAD!$C292)</f>
        <v>0</v>
      </c>
      <c r="X292" s="263">
        <f>+SUMIFS(Tabla6[Nominal COP],Tabla6[Concepto],COSTO_OPORTUNIDAD!$B$18,Tabla6[Nemotécnico],COSTO_OPORTUNIDAD!X$16,Tabla6[Fecha Cumplimiento y/ liquidacion],COSTO_OPORTUNIDAD!$C292)/+SUMIFS(Tabla6[Nominal COP],Tabla6[Concepto],COSTO_OPORTUNIDAD!$B$18,Tabla6[Fecha Cumplimiento y/ liquidacion],COSTO_OPORTUNIDAD!$C292)</f>
        <v>0</v>
      </c>
      <c r="Y292" s="263">
        <f>+SUMIFS(Tabla6[Nominal COP],Tabla6[Concepto],COSTO_OPORTUNIDAD!$B$18,Tabla6[Nemotécnico],COSTO_OPORTUNIDAD!Y$16,Tabla6[Fecha Cumplimiento y/ liquidacion],COSTO_OPORTUNIDAD!$C292)/+SUMIFS(Tabla6[Nominal COP],Tabla6[Concepto],COSTO_OPORTUNIDAD!$B$18,Tabla6[Fecha Cumplimiento y/ liquidacion],COSTO_OPORTUNIDAD!$C292)</f>
        <v>0</v>
      </c>
      <c r="Z292" s="263">
        <f>+SUMIFS(Tabla6[Nominal COP],Tabla6[Concepto],COSTO_OPORTUNIDAD!$B$18,Tabla6[Nemotécnico],COSTO_OPORTUNIDAD!Z$16,Tabla6[Fecha Cumplimiento y/ liquidacion],COSTO_OPORTUNIDAD!$C292)/+SUMIFS(Tabla6[Nominal COP],Tabla6[Concepto],COSTO_OPORTUNIDAD!$B$18,Tabla6[Fecha Cumplimiento y/ liquidacion],COSTO_OPORTUNIDAD!$C292)</f>
        <v>0</v>
      </c>
      <c r="AA292" s="263">
        <f>+SUMIFS(Tabla6[Nominal COP],Tabla6[Concepto],COSTO_OPORTUNIDAD!$B$18,Tabla6[Nemotécnico],COSTO_OPORTUNIDAD!AA$16,Tabla6[Fecha Cumplimiento y/ liquidacion],COSTO_OPORTUNIDAD!$C292)/+SUMIFS(Tabla6[Nominal COP],Tabla6[Concepto],COSTO_OPORTUNIDAD!$B$18,Tabla6[Fecha Cumplimiento y/ liquidacion],COSTO_OPORTUNIDAD!$C292)</f>
        <v>0</v>
      </c>
      <c r="AB292" s="263">
        <f>+SUMIFS(Tabla6[Nominal COP],Tabla6[Concepto],COSTO_OPORTUNIDAD!$B$18,Tabla6[Nemotécnico],COSTO_OPORTUNIDAD!AB$16,Tabla6[Fecha Cumplimiento y/ liquidacion],COSTO_OPORTUNIDAD!$C292)/+SUMIFS(Tabla6[Nominal COP],Tabla6[Concepto],COSTO_OPORTUNIDAD!$B$18,Tabla6[Fecha Cumplimiento y/ liquidacion],COSTO_OPORTUNIDAD!$C292)</f>
        <v>0</v>
      </c>
      <c r="AC292" s="263">
        <f>+SUMIFS(Tabla6[Nominal COP],Tabla6[Concepto],COSTO_OPORTUNIDAD!$B$18,Tabla6[Nemotécnico],COSTO_OPORTUNIDAD!AC$16,Tabla6[Fecha Cumplimiento y/ liquidacion],COSTO_OPORTUNIDAD!$C292)/+SUMIFS(Tabla6[Nominal COP],Tabla6[Concepto],COSTO_OPORTUNIDAD!$B$18,Tabla6[Fecha Cumplimiento y/ liquidacion],COSTO_OPORTUNIDAD!$C292)</f>
        <v>0</v>
      </c>
      <c r="AD292" s="263">
        <f>+SUMIFS(Tabla6[Nominal COP],Tabla6[Concepto],COSTO_OPORTUNIDAD!$B$18,Tabla6[Nemotécnico],COSTO_OPORTUNIDAD!AC$16,Tabla6[Fecha Cumplimiento y/ liquidacion],COSTO_OPORTUNIDAD!$C292)/+SUMIFS(Tabla6[Nominal COP],Tabla6[Concepto],COSTO_OPORTUNIDAD!$B$18,Tabla6[Fecha Cumplimiento y/ liquidacion],COSTO_OPORTUNIDAD!$C292)</f>
        <v>0</v>
      </c>
      <c r="AE292" s="263">
        <f>+SUMIFS(Tabla6[Nominal COP],Tabla6[Concepto],COSTO_OPORTUNIDAD!$B$18,Tabla6[Nemotécnico],COSTO_OPORTUNIDAD!AE$16,Tabla6[Fecha Cumplimiento y/ liquidacion],COSTO_OPORTUNIDAD!$C292)/+SUMIFS(Tabla6[Nominal COP],Tabla6[Concepto],COSTO_OPORTUNIDAD!$B$18,Tabla6[Fecha Cumplimiento y/ liquidacion],COSTO_OPORTUNIDAD!$C292)</f>
        <v>0</v>
      </c>
      <c r="AF292" s="263">
        <f>+SUMIFS(Tabla6[Nominal COP],Tabla6[Concepto],COSTO_OPORTUNIDAD!$B$18,Tabla6[Nemotécnico],COSTO_OPORTUNIDAD!AF$16,Tabla6[Fecha Cumplimiento y/ liquidacion],COSTO_OPORTUNIDAD!$C292)/+SUMIFS(Tabla6[Nominal COP],Tabla6[Concepto],COSTO_OPORTUNIDAD!$B$18,Tabla6[Fecha Cumplimiento y/ liquidacion],COSTO_OPORTUNIDAD!$C292)</f>
        <v>0</v>
      </c>
      <c r="AH292" s="274">
        <f t="shared" ref="AH292:AP292" si="368">(F$17-$B292)</f>
        <v>352</v>
      </c>
      <c r="AI292" s="274">
        <f t="shared" si="368"/>
        <v>786</v>
      </c>
      <c r="AJ292" s="274">
        <f t="shared" si="368"/>
        <v>963</v>
      </c>
      <c r="AK292" s="274">
        <f t="shared" si="368"/>
        <v>1444</v>
      </c>
      <c r="AL292" s="274">
        <f t="shared" si="368"/>
        <v>1836</v>
      </c>
      <c r="AM292" s="274">
        <f t="shared" si="368"/>
        <v>2025</v>
      </c>
      <c r="AN292" s="274">
        <f t="shared" si="368"/>
        <v>2487</v>
      </c>
      <c r="AO292" s="274">
        <f t="shared" si="368"/>
        <v>2711</v>
      </c>
      <c r="AP292" s="274">
        <f t="shared" si="368"/>
        <v>3327</v>
      </c>
      <c r="AQ292" s="274"/>
      <c r="AR292" s="274">
        <f t="shared" si="313"/>
        <v>3957</v>
      </c>
      <c r="AS292" s="274">
        <f t="shared" si="301"/>
        <v>5560</v>
      </c>
      <c r="AT292" s="274">
        <f t="shared" si="283"/>
        <v>6106</v>
      </c>
      <c r="AU292" s="274">
        <f t="shared" si="284"/>
        <v>7625</v>
      </c>
      <c r="AV292" s="274">
        <f t="shared" si="285"/>
        <v>9179</v>
      </c>
      <c r="AW292" s="274">
        <f t="shared" si="361"/>
        <v>11874</v>
      </c>
      <c r="AX292" s="274">
        <f t="shared" ref="AX292:BH292" si="369">(V$17-$B292)</f>
        <v>-124</v>
      </c>
      <c r="AY292" s="274">
        <f t="shared" si="369"/>
        <v>555</v>
      </c>
      <c r="AZ292" s="274">
        <f t="shared" si="369"/>
        <v>1318</v>
      </c>
      <c r="BA292" s="274">
        <f t="shared" si="369"/>
        <v>1962</v>
      </c>
      <c r="BB292" s="274">
        <f t="shared" si="369"/>
        <v>2755</v>
      </c>
      <c r="BC292" s="274">
        <f t="shared" si="369"/>
        <v>3495</v>
      </c>
      <c r="BD292" s="274">
        <f t="shared" si="369"/>
        <v>4188</v>
      </c>
      <c r="BE292" s="274">
        <f t="shared" si="369"/>
        <v>5672</v>
      </c>
      <c r="BF292" s="274">
        <f t="shared" si="369"/>
        <v>8682</v>
      </c>
      <c r="BG292" s="274">
        <f t="shared" si="369"/>
        <v>10845</v>
      </c>
      <c r="BH292" s="274">
        <f t="shared" si="369"/>
        <v>13295</v>
      </c>
      <c r="BI292" s="499">
        <f t="shared" si="318"/>
        <v>0</v>
      </c>
      <c r="BJ292" s="266">
        <f t="shared" si="319"/>
        <v>1</v>
      </c>
      <c r="BK292" s="263">
        <f t="shared" si="320"/>
        <v>0</v>
      </c>
      <c r="BL292" s="263">
        <f t="shared" si="321"/>
        <v>0</v>
      </c>
      <c r="BM292" s="263">
        <f t="shared" si="322"/>
        <v>0</v>
      </c>
      <c r="BN292" s="263">
        <f t="shared" si="351"/>
        <v>0</v>
      </c>
      <c r="BO292" s="263">
        <f t="shared" si="323"/>
        <v>0</v>
      </c>
      <c r="BP292" s="263">
        <f t="shared" si="324"/>
        <v>0</v>
      </c>
      <c r="BQ292" s="263">
        <f t="shared" si="325"/>
        <v>0</v>
      </c>
      <c r="BR292" s="263">
        <f t="shared" si="326"/>
        <v>0</v>
      </c>
      <c r="BS292" s="263">
        <f t="shared" si="327"/>
        <v>0</v>
      </c>
      <c r="BT292" s="263">
        <f t="shared" si="328"/>
        <v>0.11133603238866396</v>
      </c>
      <c r="BU292" s="263">
        <f t="shared" si="329"/>
        <v>0.11133603238866396</v>
      </c>
      <c r="BV292" s="263">
        <f t="shared" si="352"/>
        <v>0.20242914979757085</v>
      </c>
      <c r="BW292" s="263">
        <f t="shared" si="330"/>
        <v>0.23279352226720648</v>
      </c>
      <c r="BX292" s="263">
        <f t="shared" si="337"/>
        <v>0.13157894736842105</v>
      </c>
      <c r="BY292" s="263">
        <f t="shared" si="331"/>
        <v>0.32186234817813764</v>
      </c>
      <c r="BZ292" s="263">
        <f t="shared" ref="BZ292:BZ304" si="370">IFERROR(U292/$BJ292,"")</f>
        <v>0</v>
      </c>
      <c r="CA292" s="263" t="str">
        <f t="shared" si="254"/>
        <v/>
      </c>
      <c r="CB292" s="263" t="str">
        <f t="shared" si="332"/>
        <v/>
      </c>
      <c r="CC292" s="263" t="str">
        <f t="shared" si="255"/>
        <v/>
      </c>
      <c r="CD292" s="263" t="str">
        <f t="shared" si="333"/>
        <v/>
      </c>
      <c r="CE292" s="263" t="str">
        <f t="shared" si="346"/>
        <v/>
      </c>
      <c r="CF292" s="263" t="str">
        <f t="shared" si="256"/>
        <v/>
      </c>
      <c r="CG292" s="263" t="str">
        <f t="shared" si="257"/>
        <v/>
      </c>
      <c r="CH292" s="263" t="str">
        <f t="shared" si="290"/>
        <v/>
      </c>
      <c r="CI292" s="263" t="str">
        <f t="shared" si="334"/>
        <v/>
      </c>
      <c r="CJ292" s="263" t="str">
        <f t="shared" si="291"/>
        <v/>
      </c>
      <c r="CK292" s="263" t="str">
        <f t="shared" si="335"/>
        <v/>
      </c>
      <c r="CL292" s="264">
        <f t="shared" si="367"/>
        <v>7967</v>
      </c>
      <c r="CM292" s="264">
        <f t="shared" si="362"/>
        <v>0</v>
      </c>
      <c r="CO292" s="265">
        <v>8.9810000000000001E-2</v>
      </c>
      <c r="CP292" s="265">
        <v>9.265000000000001E-2</v>
      </c>
      <c r="CQ292" s="265">
        <v>9.8599999999999993E-2</v>
      </c>
      <c r="CR292" s="265">
        <v>0.1069</v>
      </c>
      <c r="CS292" s="265">
        <v>0.10855000000000001</v>
      </c>
      <c r="CT292" s="265">
        <v>0.11281000000000001</v>
      </c>
      <c r="CU292" s="265">
        <v>0.11566000000000001</v>
      </c>
      <c r="CV292" s="265">
        <v>0.11721999999999999</v>
      </c>
      <c r="CW292" s="265">
        <v>0.11606</v>
      </c>
      <c r="CX292" s="265">
        <v>0.1206</v>
      </c>
      <c r="CY292" s="265">
        <v>0.115</v>
      </c>
      <c r="CZ292" s="265">
        <v>0.12598999999999999</v>
      </c>
      <c r="DA292" s="265">
        <v>0.12023999999999999</v>
      </c>
      <c r="DB292" s="265">
        <v>0.1225</v>
      </c>
      <c r="DC292" s="265">
        <v>0.11929000000000001</v>
      </c>
      <c r="DD292" s="265">
        <v>0.1244</v>
      </c>
      <c r="DE292" s="265">
        <v>6.1710000000000001E-2</v>
      </c>
      <c r="DF292" s="265">
        <v>6.7500000000000004E-2</v>
      </c>
      <c r="DH292" s="265">
        <v>6.3550000000000009E-2</v>
      </c>
      <c r="DI292" s="265">
        <v>6.4699999999999994E-2</v>
      </c>
      <c r="DJ292" s="265">
        <v>6.6299999999999998E-2</v>
      </c>
      <c r="DK292" s="265">
        <v>6.5640000000000004E-2</v>
      </c>
      <c r="DL292" s="265">
        <v>6.4180000000000001E-2</v>
      </c>
      <c r="DM292" s="265">
        <v>6.4500000000000002E-2</v>
      </c>
      <c r="DN292" s="265">
        <v>6.497E-2</v>
      </c>
      <c r="DO292" s="264">
        <f t="shared" si="363"/>
        <v>7625</v>
      </c>
      <c r="DP292" s="264" cm="1">
        <f t="array" ref="DP292">+INDEX(AH292:AW292,MATCH(DO292,AH292:AW292,1)+1)</f>
        <v>9179</v>
      </c>
      <c r="DQ292" s="265">
        <f t="shared" si="364"/>
        <v>0.1225</v>
      </c>
      <c r="DR292" s="267">
        <f t="shared" si="365"/>
        <v>0.11929000000000001</v>
      </c>
      <c r="DS292" s="267">
        <f t="shared" si="297"/>
        <v>0.121794</v>
      </c>
      <c r="DT292" s="268">
        <f t="shared" si="293"/>
        <v>-124</v>
      </c>
      <c r="DU292" s="268" cm="1">
        <f t="array" ref="DU292">+INDEX(AX292:BG292,MATCH(DT292,AX292:BG292,1)+1)</f>
        <v>555</v>
      </c>
      <c r="DV292" s="267">
        <f t="shared" si="366"/>
        <v>6.1710000000000001E-2</v>
      </c>
      <c r="DW292" s="267">
        <f t="shared" si="294"/>
        <v>6.7500000000000004E-2</v>
      </c>
      <c r="DX292" s="267">
        <f t="shared" si="345"/>
        <v>6.2770000000000006E-2</v>
      </c>
      <c r="DY292" s="267">
        <f t="shared" si="341"/>
        <v>5.28E-2</v>
      </c>
      <c r="DZ292" s="205">
        <f>+(1+DX292)*(1+DY292)-1</f>
        <v>0.11888425599999985</v>
      </c>
      <c r="EA292" s="205">
        <f t="shared" si="252"/>
        <v>0.121794</v>
      </c>
    </row>
    <row r="293" spans="2:131">
      <c r="B293" s="272">
        <v>45951</v>
      </c>
      <c r="C293" s="271">
        <f t="shared" ref="C293:C296" si="371">+B293</f>
        <v>45951</v>
      </c>
      <c r="D293" s="263">
        <f>+SUMIFS(Tabla6[Nominal COP],Tabla6[Concepto],COSTO_OPORTUNIDAD!$B$18,Tabla6[Nemotécnico],COSTO_OPORTUNIDAD!D$16,Tabla6[Fecha Cumplimiento y/ liquidacion],COSTO_OPORTUNIDAD!$C293)/+SUMIFS(Tabla6[Nominal COP],Tabla6[Concepto],COSTO_OPORTUNIDAD!$B$18,Tabla6[Fecha Cumplimiento y/ liquidacion],COSTO_OPORTUNIDAD!$C293)</f>
        <v>0</v>
      </c>
      <c r="E293" s="263">
        <f>+SUMIFS(Tabla6[Nominal COP],Tabla6[Concepto],COSTO_OPORTUNIDAD!$B$18,Tabla6[Nemotécnico],COSTO_OPORTUNIDAD!E$16,Tabla6[Fecha Cumplimiento y/ liquidacion],COSTO_OPORTUNIDAD!$C293)/+SUMIFS(Tabla6[Nominal COP],Tabla6[Concepto],COSTO_OPORTUNIDAD!$B$18,Tabla6[Fecha Cumplimiento y/ liquidacion],COSTO_OPORTUNIDAD!$C293)</f>
        <v>0</v>
      </c>
      <c r="F293" s="263">
        <f>+SUMIFS(Tabla6[Nominal COP],Tabla6[Concepto],COSTO_OPORTUNIDAD!$B$18,Tabla6[Nemotécnico],COSTO_OPORTUNIDAD!F$16,Tabla6[Fecha Cumplimiento y/ liquidacion],COSTO_OPORTUNIDAD!$C293)/+SUMIFS(Tabla6[Nominal COP],Tabla6[Concepto],COSTO_OPORTUNIDAD!$B$18,Tabla6[Fecha Cumplimiento y/ liquidacion],COSTO_OPORTUNIDAD!$C293)</f>
        <v>0</v>
      </c>
      <c r="G293" s="263">
        <f>+SUMIFS(Tabla6[Nominal COP],Tabla6[Concepto],COSTO_OPORTUNIDAD!$B$18,Tabla6[Nemotécnico],COSTO_OPORTUNIDAD!G$16,Tabla6[Fecha Cumplimiento y/ liquidacion],COSTO_OPORTUNIDAD!$C293)/+SUMIFS(Tabla6[Nominal COP],Tabla6[Concepto],COSTO_OPORTUNIDAD!$B$18,Tabla6[Fecha Cumplimiento y/ liquidacion],COSTO_OPORTUNIDAD!$C293)</f>
        <v>0</v>
      </c>
      <c r="H293" s="263">
        <f>+SUMIFS(Tabla6[Nominal COP],Tabla6[Concepto],COSTO_OPORTUNIDAD!$B$18,Tabla6[Nemotécnico],COSTO_OPORTUNIDAD!H$16,Tabla6[Fecha Cumplimiento y/ liquidacion],COSTO_OPORTUNIDAD!$C293)/+SUMIFS(Tabla6[Nominal COP],Tabla6[Concepto],COSTO_OPORTUNIDAD!$B$18,Tabla6[Fecha Cumplimiento y/ liquidacion],COSTO_OPORTUNIDAD!$C293)</f>
        <v>0</v>
      </c>
      <c r="I293" s="263">
        <f>+SUMIFS(Tabla6[Nominal COP],Tabla6[Concepto],COSTO_OPORTUNIDAD!$B$18,Tabla6[Nemotécnico],COSTO_OPORTUNIDAD!I$16,Tabla6[Fecha Cumplimiento y/ liquidacion],COSTO_OPORTUNIDAD!$C293)/+SUMIFS(Tabla6[Nominal COP],Tabla6[Concepto],COSTO_OPORTUNIDAD!$B$18,Tabla6[Fecha Cumplimiento y/ liquidacion],COSTO_OPORTUNIDAD!$C293)</f>
        <v>0</v>
      </c>
      <c r="J293" s="263">
        <f>+SUMIFS(Tabla6[Nominal COP],Tabla6[Concepto],COSTO_OPORTUNIDAD!$B$18,Tabla6[Nemotécnico],COSTO_OPORTUNIDAD!J$16,Tabla6[Fecha Cumplimiento y/ liquidacion],COSTO_OPORTUNIDAD!$C293)/+SUMIFS(Tabla6[Nominal COP],Tabla6[Concepto],COSTO_OPORTUNIDAD!$B$18,Tabla6[Fecha Cumplimiento y/ liquidacion],COSTO_OPORTUNIDAD!$C293)</f>
        <v>0</v>
      </c>
      <c r="K293" s="263">
        <f>+SUMIFS(Tabla6[Nominal COP],Tabla6[Concepto],COSTO_OPORTUNIDAD!$B$18,Tabla6[Nemotécnico],COSTO_OPORTUNIDAD!K$16,Tabla6[Fecha Cumplimiento y/ liquidacion],COSTO_OPORTUNIDAD!$C293)/+SUMIFS(Tabla6[Nominal COP],Tabla6[Concepto],COSTO_OPORTUNIDAD!$B$18,Tabla6[Fecha Cumplimiento y/ liquidacion],COSTO_OPORTUNIDAD!$C293)</f>
        <v>0</v>
      </c>
      <c r="L293" s="263">
        <f>+SUMIFS(Tabla6[Nominal COP],Tabla6[Concepto],COSTO_OPORTUNIDAD!$B$18,Tabla6[Nemotécnico],COSTO_OPORTUNIDAD!L$16,Tabla6[Fecha Cumplimiento y/ liquidacion],COSTO_OPORTUNIDAD!$C293)/+SUMIFS(Tabla6[Nominal COP],Tabla6[Concepto],COSTO_OPORTUNIDAD!$B$18,Tabla6[Fecha Cumplimiento y/ liquidacion],COSTO_OPORTUNIDAD!$C293)</f>
        <v>0</v>
      </c>
      <c r="M293" s="263">
        <f>+SUMIFS(Tabla6[Nominal COP],Tabla6[Concepto],COSTO_OPORTUNIDAD!$B$18,Tabla6[Nemotécnico],COSTO_OPORTUNIDAD!M$16,Tabla6[Fecha Cumplimiento y/ liquidacion],COSTO_OPORTUNIDAD!$C293)/+SUMIFS(Tabla6[Nominal COP],Tabla6[Concepto],COSTO_OPORTUNIDAD!$B$18,Tabla6[Fecha Cumplimiento y/ liquidacion],COSTO_OPORTUNIDAD!$C293)</f>
        <v>0</v>
      </c>
      <c r="N293" s="263">
        <f>+SUMIFS(Tabla6[Nominal COP],Tabla6[Concepto],COSTO_OPORTUNIDAD!$B$18,Tabla6[Nemotécnico],COSTO_OPORTUNIDAD!N$16,Tabla6[Fecha Cumplimiento y/ liquidacion],COSTO_OPORTUNIDAD!$C293)/+SUMIFS(Tabla6[Nominal COP],Tabla6[Concepto],COSTO_OPORTUNIDAD!$B$18,Tabla6[Fecha Cumplimiento y/ liquidacion],COSTO_OPORTUNIDAD!$C293)</f>
        <v>0</v>
      </c>
      <c r="O293" s="263"/>
      <c r="P293" s="263">
        <f>+SUMIFS(Tabla6[Nominal COP],Tabla6[Concepto],COSTO_OPORTUNIDAD!$B$18,Tabla6[Nemotécnico],COSTO_OPORTUNIDAD!P$16,Tabla6[Fecha Cumplimiento y/ liquidacion],COSTO_OPORTUNIDAD!$C293)/+SUMIFS(Tabla6[Nominal COP],Tabla6[Concepto],COSTO_OPORTUNIDAD!$B$18,Tabla6[Fecha Cumplimiento y/ liquidacion],COSTO_OPORTUNIDAD!$C293)</f>
        <v>0</v>
      </c>
      <c r="Q293" s="263">
        <f>+SUMIFS(Tabla6[Nominal COP],Tabla6[Concepto],COSTO_OPORTUNIDAD!$B$18,Tabla6[Nemotécnico],COSTO_OPORTUNIDAD!Q$16,Tabla6[Fecha Cumplimiento y/ liquidacion],COSTO_OPORTUNIDAD!$C293)/+SUMIFS(Tabla6[Nominal COP],Tabla6[Concepto],COSTO_OPORTUNIDAD!$B$18,Tabla6[Fecha Cumplimiento y/ liquidacion],COSTO_OPORTUNIDAD!$C293)</f>
        <v>4.9019607843137254E-2</v>
      </c>
      <c r="R293" s="263">
        <f>+SUMIFS(Tabla6[Nominal COP],Tabla6[Concepto],COSTO_OPORTUNIDAD!$B$18,Tabla6[Nemotécnico],COSTO_OPORTUNIDAD!R$16,Tabla6[Fecha Cumplimiento y/ liquidacion],COSTO_OPORTUNIDAD!$C293)/+SUMIFS(Tabla6[Nominal COP],Tabla6[Concepto],COSTO_OPORTUNIDAD!$B$18,Tabla6[Fecha Cumplimiento y/ liquidacion],COSTO_OPORTUNIDAD!$C293)</f>
        <v>0</v>
      </c>
      <c r="S293" s="263">
        <f>+SUMIFS(Tabla6[Nominal COP],Tabla6[Concepto],COSTO_OPORTUNIDAD!$B$18,Tabla6[Nemotécnico],COSTO_OPORTUNIDAD!S$16,Tabla6[Fecha Cumplimiento y/ liquidacion],COSTO_OPORTUNIDAD!$C293)/+SUMIFS(Tabla6[Nominal COP],Tabla6[Concepto],COSTO_OPORTUNIDAD!$B$18,Tabla6[Fecha Cumplimiento y/ liquidacion],COSTO_OPORTUNIDAD!$C293)</f>
        <v>0.9509803921568627</v>
      </c>
      <c r="T293" s="263">
        <f>+SUMIFS(Tabla6[Nominal COP],Tabla6[Concepto],COSTO_OPORTUNIDAD!$B$18,Tabla6[Nemotécnico],COSTO_OPORTUNIDAD!T$16,Tabla6[Fecha Cumplimiento y/ liquidacion],COSTO_OPORTUNIDAD!$C293)/+SUMIFS(Tabla6[Nominal COP],Tabla6[Concepto],COSTO_OPORTUNIDAD!$B$18,Tabla6[Fecha Cumplimiento y/ liquidacion],COSTO_OPORTUNIDAD!$C293)</f>
        <v>0</v>
      </c>
      <c r="U293" s="263">
        <f>+SUMIFS(Tabla6[Nominal COP],Tabla6[Concepto],COSTO_OPORTUNIDAD!$B$18,Tabla6[Nemotécnico],COSTO_OPORTUNIDAD!U$16,Tabla6[Fecha Cumplimiento y/ liquidacion],COSTO_OPORTUNIDAD!$C293)/+SUMIFS(Tabla6[Nominal COP],Tabla6[Concepto],COSTO_OPORTUNIDAD!$B$18,Tabla6[Fecha Cumplimiento y/ liquidacion],COSTO_OPORTUNIDAD!$C293)</f>
        <v>0</v>
      </c>
      <c r="V293" s="263">
        <f>+SUMIFS(Tabla6[Nominal COP],Tabla6[Concepto],COSTO_OPORTUNIDAD!$B$18,Tabla6[Nemotécnico],COSTO_OPORTUNIDAD!V$16,Tabla6[Fecha Cumplimiento y/ liquidacion],COSTO_OPORTUNIDAD!$C293)/+SUMIFS(Tabla6[Nominal COP],Tabla6[Concepto],COSTO_OPORTUNIDAD!$B$18,Tabla6[Fecha Cumplimiento y/ liquidacion],COSTO_OPORTUNIDAD!$C293)</f>
        <v>0</v>
      </c>
      <c r="W293" s="263">
        <f>+SUMIFS(Tabla6[Nominal COP],Tabla6[Concepto],COSTO_OPORTUNIDAD!$B$18,Tabla6[Nemotécnico],COSTO_OPORTUNIDAD!W$16,Tabla6[Fecha Cumplimiento y/ liquidacion],COSTO_OPORTUNIDAD!$C293)/+SUMIFS(Tabla6[Nominal COP],Tabla6[Concepto],COSTO_OPORTUNIDAD!$B$18,Tabla6[Fecha Cumplimiento y/ liquidacion],COSTO_OPORTUNIDAD!$C293)</f>
        <v>0</v>
      </c>
      <c r="X293" s="263">
        <f>+SUMIFS(Tabla6[Nominal COP],Tabla6[Concepto],COSTO_OPORTUNIDAD!$B$18,Tabla6[Nemotécnico],COSTO_OPORTUNIDAD!X$16,Tabla6[Fecha Cumplimiento y/ liquidacion],COSTO_OPORTUNIDAD!$C293)/+SUMIFS(Tabla6[Nominal COP],Tabla6[Concepto],COSTO_OPORTUNIDAD!$B$18,Tabla6[Fecha Cumplimiento y/ liquidacion],COSTO_OPORTUNIDAD!$C293)</f>
        <v>0</v>
      </c>
      <c r="Y293" s="263">
        <f>+SUMIFS(Tabla6[Nominal COP],Tabla6[Concepto],COSTO_OPORTUNIDAD!$B$18,Tabla6[Nemotécnico],COSTO_OPORTUNIDAD!Y$16,Tabla6[Fecha Cumplimiento y/ liquidacion],COSTO_OPORTUNIDAD!$C293)/+SUMIFS(Tabla6[Nominal COP],Tabla6[Concepto],COSTO_OPORTUNIDAD!$B$18,Tabla6[Fecha Cumplimiento y/ liquidacion],COSTO_OPORTUNIDAD!$C293)</f>
        <v>0</v>
      </c>
      <c r="Z293" s="263">
        <f>+SUMIFS(Tabla6[Nominal COP],Tabla6[Concepto],COSTO_OPORTUNIDAD!$B$18,Tabla6[Nemotécnico],COSTO_OPORTUNIDAD!Z$16,Tabla6[Fecha Cumplimiento y/ liquidacion],COSTO_OPORTUNIDAD!$C293)/+SUMIFS(Tabla6[Nominal COP],Tabla6[Concepto],COSTO_OPORTUNIDAD!$B$18,Tabla6[Fecha Cumplimiento y/ liquidacion],COSTO_OPORTUNIDAD!$C293)</f>
        <v>0</v>
      </c>
      <c r="AA293" s="263">
        <f>+SUMIFS(Tabla6[Nominal COP],Tabla6[Concepto],COSTO_OPORTUNIDAD!$B$18,Tabla6[Nemotécnico],COSTO_OPORTUNIDAD!AA$16,Tabla6[Fecha Cumplimiento y/ liquidacion],COSTO_OPORTUNIDAD!$C293)/+SUMIFS(Tabla6[Nominal COP],Tabla6[Concepto],COSTO_OPORTUNIDAD!$B$18,Tabla6[Fecha Cumplimiento y/ liquidacion],COSTO_OPORTUNIDAD!$C293)</f>
        <v>0</v>
      </c>
      <c r="AB293" s="263">
        <f>+SUMIFS(Tabla6[Nominal COP],Tabla6[Concepto],COSTO_OPORTUNIDAD!$B$18,Tabla6[Nemotécnico],COSTO_OPORTUNIDAD!AB$16,Tabla6[Fecha Cumplimiento y/ liquidacion],COSTO_OPORTUNIDAD!$C293)/+SUMIFS(Tabla6[Nominal COP],Tabla6[Concepto],COSTO_OPORTUNIDAD!$B$18,Tabla6[Fecha Cumplimiento y/ liquidacion],COSTO_OPORTUNIDAD!$C293)</f>
        <v>0</v>
      </c>
      <c r="AC293" s="263">
        <f>+SUMIFS(Tabla6[Nominal COP],Tabla6[Concepto],COSTO_OPORTUNIDAD!$B$18,Tabla6[Nemotécnico],COSTO_OPORTUNIDAD!AC$16,Tabla6[Fecha Cumplimiento y/ liquidacion],COSTO_OPORTUNIDAD!$C293)/+SUMIFS(Tabla6[Nominal COP],Tabla6[Concepto],COSTO_OPORTUNIDAD!$B$18,Tabla6[Fecha Cumplimiento y/ liquidacion],COSTO_OPORTUNIDAD!$C293)</f>
        <v>0</v>
      </c>
      <c r="AD293" s="263">
        <f>+SUMIFS(Tabla6[Nominal COP],Tabla6[Concepto],COSTO_OPORTUNIDAD!$B$18,Tabla6[Nemotécnico],COSTO_OPORTUNIDAD!AC$16,Tabla6[Fecha Cumplimiento y/ liquidacion],COSTO_OPORTUNIDAD!$C293)/+SUMIFS(Tabla6[Nominal COP],Tabla6[Concepto],COSTO_OPORTUNIDAD!$B$18,Tabla6[Fecha Cumplimiento y/ liquidacion],COSTO_OPORTUNIDAD!$C293)</f>
        <v>0</v>
      </c>
      <c r="AE293" s="263">
        <f>+SUMIFS(Tabla6[Nominal COP],Tabla6[Concepto],COSTO_OPORTUNIDAD!$B$18,Tabla6[Nemotécnico],COSTO_OPORTUNIDAD!AE$16,Tabla6[Fecha Cumplimiento y/ liquidacion],COSTO_OPORTUNIDAD!$C293)/+SUMIFS(Tabla6[Nominal COP],Tabla6[Concepto],COSTO_OPORTUNIDAD!$B$18,Tabla6[Fecha Cumplimiento y/ liquidacion],COSTO_OPORTUNIDAD!$C293)</f>
        <v>0</v>
      </c>
      <c r="AF293" s="263">
        <f>+SUMIFS(Tabla6[Nominal COP],Tabla6[Concepto],COSTO_OPORTUNIDAD!$B$18,Tabla6[Nemotécnico],COSTO_OPORTUNIDAD!AF$16,Tabla6[Fecha Cumplimiento y/ liquidacion],COSTO_OPORTUNIDAD!$C293)/+SUMIFS(Tabla6[Nominal COP],Tabla6[Concepto],COSTO_OPORTUNIDAD!$B$18,Tabla6[Fecha Cumplimiento y/ liquidacion],COSTO_OPORTUNIDAD!$C293)</f>
        <v>0</v>
      </c>
      <c r="AH293" s="274">
        <f t="shared" ref="AH293:AP300" si="372">(F$17-$B293)</f>
        <v>309</v>
      </c>
      <c r="AI293" s="274">
        <f t="shared" si="372"/>
        <v>743</v>
      </c>
      <c r="AJ293" s="274">
        <f t="shared" si="372"/>
        <v>920</v>
      </c>
      <c r="AK293" s="274">
        <f t="shared" si="372"/>
        <v>1401</v>
      </c>
      <c r="AL293" s="274">
        <f t="shared" si="372"/>
        <v>1793</v>
      </c>
      <c r="AM293" s="274">
        <f t="shared" si="372"/>
        <v>1982</v>
      </c>
      <c r="AN293" s="274">
        <f t="shared" si="372"/>
        <v>2444</v>
      </c>
      <c r="AO293" s="274">
        <f t="shared" si="372"/>
        <v>2668</v>
      </c>
      <c r="AP293" s="274">
        <f t="shared" si="372"/>
        <v>3284</v>
      </c>
      <c r="AQ293" s="274"/>
      <c r="AR293" s="274">
        <f t="shared" si="313"/>
        <v>3914</v>
      </c>
      <c r="AS293" s="274">
        <f t="shared" si="301"/>
        <v>5517</v>
      </c>
      <c r="AT293" s="274">
        <f t="shared" si="283"/>
        <v>6063</v>
      </c>
      <c r="AU293" s="274">
        <f t="shared" si="284"/>
        <v>7582</v>
      </c>
      <c r="AV293" s="274">
        <f t="shared" si="285"/>
        <v>9136</v>
      </c>
      <c r="AW293" s="274">
        <f t="shared" si="361"/>
        <v>11831</v>
      </c>
      <c r="AX293" s="274">
        <f t="shared" ref="AX293:AX304" si="373">(V$17-$B293)</f>
        <v>-167</v>
      </c>
      <c r="AY293" s="274">
        <f t="shared" ref="AY293:AY304" si="374">(W$17-$B293)</f>
        <v>512</v>
      </c>
      <c r="AZ293" s="274">
        <f t="shared" ref="AZ293:AZ304" si="375">(X$17-$B293)</f>
        <v>1275</v>
      </c>
      <c r="BA293" s="274">
        <f t="shared" ref="BA293:BA304" si="376">(Y$17-$B293)</f>
        <v>1919</v>
      </c>
      <c r="BB293" s="274">
        <f t="shared" ref="BB293:BB304" si="377">(Z$17-$B293)</f>
        <v>2712</v>
      </c>
      <c r="BC293" s="274">
        <f t="shared" ref="BC293:BC304" si="378">(AA$17-$B293)</f>
        <v>3452</v>
      </c>
      <c r="BD293" s="274">
        <f t="shared" ref="BD293:BD304" si="379">(AB$17-$B293)</f>
        <v>4145</v>
      </c>
      <c r="BE293" s="274">
        <f t="shared" ref="BE293:BE304" si="380">(AC$17-$B293)</f>
        <v>5629</v>
      </c>
      <c r="BF293" s="274">
        <f t="shared" ref="BF293:BF304" si="381">(AD$17-$B293)</f>
        <v>8639</v>
      </c>
      <c r="BG293" s="274">
        <f t="shared" ref="BG293:BG304" si="382">(AE$17-$B293)</f>
        <v>10802</v>
      </c>
      <c r="BH293" s="274">
        <f t="shared" ref="BH293:BH304" si="383">(AF$17-$B293)</f>
        <v>13252</v>
      </c>
      <c r="BI293" s="499">
        <f t="shared" si="318"/>
        <v>0</v>
      </c>
      <c r="BJ293" s="266">
        <f t="shared" si="319"/>
        <v>1</v>
      </c>
      <c r="BK293" s="263">
        <f t="shared" si="320"/>
        <v>0</v>
      </c>
      <c r="BL293" s="263">
        <f t="shared" si="321"/>
        <v>0</v>
      </c>
      <c r="BM293" s="263">
        <f t="shared" si="322"/>
        <v>0</v>
      </c>
      <c r="BN293" s="263">
        <f t="shared" si="351"/>
        <v>0</v>
      </c>
      <c r="BO293" s="263">
        <f t="shared" si="323"/>
        <v>0</v>
      </c>
      <c r="BP293" s="263">
        <f t="shared" si="324"/>
        <v>0</v>
      </c>
      <c r="BQ293" s="263">
        <f t="shared" si="325"/>
        <v>0</v>
      </c>
      <c r="BR293" s="263">
        <f t="shared" si="326"/>
        <v>0</v>
      </c>
      <c r="BS293" s="263">
        <f t="shared" si="327"/>
        <v>0</v>
      </c>
      <c r="BT293" s="263">
        <f t="shared" si="328"/>
        <v>0</v>
      </c>
      <c r="BU293" s="263">
        <f t="shared" si="329"/>
        <v>0</v>
      </c>
      <c r="BV293" s="263">
        <f t="shared" si="352"/>
        <v>4.9019607843137254E-2</v>
      </c>
      <c r="BW293" s="263">
        <f t="shared" si="330"/>
        <v>0</v>
      </c>
      <c r="BX293" s="263">
        <f t="shared" si="337"/>
        <v>0.9509803921568627</v>
      </c>
      <c r="BY293" s="263">
        <f t="shared" si="331"/>
        <v>0</v>
      </c>
      <c r="BZ293" s="263">
        <f t="shared" si="370"/>
        <v>0</v>
      </c>
      <c r="CA293" s="263" t="str">
        <f t="shared" si="254"/>
        <v/>
      </c>
      <c r="CB293" s="263" t="str">
        <f t="shared" si="332"/>
        <v/>
      </c>
      <c r="CC293" s="263" t="str">
        <f t="shared" si="255"/>
        <v/>
      </c>
      <c r="CD293" s="263" t="str">
        <f t="shared" si="333"/>
        <v/>
      </c>
      <c r="CE293" s="263" t="str">
        <f t="shared" si="346"/>
        <v/>
      </c>
      <c r="CF293" s="263" t="str">
        <f t="shared" si="256"/>
        <v/>
      </c>
      <c r="CG293" s="263" t="str">
        <f t="shared" si="257"/>
        <v/>
      </c>
      <c r="CH293" s="263" t="str">
        <f t="shared" si="290"/>
        <v/>
      </c>
      <c r="CI293" s="263" t="str">
        <f t="shared" si="334"/>
        <v/>
      </c>
      <c r="CJ293" s="263" t="str">
        <f t="shared" si="291"/>
        <v/>
      </c>
      <c r="CK293" s="263" t="str">
        <f t="shared" si="335"/>
        <v/>
      </c>
      <c r="CL293" s="264">
        <f t="shared" si="367"/>
        <v>7481</v>
      </c>
      <c r="CM293" s="264">
        <f t="shared" si="362"/>
        <v>0</v>
      </c>
      <c r="CO293" s="265">
        <v>9.2520000000000005E-2</v>
      </c>
      <c r="CP293" s="265">
        <v>9.493E-2</v>
      </c>
      <c r="CQ293" s="265">
        <v>0.10085000000000001</v>
      </c>
      <c r="CR293" s="265">
        <v>0.10880000000000001</v>
      </c>
      <c r="CS293" s="265">
        <v>0.1116</v>
      </c>
      <c r="CT293" s="265">
        <v>0.11395</v>
      </c>
      <c r="CU293" s="265">
        <v>0.11509999999999999</v>
      </c>
      <c r="CV293" s="265">
        <v>0.11667999999999999</v>
      </c>
      <c r="CW293" s="265">
        <v>0.11445999999999999</v>
      </c>
      <c r="CX293" s="265">
        <v>0.11882999999999999</v>
      </c>
      <c r="CY293" s="265">
        <v>0.11557000000000001</v>
      </c>
      <c r="CZ293" s="265">
        <v>0.12005</v>
      </c>
      <c r="DA293" s="265">
        <v>0.11959</v>
      </c>
      <c r="DB293" s="265">
        <v>0.12085000000000001</v>
      </c>
      <c r="DC293" s="265">
        <v>0.1167</v>
      </c>
      <c r="DD293" s="265">
        <v>0.12156</v>
      </c>
      <c r="DE293" s="265">
        <v>6.1710000000000001E-2</v>
      </c>
      <c r="DF293" s="265">
        <v>6.7500000000000004E-2</v>
      </c>
      <c r="DH293" s="265">
        <v>6.3550000000000009E-2</v>
      </c>
      <c r="DI293" s="265">
        <v>6.4699999999999994E-2</v>
      </c>
      <c r="DJ293" s="265">
        <v>6.6299999999999998E-2</v>
      </c>
      <c r="DK293" s="265">
        <v>6.5640000000000004E-2</v>
      </c>
      <c r="DL293" s="265">
        <v>6.4180000000000001E-2</v>
      </c>
      <c r="DM293" s="265">
        <v>6.4500000000000002E-2</v>
      </c>
      <c r="DN293" s="265">
        <v>6.497E-2</v>
      </c>
      <c r="DO293" s="264">
        <f t="shared" si="363"/>
        <v>6063</v>
      </c>
      <c r="DP293" s="264" cm="1">
        <f t="array" ref="DP293">+INDEX(AH293:AW293,MATCH(DO293,AH293:AW293,1)+1)</f>
        <v>7582</v>
      </c>
      <c r="DQ293" s="265">
        <f t="shared" si="364"/>
        <v>0.11959</v>
      </c>
      <c r="DR293" s="267">
        <f t="shared" si="365"/>
        <v>0.12085000000000001</v>
      </c>
      <c r="DS293" s="267">
        <f t="shared" si="297"/>
        <v>0.120766</v>
      </c>
      <c r="DT293" s="268">
        <f t="shared" si="293"/>
        <v>-167</v>
      </c>
      <c r="DU293" s="268" cm="1">
        <f t="array" ref="DU293">+INDEX(AX293:BG293,MATCH(DT293,AX293:BG293,1)+1)</f>
        <v>512</v>
      </c>
      <c r="DV293" s="267">
        <f t="shared" si="366"/>
        <v>6.1710000000000001E-2</v>
      </c>
      <c r="DW293" s="267">
        <f t="shared" si="294"/>
        <v>6.7500000000000004E-2</v>
      </c>
      <c r="DX293" s="267">
        <f t="shared" si="345"/>
        <v>6.3130000000000006E-2</v>
      </c>
      <c r="DY293" s="267">
        <f t="shared" si="341"/>
        <v>5.28E-2</v>
      </c>
      <c r="DZ293" s="205">
        <f t="shared" ref="DZ293:DZ296" si="384">+(1+DX293)*(1+DY293)-1</f>
        <v>0.11926326399999976</v>
      </c>
      <c r="EA293" s="205">
        <f t="shared" si="252"/>
        <v>0.120766</v>
      </c>
    </row>
    <row r="294" spans="2:131">
      <c r="B294" s="272">
        <v>45952</v>
      </c>
      <c r="C294" s="271">
        <f t="shared" si="371"/>
        <v>45952</v>
      </c>
      <c r="D294" s="263">
        <f>+SUMIFS(Tabla6[Nominal COP],Tabla6[Concepto],COSTO_OPORTUNIDAD!$B$18,Tabla6[Nemotécnico],COSTO_OPORTUNIDAD!D$16,Tabla6[Fecha Cumplimiento y/ liquidacion],COSTO_OPORTUNIDAD!$C294)/+SUMIFS(Tabla6[Nominal COP],Tabla6[Concepto],COSTO_OPORTUNIDAD!$B$18,Tabla6[Fecha Cumplimiento y/ liquidacion],COSTO_OPORTUNIDAD!$C294)</f>
        <v>0</v>
      </c>
      <c r="E294" s="263">
        <f>+SUMIFS(Tabla6[Nominal COP],Tabla6[Concepto],COSTO_OPORTUNIDAD!$B$18,Tabla6[Nemotécnico],COSTO_OPORTUNIDAD!E$16,Tabla6[Fecha Cumplimiento y/ liquidacion],COSTO_OPORTUNIDAD!$C294)/+SUMIFS(Tabla6[Nominal COP],Tabla6[Concepto],COSTO_OPORTUNIDAD!$B$18,Tabla6[Fecha Cumplimiento y/ liquidacion],COSTO_OPORTUNIDAD!$C294)</f>
        <v>0</v>
      </c>
      <c r="F294" s="263">
        <f>+SUMIFS(Tabla6[Nominal COP],Tabla6[Concepto],COSTO_OPORTUNIDAD!$B$18,Tabla6[Nemotécnico],COSTO_OPORTUNIDAD!F$16,Tabla6[Fecha Cumplimiento y/ liquidacion],COSTO_OPORTUNIDAD!$C294)/+SUMIFS(Tabla6[Nominal COP],Tabla6[Concepto],COSTO_OPORTUNIDAD!$B$18,Tabla6[Fecha Cumplimiento y/ liquidacion],COSTO_OPORTUNIDAD!$C294)</f>
        <v>0</v>
      </c>
      <c r="G294" s="263">
        <f>+SUMIFS(Tabla6[Nominal COP],Tabla6[Concepto],COSTO_OPORTUNIDAD!$B$18,Tabla6[Nemotécnico],COSTO_OPORTUNIDAD!G$16,Tabla6[Fecha Cumplimiento y/ liquidacion],COSTO_OPORTUNIDAD!$C294)/+SUMIFS(Tabla6[Nominal COP],Tabla6[Concepto],COSTO_OPORTUNIDAD!$B$18,Tabla6[Fecha Cumplimiento y/ liquidacion],COSTO_OPORTUNIDAD!$C294)</f>
        <v>0</v>
      </c>
      <c r="H294" s="263">
        <f>+SUMIFS(Tabla6[Nominal COP],Tabla6[Concepto],COSTO_OPORTUNIDAD!$B$18,Tabla6[Nemotécnico],COSTO_OPORTUNIDAD!H$16,Tabla6[Fecha Cumplimiento y/ liquidacion],COSTO_OPORTUNIDAD!$C294)/+SUMIFS(Tabla6[Nominal COP],Tabla6[Concepto],COSTO_OPORTUNIDAD!$B$18,Tabla6[Fecha Cumplimiento y/ liquidacion],COSTO_OPORTUNIDAD!$C294)</f>
        <v>0</v>
      </c>
      <c r="I294" s="263">
        <f>+SUMIFS(Tabla6[Nominal COP],Tabla6[Concepto],COSTO_OPORTUNIDAD!$B$18,Tabla6[Nemotécnico],COSTO_OPORTUNIDAD!I$16,Tabla6[Fecha Cumplimiento y/ liquidacion],COSTO_OPORTUNIDAD!$C294)/+SUMIFS(Tabla6[Nominal COP],Tabla6[Concepto],COSTO_OPORTUNIDAD!$B$18,Tabla6[Fecha Cumplimiento y/ liquidacion],COSTO_OPORTUNIDAD!$C294)</f>
        <v>0</v>
      </c>
      <c r="J294" s="263">
        <f>+SUMIFS(Tabla6[Nominal COP],Tabla6[Concepto],COSTO_OPORTUNIDAD!$B$18,Tabla6[Nemotécnico],COSTO_OPORTUNIDAD!J$16,Tabla6[Fecha Cumplimiento y/ liquidacion],COSTO_OPORTUNIDAD!$C294)/+SUMIFS(Tabla6[Nominal COP],Tabla6[Concepto],COSTO_OPORTUNIDAD!$B$18,Tabla6[Fecha Cumplimiento y/ liquidacion],COSTO_OPORTUNIDAD!$C294)</f>
        <v>0</v>
      </c>
      <c r="K294" s="263">
        <f>+SUMIFS(Tabla6[Nominal COP],Tabla6[Concepto],COSTO_OPORTUNIDAD!$B$18,Tabla6[Nemotécnico],COSTO_OPORTUNIDAD!K$16,Tabla6[Fecha Cumplimiento y/ liquidacion],COSTO_OPORTUNIDAD!$C294)/+SUMIFS(Tabla6[Nominal COP],Tabla6[Concepto],COSTO_OPORTUNIDAD!$B$18,Tabla6[Fecha Cumplimiento y/ liquidacion],COSTO_OPORTUNIDAD!$C294)</f>
        <v>0</v>
      </c>
      <c r="L294" s="263">
        <f>+SUMIFS(Tabla6[Nominal COP],Tabla6[Concepto],COSTO_OPORTUNIDAD!$B$18,Tabla6[Nemotécnico],COSTO_OPORTUNIDAD!L$16,Tabla6[Fecha Cumplimiento y/ liquidacion],COSTO_OPORTUNIDAD!$C294)/+SUMIFS(Tabla6[Nominal COP],Tabla6[Concepto],COSTO_OPORTUNIDAD!$B$18,Tabla6[Fecha Cumplimiento y/ liquidacion],COSTO_OPORTUNIDAD!$C294)</f>
        <v>0</v>
      </c>
      <c r="M294" s="263">
        <f>+SUMIFS(Tabla6[Nominal COP],Tabla6[Concepto],COSTO_OPORTUNIDAD!$B$18,Tabla6[Nemotécnico],COSTO_OPORTUNIDAD!M$16,Tabla6[Fecha Cumplimiento y/ liquidacion],COSTO_OPORTUNIDAD!$C294)/+SUMIFS(Tabla6[Nominal COP],Tabla6[Concepto],COSTO_OPORTUNIDAD!$B$18,Tabla6[Fecha Cumplimiento y/ liquidacion],COSTO_OPORTUNIDAD!$C294)</f>
        <v>0</v>
      </c>
      <c r="N294" s="263">
        <f>+SUMIFS(Tabla6[Nominal COP],Tabla6[Concepto],COSTO_OPORTUNIDAD!$B$18,Tabla6[Nemotécnico],COSTO_OPORTUNIDAD!N$16,Tabla6[Fecha Cumplimiento y/ liquidacion],COSTO_OPORTUNIDAD!$C294)/+SUMIFS(Tabla6[Nominal COP],Tabla6[Concepto],COSTO_OPORTUNIDAD!$B$18,Tabla6[Fecha Cumplimiento y/ liquidacion],COSTO_OPORTUNIDAD!$C294)</f>
        <v>0</v>
      </c>
      <c r="O294" s="263"/>
      <c r="P294" s="263">
        <f>+SUMIFS(Tabla6[Nominal COP],Tabla6[Concepto],COSTO_OPORTUNIDAD!$B$18,Tabla6[Nemotécnico],COSTO_OPORTUNIDAD!P$16,Tabla6[Fecha Cumplimiento y/ liquidacion],COSTO_OPORTUNIDAD!$C294)/+SUMIFS(Tabla6[Nominal COP],Tabla6[Concepto],COSTO_OPORTUNIDAD!$B$18,Tabla6[Fecha Cumplimiento y/ liquidacion],COSTO_OPORTUNIDAD!$C294)</f>
        <v>0</v>
      </c>
      <c r="Q294" s="263">
        <f>+SUMIFS(Tabla6[Nominal COP],Tabla6[Concepto],COSTO_OPORTUNIDAD!$B$18,Tabla6[Nemotécnico],COSTO_OPORTUNIDAD!Q$16,Tabla6[Fecha Cumplimiento y/ liquidacion],COSTO_OPORTUNIDAD!$C294)/+SUMIFS(Tabla6[Nominal COP],Tabla6[Concepto],COSTO_OPORTUNIDAD!$B$18,Tabla6[Fecha Cumplimiento y/ liquidacion],COSTO_OPORTUNIDAD!$C294)</f>
        <v>9.7493036211699163E-2</v>
      </c>
      <c r="R294" s="263">
        <f>+SUMIFS(Tabla6[Nominal COP],Tabla6[Concepto],COSTO_OPORTUNIDAD!$B$18,Tabla6[Nemotécnico],COSTO_OPORTUNIDAD!R$16,Tabla6[Fecha Cumplimiento y/ liquidacion],COSTO_OPORTUNIDAD!$C294)/+SUMIFS(Tabla6[Nominal COP],Tabla6[Concepto],COSTO_OPORTUNIDAD!$B$18,Tabla6[Fecha Cumplimiento y/ liquidacion],COSTO_OPORTUNIDAD!$C294)</f>
        <v>0</v>
      </c>
      <c r="S294" s="263">
        <f>+SUMIFS(Tabla6[Nominal COP],Tabla6[Concepto],COSTO_OPORTUNIDAD!$B$18,Tabla6[Nemotécnico],COSTO_OPORTUNIDAD!S$16,Tabla6[Fecha Cumplimiento y/ liquidacion],COSTO_OPORTUNIDAD!$C294)/+SUMIFS(Tabla6[Nominal COP],Tabla6[Concepto],COSTO_OPORTUNIDAD!$B$18,Tabla6[Fecha Cumplimiento y/ liquidacion],COSTO_OPORTUNIDAD!$C294)</f>
        <v>0.35376044568245124</v>
      </c>
      <c r="T294" s="263">
        <f>+SUMIFS(Tabla6[Nominal COP],Tabla6[Concepto],COSTO_OPORTUNIDAD!$B$18,Tabla6[Nemotécnico],COSTO_OPORTUNIDAD!T$16,Tabla6[Fecha Cumplimiento y/ liquidacion],COSTO_OPORTUNIDAD!$C294)/+SUMIFS(Tabla6[Nominal COP],Tabla6[Concepto],COSTO_OPORTUNIDAD!$B$18,Tabla6[Fecha Cumplimiento y/ liquidacion],COSTO_OPORTUNIDAD!$C294)</f>
        <v>0</v>
      </c>
      <c r="U294" s="263">
        <f>+SUMIFS(Tabla6[Nominal COP],Tabla6[Concepto],COSTO_OPORTUNIDAD!$B$18,Tabla6[Nemotécnico],COSTO_OPORTUNIDAD!U$16,Tabla6[Fecha Cumplimiento y/ liquidacion],COSTO_OPORTUNIDAD!$C294)/+SUMIFS(Tabla6[Nominal COP],Tabla6[Concepto],COSTO_OPORTUNIDAD!$B$18,Tabla6[Fecha Cumplimiento y/ liquidacion],COSTO_OPORTUNIDAD!$C294)</f>
        <v>0</v>
      </c>
      <c r="V294" s="263">
        <f>+SUMIFS(Tabla6[Nominal COP],Tabla6[Concepto],COSTO_OPORTUNIDAD!$B$18,Tabla6[Nemotécnico],COSTO_OPORTUNIDAD!V$16,Tabla6[Fecha Cumplimiento y/ liquidacion],COSTO_OPORTUNIDAD!$C294)/+SUMIFS(Tabla6[Nominal COP],Tabla6[Concepto],COSTO_OPORTUNIDAD!$B$18,Tabla6[Fecha Cumplimiento y/ liquidacion],COSTO_OPORTUNIDAD!$C294)</f>
        <v>0</v>
      </c>
      <c r="W294" s="263">
        <f>+SUMIFS(Tabla6[Nominal COP],Tabla6[Concepto],COSTO_OPORTUNIDAD!$B$18,Tabla6[Nemotécnico],COSTO_OPORTUNIDAD!W$16,Tabla6[Fecha Cumplimiento y/ liquidacion],COSTO_OPORTUNIDAD!$C294)/+SUMIFS(Tabla6[Nominal COP],Tabla6[Concepto],COSTO_OPORTUNIDAD!$B$18,Tabla6[Fecha Cumplimiento y/ liquidacion],COSTO_OPORTUNIDAD!$C294)</f>
        <v>0</v>
      </c>
      <c r="X294" s="263">
        <f>+SUMIFS(Tabla6[Nominal COP],Tabla6[Concepto],COSTO_OPORTUNIDAD!$B$18,Tabla6[Nemotécnico],COSTO_OPORTUNIDAD!X$16,Tabla6[Fecha Cumplimiento y/ liquidacion],COSTO_OPORTUNIDAD!$C294)/+SUMIFS(Tabla6[Nominal COP],Tabla6[Concepto],COSTO_OPORTUNIDAD!$B$18,Tabla6[Fecha Cumplimiento y/ liquidacion],COSTO_OPORTUNIDAD!$C294)</f>
        <v>0</v>
      </c>
      <c r="Y294" s="263">
        <f>+SUMIFS(Tabla6[Nominal COP],Tabla6[Concepto],COSTO_OPORTUNIDAD!$B$18,Tabla6[Nemotécnico],COSTO_OPORTUNIDAD!Y$16,Tabla6[Fecha Cumplimiento y/ liquidacion],COSTO_OPORTUNIDAD!$C294)/+SUMIFS(Tabla6[Nominal COP],Tabla6[Concepto],COSTO_OPORTUNIDAD!$B$18,Tabla6[Fecha Cumplimiento y/ liquidacion],COSTO_OPORTUNIDAD!$C294)</f>
        <v>0</v>
      </c>
      <c r="Z294" s="263">
        <f>+SUMIFS(Tabla6[Nominal COP],Tabla6[Concepto],COSTO_OPORTUNIDAD!$B$18,Tabla6[Nemotécnico],COSTO_OPORTUNIDAD!Z$16,Tabla6[Fecha Cumplimiento y/ liquidacion],COSTO_OPORTUNIDAD!$C294)/+SUMIFS(Tabla6[Nominal COP],Tabla6[Concepto],COSTO_OPORTUNIDAD!$B$18,Tabla6[Fecha Cumplimiento y/ liquidacion],COSTO_OPORTUNIDAD!$C294)</f>
        <v>0</v>
      </c>
      <c r="AA294" s="263">
        <f>+SUMIFS(Tabla6[Nominal COP],Tabla6[Concepto],COSTO_OPORTUNIDAD!$B$18,Tabla6[Nemotécnico],COSTO_OPORTUNIDAD!AA$16,Tabla6[Fecha Cumplimiento y/ liquidacion],COSTO_OPORTUNIDAD!$C294)/+SUMIFS(Tabla6[Nominal COP],Tabla6[Concepto],COSTO_OPORTUNIDAD!$B$18,Tabla6[Fecha Cumplimiento y/ liquidacion],COSTO_OPORTUNIDAD!$C294)</f>
        <v>0</v>
      </c>
      <c r="AB294" s="263">
        <f>+SUMIFS(Tabla6[Nominal COP],Tabla6[Concepto],COSTO_OPORTUNIDAD!$B$18,Tabla6[Nemotécnico],COSTO_OPORTUNIDAD!AB$16,Tabla6[Fecha Cumplimiento y/ liquidacion],COSTO_OPORTUNIDAD!$C294)/+SUMIFS(Tabla6[Nominal COP],Tabla6[Concepto],COSTO_OPORTUNIDAD!$B$18,Tabla6[Fecha Cumplimiento y/ liquidacion],COSTO_OPORTUNIDAD!$C294)</f>
        <v>0</v>
      </c>
      <c r="AC294" s="263">
        <f>+SUMIFS(Tabla6[Nominal COP],Tabla6[Concepto],COSTO_OPORTUNIDAD!$B$18,Tabla6[Nemotécnico],COSTO_OPORTUNIDAD!AC$16,Tabla6[Fecha Cumplimiento y/ liquidacion],COSTO_OPORTUNIDAD!$C294)/+SUMIFS(Tabla6[Nominal COP],Tabla6[Concepto],COSTO_OPORTUNIDAD!$B$18,Tabla6[Fecha Cumplimiento y/ liquidacion],COSTO_OPORTUNIDAD!$C294)</f>
        <v>0</v>
      </c>
      <c r="AD294" s="263">
        <f>+SUMIFS(Tabla6[Nominal COP],Tabla6[Concepto],COSTO_OPORTUNIDAD!$B$18,Tabla6[Nemotécnico],COSTO_OPORTUNIDAD!AC$16,Tabla6[Fecha Cumplimiento y/ liquidacion],COSTO_OPORTUNIDAD!$C294)/+SUMIFS(Tabla6[Nominal COP],Tabla6[Concepto],COSTO_OPORTUNIDAD!$B$18,Tabla6[Fecha Cumplimiento y/ liquidacion],COSTO_OPORTUNIDAD!$C294)</f>
        <v>0</v>
      </c>
      <c r="AE294" s="263">
        <f>+SUMIFS(Tabla6[Nominal COP],Tabla6[Concepto],COSTO_OPORTUNIDAD!$B$18,Tabla6[Nemotécnico],COSTO_OPORTUNIDAD!AE$16,Tabla6[Fecha Cumplimiento y/ liquidacion],COSTO_OPORTUNIDAD!$C294)/+SUMIFS(Tabla6[Nominal COP],Tabla6[Concepto],COSTO_OPORTUNIDAD!$B$18,Tabla6[Fecha Cumplimiento y/ liquidacion],COSTO_OPORTUNIDAD!$C294)</f>
        <v>0</v>
      </c>
      <c r="AF294" s="263">
        <f>+SUMIFS(Tabla6[Nominal COP],Tabla6[Concepto],COSTO_OPORTUNIDAD!$B$18,Tabla6[Nemotécnico],COSTO_OPORTUNIDAD!AF$16,Tabla6[Fecha Cumplimiento y/ liquidacion],COSTO_OPORTUNIDAD!$C294)/+SUMIFS(Tabla6[Nominal COP],Tabla6[Concepto],COSTO_OPORTUNIDAD!$B$18,Tabla6[Fecha Cumplimiento y/ liquidacion],COSTO_OPORTUNIDAD!$C294)</f>
        <v>0</v>
      </c>
      <c r="AH294" s="274">
        <f t="shared" si="372"/>
        <v>308</v>
      </c>
      <c r="AI294" s="274">
        <f t="shared" si="372"/>
        <v>742</v>
      </c>
      <c r="AJ294" s="274">
        <f t="shared" si="372"/>
        <v>919</v>
      </c>
      <c r="AK294" s="274">
        <f t="shared" si="372"/>
        <v>1400</v>
      </c>
      <c r="AL294" s="274">
        <f t="shared" si="372"/>
        <v>1792</v>
      </c>
      <c r="AM294" s="274">
        <f t="shared" si="372"/>
        <v>1981</v>
      </c>
      <c r="AN294" s="274">
        <f t="shared" si="372"/>
        <v>2443</v>
      </c>
      <c r="AO294" s="274">
        <f t="shared" si="372"/>
        <v>2667</v>
      </c>
      <c r="AP294" s="274">
        <f t="shared" si="372"/>
        <v>3283</v>
      </c>
      <c r="AQ294" s="274"/>
      <c r="AR294" s="274">
        <f t="shared" si="313"/>
        <v>3913</v>
      </c>
      <c r="AS294" s="274">
        <f t="shared" si="301"/>
        <v>5516</v>
      </c>
      <c r="AT294" s="274">
        <f t="shared" si="283"/>
        <v>6062</v>
      </c>
      <c r="AU294" s="274">
        <f t="shared" si="284"/>
        <v>7581</v>
      </c>
      <c r="AV294" s="274">
        <f t="shared" si="285"/>
        <v>9135</v>
      </c>
      <c r="AW294" s="274">
        <f t="shared" si="361"/>
        <v>11830</v>
      </c>
      <c r="AX294" s="274">
        <f t="shared" si="373"/>
        <v>-168</v>
      </c>
      <c r="AY294" s="274">
        <f t="shared" si="374"/>
        <v>511</v>
      </c>
      <c r="AZ294" s="274">
        <f t="shared" si="375"/>
        <v>1274</v>
      </c>
      <c r="BA294" s="274">
        <f t="shared" si="376"/>
        <v>1918</v>
      </c>
      <c r="BB294" s="274">
        <f t="shared" si="377"/>
        <v>2711</v>
      </c>
      <c r="BC294" s="274">
        <f t="shared" si="378"/>
        <v>3451</v>
      </c>
      <c r="BD294" s="274">
        <f t="shared" si="379"/>
        <v>4144</v>
      </c>
      <c r="BE294" s="274">
        <f t="shared" si="380"/>
        <v>5628</v>
      </c>
      <c r="BF294" s="274">
        <f t="shared" si="381"/>
        <v>8638</v>
      </c>
      <c r="BG294" s="274">
        <f t="shared" si="382"/>
        <v>10801</v>
      </c>
      <c r="BH294" s="274">
        <f t="shared" si="383"/>
        <v>13251</v>
      </c>
      <c r="BI294" s="499">
        <f t="shared" si="318"/>
        <v>0</v>
      </c>
      <c r="BJ294" s="266">
        <f t="shared" si="319"/>
        <v>0.45125348189415038</v>
      </c>
      <c r="BK294" s="263">
        <f t="shared" si="320"/>
        <v>0</v>
      </c>
      <c r="BL294" s="263">
        <f t="shared" si="321"/>
        <v>0</v>
      </c>
      <c r="BM294" s="263">
        <f t="shared" si="322"/>
        <v>0</v>
      </c>
      <c r="BN294" s="263">
        <f t="shared" si="351"/>
        <v>0</v>
      </c>
      <c r="BO294" s="263">
        <f t="shared" si="323"/>
        <v>0</v>
      </c>
      <c r="BP294" s="263">
        <f t="shared" si="324"/>
        <v>0</v>
      </c>
      <c r="BQ294" s="263">
        <f t="shared" si="325"/>
        <v>0</v>
      </c>
      <c r="BR294" s="263">
        <f t="shared" si="326"/>
        <v>0</v>
      </c>
      <c r="BS294" s="263">
        <f t="shared" si="327"/>
        <v>0</v>
      </c>
      <c r="BT294" s="263">
        <f t="shared" si="328"/>
        <v>0</v>
      </c>
      <c r="BU294" s="263">
        <f t="shared" si="329"/>
        <v>0</v>
      </c>
      <c r="BV294" s="263">
        <f t="shared" si="352"/>
        <v>0.2160493827160494</v>
      </c>
      <c r="BW294" s="263">
        <f t="shared" si="330"/>
        <v>0</v>
      </c>
      <c r="BX294" s="263">
        <f t="shared" si="337"/>
        <v>0.78395061728395066</v>
      </c>
      <c r="BY294" s="263">
        <f t="shared" si="331"/>
        <v>0</v>
      </c>
      <c r="BZ294" s="263">
        <f t="shared" si="370"/>
        <v>0</v>
      </c>
      <c r="CA294" s="263" t="str">
        <f t="shared" si="254"/>
        <v/>
      </c>
      <c r="CB294" s="263" t="str">
        <f t="shared" si="332"/>
        <v/>
      </c>
      <c r="CC294" s="263" t="str">
        <f t="shared" si="255"/>
        <v/>
      </c>
      <c r="CD294" s="263" t="str">
        <f t="shared" si="333"/>
        <v/>
      </c>
      <c r="CE294" s="263" t="str">
        <f t="shared" si="346"/>
        <v/>
      </c>
      <c r="CF294" s="263" t="str">
        <f t="shared" si="256"/>
        <v/>
      </c>
      <c r="CG294" s="263" t="str">
        <f t="shared" si="257"/>
        <v/>
      </c>
      <c r="CH294" s="263" t="str">
        <f t="shared" si="290"/>
        <v/>
      </c>
      <c r="CI294" s="263" t="str">
        <f t="shared" si="334"/>
        <v/>
      </c>
      <c r="CJ294" s="263" t="str">
        <f t="shared" si="291"/>
        <v/>
      </c>
      <c r="CK294" s="263" t="str">
        <f t="shared" si="335"/>
        <v/>
      </c>
      <c r="CL294" s="264">
        <f t="shared" si="367"/>
        <v>7135</v>
      </c>
      <c r="CM294" s="264">
        <f t="shared" si="362"/>
        <v>0</v>
      </c>
      <c r="CN294" s="500"/>
      <c r="CO294" s="501">
        <v>9.2010000000000008E-2</v>
      </c>
      <c r="CP294" s="501">
        <v>9.537000000000001E-2</v>
      </c>
      <c r="CQ294" s="501">
        <v>0.10150000000000001</v>
      </c>
      <c r="CR294" s="501">
        <v>0.10949999999999999</v>
      </c>
      <c r="CS294" s="501">
        <v>0.11230000000000001</v>
      </c>
      <c r="CT294" s="501">
        <v>0.11497</v>
      </c>
      <c r="CU294" s="501">
        <v>0.11627000000000001</v>
      </c>
      <c r="CV294" s="501">
        <v>0.11757999999999999</v>
      </c>
      <c r="CW294" s="501">
        <v>0.11499000000000001</v>
      </c>
      <c r="CX294" s="501">
        <v>0.11960000000000001</v>
      </c>
      <c r="CY294" s="501">
        <v>0.11649</v>
      </c>
      <c r="CZ294" s="501">
        <v>0.12141</v>
      </c>
      <c r="DA294" s="501">
        <v>0.11986000000000001</v>
      </c>
      <c r="DB294" s="501">
        <v>0.12164999999999999</v>
      </c>
      <c r="DC294" s="501">
        <v>0.11724</v>
      </c>
      <c r="DD294" s="501">
        <v>0.12150999999999999</v>
      </c>
      <c r="DE294" s="265">
        <v>6.1710000000000001E-2</v>
      </c>
      <c r="DF294" s="265">
        <v>6.7500000000000004E-2</v>
      </c>
      <c r="DH294" s="265">
        <v>6.3550000000000009E-2</v>
      </c>
      <c r="DI294" s="265">
        <v>6.4699999999999994E-2</v>
      </c>
      <c r="DJ294" s="265">
        <v>6.6299999999999998E-2</v>
      </c>
      <c r="DK294" s="265">
        <v>6.5640000000000004E-2</v>
      </c>
      <c r="DL294" s="265">
        <v>6.4180000000000001E-2</v>
      </c>
      <c r="DM294" s="265">
        <v>6.4500000000000002E-2</v>
      </c>
      <c r="DN294" s="265">
        <v>6.497E-2</v>
      </c>
      <c r="DO294" s="264">
        <f t="shared" si="363"/>
        <v>6062</v>
      </c>
      <c r="DP294" s="264" cm="1">
        <f t="array" ref="DP294">+INDEX(AH294:AW294,MATCH(DO294,AH294:AW294,1)+1)</f>
        <v>7581</v>
      </c>
      <c r="DQ294" s="265">
        <f t="shared" si="364"/>
        <v>0.11986000000000001</v>
      </c>
      <c r="DR294" s="267">
        <f t="shared" si="365"/>
        <v>0.12164999999999999</v>
      </c>
      <c r="DS294" s="267">
        <f t="shared" si="297"/>
        <v>0.121124</v>
      </c>
      <c r="DT294" s="268">
        <f t="shared" si="293"/>
        <v>-168</v>
      </c>
      <c r="DU294" s="268" cm="1">
        <f t="array" ref="DU294">+INDEX(AX294:BG294,MATCH(DT294,AX294:BG294,1)+1)</f>
        <v>511</v>
      </c>
      <c r="DV294" s="267">
        <f t="shared" si="366"/>
        <v>6.1710000000000001E-2</v>
      </c>
      <c r="DW294" s="267">
        <f t="shared" si="294"/>
        <v>6.7500000000000004E-2</v>
      </c>
      <c r="DX294" s="267">
        <f t="shared" si="345"/>
        <v>6.3140000000000002E-2</v>
      </c>
      <c r="DY294" s="267">
        <f t="shared" si="341"/>
        <v>5.28E-2</v>
      </c>
      <c r="DZ294" s="205">
        <f t="shared" si="384"/>
        <v>0.11927379199999999</v>
      </c>
      <c r="EA294" s="205">
        <f t="shared" si="252"/>
        <v>5.4657626740947068E-2</v>
      </c>
    </row>
    <row r="295" spans="2:131">
      <c r="B295" s="272">
        <v>45953</v>
      </c>
      <c r="C295" s="271">
        <f t="shared" si="371"/>
        <v>45953</v>
      </c>
      <c r="D295" s="263">
        <f>+SUMIFS(Tabla6[Nominal COP],Tabla6[Concepto],COSTO_OPORTUNIDAD!$B$18,Tabla6[Nemotécnico],COSTO_OPORTUNIDAD!D$16,Tabla6[Fecha Cumplimiento y/ liquidacion],COSTO_OPORTUNIDAD!$C295)/+SUMIFS(Tabla6[Nominal COP],Tabla6[Concepto],COSTO_OPORTUNIDAD!$B$18,Tabla6[Fecha Cumplimiento y/ liquidacion],COSTO_OPORTUNIDAD!$C295)</f>
        <v>0</v>
      </c>
      <c r="E295" s="263">
        <f>+SUMIFS(Tabla6[Nominal COP],Tabla6[Concepto],COSTO_OPORTUNIDAD!$B$18,Tabla6[Nemotécnico],COSTO_OPORTUNIDAD!E$16,Tabla6[Fecha Cumplimiento y/ liquidacion],COSTO_OPORTUNIDAD!$C295)/+SUMIFS(Tabla6[Nominal COP],Tabla6[Concepto],COSTO_OPORTUNIDAD!$B$18,Tabla6[Fecha Cumplimiento y/ liquidacion],COSTO_OPORTUNIDAD!$C295)</f>
        <v>0</v>
      </c>
      <c r="F295" s="263">
        <f>+SUMIFS(Tabla6[Nominal COP],Tabla6[Concepto],COSTO_OPORTUNIDAD!$B$18,Tabla6[Nemotécnico],COSTO_OPORTUNIDAD!F$16,Tabla6[Fecha Cumplimiento y/ liquidacion],COSTO_OPORTUNIDAD!$C295)/+SUMIFS(Tabla6[Nominal COP],Tabla6[Concepto],COSTO_OPORTUNIDAD!$B$18,Tabla6[Fecha Cumplimiento y/ liquidacion],COSTO_OPORTUNIDAD!$C295)</f>
        <v>0</v>
      </c>
      <c r="G295" s="263">
        <f>+SUMIFS(Tabla6[Nominal COP],Tabla6[Concepto],COSTO_OPORTUNIDAD!$B$18,Tabla6[Nemotécnico],COSTO_OPORTUNIDAD!G$16,Tabla6[Fecha Cumplimiento y/ liquidacion],COSTO_OPORTUNIDAD!$C295)/+SUMIFS(Tabla6[Nominal COP],Tabla6[Concepto],COSTO_OPORTUNIDAD!$B$18,Tabla6[Fecha Cumplimiento y/ liquidacion],COSTO_OPORTUNIDAD!$C295)</f>
        <v>0</v>
      </c>
      <c r="H295" s="263">
        <f>+SUMIFS(Tabla6[Nominal COP],Tabla6[Concepto],COSTO_OPORTUNIDAD!$B$18,Tabla6[Nemotécnico],COSTO_OPORTUNIDAD!H$16,Tabla6[Fecha Cumplimiento y/ liquidacion],COSTO_OPORTUNIDAD!$C295)/+SUMIFS(Tabla6[Nominal COP],Tabla6[Concepto],COSTO_OPORTUNIDAD!$B$18,Tabla6[Fecha Cumplimiento y/ liquidacion],COSTO_OPORTUNIDAD!$C295)</f>
        <v>0</v>
      </c>
      <c r="I295" s="263">
        <f>+SUMIFS(Tabla6[Nominal COP],Tabla6[Concepto],COSTO_OPORTUNIDAD!$B$18,Tabla6[Nemotécnico],COSTO_OPORTUNIDAD!I$16,Tabla6[Fecha Cumplimiento y/ liquidacion],COSTO_OPORTUNIDAD!$C295)/+SUMIFS(Tabla6[Nominal COP],Tabla6[Concepto],COSTO_OPORTUNIDAD!$B$18,Tabla6[Fecha Cumplimiento y/ liquidacion],COSTO_OPORTUNIDAD!$C295)</f>
        <v>0</v>
      </c>
      <c r="J295" s="263">
        <f>+SUMIFS(Tabla6[Nominal COP],Tabla6[Concepto],COSTO_OPORTUNIDAD!$B$18,Tabla6[Nemotécnico],COSTO_OPORTUNIDAD!J$16,Tabla6[Fecha Cumplimiento y/ liquidacion],COSTO_OPORTUNIDAD!$C295)/+SUMIFS(Tabla6[Nominal COP],Tabla6[Concepto],COSTO_OPORTUNIDAD!$B$18,Tabla6[Fecha Cumplimiento y/ liquidacion],COSTO_OPORTUNIDAD!$C295)</f>
        <v>0</v>
      </c>
      <c r="K295" s="263">
        <f>+SUMIFS(Tabla6[Nominal COP],Tabla6[Concepto],COSTO_OPORTUNIDAD!$B$18,Tabla6[Nemotécnico],COSTO_OPORTUNIDAD!K$16,Tabla6[Fecha Cumplimiento y/ liquidacion],COSTO_OPORTUNIDAD!$C295)/+SUMIFS(Tabla6[Nominal COP],Tabla6[Concepto],COSTO_OPORTUNIDAD!$B$18,Tabla6[Fecha Cumplimiento y/ liquidacion],COSTO_OPORTUNIDAD!$C295)</f>
        <v>0</v>
      </c>
      <c r="L295" s="263">
        <f>+SUMIFS(Tabla6[Nominal COP],Tabla6[Concepto],COSTO_OPORTUNIDAD!$B$18,Tabla6[Nemotécnico],COSTO_OPORTUNIDAD!L$16,Tabla6[Fecha Cumplimiento y/ liquidacion],COSTO_OPORTUNIDAD!$C295)/+SUMIFS(Tabla6[Nominal COP],Tabla6[Concepto],COSTO_OPORTUNIDAD!$B$18,Tabla6[Fecha Cumplimiento y/ liquidacion],COSTO_OPORTUNIDAD!$C295)</f>
        <v>0</v>
      </c>
      <c r="M295" s="263">
        <f>+SUMIFS(Tabla6[Nominal COP],Tabla6[Concepto],COSTO_OPORTUNIDAD!$B$18,Tabla6[Nemotécnico],COSTO_OPORTUNIDAD!M$16,Tabla6[Fecha Cumplimiento y/ liquidacion],COSTO_OPORTUNIDAD!$C295)/+SUMIFS(Tabla6[Nominal COP],Tabla6[Concepto],COSTO_OPORTUNIDAD!$B$18,Tabla6[Fecha Cumplimiento y/ liquidacion],COSTO_OPORTUNIDAD!$C295)</f>
        <v>0</v>
      </c>
      <c r="N295" s="263">
        <f>+SUMIFS(Tabla6[Nominal COP],Tabla6[Concepto],COSTO_OPORTUNIDAD!$B$18,Tabla6[Nemotécnico],COSTO_OPORTUNIDAD!N$16,Tabla6[Fecha Cumplimiento y/ liquidacion],COSTO_OPORTUNIDAD!$C295)/+SUMIFS(Tabla6[Nominal COP],Tabla6[Concepto],COSTO_OPORTUNIDAD!$B$18,Tabla6[Fecha Cumplimiento y/ liquidacion],COSTO_OPORTUNIDAD!$C295)</f>
        <v>0</v>
      </c>
      <c r="O295" s="263"/>
      <c r="P295" s="263">
        <f>+SUMIFS(Tabla6[Nominal COP],Tabla6[Concepto],COSTO_OPORTUNIDAD!$B$18,Tabla6[Nemotécnico],COSTO_OPORTUNIDAD!P$16,Tabla6[Fecha Cumplimiento y/ liquidacion],COSTO_OPORTUNIDAD!$C295)/+SUMIFS(Tabla6[Nominal COP],Tabla6[Concepto],COSTO_OPORTUNIDAD!$B$18,Tabla6[Fecha Cumplimiento y/ liquidacion],COSTO_OPORTUNIDAD!$C295)</f>
        <v>0</v>
      </c>
      <c r="Q295" s="263">
        <f>+SUMIFS(Tabla6[Nominal COP],Tabla6[Concepto],COSTO_OPORTUNIDAD!$B$18,Tabla6[Nemotécnico],COSTO_OPORTUNIDAD!Q$16,Tabla6[Fecha Cumplimiento y/ liquidacion],COSTO_OPORTUNIDAD!$C295)/+SUMIFS(Tabla6[Nominal COP],Tabla6[Concepto],COSTO_OPORTUNIDAD!$B$18,Tabla6[Fecha Cumplimiento y/ liquidacion],COSTO_OPORTUNIDAD!$C295)</f>
        <v>0</v>
      </c>
      <c r="R295" s="263">
        <f>+SUMIFS(Tabla6[Nominal COP],Tabla6[Concepto],COSTO_OPORTUNIDAD!$B$18,Tabla6[Nemotécnico],COSTO_OPORTUNIDAD!R$16,Tabla6[Fecha Cumplimiento y/ liquidacion],COSTO_OPORTUNIDAD!$C295)/+SUMIFS(Tabla6[Nominal COP],Tabla6[Concepto],COSTO_OPORTUNIDAD!$B$18,Tabla6[Fecha Cumplimiento y/ liquidacion],COSTO_OPORTUNIDAD!$C295)</f>
        <v>0</v>
      </c>
      <c r="S295" s="263">
        <f>+SUMIFS(Tabla6[Nominal COP],Tabla6[Concepto],COSTO_OPORTUNIDAD!$B$18,Tabla6[Nemotécnico],COSTO_OPORTUNIDAD!S$16,Tabla6[Fecha Cumplimiento y/ liquidacion],COSTO_OPORTUNIDAD!$C295)/+SUMIFS(Tabla6[Nominal COP],Tabla6[Concepto],COSTO_OPORTUNIDAD!$B$18,Tabla6[Fecha Cumplimiento y/ liquidacion],COSTO_OPORTUNIDAD!$C295)</f>
        <v>0.48931116389548696</v>
      </c>
      <c r="T295" s="263">
        <f>+SUMIFS(Tabla6[Nominal COP],Tabla6[Concepto],COSTO_OPORTUNIDAD!$B$18,Tabla6[Nemotécnico],COSTO_OPORTUNIDAD!T$16,Tabla6[Fecha Cumplimiento y/ liquidacion],COSTO_OPORTUNIDAD!$C295)/+SUMIFS(Tabla6[Nominal COP],Tabla6[Concepto],COSTO_OPORTUNIDAD!$B$18,Tabla6[Fecha Cumplimiento y/ liquidacion],COSTO_OPORTUNIDAD!$C295)</f>
        <v>0</v>
      </c>
      <c r="U295" s="263">
        <f>+SUMIFS(Tabla6[Nominal COP],Tabla6[Concepto],COSTO_OPORTUNIDAD!$B$18,Tabla6[Nemotécnico],COSTO_OPORTUNIDAD!U$16,Tabla6[Fecha Cumplimiento y/ liquidacion],COSTO_OPORTUNIDAD!$C295)/+SUMIFS(Tabla6[Nominal COP],Tabla6[Concepto],COSTO_OPORTUNIDAD!$B$18,Tabla6[Fecha Cumplimiento y/ liquidacion],COSTO_OPORTUNIDAD!$C295)</f>
        <v>0</v>
      </c>
      <c r="V295" s="263">
        <f>+SUMIFS(Tabla6[Nominal COP],Tabla6[Concepto],COSTO_OPORTUNIDAD!$B$18,Tabla6[Nemotécnico],COSTO_OPORTUNIDAD!V$16,Tabla6[Fecha Cumplimiento y/ liquidacion],COSTO_OPORTUNIDAD!$C295)/+SUMIFS(Tabla6[Nominal COP],Tabla6[Concepto],COSTO_OPORTUNIDAD!$B$18,Tabla6[Fecha Cumplimiento y/ liquidacion],COSTO_OPORTUNIDAD!$C295)</f>
        <v>0</v>
      </c>
      <c r="W295" s="263">
        <f>+SUMIFS(Tabla6[Nominal COP],Tabla6[Concepto],COSTO_OPORTUNIDAD!$B$18,Tabla6[Nemotécnico],COSTO_OPORTUNIDAD!W$16,Tabla6[Fecha Cumplimiento y/ liquidacion],COSTO_OPORTUNIDAD!$C295)/+SUMIFS(Tabla6[Nominal COP],Tabla6[Concepto],COSTO_OPORTUNIDAD!$B$18,Tabla6[Fecha Cumplimiento y/ liquidacion],COSTO_OPORTUNIDAD!$C295)</f>
        <v>0</v>
      </c>
      <c r="X295" s="263">
        <f>+SUMIFS(Tabla6[Nominal COP],Tabla6[Concepto],COSTO_OPORTUNIDAD!$B$18,Tabla6[Nemotécnico],COSTO_OPORTUNIDAD!X$16,Tabla6[Fecha Cumplimiento y/ liquidacion],COSTO_OPORTUNIDAD!$C295)/+SUMIFS(Tabla6[Nominal COP],Tabla6[Concepto],COSTO_OPORTUNIDAD!$B$18,Tabla6[Fecha Cumplimiento y/ liquidacion],COSTO_OPORTUNIDAD!$C295)</f>
        <v>0</v>
      </c>
      <c r="Y295" s="263">
        <f>+SUMIFS(Tabla6[Nominal COP],Tabla6[Concepto],COSTO_OPORTUNIDAD!$B$18,Tabla6[Nemotécnico],COSTO_OPORTUNIDAD!Y$16,Tabla6[Fecha Cumplimiento y/ liquidacion],COSTO_OPORTUNIDAD!$C295)/+SUMIFS(Tabla6[Nominal COP],Tabla6[Concepto],COSTO_OPORTUNIDAD!$B$18,Tabla6[Fecha Cumplimiento y/ liquidacion],COSTO_OPORTUNIDAD!$C295)</f>
        <v>0</v>
      </c>
      <c r="Z295" s="263">
        <f>+SUMIFS(Tabla6[Nominal COP],Tabla6[Concepto],COSTO_OPORTUNIDAD!$B$18,Tabla6[Nemotécnico],COSTO_OPORTUNIDAD!Z$16,Tabla6[Fecha Cumplimiento y/ liquidacion],COSTO_OPORTUNIDAD!$C295)/+SUMIFS(Tabla6[Nominal COP],Tabla6[Concepto],COSTO_OPORTUNIDAD!$B$18,Tabla6[Fecha Cumplimiento y/ liquidacion],COSTO_OPORTUNIDAD!$C295)</f>
        <v>0</v>
      </c>
      <c r="AA295" s="263">
        <f>+SUMIFS(Tabla6[Nominal COP],Tabla6[Concepto],COSTO_OPORTUNIDAD!$B$18,Tabla6[Nemotécnico],COSTO_OPORTUNIDAD!AA$16,Tabla6[Fecha Cumplimiento y/ liquidacion],COSTO_OPORTUNIDAD!$C295)/+SUMIFS(Tabla6[Nominal COP],Tabla6[Concepto],COSTO_OPORTUNIDAD!$B$18,Tabla6[Fecha Cumplimiento y/ liquidacion],COSTO_OPORTUNIDAD!$C295)</f>
        <v>0</v>
      </c>
      <c r="AB295" s="263">
        <f>+SUMIFS(Tabla6[Nominal COP],Tabla6[Concepto],COSTO_OPORTUNIDAD!$B$18,Tabla6[Nemotécnico],COSTO_OPORTUNIDAD!AB$16,Tabla6[Fecha Cumplimiento y/ liquidacion],COSTO_OPORTUNIDAD!$C295)/+SUMIFS(Tabla6[Nominal COP],Tabla6[Concepto],COSTO_OPORTUNIDAD!$B$18,Tabla6[Fecha Cumplimiento y/ liquidacion],COSTO_OPORTUNIDAD!$C295)</f>
        <v>0</v>
      </c>
      <c r="AC295" s="263">
        <f>+SUMIFS(Tabla6[Nominal COP],Tabla6[Concepto],COSTO_OPORTUNIDAD!$B$18,Tabla6[Nemotécnico],COSTO_OPORTUNIDAD!AC$16,Tabla6[Fecha Cumplimiento y/ liquidacion],COSTO_OPORTUNIDAD!$C295)/+SUMIFS(Tabla6[Nominal COP],Tabla6[Concepto],COSTO_OPORTUNIDAD!$B$18,Tabla6[Fecha Cumplimiento y/ liquidacion],COSTO_OPORTUNIDAD!$C295)</f>
        <v>0</v>
      </c>
      <c r="AD295" s="263">
        <f>+SUMIFS(Tabla6[Nominal COP],Tabla6[Concepto],COSTO_OPORTUNIDAD!$B$18,Tabla6[Nemotécnico],COSTO_OPORTUNIDAD!AC$16,Tabla6[Fecha Cumplimiento y/ liquidacion],COSTO_OPORTUNIDAD!$C295)/+SUMIFS(Tabla6[Nominal COP],Tabla6[Concepto],COSTO_OPORTUNIDAD!$B$18,Tabla6[Fecha Cumplimiento y/ liquidacion],COSTO_OPORTUNIDAD!$C295)</f>
        <v>0</v>
      </c>
      <c r="AE295" s="263">
        <f>+SUMIFS(Tabla6[Nominal COP],Tabla6[Concepto],COSTO_OPORTUNIDAD!$B$18,Tabla6[Nemotécnico],COSTO_OPORTUNIDAD!AE$16,Tabla6[Fecha Cumplimiento y/ liquidacion],COSTO_OPORTUNIDAD!$C295)/+SUMIFS(Tabla6[Nominal COP],Tabla6[Concepto],COSTO_OPORTUNIDAD!$B$18,Tabla6[Fecha Cumplimiento y/ liquidacion],COSTO_OPORTUNIDAD!$C295)</f>
        <v>0</v>
      </c>
      <c r="AF295" s="263">
        <f>+SUMIFS(Tabla6[Nominal COP],Tabla6[Concepto],COSTO_OPORTUNIDAD!$B$18,Tabla6[Nemotécnico],COSTO_OPORTUNIDAD!AF$16,Tabla6[Fecha Cumplimiento y/ liquidacion],COSTO_OPORTUNIDAD!$C295)/+SUMIFS(Tabla6[Nominal COP],Tabla6[Concepto],COSTO_OPORTUNIDAD!$B$18,Tabla6[Fecha Cumplimiento y/ liquidacion],COSTO_OPORTUNIDAD!$C295)</f>
        <v>0</v>
      </c>
      <c r="AH295" s="274">
        <f t="shared" si="372"/>
        <v>307</v>
      </c>
      <c r="AI295" s="274">
        <f t="shared" si="372"/>
        <v>741</v>
      </c>
      <c r="AJ295" s="274">
        <f t="shared" si="372"/>
        <v>918</v>
      </c>
      <c r="AK295" s="274">
        <f t="shared" si="372"/>
        <v>1399</v>
      </c>
      <c r="AL295" s="274">
        <f t="shared" si="372"/>
        <v>1791</v>
      </c>
      <c r="AM295" s="274">
        <f t="shared" si="372"/>
        <v>1980</v>
      </c>
      <c r="AN295" s="274">
        <f t="shared" si="372"/>
        <v>2442</v>
      </c>
      <c r="AO295" s="274">
        <f t="shared" si="372"/>
        <v>2666</v>
      </c>
      <c r="AP295" s="274">
        <f t="shared" si="372"/>
        <v>3282</v>
      </c>
      <c r="AQ295" s="274"/>
      <c r="AR295" s="274">
        <f t="shared" si="313"/>
        <v>3912</v>
      </c>
      <c r="AS295" s="274">
        <f t="shared" si="301"/>
        <v>5515</v>
      </c>
      <c r="AT295" s="274">
        <f t="shared" si="283"/>
        <v>6061</v>
      </c>
      <c r="AU295" s="274">
        <f t="shared" si="284"/>
        <v>7580</v>
      </c>
      <c r="AV295" s="274">
        <f t="shared" si="285"/>
        <v>9134</v>
      </c>
      <c r="AW295" s="274">
        <f t="shared" si="361"/>
        <v>11829</v>
      </c>
      <c r="AX295" s="274">
        <f t="shared" si="373"/>
        <v>-169</v>
      </c>
      <c r="AY295" s="274">
        <f t="shared" si="374"/>
        <v>510</v>
      </c>
      <c r="AZ295" s="274">
        <f t="shared" si="375"/>
        <v>1273</v>
      </c>
      <c r="BA295" s="274">
        <f t="shared" si="376"/>
        <v>1917</v>
      </c>
      <c r="BB295" s="274">
        <f t="shared" si="377"/>
        <v>2710</v>
      </c>
      <c r="BC295" s="274">
        <f t="shared" si="378"/>
        <v>3450</v>
      </c>
      <c r="BD295" s="274">
        <f t="shared" si="379"/>
        <v>4143</v>
      </c>
      <c r="BE295" s="274">
        <f t="shared" si="380"/>
        <v>5627</v>
      </c>
      <c r="BF295" s="274">
        <f t="shared" si="381"/>
        <v>8637</v>
      </c>
      <c r="BG295" s="274">
        <f t="shared" si="382"/>
        <v>10800</v>
      </c>
      <c r="BH295" s="274">
        <f t="shared" si="383"/>
        <v>13250</v>
      </c>
      <c r="BI295" s="499">
        <f t="shared" si="318"/>
        <v>0</v>
      </c>
      <c r="BJ295" s="266">
        <f t="shared" si="319"/>
        <v>0.48931116389548696</v>
      </c>
      <c r="BK295" s="263">
        <f t="shared" si="320"/>
        <v>0</v>
      </c>
      <c r="BL295" s="263">
        <f t="shared" si="321"/>
        <v>0</v>
      </c>
      <c r="BM295" s="263">
        <f t="shared" si="322"/>
        <v>0</v>
      </c>
      <c r="BN295" s="263">
        <f t="shared" si="351"/>
        <v>0</v>
      </c>
      <c r="BO295" s="263">
        <f t="shared" si="323"/>
        <v>0</v>
      </c>
      <c r="BP295" s="263">
        <f t="shared" si="324"/>
        <v>0</v>
      </c>
      <c r="BQ295" s="263">
        <f t="shared" si="325"/>
        <v>0</v>
      </c>
      <c r="BR295" s="263">
        <f t="shared" si="326"/>
        <v>0</v>
      </c>
      <c r="BS295" s="263">
        <f t="shared" si="327"/>
        <v>0</v>
      </c>
      <c r="BT295" s="263">
        <f t="shared" si="328"/>
        <v>0</v>
      </c>
      <c r="BU295" s="263">
        <f t="shared" si="329"/>
        <v>0</v>
      </c>
      <c r="BV295" s="263">
        <f t="shared" si="352"/>
        <v>0</v>
      </c>
      <c r="BW295" s="263">
        <f t="shared" si="330"/>
        <v>0</v>
      </c>
      <c r="BX295" s="263">
        <f t="shared" si="337"/>
        <v>1</v>
      </c>
      <c r="BY295" s="263">
        <f t="shared" si="331"/>
        <v>0</v>
      </c>
      <c r="BZ295" s="263">
        <f t="shared" si="370"/>
        <v>0</v>
      </c>
      <c r="CA295" s="263" t="str">
        <f t="shared" si="254"/>
        <v/>
      </c>
      <c r="CB295" s="263" t="str">
        <f t="shared" si="332"/>
        <v/>
      </c>
      <c r="CC295" s="263" t="str">
        <f t="shared" si="255"/>
        <v/>
      </c>
      <c r="CD295" s="263" t="str">
        <f t="shared" si="333"/>
        <v/>
      </c>
      <c r="CE295" s="263" t="str">
        <f t="shared" si="346"/>
        <v/>
      </c>
      <c r="CF295" s="263" t="str">
        <f t="shared" si="256"/>
        <v/>
      </c>
      <c r="CG295" s="263" t="str">
        <f t="shared" si="257"/>
        <v/>
      </c>
      <c r="CH295" s="263" t="str">
        <f t="shared" si="290"/>
        <v/>
      </c>
      <c r="CI295" s="263" t="str">
        <f t="shared" si="334"/>
        <v/>
      </c>
      <c r="CJ295" s="263" t="str">
        <f t="shared" si="291"/>
        <v/>
      </c>
      <c r="CK295" s="263" t="str">
        <f t="shared" si="335"/>
        <v/>
      </c>
      <c r="CL295" s="264">
        <f t="shared" si="367"/>
        <v>7580</v>
      </c>
      <c r="CM295" s="264">
        <f t="shared" si="362"/>
        <v>0</v>
      </c>
      <c r="CN295" s="500"/>
      <c r="CO295" s="265">
        <v>9.2010000000000008E-2</v>
      </c>
      <c r="CP295" s="265">
        <v>9.5690000000000011E-2</v>
      </c>
      <c r="CQ295" s="265">
        <v>0.10135</v>
      </c>
      <c r="CR295" s="265">
        <v>0.10939</v>
      </c>
      <c r="CS295" s="265">
        <v>0.11303000000000001</v>
      </c>
      <c r="CT295" s="265">
        <v>0.1148</v>
      </c>
      <c r="CU295" s="265">
        <v>0.1158</v>
      </c>
      <c r="CV295" s="265">
        <v>0.11759</v>
      </c>
      <c r="CW295" s="265">
        <v>0.115</v>
      </c>
      <c r="CX295" s="265">
        <v>0.12019000000000001</v>
      </c>
      <c r="CY295" s="265">
        <v>0.11750999999999999</v>
      </c>
      <c r="CZ295" s="265">
        <v>0.12102</v>
      </c>
      <c r="DA295" s="265">
        <v>0.11990000000000001</v>
      </c>
      <c r="DB295" s="265">
        <v>0.12186999999999999</v>
      </c>
      <c r="DC295" s="265">
        <v>0.11789999999999999</v>
      </c>
      <c r="DD295" s="265">
        <v>0.12136</v>
      </c>
      <c r="DE295" s="265">
        <v>6.1710000000000001E-2</v>
      </c>
      <c r="DF295" s="265">
        <v>6.7500000000000004E-2</v>
      </c>
      <c r="DH295" s="265">
        <v>6.3550000000000009E-2</v>
      </c>
      <c r="DI295" s="265">
        <v>6.4699999999999994E-2</v>
      </c>
      <c r="DJ295" s="265">
        <v>6.6299999999999998E-2</v>
      </c>
      <c r="DK295" s="265">
        <v>6.5640000000000004E-2</v>
      </c>
      <c r="DL295" s="265">
        <v>6.4180000000000001E-2</v>
      </c>
      <c r="DM295" s="265">
        <v>6.4500000000000002E-2</v>
      </c>
      <c r="DN295" s="265">
        <v>6.497E-2</v>
      </c>
      <c r="DO295" s="264">
        <f t="shared" si="363"/>
        <v>7580</v>
      </c>
      <c r="DP295" s="264" cm="1">
        <f t="array" ref="DP295">+INDEX(AH295:AW295,MATCH(DO295,AH295:AW295,1)+1)</f>
        <v>9134</v>
      </c>
      <c r="DQ295" s="265">
        <f t="shared" si="364"/>
        <v>0.12186999999999999</v>
      </c>
      <c r="DR295" s="267">
        <f t="shared" si="365"/>
        <v>0.11789999999999999</v>
      </c>
      <c r="DS295" s="267">
        <f t="shared" si="297"/>
        <v>0.12187000000000001</v>
      </c>
      <c r="DT295" s="268">
        <f t="shared" si="293"/>
        <v>-169</v>
      </c>
      <c r="DU295" s="268" cm="1">
        <f t="array" ref="DU295">+INDEX(AX295:BG295,MATCH(DT295,AX295:BG295,1)+1)</f>
        <v>510</v>
      </c>
      <c r="DV295" s="267">
        <f t="shared" si="366"/>
        <v>6.1710000000000001E-2</v>
      </c>
      <c r="DW295" s="267">
        <f t="shared" si="294"/>
        <v>6.7500000000000004E-2</v>
      </c>
      <c r="DX295" s="267">
        <f t="shared" si="345"/>
        <v>6.3149999999999998E-2</v>
      </c>
      <c r="DY295" s="267">
        <f t="shared" si="341"/>
        <v>5.28E-2</v>
      </c>
      <c r="DZ295" s="205">
        <f t="shared" si="384"/>
        <v>0.11928432</v>
      </c>
      <c r="EA295" s="205">
        <f t="shared" si="252"/>
        <v>5.9632351543942995E-2</v>
      </c>
    </row>
    <row r="296" spans="2:131">
      <c r="B296" s="272">
        <v>45957</v>
      </c>
      <c r="C296" s="271">
        <f t="shared" si="371"/>
        <v>45957</v>
      </c>
      <c r="D296" s="263">
        <f>+SUMIFS(Tabla6[Nominal COP],Tabla6[Concepto],COSTO_OPORTUNIDAD!$B$18,Tabla6[Nemotécnico],COSTO_OPORTUNIDAD!D$16,Tabla6[Fecha Cumplimiento y/ liquidacion],COSTO_OPORTUNIDAD!$C296)/+SUMIFS(Tabla6[Nominal COP],Tabla6[Concepto],COSTO_OPORTUNIDAD!$B$18,Tabla6[Fecha Cumplimiento y/ liquidacion],COSTO_OPORTUNIDAD!$C296)</f>
        <v>0</v>
      </c>
      <c r="E296" s="263">
        <f>+SUMIFS(Tabla6[Nominal COP],Tabla6[Concepto],COSTO_OPORTUNIDAD!$B$18,Tabla6[Nemotécnico],COSTO_OPORTUNIDAD!E$16,Tabla6[Fecha Cumplimiento y/ liquidacion],COSTO_OPORTUNIDAD!$C296)/+SUMIFS(Tabla6[Nominal COP],Tabla6[Concepto],COSTO_OPORTUNIDAD!$B$18,Tabla6[Fecha Cumplimiento y/ liquidacion],COSTO_OPORTUNIDAD!$C296)</f>
        <v>0</v>
      </c>
      <c r="F296" s="263">
        <f>+SUMIFS(Tabla6[Nominal COP],Tabla6[Concepto],COSTO_OPORTUNIDAD!$B$18,Tabla6[Nemotécnico],COSTO_OPORTUNIDAD!F$16,Tabla6[Fecha Cumplimiento y/ liquidacion],COSTO_OPORTUNIDAD!$C296)/+SUMIFS(Tabla6[Nominal COP],Tabla6[Concepto],COSTO_OPORTUNIDAD!$B$18,Tabla6[Fecha Cumplimiento y/ liquidacion],COSTO_OPORTUNIDAD!$C296)</f>
        <v>0</v>
      </c>
      <c r="G296" s="263">
        <f>+SUMIFS(Tabla6[Nominal COP],Tabla6[Concepto],COSTO_OPORTUNIDAD!$B$18,Tabla6[Nemotécnico],COSTO_OPORTUNIDAD!G$16,Tabla6[Fecha Cumplimiento y/ liquidacion],COSTO_OPORTUNIDAD!$C296)/+SUMIFS(Tabla6[Nominal COP],Tabla6[Concepto],COSTO_OPORTUNIDAD!$B$18,Tabla6[Fecha Cumplimiento y/ liquidacion],COSTO_OPORTUNIDAD!$C296)</f>
        <v>0</v>
      </c>
      <c r="H296" s="263">
        <f>+SUMIFS(Tabla6[Nominal COP],Tabla6[Concepto],COSTO_OPORTUNIDAD!$B$18,Tabla6[Nemotécnico],COSTO_OPORTUNIDAD!H$16,Tabla6[Fecha Cumplimiento y/ liquidacion],COSTO_OPORTUNIDAD!$C296)/+SUMIFS(Tabla6[Nominal COP],Tabla6[Concepto],COSTO_OPORTUNIDAD!$B$18,Tabla6[Fecha Cumplimiento y/ liquidacion],COSTO_OPORTUNIDAD!$C296)</f>
        <v>0</v>
      </c>
      <c r="I296" s="263">
        <f>+SUMIFS(Tabla6[Nominal COP],Tabla6[Concepto],COSTO_OPORTUNIDAD!$B$18,Tabla6[Nemotécnico],COSTO_OPORTUNIDAD!I$16,Tabla6[Fecha Cumplimiento y/ liquidacion],COSTO_OPORTUNIDAD!$C296)/+SUMIFS(Tabla6[Nominal COP],Tabla6[Concepto],COSTO_OPORTUNIDAD!$B$18,Tabla6[Fecha Cumplimiento y/ liquidacion],COSTO_OPORTUNIDAD!$C296)</f>
        <v>0</v>
      </c>
      <c r="J296" s="263">
        <f>+SUMIFS(Tabla6[Nominal COP],Tabla6[Concepto],COSTO_OPORTUNIDAD!$B$18,Tabla6[Nemotécnico],COSTO_OPORTUNIDAD!J$16,Tabla6[Fecha Cumplimiento y/ liquidacion],COSTO_OPORTUNIDAD!$C296)/+SUMIFS(Tabla6[Nominal COP],Tabla6[Concepto],COSTO_OPORTUNIDAD!$B$18,Tabla6[Fecha Cumplimiento y/ liquidacion],COSTO_OPORTUNIDAD!$C296)</f>
        <v>0</v>
      </c>
      <c r="K296" s="263">
        <f>+SUMIFS(Tabla6[Nominal COP],Tabla6[Concepto],COSTO_OPORTUNIDAD!$B$18,Tabla6[Nemotécnico],COSTO_OPORTUNIDAD!K$16,Tabla6[Fecha Cumplimiento y/ liquidacion],COSTO_OPORTUNIDAD!$C296)/+SUMIFS(Tabla6[Nominal COP],Tabla6[Concepto],COSTO_OPORTUNIDAD!$B$18,Tabla6[Fecha Cumplimiento y/ liquidacion],COSTO_OPORTUNIDAD!$C296)</f>
        <v>0</v>
      </c>
      <c r="L296" s="263">
        <f>+SUMIFS(Tabla6[Nominal COP],Tabla6[Concepto],COSTO_OPORTUNIDAD!$B$18,Tabla6[Nemotécnico],COSTO_OPORTUNIDAD!L$16,Tabla6[Fecha Cumplimiento y/ liquidacion],COSTO_OPORTUNIDAD!$C296)/+SUMIFS(Tabla6[Nominal COP],Tabla6[Concepto],COSTO_OPORTUNIDAD!$B$18,Tabla6[Fecha Cumplimiento y/ liquidacion],COSTO_OPORTUNIDAD!$C296)</f>
        <v>0</v>
      </c>
      <c r="M296" s="263">
        <f>+SUMIFS(Tabla6[Nominal COP],Tabla6[Concepto],COSTO_OPORTUNIDAD!$B$18,Tabla6[Nemotécnico],COSTO_OPORTUNIDAD!M$16,Tabla6[Fecha Cumplimiento y/ liquidacion],COSTO_OPORTUNIDAD!$C296)/+SUMIFS(Tabla6[Nominal COP],Tabla6[Concepto],COSTO_OPORTUNIDAD!$B$18,Tabla6[Fecha Cumplimiento y/ liquidacion],COSTO_OPORTUNIDAD!$C296)</f>
        <v>0</v>
      </c>
      <c r="N296" s="263">
        <f>+SUMIFS(Tabla6[Nominal COP],Tabla6[Concepto],COSTO_OPORTUNIDAD!$B$18,Tabla6[Nemotécnico],COSTO_OPORTUNIDAD!N$16,Tabla6[Fecha Cumplimiento y/ liquidacion],COSTO_OPORTUNIDAD!$C296)/+SUMIFS(Tabla6[Nominal COP],Tabla6[Concepto],COSTO_OPORTUNIDAD!$B$18,Tabla6[Fecha Cumplimiento y/ liquidacion],COSTO_OPORTUNIDAD!$C296)</f>
        <v>0</v>
      </c>
      <c r="O296" s="263"/>
      <c r="P296" s="263">
        <f>+SUMIFS(Tabla6[Nominal COP],Tabla6[Concepto],COSTO_OPORTUNIDAD!$B$18,Tabla6[Nemotécnico],COSTO_OPORTUNIDAD!P$16,Tabla6[Fecha Cumplimiento y/ liquidacion],COSTO_OPORTUNIDAD!$C296)/+SUMIFS(Tabla6[Nominal COP],Tabla6[Concepto],COSTO_OPORTUNIDAD!$B$18,Tabla6[Fecha Cumplimiento y/ liquidacion],COSTO_OPORTUNIDAD!$C296)</f>
        <v>0</v>
      </c>
      <c r="Q296" s="263">
        <f>+SUMIFS(Tabla6[Nominal COP],Tabla6[Concepto],COSTO_OPORTUNIDAD!$B$18,Tabla6[Nemotécnico],COSTO_OPORTUNIDAD!Q$16,Tabla6[Fecha Cumplimiento y/ liquidacion],COSTO_OPORTUNIDAD!$C296)/+SUMIFS(Tabla6[Nominal COP],Tabla6[Concepto],COSTO_OPORTUNIDAD!$B$18,Tabla6[Fecha Cumplimiento y/ liquidacion],COSTO_OPORTUNIDAD!$C296)</f>
        <v>0</v>
      </c>
      <c r="R296" s="263">
        <f>+SUMIFS(Tabla6[Nominal COP],Tabla6[Concepto],COSTO_OPORTUNIDAD!$B$18,Tabla6[Nemotécnico],COSTO_OPORTUNIDAD!R$16,Tabla6[Fecha Cumplimiento y/ liquidacion],COSTO_OPORTUNIDAD!$C296)/+SUMIFS(Tabla6[Nominal COP],Tabla6[Concepto],COSTO_OPORTUNIDAD!$B$18,Tabla6[Fecha Cumplimiento y/ liquidacion],COSTO_OPORTUNIDAD!$C296)</f>
        <v>0</v>
      </c>
      <c r="S296" s="263">
        <f>+SUMIFS(Tabla6[Nominal COP],Tabla6[Concepto],COSTO_OPORTUNIDAD!$B$18,Tabla6[Nemotécnico],COSTO_OPORTUNIDAD!S$16,Tabla6[Fecha Cumplimiento y/ liquidacion],COSTO_OPORTUNIDAD!$C296)/+SUMIFS(Tabla6[Nominal COP],Tabla6[Concepto],COSTO_OPORTUNIDAD!$B$18,Tabla6[Fecha Cumplimiento y/ liquidacion],COSTO_OPORTUNIDAD!$C296)</f>
        <v>1</v>
      </c>
      <c r="T296" s="263">
        <f>+SUMIFS(Tabla6[Nominal COP],Tabla6[Concepto],COSTO_OPORTUNIDAD!$B$18,Tabla6[Nemotécnico],COSTO_OPORTUNIDAD!T$16,Tabla6[Fecha Cumplimiento y/ liquidacion],COSTO_OPORTUNIDAD!$C296)/+SUMIFS(Tabla6[Nominal COP],Tabla6[Concepto],COSTO_OPORTUNIDAD!$B$18,Tabla6[Fecha Cumplimiento y/ liquidacion],COSTO_OPORTUNIDAD!$C296)</f>
        <v>0</v>
      </c>
      <c r="U296" s="263">
        <f>+SUMIFS(Tabla6[Nominal COP],Tabla6[Concepto],COSTO_OPORTUNIDAD!$B$18,Tabla6[Nemotécnico],COSTO_OPORTUNIDAD!U$16,Tabla6[Fecha Cumplimiento y/ liquidacion],COSTO_OPORTUNIDAD!$C296)/+SUMIFS(Tabla6[Nominal COP],Tabla6[Concepto],COSTO_OPORTUNIDAD!$B$18,Tabla6[Fecha Cumplimiento y/ liquidacion],COSTO_OPORTUNIDAD!$C296)</f>
        <v>0</v>
      </c>
      <c r="V296" s="263">
        <f>+SUMIFS(Tabla6[Nominal COP],Tabla6[Concepto],COSTO_OPORTUNIDAD!$B$18,Tabla6[Nemotécnico],COSTO_OPORTUNIDAD!V$16,Tabla6[Fecha Cumplimiento y/ liquidacion],COSTO_OPORTUNIDAD!$C296)/+SUMIFS(Tabla6[Nominal COP],Tabla6[Concepto],COSTO_OPORTUNIDAD!$B$18,Tabla6[Fecha Cumplimiento y/ liquidacion],COSTO_OPORTUNIDAD!$C296)</f>
        <v>0</v>
      </c>
      <c r="W296" s="263">
        <f>+SUMIFS(Tabla6[Nominal COP],Tabla6[Concepto],COSTO_OPORTUNIDAD!$B$18,Tabla6[Nemotécnico],COSTO_OPORTUNIDAD!W$16,Tabla6[Fecha Cumplimiento y/ liquidacion],COSTO_OPORTUNIDAD!$C296)/+SUMIFS(Tabla6[Nominal COP],Tabla6[Concepto],COSTO_OPORTUNIDAD!$B$18,Tabla6[Fecha Cumplimiento y/ liquidacion],COSTO_OPORTUNIDAD!$C296)</f>
        <v>0</v>
      </c>
      <c r="X296" s="263">
        <f>+SUMIFS(Tabla6[Nominal COP],Tabla6[Concepto],COSTO_OPORTUNIDAD!$B$18,Tabla6[Nemotécnico],COSTO_OPORTUNIDAD!X$16,Tabla6[Fecha Cumplimiento y/ liquidacion],COSTO_OPORTUNIDAD!$C296)/+SUMIFS(Tabla6[Nominal COP],Tabla6[Concepto],COSTO_OPORTUNIDAD!$B$18,Tabla6[Fecha Cumplimiento y/ liquidacion],COSTO_OPORTUNIDAD!$C296)</f>
        <v>0</v>
      </c>
      <c r="Y296" s="263">
        <f>+SUMIFS(Tabla6[Nominal COP],Tabla6[Concepto],COSTO_OPORTUNIDAD!$B$18,Tabla6[Nemotécnico],COSTO_OPORTUNIDAD!Y$16,Tabla6[Fecha Cumplimiento y/ liquidacion],COSTO_OPORTUNIDAD!$C296)/+SUMIFS(Tabla6[Nominal COP],Tabla6[Concepto],COSTO_OPORTUNIDAD!$B$18,Tabla6[Fecha Cumplimiento y/ liquidacion],COSTO_OPORTUNIDAD!$C296)</f>
        <v>0</v>
      </c>
      <c r="Z296" s="263">
        <f>+SUMIFS(Tabla6[Nominal COP],Tabla6[Concepto],COSTO_OPORTUNIDAD!$B$18,Tabla6[Nemotécnico],COSTO_OPORTUNIDAD!Z$16,Tabla6[Fecha Cumplimiento y/ liquidacion],COSTO_OPORTUNIDAD!$C296)/+SUMIFS(Tabla6[Nominal COP],Tabla6[Concepto],COSTO_OPORTUNIDAD!$B$18,Tabla6[Fecha Cumplimiento y/ liquidacion],COSTO_OPORTUNIDAD!$C296)</f>
        <v>0</v>
      </c>
      <c r="AA296" s="263">
        <f>+SUMIFS(Tabla6[Nominal COP],Tabla6[Concepto],COSTO_OPORTUNIDAD!$B$18,Tabla6[Nemotécnico],COSTO_OPORTUNIDAD!AA$16,Tabla6[Fecha Cumplimiento y/ liquidacion],COSTO_OPORTUNIDAD!$C296)/+SUMIFS(Tabla6[Nominal COP],Tabla6[Concepto],COSTO_OPORTUNIDAD!$B$18,Tabla6[Fecha Cumplimiento y/ liquidacion],COSTO_OPORTUNIDAD!$C296)</f>
        <v>0</v>
      </c>
      <c r="AB296" s="263">
        <f>+SUMIFS(Tabla6[Nominal COP],Tabla6[Concepto],COSTO_OPORTUNIDAD!$B$18,Tabla6[Nemotécnico],COSTO_OPORTUNIDAD!AB$16,Tabla6[Fecha Cumplimiento y/ liquidacion],COSTO_OPORTUNIDAD!$C296)/+SUMIFS(Tabla6[Nominal COP],Tabla6[Concepto],COSTO_OPORTUNIDAD!$B$18,Tabla6[Fecha Cumplimiento y/ liquidacion],COSTO_OPORTUNIDAD!$C296)</f>
        <v>0</v>
      </c>
      <c r="AC296" s="263">
        <f>+SUMIFS(Tabla6[Nominal COP],Tabla6[Concepto],COSTO_OPORTUNIDAD!$B$18,Tabla6[Nemotécnico],COSTO_OPORTUNIDAD!AC$16,Tabla6[Fecha Cumplimiento y/ liquidacion],COSTO_OPORTUNIDAD!$C296)/+SUMIFS(Tabla6[Nominal COP],Tabla6[Concepto],COSTO_OPORTUNIDAD!$B$18,Tabla6[Fecha Cumplimiento y/ liquidacion],COSTO_OPORTUNIDAD!$C296)</f>
        <v>0</v>
      </c>
      <c r="AD296" s="263">
        <f>+SUMIFS(Tabla6[Nominal COP],Tabla6[Concepto],COSTO_OPORTUNIDAD!$B$18,Tabla6[Nemotécnico],COSTO_OPORTUNIDAD!AC$16,Tabla6[Fecha Cumplimiento y/ liquidacion],COSTO_OPORTUNIDAD!$C296)/+SUMIFS(Tabla6[Nominal COP],Tabla6[Concepto],COSTO_OPORTUNIDAD!$B$18,Tabla6[Fecha Cumplimiento y/ liquidacion],COSTO_OPORTUNIDAD!$C296)</f>
        <v>0</v>
      </c>
      <c r="AE296" s="263">
        <f>+SUMIFS(Tabla6[Nominal COP],Tabla6[Concepto],COSTO_OPORTUNIDAD!$B$18,Tabla6[Nemotécnico],COSTO_OPORTUNIDAD!AE$16,Tabla6[Fecha Cumplimiento y/ liquidacion],COSTO_OPORTUNIDAD!$C296)/+SUMIFS(Tabla6[Nominal COP],Tabla6[Concepto],COSTO_OPORTUNIDAD!$B$18,Tabla6[Fecha Cumplimiento y/ liquidacion],COSTO_OPORTUNIDAD!$C296)</f>
        <v>0</v>
      </c>
      <c r="AF296" s="263">
        <f>+SUMIFS(Tabla6[Nominal COP],Tabla6[Concepto],COSTO_OPORTUNIDAD!$B$18,Tabla6[Nemotécnico],COSTO_OPORTUNIDAD!AF$16,Tabla6[Fecha Cumplimiento y/ liquidacion],COSTO_OPORTUNIDAD!$C296)/+SUMIFS(Tabla6[Nominal COP],Tabla6[Concepto],COSTO_OPORTUNIDAD!$B$18,Tabla6[Fecha Cumplimiento y/ liquidacion],COSTO_OPORTUNIDAD!$C296)</f>
        <v>0</v>
      </c>
      <c r="AH296" s="274">
        <f t="shared" si="372"/>
        <v>303</v>
      </c>
      <c r="AI296" s="274">
        <f t="shared" si="372"/>
        <v>737</v>
      </c>
      <c r="AJ296" s="274">
        <f t="shared" si="372"/>
        <v>914</v>
      </c>
      <c r="AK296" s="274">
        <f t="shared" si="372"/>
        <v>1395</v>
      </c>
      <c r="AL296" s="274">
        <f t="shared" si="372"/>
        <v>1787</v>
      </c>
      <c r="AM296" s="274">
        <f t="shared" si="372"/>
        <v>1976</v>
      </c>
      <c r="AN296" s="274">
        <f t="shared" si="372"/>
        <v>2438</v>
      </c>
      <c r="AO296" s="274">
        <f t="shared" si="372"/>
        <v>2662</v>
      </c>
      <c r="AP296" s="274">
        <f t="shared" si="372"/>
        <v>3278</v>
      </c>
      <c r="AQ296" s="274"/>
      <c r="AR296" s="274">
        <f t="shared" si="313"/>
        <v>3908</v>
      </c>
      <c r="AS296" s="274">
        <f t="shared" si="301"/>
        <v>5511</v>
      </c>
      <c r="AT296" s="274">
        <f t="shared" si="283"/>
        <v>6057</v>
      </c>
      <c r="AU296" s="274">
        <f t="shared" si="284"/>
        <v>7576</v>
      </c>
      <c r="AV296" s="274">
        <f t="shared" si="285"/>
        <v>9130</v>
      </c>
      <c r="AW296" s="274">
        <f t="shared" si="361"/>
        <v>11825</v>
      </c>
      <c r="AX296" s="274">
        <f t="shared" si="373"/>
        <v>-173</v>
      </c>
      <c r="AY296" s="274">
        <f t="shared" si="374"/>
        <v>506</v>
      </c>
      <c r="AZ296" s="274">
        <f t="shared" si="375"/>
        <v>1269</v>
      </c>
      <c r="BA296" s="274">
        <f t="shared" si="376"/>
        <v>1913</v>
      </c>
      <c r="BB296" s="274">
        <f t="shared" si="377"/>
        <v>2706</v>
      </c>
      <c r="BC296" s="274">
        <f t="shared" si="378"/>
        <v>3446</v>
      </c>
      <c r="BD296" s="274">
        <f t="shared" si="379"/>
        <v>4139</v>
      </c>
      <c r="BE296" s="274">
        <f t="shared" si="380"/>
        <v>5623</v>
      </c>
      <c r="BF296" s="274">
        <f t="shared" si="381"/>
        <v>8633</v>
      </c>
      <c r="BG296" s="274">
        <f t="shared" si="382"/>
        <v>10796</v>
      </c>
      <c r="BH296" s="274">
        <f t="shared" si="383"/>
        <v>13246</v>
      </c>
      <c r="BI296" s="499">
        <f t="shared" si="318"/>
        <v>0</v>
      </c>
      <c r="BJ296" s="266">
        <f t="shared" si="319"/>
        <v>1</v>
      </c>
      <c r="BK296" s="263">
        <f t="shared" si="320"/>
        <v>0</v>
      </c>
      <c r="BL296" s="263">
        <f t="shared" si="321"/>
        <v>0</v>
      </c>
      <c r="BM296" s="263">
        <f t="shared" si="322"/>
        <v>0</v>
      </c>
      <c r="BN296" s="263">
        <f t="shared" si="351"/>
        <v>0</v>
      </c>
      <c r="BO296" s="263">
        <f t="shared" si="323"/>
        <v>0</v>
      </c>
      <c r="BP296" s="263">
        <f t="shared" si="324"/>
        <v>0</v>
      </c>
      <c r="BQ296" s="263">
        <f t="shared" si="325"/>
        <v>0</v>
      </c>
      <c r="BR296" s="263">
        <f t="shared" si="326"/>
        <v>0</v>
      </c>
      <c r="BS296" s="263">
        <f t="shared" si="327"/>
        <v>0</v>
      </c>
      <c r="BT296" s="263">
        <f t="shared" si="328"/>
        <v>0</v>
      </c>
      <c r="BU296" s="263">
        <f t="shared" si="329"/>
        <v>0</v>
      </c>
      <c r="BV296" s="263">
        <f t="shared" si="352"/>
        <v>0</v>
      </c>
      <c r="BW296" s="263">
        <f t="shared" si="330"/>
        <v>0</v>
      </c>
      <c r="BX296" s="263">
        <f t="shared" si="337"/>
        <v>1</v>
      </c>
      <c r="BY296" s="263">
        <f t="shared" si="331"/>
        <v>0</v>
      </c>
      <c r="BZ296" s="263">
        <f t="shared" si="370"/>
        <v>0</v>
      </c>
      <c r="CA296" s="263" t="str">
        <f t="shared" si="254"/>
        <v/>
      </c>
      <c r="CB296" s="263" t="str">
        <f t="shared" si="332"/>
        <v/>
      </c>
      <c r="CC296" s="263" t="str">
        <f t="shared" si="255"/>
        <v/>
      </c>
      <c r="CD296" s="263" t="str">
        <f t="shared" si="333"/>
        <v/>
      </c>
      <c r="CE296" s="263" t="str">
        <f t="shared" si="346"/>
        <v/>
      </c>
      <c r="CF296" s="263" t="str">
        <f t="shared" si="256"/>
        <v/>
      </c>
      <c r="CG296" s="263" t="str">
        <f t="shared" si="257"/>
        <v/>
      </c>
      <c r="CH296" s="263" t="str">
        <f t="shared" si="290"/>
        <v/>
      </c>
      <c r="CI296" s="263" t="str">
        <f t="shared" si="334"/>
        <v/>
      </c>
      <c r="CJ296" s="263" t="str">
        <f t="shared" si="291"/>
        <v/>
      </c>
      <c r="CK296" s="263" t="str">
        <f t="shared" si="335"/>
        <v/>
      </c>
      <c r="CL296" s="264">
        <f t="shared" si="367"/>
        <v>7576</v>
      </c>
      <c r="CM296" s="264">
        <f t="shared" si="362"/>
        <v>0</v>
      </c>
      <c r="CN296" s="500"/>
      <c r="CO296" s="501">
        <v>9.1189999999999993E-2</v>
      </c>
      <c r="CP296" s="501">
        <v>9.5100000000000004E-2</v>
      </c>
      <c r="CQ296" s="501">
        <v>0.10150000000000001</v>
      </c>
      <c r="CR296" s="501">
        <v>0.10922999999999999</v>
      </c>
      <c r="CS296" s="501">
        <v>0.11239</v>
      </c>
      <c r="CT296" s="501">
        <v>0.11380000000000001</v>
      </c>
      <c r="CU296" s="501">
        <v>0.11542999999999999</v>
      </c>
      <c r="CV296" s="501">
        <v>0.11630000000000001</v>
      </c>
      <c r="CW296" s="501">
        <v>0.1139</v>
      </c>
      <c r="CX296" s="501">
        <v>0.11904999999999999</v>
      </c>
      <c r="CY296" s="501">
        <v>0.11581</v>
      </c>
      <c r="CZ296" s="501">
        <v>0.12005</v>
      </c>
      <c r="DA296" s="501">
        <v>0.11904999999999999</v>
      </c>
      <c r="DB296" s="501">
        <v>0.12032</v>
      </c>
      <c r="DC296" s="501">
        <v>0.1166</v>
      </c>
      <c r="DD296" s="501">
        <v>0.12049</v>
      </c>
      <c r="DE296" s="265">
        <v>6.1710000000000001E-2</v>
      </c>
      <c r="DF296" s="265">
        <v>6.7500000000000004E-2</v>
      </c>
      <c r="DH296" s="265">
        <v>6.3550000000000009E-2</v>
      </c>
      <c r="DI296" s="265">
        <v>6.4699999999999994E-2</v>
      </c>
      <c r="DJ296" s="265">
        <v>6.6299999999999998E-2</v>
      </c>
      <c r="DK296" s="265">
        <v>6.5640000000000004E-2</v>
      </c>
      <c r="DL296" s="265">
        <v>6.4180000000000001E-2</v>
      </c>
      <c r="DM296" s="265">
        <v>6.4500000000000002E-2</v>
      </c>
      <c r="DN296" s="265">
        <v>6.497E-2</v>
      </c>
      <c r="DO296" s="264">
        <f t="shared" si="363"/>
        <v>7576</v>
      </c>
      <c r="DP296" s="264" cm="1">
        <f t="array" ref="DP296">+INDEX(AH296:AW296,MATCH(DO296,AH296:AW296,1)+1)</f>
        <v>9130</v>
      </c>
      <c r="DQ296" s="265">
        <f t="shared" si="364"/>
        <v>0.12032</v>
      </c>
      <c r="DR296" s="267">
        <f t="shared" si="365"/>
        <v>0.1166</v>
      </c>
      <c r="DS296" s="267">
        <f t="shared" si="297"/>
        <v>0.12032</v>
      </c>
      <c r="DT296" s="268">
        <f t="shared" si="293"/>
        <v>-173</v>
      </c>
      <c r="DU296" s="268" cm="1">
        <f t="array" ref="DU296">+INDEX(AX296:BG296,MATCH(DT296,AX296:BG296,1)+1)</f>
        <v>506</v>
      </c>
      <c r="DV296" s="267">
        <f t="shared" si="366"/>
        <v>6.1710000000000001E-2</v>
      </c>
      <c r="DW296" s="267">
        <f t="shared" si="294"/>
        <v>6.7500000000000004E-2</v>
      </c>
      <c r="DX296" s="267">
        <f t="shared" si="345"/>
        <v>6.3189999999999996E-2</v>
      </c>
      <c r="DY296" s="267">
        <f t="shared" si="341"/>
        <v>5.28E-2</v>
      </c>
      <c r="DZ296" s="205">
        <f t="shared" si="384"/>
        <v>0.11932643200000004</v>
      </c>
      <c r="EA296" s="205">
        <f t="shared" ref="EA296:EA304" si="385">IFERROR(BJ296*DS296,0)+IFERROR(BI296*DZ296,0)</f>
        <v>0.12032</v>
      </c>
    </row>
    <row r="297" spans="2:131">
      <c r="B297" s="272">
        <v>45958</v>
      </c>
      <c r="C297" s="271">
        <f t="shared" ref="C297:C306" si="386">+B297</f>
        <v>45958</v>
      </c>
      <c r="D297" s="263">
        <f>+SUMIFS(Tabla6[Nominal COP],Tabla6[Concepto],COSTO_OPORTUNIDAD!$B$18,Tabla6[Nemotécnico],COSTO_OPORTUNIDAD!D$16,Tabla6[Fecha Cumplimiento y/ liquidacion],COSTO_OPORTUNIDAD!$C297)/+SUMIFS(Tabla6[Nominal COP],Tabla6[Concepto],COSTO_OPORTUNIDAD!$B$18,Tabla6[Fecha Cumplimiento y/ liquidacion],COSTO_OPORTUNIDAD!$C297)</f>
        <v>0</v>
      </c>
      <c r="E297" s="263">
        <f>+SUMIFS(Tabla6[Nominal COP],Tabla6[Concepto],COSTO_OPORTUNIDAD!$B$18,Tabla6[Nemotécnico],COSTO_OPORTUNIDAD!E$16,Tabla6[Fecha Cumplimiento y/ liquidacion],COSTO_OPORTUNIDAD!$C297)/+SUMIFS(Tabla6[Nominal COP],Tabla6[Concepto],COSTO_OPORTUNIDAD!$B$18,Tabla6[Fecha Cumplimiento y/ liquidacion],COSTO_OPORTUNIDAD!$C297)</f>
        <v>0</v>
      </c>
      <c r="F297" s="263">
        <f>+SUMIFS(Tabla6[Nominal COP],Tabla6[Concepto],COSTO_OPORTUNIDAD!$B$18,Tabla6[Nemotécnico],COSTO_OPORTUNIDAD!F$16,Tabla6[Fecha Cumplimiento y/ liquidacion],COSTO_OPORTUNIDAD!$C297)/+SUMIFS(Tabla6[Nominal COP],Tabla6[Concepto],COSTO_OPORTUNIDAD!$B$18,Tabla6[Fecha Cumplimiento y/ liquidacion],COSTO_OPORTUNIDAD!$C297)</f>
        <v>0</v>
      </c>
      <c r="G297" s="263">
        <f>+SUMIFS(Tabla6[Nominal COP],Tabla6[Concepto],COSTO_OPORTUNIDAD!$B$18,Tabla6[Nemotécnico],COSTO_OPORTUNIDAD!G$16,Tabla6[Fecha Cumplimiento y/ liquidacion],COSTO_OPORTUNIDAD!$C297)/+SUMIFS(Tabla6[Nominal COP],Tabla6[Concepto],COSTO_OPORTUNIDAD!$B$18,Tabla6[Fecha Cumplimiento y/ liquidacion],COSTO_OPORTUNIDAD!$C297)</f>
        <v>0</v>
      </c>
      <c r="H297" s="263">
        <f>+SUMIFS(Tabla6[Nominal COP],Tabla6[Concepto],COSTO_OPORTUNIDAD!$B$18,Tabla6[Nemotécnico],COSTO_OPORTUNIDAD!H$16,Tabla6[Fecha Cumplimiento y/ liquidacion],COSTO_OPORTUNIDAD!$C297)/+SUMIFS(Tabla6[Nominal COP],Tabla6[Concepto],COSTO_OPORTUNIDAD!$B$18,Tabla6[Fecha Cumplimiento y/ liquidacion],COSTO_OPORTUNIDAD!$C297)</f>
        <v>0</v>
      </c>
      <c r="I297" s="263">
        <f>+SUMIFS(Tabla6[Nominal COP],Tabla6[Concepto],COSTO_OPORTUNIDAD!$B$18,Tabla6[Nemotécnico],COSTO_OPORTUNIDAD!I$16,Tabla6[Fecha Cumplimiento y/ liquidacion],COSTO_OPORTUNIDAD!$C297)/+SUMIFS(Tabla6[Nominal COP],Tabla6[Concepto],COSTO_OPORTUNIDAD!$B$18,Tabla6[Fecha Cumplimiento y/ liquidacion],COSTO_OPORTUNIDAD!$C297)</f>
        <v>0</v>
      </c>
      <c r="J297" s="263">
        <f>+SUMIFS(Tabla6[Nominal COP],Tabla6[Concepto],COSTO_OPORTUNIDAD!$B$18,Tabla6[Nemotécnico],COSTO_OPORTUNIDAD!J$16,Tabla6[Fecha Cumplimiento y/ liquidacion],COSTO_OPORTUNIDAD!$C297)/+SUMIFS(Tabla6[Nominal COP],Tabla6[Concepto],COSTO_OPORTUNIDAD!$B$18,Tabla6[Fecha Cumplimiento y/ liquidacion],COSTO_OPORTUNIDAD!$C297)</f>
        <v>0</v>
      </c>
      <c r="K297" s="263">
        <f>+SUMIFS(Tabla6[Nominal COP],Tabla6[Concepto],COSTO_OPORTUNIDAD!$B$18,Tabla6[Nemotécnico],COSTO_OPORTUNIDAD!K$16,Tabla6[Fecha Cumplimiento y/ liquidacion],COSTO_OPORTUNIDAD!$C297)/+SUMIFS(Tabla6[Nominal COP],Tabla6[Concepto],COSTO_OPORTUNIDAD!$B$18,Tabla6[Fecha Cumplimiento y/ liquidacion],COSTO_OPORTUNIDAD!$C297)</f>
        <v>0</v>
      </c>
      <c r="L297" s="263">
        <f>+SUMIFS(Tabla6[Nominal COP],Tabla6[Concepto],COSTO_OPORTUNIDAD!$B$18,Tabla6[Nemotécnico],COSTO_OPORTUNIDAD!L$16,Tabla6[Fecha Cumplimiento y/ liquidacion],COSTO_OPORTUNIDAD!$C297)/+SUMIFS(Tabla6[Nominal COP],Tabla6[Concepto],COSTO_OPORTUNIDAD!$B$18,Tabla6[Fecha Cumplimiento y/ liquidacion],COSTO_OPORTUNIDAD!$C297)</f>
        <v>0</v>
      </c>
      <c r="M297" s="263">
        <f>+SUMIFS(Tabla6[Nominal COP],Tabla6[Concepto],COSTO_OPORTUNIDAD!$B$18,Tabla6[Nemotécnico],COSTO_OPORTUNIDAD!M$16,Tabla6[Fecha Cumplimiento y/ liquidacion],COSTO_OPORTUNIDAD!$C297)/+SUMIFS(Tabla6[Nominal COP],Tabla6[Concepto],COSTO_OPORTUNIDAD!$B$18,Tabla6[Fecha Cumplimiento y/ liquidacion],COSTO_OPORTUNIDAD!$C297)</f>
        <v>0</v>
      </c>
      <c r="N297" s="263">
        <f>+SUMIFS(Tabla6[Nominal COP],Tabla6[Concepto],COSTO_OPORTUNIDAD!$B$18,Tabla6[Nemotécnico],COSTO_OPORTUNIDAD!N$16,Tabla6[Fecha Cumplimiento y/ liquidacion],COSTO_OPORTUNIDAD!$C297)/+SUMIFS(Tabla6[Nominal COP],Tabla6[Concepto],COSTO_OPORTUNIDAD!$B$18,Tabla6[Fecha Cumplimiento y/ liquidacion],COSTO_OPORTUNIDAD!$C297)</f>
        <v>0</v>
      </c>
      <c r="O297" s="263"/>
      <c r="P297" s="263">
        <f>+SUMIFS(Tabla6[Nominal COP],Tabla6[Concepto],COSTO_OPORTUNIDAD!$B$18,Tabla6[Nemotécnico],COSTO_OPORTUNIDAD!P$16,Tabla6[Fecha Cumplimiento y/ liquidacion],COSTO_OPORTUNIDAD!$C297)/+SUMIFS(Tabla6[Nominal COP],Tabla6[Concepto],COSTO_OPORTUNIDAD!$B$18,Tabla6[Fecha Cumplimiento y/ liquidacion],COSTO_OPORTUNIDAD!$C297)</f>
        <v>0</v>
      </c>
      <c r="Q297" s="263">
        <f>+SUMIFS(Tabla6[Nominal COP],Tabla6[Concepto],COSTO_OPORTUNIDAD!$B$18,Tabla6[Nemotécnico],COSTO_OPORTUNIDAD!Q$16,Tabla6[Fecha Cumplimiento y/ liquidacion],COSTO_OPORTUNIDAD!$C297)/+SUMIFS(Tabla6[Nominal COP],Tabla6[Concepto],COSTO_OPORTUNIDAD!$B$18,Tabla6[Fecha Cumplimiento y/ liquidacion],COSTO_OPORTUNIDAD!$C297)</f>
        <v>0</v>
      </c>
      <c r="R297" s="263">
        <f>+SUMIFS(Tabla6[Nominal COP],Tabla6[Concepto],COSTO_OPORTUNIDAD!$B$18,Tabla6[Nemotécnico],COSTO_OPORTUNIDAD!R$16,Tabla6[Fecha Cumplimiento y/ liquidacion],COSTO_OPORTUNIDAD!$C297)/+SUMIFS(Tabla6[Nominal COP],Tabla6[Concepto],COSTO_OPORTUNIDAD!$B$18,Tabla6[Fecha Cumplimiento y/ liquidacion],COSTO_OPORTUNIDAD!$C297)</f>
        <v>0</v>
      </c>
      <c r="S297" s="263">
        <f>+SUMIFS(Tabla6[Nominal COP],Tabla6[Concepto],COSTO_OPORTUNIDAD!$B$18,Tabla6[Nemotécnico],COSTO_OPORTUNIDAD!S$16,Tabla6[Fecha Cumplimiento y/ liquidacion],COSTO_OPORTUNIDAD!$C297)/+SUMIFS(Tabla6[Nominal COP],Tabla6[Concepto],COSTO_OPORTUNIDAD!$B$18,Tabla6[Fecha Cumplimiento y/ liquidacion],COSTO_OPORTUNIDAD!$C297)</f>
        <v>1</v>
      </c>
      <c r="T297" s="263">
        <f>+SUMIFS(Tabla6[Nominal COP],Tabla6[Concepto],COSTO_OPORTUNIDAD!$B$18,Tabla6[Nemotécnico],COSTO_OPORTUNIDAD!T$16,Tabla6[Fecha Cumplimiento y/ liquidacion],COSTO_OPORTUNIDAD!$C297)/+SUMIFS(Tabla6[Nominal COP],Tabla6[Concepto],COSTO_OPORTUNIDAD!$B$18,Tabla6[Fecha Cumplimiento y/ liquidacion],COSTO_OPORTUNIDAD!$C297)</f>
        <v>0</v>
      </c>
      <c r="U297" s="263">
        <f>+SUMIFS(Tabla6[Nominal COP],Tabla6[Concepto],COSTO_OPORTUNIDAD!$B$18,Tabla6[Nemotécnico],COSTO_OPORTUNIDAD!U$16,Tabla6[Fecha Cumplimiento y/ liquidacion],COSTO_OPORTUNIDAD!$C297)/+SUMIFS(Tabla6[Nominal COP],Tabla6[Concepto],COSTO_OPORTUNIDAD!$B$18,Tabla6[Fecha Cumplimiento y/ liquidacion],COSTO_OPORTUNIDAD!$C297)</f>
        <v>0</v>
      </c>
      <c r="V297" s="263">
        <f>+SUMIFS(Tabla6[Nominal COP],Tabla6[Concepto],COSTO_OPORTUNIDAD!$B$18,Tabla6[Nemotécnico],COSTO_OPORTUNIDAD!V$16,Tabla6[Fecha Cumplimiento y/ liquidacion],COSTO_OPORTUNIDAD!$C297)/+SUMIFS(Tabla6[Nominal COP],Tabla6[Concepto],COSTO_OPORTUNIDAD!$B$18,Tabla6[Fecha Cumplimiento y/ liquidacion],COSTO_OPORTUNIDAD!$C297)</f>
        <v>0</v>
      </c>
      <c r="W297" s="263">
        <f>+SUMIFS(Tabla6[Nominal COP],Tabla6[Concepto],COSTO_OPORTUNIDAD!$B$18,Tabla6[Nemotécnico],COSTO_OPORTUNIDAD!W$16,Tabla6[Fecha Cumplimiento y/ liquidacion],COSTO_OPORTUNIDAD!$C297)/+SUMIFS(Tabla6[Nominal COP],Tabla6[Concepto],COSTO_OPORTUNIDAD!$B$18,Tabla6[Fecha Cumplimiento y/ liquidacion],COSTO_OPORTUNIDAD!$C297)</f>
        <v>0</v>
      </c>
      <c r="X297" s="263">
        <f>+SUMIFS(Tabla6[Nominal COP],Tabla6[Concepto],COSTO_OPORTUNIDAD!$B$18,Tabla6[Nemotécnico],COSTO_OPORTUNIDAD!X$16,Tabla6[Fecha Cumplimiento y/ liquidacion],COSTO_OPORTUNIDAD!$C297)/+SUMIFS(Tabla6[Nominal COP],Tabla6[Concepto],COSTO_OPORTUNIDAD!$B$18,Tabla6[Fecha Cumplimiento y/ liquidacion],COSTO_OPORTUNIDAD!$C297)</f>
        <v>0</v>
      </c>
      <c r="Y297" s="263">
        <f>+SUMIFS(Tabla6[Nominal COP],Tabla6[Concepto],COSTO_OPORTUNIDAD!$B$18,Tabla6[Nemotécnico],COSTO_OPORTUNIDAD!Y$16,Tabla6[Fecha Cumplimiento y/ liquidacion],COSTO_OPORTUNIDAD!$C297)/+SUMIFS(Tabla6[Nominal COP],Tabla6[Concepto],COSTO_OPORTUNIDAD!$B$18,Tabla6[Fecha Cumplimiento y/ liquidacion],COSTO_OPORTUNIDAD!$C297)</f>
        <v>0</v>
      </c>
      <c r="Z297" s="263">
        <f>+SUMIFS(Tabla6[Nominal COP],Tabla6[Concepto],COSTO_OPORTUNIDAD!$B$18,Tabla6[Nemotécnico],COSTO_OPORTUNIDAD!Z$16,Tabla6[Fecha Cumplimiento y/ liquidacion],COSTO_OPORTUNIDAD!$C297)/+SUMIFS(Tabla6[Nominal COP],Tabla6[Concepto],COSTO_OPORTUNIDAD!$B$18,Tabla6[Fecha Cumplimiento y/ liquidacion],COSTO_OPORTUNIDAD!$C297)</f>
        <v>0</v>
      </c>
      <c r="AA297" s="263">
        <f>+SUMIFS(Tabla6[Nominal COP],Tabla6[Concepto],COSTO_OPORTUNIDAD!$B$18,Tabla6[Nemotécnico],COSTO_OPORTUNIDAD!AA$16,Tabla6[Fecha Cumplimiento y/ liquidacion],COSTO_OPORTUNIDAD!$C297)/+SUMIFS(Tabla6[Nominal COP],Tabla6[Concepto],COSTO_OPORTUNIDAD!$B$18,Tabla6[Fecha Cumplimiento y/ liquidacion],COSTO_OPORTUNIDAD!$C297)</f>
        <v>0</v>
      </c>
      <c r="AB297" s="263">
        <f>+SUMIFS(Tabla6[Nominal COP],Tabla6[Concepto],COSTO_OPORTUNIDAD!$B$18,Tabla6[Nemotécnico],COSTO_OPORTUNIDAD!AB$16,Tabla6[Fecha Cumplimiento y/ liquidacion],COSTO_OPORTUNIDAD!$C297)/+SUMIFS(Tabla6[Nominal COP],Tabla6[Concepto],COSTO_OPORTUNIDAD!$B$18,Tabla6[Fecha Cumplimiento y/ liquidacion],COSTO_OPORTUNIDAD!$C297)</f>
        <v>0</v>
      </c>
      <c r="AC297" s="263">
        <f>+SUMIFS(Tabla6[Nominal COP],Tabla6[Concepto],COSTO_OPORTUNIDAD!$B$18,Tabla6[Nemotécnico],COSTO_OPORTUNIDAD!AC$16,Tabla6[Fecha Cumplimiento y/ liquidacion],COSTO_OPORTUNIDAD!$C297)/+SUMIFS(Tabla6[Nominal COP],Tabla6[Concepto],COSTO_OPORTUNIDAD!$B$18,Tabla6[Fecha Cumplimiento y/ liquidacion],COSTO_OPORTUNIDAD!$C297)</f>
        <v>0</v>
      </c>
      <c r="AD297" s="263">
        <f>+SUMIFS(Tabla6[Nominal COP],Tabla6[Concepto],COSTO_OPORTUNIDAD!$B$18,Tabla6[Nemotécnico],COSTO_OPORTUNIDAD!AC$16,Tabla6[Fecha Cumplimiento y/ liquidacion],COSTO_OPORTUNIDAD!$C297)/+SUMIFS(Tabla6[Nominal COP],Tabla6[Concepto],COSTO_OPORTUNIDAD!$B$18,Tabla6[Fecha Cumplimiento y/ liquidacion],COSTO_OPORTUNIDAD!$C297)</f>
        <v>0</v>
      </c>
      <c r="AE297" s="263">
        <f>+SUMIFS(Tabla6[Nominal COP],Tabla6[Concepto],COSTO_OPORTUNIDAD!$B$18,Tabla6[Nemotécnico],COSTO_OPORTUNIDAD!AE$16,Tabla6[Fecha Cumplimiento y/ liquidacion],COSTO_OPORTUNIDAD!$C297)/+SUMIFS(Tabla6[Nominal COP],Tabla6[Concepto],COSTO_OPORTUNIDAD!$B$18,Tabla6[Fecha Cumplimiento y/ liquidacion],COSTO_OPORTUNIDAD!$C297)</f>
        <v>0</v>
      </c>
      <c r="AF297" s="263">
        <f>+SUMIFS(Tabla6[Nominal COP],Tabla6[Concepto],COSTO_OPORTUNIDAD!$B$18,Tabla6[Nemotécnico],COSTO_OPORTUNIDAD!AF$16,Tabla6[Fecha Cumplimiento y/ liquidacion],COSTO_OPORTUNIDAD!$C297)/+SUMIFS(Tabla6[Nominal COP],Tabla6[Concepto],COSTO_OPORTUNIDAD!$B$18,Tabla6[Fecha Cumplimiento y/ liquidacion],COSTO_OPORTUNIDAD!$C297)</f>
        <v>0</v>
      </c>
      <c r="AH297" s="274">
        <f t="shared" si="372"/>
        <v>302</v>
      </c>
      <c r="AI297" s="274">
        <f t="shared" si="372"/>
        <v>736</v>
      </c>
      <c r="AJ297" s="274">
        <f t="shared" si="372"/>
        <v>913</v>
      </c>
      <c r="AK297" s="274">
        <f t="shared" si="372"/>
        <v>1394</v>
      </c>
      <c r="AL297" s="274">
        <f t="shared" si="372"/>
        <v>1786</v>
      </c>
      <c r="AM297" s="274">
        <f t="shared" si="372"/>
        <v>1975</v>
      </c>
      <c r="AN297" s="274">
        <f t="shared" si="372"/>
        <v>2437</v>
      </c>
      <c r="AO297" s="274">
        <f t="shared" si="372"/>
        <v>2661</v>
      </c>
      <c r="AP297" s="274">
        <f t="shared" si="372"/>
        <v>3277</v>
      </c>
      <c r="AQ297" s="274"/>
      <c r="AR297" s="274">
        <f t="shared" si="313"/>
        <v>3907</v>
      </c>
      <c r="AS297" s="274">
        <f t="shared" si="301"/>
        <v>5510</v>
      </c>
      <c r="AT297" s="274">
        <f t="shared" si="283"/>
        <v>6056</v>
      </c>
      <c r="AU297" s="274">
        <f t="shared" si="284"/>
        <v>7575</v>
      </c>
      <c r="AV297" s="274">
        <f t="shared" si="285"/>
        <v>9129</v>
      </c>
      <c r="AW297" s="274">
        <f t="shared" si="361"/>
        <v>11824</v>
      </c>
      <c r="AX297" s="274">
        <f t="shared" si="373"/>
        <v>-174</v>
      </c>
      <c r="AY297" s="274">
        <f t="shared" si="374"/>
        <v>505</v>
      </c>
      <c r="AZ297" s="274">
        <f t="shared" si="375"/>
        <v>1268</v>
      </c>
      <c r="BA297" s="274">
        <f t="shared" si="376"/>
        <v>1912</v>
      </c>
      <c r="BB297" s="274">
        <f t="shared" si="377"/>
        <v>2705</v>
      </c>
      <c r="BC297" s="274">
        <f t="shared" si="378"/>
        <v>3445</v>
      </c>
      <c r="BD297" s="274">
        <f t="shared" si="379"/>
        <v>4138</v>
      </c>
      <c r="BE297" s="274">
        <f t="shared" si="380"/>
        <v>5622</v>
      </c>
      <c r="BF297" s="274">
        <f t="shared" si="381"/>
        <v>8632</v>
      </c>
      <c r="BG297" s="274">
        <f t="shared" si="382"/>
        <v>10795</v>
      </c>
      <c r="BH297" s="274">
        <f t="shared" si="383"/>
        <v>13245</v>
      </c>
      <c r="BI297" s="499">
        <f t="shared" si="318"/>
        <v>0</v>
      </c>
      <c r="BJ297" s="266">
        <f t="shared" si="319"/>
        <v>1</v>
      </c>
      <c r="BK297" s="263">
        <f t="shared" si="320"/>
        <v>0</v>
      </c>
      <c r="BL297" s="263">
        <f t="shared" si="321"/>
        <v>0</v>
      </c>
      <c r="BM297" s="263">
        <f t="shared" si="322"/>
        <v>0</v>
      </c>
      <c r="BN297" s="263">
        <f t="shared" si="351"/>
        <v>0</v>
      </c>
      <c r="BO297" s="263">
        <f t="shared" si="323"/>
        <v>0</v>
      </c>
      <c r="BP297" s="263">
        <f t="shared" si="324"/>
        <v>0</v>
      </c>
      <c r="BQ297" s="263">
        <f t="shared" si="325"/>
        <v>0</v>
      </c>
      <c r="BR297" s="263">
        <f t="shared" si="326"/>
        <v>0</v>
      </c>
      <c r="BS297" s="263">
        <f t="shared" si="327"/>
        <v>0</v>
      </c>
      <c r="BT297" s="263">
        <f t="shared" si="328"/>
        <v>0</v>
      </c>
      <c r="BU297" s="263">
        <f t="shared" si="329"/>
        <v>0</v>
      </c>
      <c r="BV297" s="263">
        <f t="shared" si="352"/>
        <v>0</v>
      </c>
      <c r="BW297" s="263">
        <f t="shared" si="330"/>
        <v>0</v>
      </c>
      <c r="BX297" s="263">
        <f t="shared" si="337"/>
        <v>1</v>
      </c>
      <c r="BY297" s="263">
        <f t="shared" si="331"/>
        <v>0</v>
      </c>
      <c r="BZ297" s="263">
        <f t="shared" si="370"/>
        <v>0</v>
      </c>
      <c r="CA297" s="263" t="str">
        <f t="shared" si="254"/>
        <v/>
      </c>
      <c r="CB297" s="263" t="str">
        <f t="shared" si="332"/>
        <v/>
      </c>
      <c r="CC297" s="263" t="str">
        <f t="shared" si="255"/>
        <v/>
      </c>
      <c r="CD297" s="263" t="str">
        <f t="shared" si="333"/>
        <v/>
      </c>
      <c r="CE297" s="263" t="str">
        <f t="shared" si="346"/>
        <v/>
      </c>
      <c r="CF297" s="263" t="str">
        <f t="shared" si="256"/>
        <v/>
      </c>
      <c r="CG297" s="263" t="str">
        <f t="shared" si="257"/>
        <v/>
      </c>
      <c r="CH297" s="263" t="str">
        <f t="shared" si="290"/>
        <v/>
      </c>
      <c r="CI297" s="263" t="str">
        <f t="shared" si="334"/>
        <v/>
      </c>
      <c r="CJ297" s="263" t="str">
        <f t="shared" si="291"/>
        <v/>
      </c>
      <c r="CK297" s="263" t="str">
        <f t="shared" si="335"/>
        <v/>
      </c>
      <c r="CL297" s="264">
        <f t="shared" si="367"/>
        <v>7575</v>
      </c>
      <c r="CM297" s="264">
        <f t="shared" si="362"/>
        <v>0</v>
      </c>
      <c r="DO297" s="264">
        <f t="shared" si="363"/>
        <v>7575</v>
      </c>
      <c r="DP297" s="264" cm="1">
        <f t="array" ref="DP297">+INDEX(AH297:AW297,MATCH(DO297,AH297:AW297,1)+1)</f>
        <v>9129</v>
      </c>
      <c r="DQ297" s="265">
        <f t="shared" si="364"/>
        <v>0</v>
      </c>
      <c r="DR297" s="267">
        <f t="shared" si="365"/>
        <v>0</v>
      </c>
      <c r="DS297" s="267">
        <f t="shared" si="297"/>
        <v>0</v>
      </c>
      <c r="DT297" s="268">
        <f t="shared" si="293"/>
        <v>-174</v>
      </c>
      <c r="DU297" s="268" cm="1">
        <f t="array" ref="DU297">+INDEX(AX297:BG297,MATCH(DT297,AX297:BG297,1)+1)</f>
        <v>505</v>
      </c>
      <c r="DV297" s="267">
        <f t="shared" si="366"/>
        <v>0</v>
      </c>
      <c r="DW297" s="267">
        <f t="shared" si="294"/>
        <v>0</v>
      </c>
      <c r="DX297" s="267">
        <f t="shared" si="345"/>
        <v>0</v>
      </c>
      <c r="DY297" s="267">
        <f t="shared" si="341"/>
        <v>5.28E-2</v>
      </c>
      <c r="DZ297" s="205">
        <f t="shared" ref="DZ297:DZ300" si="387">+(1+DX297)*(1+DY297)-1</f>
        <v>5.2799999999999958E-2</v>
      </c>
      <c r="EA297" s="205">
        <f t="shared" si="385"/>
        <v>0</v>
      </c>
    </row>
    <row r="298" spans="2:131">
      <c r="B298" s="272">
        <v>45966</v>
      </c>
      <c r="C298" s="271">
        <f t="shared" si="386"/>
        <v>45966</v>
      </c>
      <c r="D298" s="263">
        <f>+SUMIFS(Tabla6[Nominal COP],Tabla6[Concepto],COSTO_OPORTUNIDAD!$B$18,Tabla6[Nemotécnico],COSTO_OPORTUNIDAD!D$16,Tabla6[Fecha Cumplimiento y/ liquidacion],COSTO_OPORTUNIDAD!$C298)/+SUMIFS(Tabla6[Nominal COP],Tabla6[Concepto],COSTO_OPORTUNIDAD!$B$18,Tabla6[Fecha Cumplimiento y/ liquidacion],COSTO_OPORTUNIDAD!$C298)</f>
        <v>0</v>
      </c>
      <c r="E298" s="263">
        <f>+SUMIFS(Tabla6[Nominal COP],Tabla6[Concepto],COSTO_OPORTUNIDAD!$B$18,Tabla6[Nemotécnico],COSTO_OPORTUNIDAD!E$16,Tabla6[Fecha Cumplimiento y/ liquidacion],COSTO_OPORTUNIDAD!$C298)/+SUMIFS(Tabla6[Nominal COP],Tabla6[Concepto],COSTO_OPORTUNIDAD!$B$18,Tabla6[Fecha Cumplimiento y/ liquidacion],COSTO_OPORTUNIDAD!$C298)</f>
        <v>0</v>
      </c>
      <c r="F298" s="263">
        <f>+SUMIFS(Tabla6[Nominal COP],Tabla6[Concepto],COSTO_OPORTUNIDAD!$B$18,Tabla6[Nemotécnico],COSTO_OPORTUNIDAD!F$16,Tabla6[Fecha Cumplimiento y/ liquidacion],COSTO_OPORTUNIDAD!$C298)/+SUMIFS(Tabla6[Nominal COP],Tabla6[Concepto],COSTO_OPORTUNIDAD!$B$18,Tabla6[Fecha Cumplimiento y/ liquidacion],COSTO_OPORTUNIDAD!$C298)</f>
        <v>0</v>
      </c>
      <c r="G298" s="263">
        <f>+SUMIFS(Tabla6[Nominal COP],Tabla6[Concepto],COSTO_OPORTUNIDAD!$B$18,Tabla6[Nemotécnico],COSTO_OPORTUNIDAD!G$16,Tabla6[Fecha Cumplimiento y/ liquidacion],COSTO_OPORTUNIDAD!$C298)/+SUMIFS(Tabla6[Nominal COP],Tabla6[Concepto],COSTO_OPORTUNIDAD!$B$18,Tabla6[Fecha Cumplimiento y/ liquidacion],COSTO_OPORTUNIDAD!$C298)</f>
        <v>0</v>
      </c>
      <c r="H298" s="263">
        <f>+SUMIFS(Tabla6[Nominal COP],Tabla6[Concepto],COSTO_OPORTUNIDAD!$B$18,Tabla6[Nemotécnico],COSTO_OPORTUNIDAD!H$16,Tabla6[Fecha Cumplimiento y/ liquidacion],COSTO_OPORTUNIDAD!$C298)/+SUMIFS(Tabla6[Nominal COP],Tabla6[Concepto],COSTO_OPORTUNIDAD!$B$18,Tabla6[Fecha Cumplimiento y/ liquidacion],COSTO_OPORTUNIDAD!$C298)</f>
        <v>0</v>
      </c>
      <c r="I298" s="263">
        <f>+SUMIFS(Tabla6[Nominal COP],Tabla6[Concepto],COSTO_OPORTUNIDAD!$B$18,Tabla6[Nemotécnico],COSTO_OPORTUNIDAD!I$16,Tabla6[Fecha Cumplimiento y/ liquidacion],COSTO_OPORTUNIDAD!$C298)/+SUMIFS(Tabla6[Nominal COP],Tabla6[Concepto],COSTO_OPORTUNIDAD!$B$18,Tabla6[Fecha Cumplimiento y/ liquidacion],COSTO_OPORTUNIDAD!$C298)</f>
        <v>0</v>
      </c>
      <c r="J298" s="263">
        <f>+SUMIFS(Tabla6[Nominal COP],Tabla6[Concepto],COSTO_OPORTUNIDAD!$B$18,Tabla6[Nemotécnico],COSTO_OPORTUNIDAD!J$16,Tabla6[Fecha Cumplimiento y/ liquidacion],COSTO_OPORTUNIDAD!$C298)/+SUMIFS(Tabla6[Nominal COP],Tabla6[Concepto],COSTO_OPORTUNIDAD!$B$18,Tabla6[Fecha Cumplimiento y/ liquidacion],COSTO_OPORTUNIDAD!$C298)</f>
        <v>0</v>
      </c>
      <c r="K298" s="263">
        <f>+SUMIFS(Tabla6[Nominal COP],Tabla6[Concepto],COSTO_OPORTUNIDAD!$B$18,Tabla6[Nemotécnico],COSTO_OPORTUNIDAD!K$16,Tabla6[Fecha Cumplimiento y/ liquidacion],COSTO_OPORTUNIDAD!$C298)/+SUMIFS(Tabla6[Nominal COP],Tabla6[Concepto],COSTO_OPORTUNIDAD!$B$18,Tabla6[Fecha Cumplimiento y/ liquidacion],COSTO_OPORTUNIDAD!$C298)</f>
        <v>0</v>
      </c>
      <c r="L298" s="263">
        <f>+SUMIFS(Tabla6[Nominal COP],Tabla6[Concepto],COSTO_OPORTUNIDAD!$B$18,Tabla6[Nemotécnico],COSTO_OPORTUNIDAD!L$16,Tabla6[Fecha Cumplimiento y/ liquidacion],COSTO_OPORTUNIDAD!$C298)/+SUMIFS(Tabla6[Nominal COP],Tabla6[Concepto],COSTO_OPORTUNIDAD!$B$18,Tabla6[Fecha Cumplimiento y/ liquidacion],COSTO_OPORTUNIDAD!$C298)</f>
        <v>0</v>
      </c>
      <c r="M298" s="263">
        <f>+SUMIFS(Tabla6[Nominal COP],Tabla6[Concepto],COSTO_OPORTUNIDAD!$B$18,Tabla6[Nemotécnico],COSTO_OPORTUNIDAD!M$16,Tabla6[Fecha Cumplimiento y/ liquidacion],COSTO_OPORTUNIDAD!$C298)/+SUMIFS(Tabla6[Nominal COP],Tabla6[Concepto],COSTO_OPORTUNIDAD!$B$18,Tabla6[Fecha Cumplimiento y/ liquidacion],COSTO_OPORTUNIDAD!$C298)</f>
        <v>0</v>
      </c>
      <c r="N298" s="263">
        <f>+SUMIFS(Tabla6[Nominal COP],Tabla6[Concepto],COSTO_OPORTUNIDAD!$B$18,Tabla6[Nemotécnico],COSTO_OPORTUNIDAD!N$16,Tabla6[Fecha Cumplimiento y/ liquidacion],COSTO_OPORTUNIDAD!$C298)/+SUMIFS(Tabla6[Nominal COP],Tabla6[Concepto],COSTO_OPORTUNIDAD!$B$18,Tabla6[Fecha Cumplimiento y/ liquidacion],COSTO_OPORTUNIDAD!$C298)</f>
        <v>0</v>
      </c>
      <c r="O298" s="263"/>
      <c r="P298" s="263">
        <f>+SUMIFS(Tabla6[Nominal COP],Tabla6[Concepto],COSTO_OPORTUNIDAD!$B$18,Tabla6[Nemotécnico],COSTO_OPORTUNIDAD!P$16,Tabla6[Fecha Cumplimiento y/ liquidacion],COSTO_OPORTUNIDAD!$C298)/+SUMIFS(Tabla6[Nominal COP],Tabla6[Concepto],COSTO_OPORTUNIDAD!$B$18,Tabla6[Fecha Cumplimiento y/ liquidacion],COSTO_OPORTUNIDAD!$C298)</f>
        <v>0</v>
      </c>
      <c r="Q298" s="263">
        <f>+SUMIFS(Tabla6[Nominal COP],Tabla6[Concepto],COSTO_OPORTUNIDAD!$B$18,Tabla6[Nemotécnico],COSTO_OPORTUNIDAD!Q$16,Tabla6[Fecha Cumplimiento y/ liquidacion],COSTO_OPORTUNIDAD!$C298)/+SUMIFS(Tabla6[Nominal COP],Tabla6[Concepto],COSTO_OPORTUNIDAD!$B$18,Tabla6[Fecha Cumplimiento y/ liquidacion],COSTO_OPORTUNIDAD!$C298)</f>
        <v>0</v>
      </c>
      <c r="R298" s="263">
        <f>+SUMIFS(Tabla6[Nominal COP],Tabla6[Concepto],COSTO_OPORTUNIDAD!$B$18,Tabla6[Nemotécnico],COSTO_OPORTUNIDAD!R$16,Tabla6[Fecha Cumplimiento y/ liquidacion],COSTO_OPORTUNIDAD!$C298)/+SUMIFS(Tabla6[Nominal COP],Tabla6[Concepto],COSTO_OPORTUNIDAD!$B$18,Tabla6[Fecha Cumplimiento y/ liquidacion],COSTO_OPORTUNIDAD!$C298)</f>
        <v>0</v>
      </c>
      <c r="S298" s="263">
        <f>+SUMIFS(Tabla6[Nominal COP],Tabla6[Concepto],COSTO_OPORTUNIDAD!$B$18,Tabla6[Nemotécnico],COSTO_OPORTUNIDAD!S$16,Tabla6[Fecha Cumplimiento y/ liquidacion],COSTO_OPORTUNIDAD!$C298)/+SUMIFS(Tabla6[Nominal COP],Tabla6[Concepto],COSTO_OPORTUNIDAD!$B$18,Tabla6[Fecha Cumplimiento y/ liquidacion],COSTO_OPORTUNIDAD!$C298)</f>
        <v>1</v>
      </c>
      <c r="T298" s="263">
        <f>+SUMIFS(Tabla6[Nominal COP],Tabla6[Concepto],COSTO_OPORTUNIDAD!$B$18,Tabla6[Nemotécnico],COSTO_OPORTUNIDAD!T$16,Tabla6[Fecha Cumplimiento y/ liquidacion],COSTO_OPORTUNIDAD!$C298)/+SUMIFS(Tabla6[Nominal COP],Tabla6[Concepto],COSTO_OPORTUNIDAD!$B$18,Tabla6[Fecha Cumplimiento y/ liquidacion],COSTO_OPORTUNIDAD!$C298)</f>
        <v>0</v>
      </c>
      <c r="U298" s="263">
        <f>+SUMIFS(Tabla6[Nominal COP],Tabla6[Concepto],COSTO_OPORTUNIDAD!$B$18,Tabla6[Nemotécnico],COSTO_OPORTUNIDAD!U$16,Tabla6[Fecha Cumplimiento y/ liquidacion],COSTO_OPORTUNIDAD!$C298)/+SUMIFS(Tabla6[Nominal COP],Tabla6[Concepto],COSTO_OPORTUNIDAD!$B$18,Tabla6[Fecha Cumplimiento y/ liquidacion],COSTO_OPORTUNIDAD!$C298)</f>
        <v>0</v>
      </c>
      <c r="V298" s="263">
        <f>+SUMIFS(Tabla6[Nominal COP],Tabla6[Concepto],COSTO_OPORTUNIDAD!$B$18,Tabla6[Nemotécnico],COSTO_OPORTUNIDAD!V$16,Tabla6[Fecha Cumplimiento y/ liquidacion],COSTO_OPORTUNIDAD!$C298)/+SUMIFS(Tabla6[Nominal COP],Tabla6[Concepto],COSTO_OPORTUNIDAD!$B$18,Tabla6[Fecha Cumplimiento y/ liquidacion],COSTO_OPORTUNIDAD!$C298)</f>
        <v>0</v>
      </c>
      <c r="W298" s="263">
        <f>+SUMIFS(Tabla6[Nominal COP],Tabla6[Concepto],COSTO_OPORTUNIDAD!$B$18,Tabla6[Nemotécnico],COSTO_OPORTUNIDAD!W$16,Tabla6[Fecha Cumplimiento y/ liquidacion],COSTO_OPORTUNIDAD!$C298)/+SUMIFS(Tabla6[Nominal COP],Tabla6[Concepto],COSTO_OPORTUNIDAD!$B$18,Tabla6[Fecha Cumplimiento y/ liquidacion],COSTO_OPORTUNIDAD!$C298)</f>
        <v>0</v>
      </c>
      <c r="X298" s="263">
        <f>+SUMIFS(Tabla6[Nominal COP],Tabla6[Concepto],COSTO_OPORTUNIDAD!$B$18,Tabla6[Nemotécnico],COSTO_OPORTUNIDAD!X$16,Tabla6[Fecha Cumplimiento y/ liquidacion],COSTO_OPORTUNIDAD!$C298)/+SUMIFS(Tabla6[Nominal COP],Tabla6[Concepto],COSTO_OPORTUNIDAD!$B$18,Tabla6[Fecha Cumplimiento y/ liquidacion],COSTO_OPORTUNIDAD!$C298)</f>
        <v>0</v>
      </c>
      <c r="Y298" s="263">
        <f>+SUMIFS(Tabla6[Nominal COP],Tabla6[Concepto],COSTO_OPORTUNIDAD!$B$18,Tabla6[Nemotécnico],COSTO_OPORTUNIDAD!Y$16,Tabla6[Fecha Cumplimiento y/ liquidacion],COSTO_OPORTUNIDAD!$C298)/+SUMIFS(Tabla6[Nominal COP],Tabla6[Concepto],COSTO_OPORTUNIDAD!$B$18,Tabla6[Fecha Cumplimiento y/ liquidacion],COSTO_OPORTUNIDAD!$C298)</f>
        <v>0</v>
      </c>
      <c r="Z298" s="263">
        <f>+SUMIFS(Tabla6[Nominal COP],Tabla6[Concepto],COSTO_OPORTUNIDAD!$B$18,Tabla6[Nemotécnico],COSTO_OPORTUNIDAD!Z$16,Tabla6[Fecha Cumplimiento y/ liquidacion],COSTO_OPORTUNIDAD!$C298)/+SUMIFS(Tabla6[Nominal COP],Tabla6[Concepto],COSTO_OPORTUNIDAD!$B$18,Tabla6[Fecha Cumplimiento y/ liquidacion],COSTO_OPORTUNIDAD!$C298)</f>
        <v>0</v>
      </c>
      <c r="AA298" s="263">
        <f>+SUMIFS(Tabla6[Nominal COP],Tabla6[Concepto],COSTO_OPORTUNIDAD!$B$18,Tabla6[Nemotécnico],COSTO_OPORTUNIDAD!AA$16,Tabla6[Fecha Cumplimiento y/ liquidacion],COSTO_OPORTUNIDAD!$C298)/+SUMIFS(Tabla6[Nominal COP],Tabla6[Concepto],COSTO_OPORTUNIDAD!$B$18,Tabla6[Fecha Cumplimiento y/ liquidacion],COSTO_OPORTUNIDAD!$C298)</f>
        <v>0</v>
      </c>
      <c r="AB298" s="263">
        <f>+SUMIFS(Tabla6[Nominal COP],Tabla6[Concepto],COSTO_OPORTUNIDAD!$B$18,Tabla6[Nemotécnico],COSTO_OPORTUNIDAD!AB$16,Tabla6[Fecha Cumplimiento y/ liquidacion],COSTO_OPORTUNIDAD!$C298)/+SUMIFS(Tabla6[Nominal COP],Tabla6[Concepto],COSTO_OPORTUNIDAD!$B$18,Tabla6[Fecha Cumplimiento y/ liquidacion],COSTO_OPORTUNIDAD!$C298)</f>
        <v>0</v>
      </c>
      <c r="AC298" s="263">
        <f>+SUMIFS(Tabla6[Nominal COP],Tabla6[Concepto],COSTO_OPORTUNIDAD!$B$18,Tabla6[Nemotécnico],COSTO_OPORTUNIDAD!AC$16,Tabla6[Fecha Cumplimiento y/ liquidacion],COSTO_OPORTUNIDAD!$C298)/+SUMIFS(Tabla6[Nominal COP],Tabla6[Concepto],COSTO_OPORTUNIDAD!$B$18,Tabla6[Fecha Cumplimiento y/ liquidacion],COSTO_OPORTUNIDAD!$C298)</f>
        <v>0</v>
      </c>
      <c r="AD298" s="263">
        <f>+SUMIFS(Tabla6[Nominal COP],Tabla6[Concepto],COSTO_OPORTUNIDAD!$B$18,Tabla6[Nemotécnico],COSTO_OPORTUNIDAD!AC$16,Tabla6[Fecha Cumplimiento y/ liquidacion],COSTO_OPORTUNIDAD!$C298)/+SUMIFS(Tabla6[Nominal COP],Tabla6[Concepto],COSTO_OPORTUNIDAD!$B$18,Tabla6[Fecha Cumplimiento y/ liquidacion],COSTO_OPORTUNIDAD!$C298)</f>
        <v>0</v>
      </c>
      <c r="AE298" s="263">
        <f>+SUMIFS(Tabla6[Nominal COP],Tabla6[Concepto],COSTO_OPORTUNIDAD!$B$18,Tabla6[Nemotécnico],COSTO_OPORTUNIDAD!AE$16,Tabla6[Fecha Cumplimiento y/ liquidacion],COSTO_OPORTUNIDAD!$C298)/+SUMIFS(Tabla6[Nominal COP],Tabla6[Concepto],COSTO_OPORTUNIDAD!$B$18,Tabla6[Fecha Cumplimiento y/ liquidacion],COSTO_OPORTUNIDAD!$C298)</f>
        <v>0</v>
      </c>
      <c r="AF298" s="263">
        <f>+SUMIFS(Tabla6[Nominal COP],Tabla6[Concepto],COSTO_OPORTUNIDAD!$B$18,Tabla6[Nemotécnico],COSTO_OPORTUNIDAD!AF$16,Tabla6[Fecha Cumplimiento y/ liquidacion],COSTO_OPORTUNIDAD!$C298)/+SUMIFS(Tabla6[Nominal COP],Tabla6[Concepto],COSTO_OPORTUNIDAD!$B$18,Tabla6[Fecha Cumplimiento y/ liquidacion],COSTO_OPORTUNIDAD!$C298)</f>
        <v>0</v>
      </c>
      <c r="AH298" s="274">
        <f t="shared" si="372"/>
        <v>294</v>
      </c>
      <c r="AI298" s="274">
        <f t="shared" si="372"/>
        <v>728</v>
      </c>
      <c r="AJ298" s="274">
        <f t="shared" si="372"/>
        <v>905</v>
      </c>
      <c r="AK298" s="274">
        <f t="shared" si="372"/>
        <v>1386</v>
      </c>
      <c r="AL298" s="274">
        <f t="shared" si="372"/>
        <v>1778</v>
      </c>
      <c r="AM298" s="274">
        <f t="shared" si="372"/>
        <v>1967</v>
      </c>
      <c r="AN298" s="274">
        <f t="shared" si="372"/>
        <v>2429</v>
      </c>
      <c r="AO298" s="274">
        <f t="shared" si="372"/>
        <v>2653</v>
      </c>
      <c r="AP298" s="274">
        <f t="shared" si="372"/>
        <v>3269</v>
      </c>
      <c r="AQ298" s="274"/>
      <c r="AR298" s="274">
        <f t="shared" si="313"/>
        <v>3899</v>
      </c>
      <c r="AS298" s="274">
        <f t="shared" si="301"/>
        <v>5502</v>
      </c>
      <c r="AT298" s="274">
        <f t="shared" si="283"/>
        <v>6048</v>
      </c>
      <c r="AU298" s="274">
        <f t="shared" si="284"/>
        <v>7567</v>
      </c>
      <c r="AV298" s="274">
        <f t="shared" si="285"/>
        <v>9121</v>
      </c>
      <c r="AW298" s="274">
        <f t="shared" si="361"/>
        <v>11816</v>
      </c>
      <c r="AX298" s="274">
        <f t="shared" si="373"/>
        <v>-182</v>
      </c>
      <c r="AY298" s="274">
        <f t="shared" si="374"/>
        <v>497</v>
      </c>
      <c r="AZ298" s="274">
        <f t="shared" si="375"/>
        <v>1260</v>
      </c>
      <c r="BA298" s="274">
        <f t="shared" si="376"/>
        <v>1904</v>
      </c>
      <c r="BB298" s="274">
        <f t="shared" si="377"/>
        <v>2697</v>
      </c>
      <c r="BC298" s="274">
        <f t="shared" si="378"/>
        <v>3437</v>
      </c>
      <c r="BD298" s="274">
        <f t="shared" si="379"/>
        <v>4130</v>
      </c>
      <c r="BE298" s="274">
        <f t="shared" si="380"/>
        <v>5614</v>
      </c>
      <c r="BF298" s="274">
        <f t="shared" si="381"/>
        <v>8624</v>
      </c>
      <c r="BG298" s="274">
        <f t="shared" si="382"/>
        <v>10787</v>
      </c>
      <c r="BH298" s="274">
        <f t="shared" si="383"/>
        <v>13237</v>
      </c>
      <c r="BI298" s="499">
        <f t="shared" si="318"/>
        <v>0</v>
      </c>
      <c r="BJ298" s="266">
        <f t="shared" si="319"/>
        <v>1</v>
      </c>
      <c r="BK298" s="263">
        <f t="shared" si="320"/>
        <v>0</v>
      </c>
      <c r="BL298" s="263">
        <f t="shared" si="321"/>
        <v>0</v>
      </c>
      <c r="BM298" s="263">
        <f t="shared" si="322"/>
        <v>0</v>
      </c>
      <c r="BN298" s="263">
        <f t="shared" si="351"/>
        <v>0</v>
      </c>
      <c r="BO298" s="263">
        <f t="shared" si="323"/>
        <v>0</v>
      </c>
      <c r="BP298" s="263">
        <f t="shared" si="324"/>
        <v>0</v>
      </c>
      <c r="BQ298" s="263">
        <f t="shared" si="325"/>
        <v>0</v>
      </c>
      <c r="BR298" s="263">
        <f t="shared" si="326"/>
        <v>0</v>
      </c>
      <c r="BS298" s="263">
        <f t="shared" si="327"/>
        <v>0</v>
      </c>
      <c r="BT298" s="263">
        <f t="shared" si="328"/>
        <v>0</v>
      </c>
      <c r="BU298" s="263">
        <f t="shared" si="329"/>
        <v>0</v>
      </c>
      <c r="BV298" s="263">
        <f t="shared" si="352"/>
        <v>0</v>
      </c>
      <c r="BW298" s="263">
        <f t="shared" si="330"/>
        <v>0</v>
      </c>
      <c r="BX298" s="263">
        <f t="shared" si="337"/>
        <v>1</v>
      </c>
      <c r="BY298" s="263">
        <f t="shared" si="331"/>
        <v>0</v>
      </c>
      <c r="BZ298" s="263">
        <f t="shared" si="370"/>
        <v>0</v>
      </c>
      <c r="CA298" s="263" t="str">
        <f t="shared" si="254"/>
        <v/>
      </c>
      <c r="CB298" s="263" t="str">
        <f t="shared" si="332"/>
        <v/>
      </c>
      <c r="CC298" s="263" t="str">
        <f t="shared" si="255"/>
        <v/>
      </c>
      <c r="CD298" s="263" t="str">
        <f t="shared" si="333"/>
        <v/>
      </c>
      <c r="CE298" s="263" t="str">
        <f t="shared" si="346"/>
        <v/>
      </c>
      <c r="CF298" s="263" t="str">
        <f t="shared" si="256"/>
        <v/>
      </c>
      <c r="CG298" s="263" t="str">
        <f t="shared" si="257"/>
        <v/>
      </c>
      <c r="CH298" s="263" t="str">
        <f t="shared" si="290"/>
        <v/>
      </c>
      <c r="CI298" s="263" t="str">
        <f t="shared" si="334"/>
        <v/>
      </c>
      <c r="CJ298" s="263" t="str">
        <f t="shared" si="291"/>
        <v/>
      </c>
      <c r="CK298" s="263" t="str">
        <f t="shared" si="335"/>
        <v/>
      </c>
      <c r="CL298" s="264">
        <f t="shared" si="367"/>
        <v>7567</v>
      </c>
      <c r="CM298" s="264">
        <f t="shared" si="362"/>
        <v>0</v>
      </c>
      <c r="CN298" s="500"/>
      <c r="CO298" s="501"/>
      <c r="CP298" s="501"/>
      <c r="CQ298" s="501"/>
      <c r="CR298" s="501"/>
      <c r="CS298" s="501"/>
      <c r="CT298" s="501"/>
      <c r="CU298" s="501"/>
      <c r="CV298" s="501"/>
      <c r="CW298" s="501"/>
      <c r="CX298" s="501"/>
      <c r="CY298" s="501"/>
      <c r="CZ298" s="501"/>
      <c r="DA298" s="501"/>
      <c r="DB298" s="501"/>
      <c r="DC298" s="501"/>
      <c r="DD298" s="501"/>
      <c r="DE298" s="501"/>
      <c r="DF298" s="501"/>
      <c r="DG298" s="501"/>
      <c r="DH298" s="501"/>
      <c r="DI298" s="501"/>
      <c r="DJ298" s="501"/>
      <c r="DK298" s="501"/>
      <c r="DL298" s="501"/>
      <c r="DM298" s="501"/>
      <c r="DN298" s="501"/>
      <c r="DO298" s="264">
        <f t="shared" si="363"/>
        <v>7567</v>
      </c>
      <c r="DP298" s="264" cm="1">
        <f t="array" ref="DP298">+INDEX(AH298:AW298,MATCH(DO298,AH298:AW298,1)+1)</f>
        <v>9121</v>
      </c>
      <c r="DQ298" s="265">
        <f t="shared" si="364"/>
        <v>0</v>
      </c>
      <c r="DR298" s="267">
        <f t="shared" si="365"/>
        <v>0</v>
      </c>
      <c r="DS298" s="267">
        <f t="shared" si="297"/>
        <v>0</v>
      </c>
      <c r="DT298" s="268">
        <f t="shared" si="293"/>
        <v>-182</v>
      </c>
      <c r="DU298" s="268" cm="1">
        <f t="array" ref="DU298">+INDEX(AX298:BG298,MATCH(DT298,AX298:BG298,1)+1)</f>
        <v>497</v>
      </c>
      <c r="DV298" s="267">
        <f t="shared" si="366"/>
        <v>0</v>
      </c>
      <c r="DW298" s="267">
        <f t="shared" si="294"/>
        <v>0</v>
      </c>
      <c r="DX298" s="267">
        <f t="shared" si="345"/>
        <v>0</v>
      </c>
      <c r="DY298" s="267">
        <f t="shared" si="341"/>
        <v>5.28E-2</v>
      </c>
      <c r="DZ298" s="205">
        <f t="shared" si="387"/>
        <v>5.2799999999999958E-2</v>
      </c>
      <c r="EA298" s="205">
        <f t="shared" si="385"/>
        <v>0</v>
      </c>
    </row>
    <row r="299" spans="2:131">
      <c r="B299" s="272">
        <v>45971</v>
      </c>
      <c r="C299" s="271">
        <f t="shared" si="386"/>
        <v>45971</v>
      </c>
      <c r="D299" s="263">
        <f>+SUMIFS(Tabla6[Nominal COP],Tabla6[Concepto],COSTO_OPORTUNIDAD!$B$18,Tabla6[Nemotécnico],COSTO_OPORTUNIDAD!D$16,Tabla6[Fecha Cumplimiento y/ liquidacion],COSTO_OPORTUNIDAD!$C299)/+SUMIFS(Tabla6[Nominal COP],Tabla6[Concepto],COSTO_OPORTUNIDAD!$B$18,Tabla6[Fecha Cumplimiento y/ liquidacion],COSTO_OPORTUNIDAD!$C299)</f>
        <v>0</v>
      </c>
      <c r="E299" s="263">
        <f>+SUMIFS(Tabla6[Nominal COP],Tabla6[Concepto],COSTO_OPORTUNIDAD!$B$18,Tabla6[Nemotécnico],COSTO_OPORTUNIDAD!E$16,Tabla6[Fecha Cumplimiento y/ liquidacion],COSTO_OPORTUNIDAD!$C299)/+SUMIFS(Tabla6[Nominal COP],Tabla6[Concepto],COSTO_OPORTUNIDAD!$B$18,Tabla6[Fecha Cumplimiento y/ liquidacion],COSTO_OPORTUNIDAD!$C299)</f>
        <v>0</v>
      </c>
      <c r="F299" s="263">
        <f>+SUMIFS(Tabla6[Nominal COP],Tabla6[Concepto],COSTO_OPORTUNIDAD!$B$18,Tabla6[Nemotécnico],COSTO_OPORTUNIDAD!F$16,Tabla6[Fecha Cumplimiento y/ liquidacion],COSTO_OPORTUNIDAD!$C299)/+SUMIFS(Tabla6[Nominal COP],Tabla6[Concepto],COSTO_OPORTUNIDAD!$B$18,Tabla6[Fecha Cumplimiento y/ liquidacion],COSTO_OPORTUNIDAD!$C299)</f>
        <v>0</v>
      </c>
      <c r="G299" s="263">
        <f>+SUMIFS(Tabla6[Nominal COP],Tabla6[Concepto],COSTO_OPORTUNIDAD!$B$18,Tabla6[Nemotécnico],COSTO_OPORTUNIDAD!G$16,Tabla6[Fecha Cumplimiento y/ liquidacion],COSTO_OPORTUNIDAD!$C299)/+SUMIFS(Tabla6[Nominal COP],Tabla6[Concepto],COSTO_OPORTUNIDAD!$B$18,Tabla6[Fecha Cumplimiento y/ liquidacion],COSTO_OPORTUNIDAD!$C299)</f>
        <v>0</v>
      </c>
      <c r="H299" s="263">
        <f>+SUMIFS(Tabla6[Nominal COP],Tabla6[Concepto],COSTO_OPORTUNIDAD!$B$18,Tabla6[Nemotécnico],COSTO_OPORTUNIDAD!H$16,Tabla6[Fecha Cumplimiento y/ liquidacion],COSTO_OPORTUNIDAD!$C299)/+SUMIFS(Tabla6[Nominal COP],Tabla6[Concepto],COSTO_OPORTUNIDAD!$B$18,Tabla6[Fecha Cumplimiento y/ liquidacion],COSTO_OPORTUNIDAD!$C299)</f>
        <v>0</v>
      </c>
      <c r="I299" s="263">
        <f>+SUMIFS(Tabla6[Nominal COP],Tabla6[Concepto],COSTO_OPORTUNIDAD!$B$18,Tabla6[Nemotécnico],COSTO_OPORTUNIDAD!I$16,Tabla6[Fecha Cumplimiento y/ liquidacion],COSTO_OPORTUNIDAD!$C299)/+SUMIFS(Tabla6[Nominal COP],Tabla6[Concepto],COSTO_OPORTUNIDAD!$B$18,Tabla6[Fecha Cumplimiento y/ liquidacion],COSTO_OPORTUNIDAD!$C299)</f>
        <v>0</v>
      </c>
      <c r="J299" s="263">
        <f>+SUMIFS(Tabla6[Nominal COP],Tabla6[Concepto],COSTO_OPORTUNIDAD!$B$18,Tabla6[Nemotécnico],COSTO_OPORTUNIDAD!J$16,Tabla6[Fecha Cumplimiento y/ liquidacion],COSTO_OPORTUNIDAD!$C299)/+SUMIFS(Tabla6[Nominal COP],Tabla6[Concepto],COSTO_OPORTUNIDAD!$B$18,Tabla6[Fecha Cumplimiento y/ liquidacion],COSTO_OPORTUNIDAD!$C299)</f>
        <v>0</v>
      </c>
      <c r="K299" s="263">
        <f>+SUMIFS(Tabla6[Nominal COP],Tabla6[Concepto],COSTO_OPORTUNIDAD!$B$18,Tabla6[Nemotécnico],COSTO_OPORTUNIDAD!K$16,Tabla6[Fecha Cumplimiento y/ liquidacion],COSTO_OPORTUNIDAD!$C299)/+SUMIFS(Tabla6[Nominal COP],Tabla6[Concepto],COSTO_OPORTUNIDAD!$B$18,Tabla6[Fecha Cumplimiento y/ liquidacion],COSTO_OPORTUNIDAD!$C299)</f>
        <v>0</v>
      </c>
      <c r="L299" s="263">
        <f>+SUMIFS(Tabla6[Nominal COP],Tabla6[Concepto],COSTO_OPORTUNIDAD!$B$18,Tabla6[Nemotécnico],COSTO_OPORTUNIDAD!L$16,Tabla6[Fecha Cumplimiento y/ liquidacion],COSTO_OPORTUNIDAD!$C299)/+SUMIFS(Tabla6[Nominal COP],Tabla6[Concepto],COSTO_OPORTUNIDAD!$B$18,Tabla6[Fecha Cumplimiento y/ liquidacion],COSTO_OPORTUNIDAD!$C299)</f>
        <v>0</v>
      </c>
      <c r="M299" s="263">
        <f>+SUMIFS(Tabla6[Nominal COP],Tabla6[Concepto],COSTO_OPORTUNIDAD!$B$18,Tabla6[Nemotécnico],COSTO_OPORTUNIDAD!M$16,Tabla6[Fecha Cumplimiento y/ liquidacion],COSTO_OPORTUNIDAD!$C299)/+SUMIFS(Tabla6[Nominal COP],Tabla6[Concepto],COSTO_OPORTUNIDAD!$B$18,Tabla6[Fecha Cumplimiento y/ liquidacion],COSTO_OPORTUNIDAD!$C299)</f>
        <v>0</v>
      </c>
      <c r="N299" s="263">
        <f>+SUMIFS(Tabla6[Nominal COP],Tabla6[Concepto],COSTO_OPORTUNIDAD!$B$18,Tabla6[Nemotécnico],COSTO_OPORTUNIDAD!N$16,Tabla6[Fecha Cumplimiento y/ liquidacion],COSTO_OPORTUNIDAD!$C299)/+SUMIFS(Tabla6[Nominal COP],Tabla6[Concepto],COSTO_OPORTUNIDAD!$B$18,Tabla6[Fecha Cumplimiento y/ liquidacion],COSTO_OPORTUNIDAD!$C299)</f>
        <v>0</v>
      </c>
      <c r="O299" s="263"/>
      <c r="P299" s="263">
        <f>+SUMIFS(Tabla6[Nominal COP],Tabla6[Concepto],COSTO_OPORTUNIDAD!$B$18,Tabla6[Nemotécnico],COSTO_OPORTUNIDAD!P$16,Tabla6[Fecha Cumplimiento y/ liquidacion],COSTO_OPORTUNIDAD!$C299)/+SUMIFS(Tabla6[Nominal COP],Tabla6[Concepto],COSTO_OPORTUNIDAD!$B$18,Tabla6[Fecha Cumplimiento y/ liquidacion],COSTO_OPORTUNIDAD!$C299)</f>
        <v>0</v>
      </c>
      <c r="Q299" s="263">
        <f>+SUMIFS(Tabla6[Nominal COP],Tabla6[Concepto],COSTO_OPORTUNIDAD!$B$18,Tabla6[Nemotécnico],COSTO_OPORTUNIDAD!Q$16,Tabla6[Fecha Cumplimiento y/ liquidacion],COSTO_OPORTUNIDAD!$C299)/+SUMIFS(Tabla6[Nominal COP],Tabla6[Concepto],COSTO_OPORTUNIDAD!$B$18,Tabla6[Fecha Cumplimiento y/ liquidacion],COSTO_OPORTUNIDAD!$C299)</f>
        <v>0</v>
      </c>
      <c r="R299" s="263">
        <f>+SUMIFS(Tabla6[Nominal COP],Tabla6[Concepto],COSTO_OPORTUNIDAD!$B$18,Tabla6[Nemotécnico],COSTO_OPORTUNIDAD!R$16,Tabla6[Fecha Cumplimiento y/ liquidacion],COSTO_OPORTUNIDAD!$C299)/+SUMIFS(Tabla6[Nominal COP],Tabla6[Concepto],COSTO_OPORTUNIDAD!$B$18,Tabla6[Fecha Cumplimiento y/ liquidacion],COSTO_OPORTUNIDAD!$C299)</f>
        <v>0</v>
      </c>
      <c r="S299" s="263">
        <f>+SUMIFS(Tabla6[Nominal COP],Tabla6[Concepto],COSTO_OPORTUNIDAD!$B$18,Tabla6[Nemotécnico],COSTO_OPORTUNIDAD!S$16,Tabla6[Fecha Cumplimiento y/ liquidacion],COSTO_OPORTUNIDAD!$C299)/+SUMIFS(Tabla6[Nominal COP],Tabla6[Concepto],COSTO_OPORTUNIDAD!$B$18,Tabla6[Fecha Cumplimiento y/ liquidacion],COSTO_OPORTUNIDAD!$C299)</f>
        <v>0.95897435897435901</v>
      </c>
      <c r="T299" s="263">
        <f>+SUMIFS(Tabla6[Nominal COP],Tabla6[Concepto],COSTO_OPORTUNIDAD!$B$18,Tabla6[Nemotécnico],COSTO_OPORTUNIDAD!T$16,Tabla6[Fecha Cumplimiento y/ liquidacion],COSTO_OPORTUNIDAD!$C299)/+SUMIFS(Tabla6[Nominal COP],Tabla6[Concepto],COSTO_OPORTUNIDAD!$B$18,Tabla6[Fecha Cumplimiento y/ liquidacion],COSTO_OPORTUNIDAD!$C299)</f>
        <v>0</v>
      </c>
      <c r="U299" s="263">
        <f>+SUMIFS(Tabla6[Nominal COP],Tabla6[Concepto],COSTO_OPORTUNIDAD!$B$18,Tabla6[Nemotécnico],COSTO_OPORTUNIDAD!U$16,Tabla6[Fecha Cumplimiento y/ liquidacion],COSTO_OPORTUNIDAD!$C299)/+SUMIFS(Tabla6[Nominal COP],Tabla6[Concepto],COSTO_OPORTUNIDAD!$B$18,Tabla6[Fecha Cumplimiento y/ liquidacion],COSTO_OPORTUNIDAD!$C299)</f>
        <v>0</v>
      </c>
      <c r="V299" s="263">
        <f>+SUMIFS(Tabla6[Nominal COP],Tabla6[Concepto],COSTO_OPORTUNIDAD!$B$18,Tabla6[Nemotécnico],COSTO_OPORTUNIDAD!V$16,Tabla6[Fecha Cumplimiento y/ liquidacion],COSTO_OPORTUNIDAD!$C299)/+SUMIFS(Tabla6[Nominal COP],Tabla6[Concepto],COSTO_OPORTUNIDAD!$B$18,Tabla6[Fecha Cumplimiento y/ liquidacion],COSTO_OPORTUNIDAD!$C299)</f>
        <v>0</v>
      </c>
      <c r="W299" s="263">
        <f>+SUMIFS(Tabla6[Nominal COP],Tabla6[Concepto],COSTO_OPORTUNIDAD!$B$18,Tabla6[Nemotécnico],COSTO_OPORTUNIDAD!W$16,Tabla6[Fecha Cumplimiento y/ liquidacion],COSTO_OPORTUNIDAD!$C299)/+SUMIFS(Tabla6[Nominal COP],Tabla6[Concepto],COSTO_OPORTUNIDAD!$B$18,Tabla6[Fecha Cumplimiento y/ liquidacion],COSTO_OPORTUNIDAD!$C299)</f>
        <v>0</v>
      </c>
      <c r="X299" s="263">
        <f>+SUMIFS(Tabla6[Nominal COP],Tabla6[Concepto],COSTO_OPORTUNIDAD!$B$18,Tabla6[Nemotécnico],COSTO_OPORTUNIDAD!X$16,Tabla6[Fecha Cumplimiento y/ liquidacion],COSTO_OPORTUNIDAD!$C299)/+SUMIFS(Tabla6[Nominal COP],Tabla6[Concepto],COSTO_OPORTUNIDAD!$B$18,Tabla6[Fecha Cumplimiento y/ liquidacion],COSTO_OPORTUNIDAD!$C299)</f>
        <v>0</v>
      </c>
      <c r="Y299" s="263">
        <f>+SUMIFS(Tabla6[Nominal COP],Tabla6[Concepto],COSTO_OPORTUNIDAD!$B$18,Tabla6[Nemotécnico],COSTO_OPORTUNIDAD!Y$16,Tabla6[Fecha Cumplimiento y/ liquidacion],COSTO_OPORTUNIDAD!$C299)/+SUMIFS(Tabla6[Nominal COP],Tabla6[Concepto],COSTO_OPORTUNIDAD!$B$18,Tabla6[Fecha Cumplimiento y/ liquidacion],COSTO_OPORTUNIDAD!$C299)</f>
        <v>0</v>
      </c>
      <c r="Z299" s="263">
        <f>+SUMIFS(Tabla6[Nominal COP],Tabla6[Concepto],COSTO_OPORTUNIDAD!$B$18,Tabla6[Nemotécnico],COSTO_OPORTUNIDAD!Z$16,Tabla6[Fecha Cumplimiento y/ liquidacion],COSTO_OPORTUNIDAD!$C299)/+SUMIFS(Tabla6[Nominal COP],Tabla6[Concepto],COSTO_OPORTUNIDAD!$B$18,Tabla6[Fecha Cumplimiento y/ liquidacion],COSTO_OPORTUNIDAD!$C299)</f>
        <v>0</v>
      </c>
      <c r="AA299" s="263">
        <f>+SUMIFS(Tabla6[Nominal COP],Tabla6[Concepto],COSTO_OPORTUNIDAD!$B$18,Tabla6[Nemotécnico],COSTO_OPORTUNIDAD!AA$16,Tabla6[Fecha Cumplimiento y/ liquidacion],COSTO_OPORTUNIDAD!$C299)/+SUMIFS(Tabla6[Nominal COP],Tabla6[Concepto],COSTO_OPORTUNIDAD!$B$18,Tabla6[Fecha Cumplimiento y/ liquidacion],COSTO_OPORTUNIDAD!$C299)</f>
        <v>0</v>
      </c>
      <c r="AB299" s="263">
        <f>+SUMIFS(Tabla6[Nominal COP],Tabla6[Concepto],COSTO_OPORTUNIDAD!$B$18,Tabla6[Nemotécnico],COSTO_OPORTUNIDAD!AB$16,Tabla6[Fecha Cumplimiento y/ liquidacion],COSTO_OPORTUNIDAD!$C299)/+SUMIFS(Tabla6[Nominal COP],Tabla6[Concepto],COSTO_OPORTUNIDAD!$B$18,Tabla6[Fecha Cumplimiento y/ liquidacion],COSTO_OPORTUNIDAD!$C299)</f>
        <v>0</v>
      </c>
      <c r="AC299" s="263">
        <f>+SUMIFS(Tabla6[Nominal COP],Tabla6[Concepto],COSTO_OPORTUNIDAD!$B$18,Tabla6[Nemotécnico],COSTO_OPORTUNIDAD!AC$16,Tabla6[Fecha Cumplimiento y/ liquidacion],COSTO_OPORTUNIDAD!$C299)/+SUMIFS(Tabla6[Nominal COP],Tabla6[Concepto],COSTO_OPORTUNIDAD!$B$18,Tabla6[Fecha Cumplimiento y/ liquidacion],COSTO_OPORTUNIDAD!$C299)</f>
        <v>0</v>
      </c>
      <c r="AD299" s="263">
        <f>+SUMIFS(Tabla6[Nominal COP],Tabla6[Concepto],COSTO_OPORTUNIDAD!$B$18,Tabla6[Nemotécnico],COSTO_OPORTUNIDAD!AC$16,Tabla6[Fecha Cumplimiento y/ liquidacion],COSTO_OPORTUNIDAD!$C299)/+SUMIFS(Tabla6[Nominal COP],Tabla6[Concepto],COSTO_OPORTUNIDAD!$B$18,Tabla6[Fecha Cumplimiento y/ liquidacion],COSTO_OPORTUNIDAD!$C299)</f>
        <v>0</v>
      </c>
      <c r="AE299" s="263">
        <f>+SUMIFS(Tabla6[Nominal COP],Tabla6[Concepto],COSTO_OPORTUNIDAD!$B$18,Tabla6[Nemotécnico],COSTO_OPORTUNIDAD!AE$16,Tabla6[Fecha Cumplimiento y/ liquidacion],COSTO_OPORTUNIDAD!$C299)/+SUMIFS(Tabla6[Nominal COP],Tabla6[Concepto],COSTO_OPORTUNIDAD!$B$18,Tabla6[Fecha Cumplimiento y/ liquidacion],COSTO_OPORTUNIDAD!$C299)</f>
        <v>0</v>
      </c>
      <c r="AF299" s="263">
        <f>+SUMIFS(Tabla6[Nominal COP],Tabla6[Concepto],COSTO_OPORTUNIDAD!$B$18,Tabla6[Nemotécnico],COSTO_OPORTUNIDAD!AF$16,Tabla6[Fecha Cumplimiento y/ liquidacion],COSTO_OPORTUNIDAD!$C299)/+SUMIFS(Tabla6[Nominal COP],Tabla6[Concepto],COSTO_OPORTUNIDAD!$B$18,Tabla6[Fecha Cumplimiento y/ liquidacion],COSTO_OPORTUNIDAD!$C299)</f>
        <v>0</v>
      </c>
      <c r="AH299" s="274">
        <f t="shared" si="372"/>
        <v>289</v>
      </c>
      <c r="AI299" s="274">
        <f t="shared" si="372"/>
        <v>723</v>
      </c>
      <c r="AJ299" s="274">
        <f t="shared" si="372"/>
        <v>900</v>
      </c>
      <c r="AK299" s="274">
        <f t="shared" si="372"/>
        <v>1381</v>
      </c>
      <c r="AL299" s="274">
        <f t="shared" si="372"/>
        <v>1773</v>
      </c>
      <c r="AM299" s="274">
        <f t="shared" si="372"/>
        <v>1962</v>
      </c>
      <c r="AN299" s="274">
        <f t="shared" si="372"/>
        <v>2424</v>
      </c>
      <c r="AO299" s="274">
        <f t="shared" si="372"/>
        <v>2648</v>
      </c>
      <c r="AP299" s="274">
        <f t="shared" si="372"/>
        <v>3264</v>
      </c>
      <c r="AQ299" s="274"/>
      <c r="AR299" s="274">
        <f t="shared" si="313"/>
        <v>3894</v>
      </c>
      <c r="AS299" s="274">
        <f t="shared" si="301"/>
        <v>5497</v>
      </c>
      <c r="AT299" s="274">
        <f t="shared" si="283"/>
        <v>6043</v>
      </c>
      <c r="AU299" s="274">
        <f t="shared" si="284"/>
        <v>7562</v>
      </c>
      <c r="AV299" s="274">
        <f t="shared" si="285"/>
        <v>9116</v>
      </c>
      <c r="AW299" s="274">
        <f t="shared" si="361"/>
        <v>11811</v>
      </c>
      <c r="AX299" s="274">
        <f t="shared" si="373"/>
        <v>-187</v>
      </c>
      <c r="AY299" s="274">
        <f t="shared" si="374"/>
        <v>492</v>
      </c>
      <c r="AZ299" s="274">
        <f t="shared" si="375"/>
        <v>1255</v>
      </c>
      <c r="BA299" s="274">
        <f t="shared" si="376"/>
        <v>1899</v>
      </c>
      <c r="BB299" s="274">
        <f t="shared" si="377"/>
        <v>2692</v>
      </c>
      <c r="BC299" s="274">
        <f t="shared" si="378"/>
        <v>3432</v>
      </c>
      <c r="BD299" s="274">
        <f t="shared" si="379"/>
        <v>4125</v>
      </c>
      <c r="BE299" s="274">
        <f t="shared" si="380"/>
        <v>5609</v>
      </c>
      <c r="BF299" s="274">
        <f t="shared" si="381"/>
        <v>8619</v>
      </c>
      <c r="BG299" s="274">
        <f t="shared" si="382"/>
        <v>10782</v>
      </c>
      <c r="BH299" s="274">
        <f t="shared" si="383"/>
        <v>13232</v>
      </c>
      <c r="BI299" s="499">
        <f t="shared" si="318"/>
        <v>0</v>
      </c>
      <c r="BJ299" s="266">
        <f t="shared" si="319"/>
        <v>0.95897435897435901</v>
      </c>
      <c r="BK299" s="263">
        <f t="shared" si="320"/>
        <v>0</v>
      </c>
      <c r="BL299" s="263">
        <f t="shared" si="321"/>
        <v>0</v>
      </c>
      <c r="BM299" s="263">
        <f t="shared" si="322"/>
        <v>0</v>
      </c>
      <c r="BN299" s="263">
        <f t="shared" si="351"/>
        <v>0</v>
      </c>
      <c r="BO299" s="263">
        <f t="shared" si="323"/>
        <v>0</v>
      </c>
      <c r="BP299" s="263">
        <f t="shared" si="324"/>
        <v>0</v>
      </c>
      <c r="BQ299" s="263">
        <f t="shared" si="325"/>
        <v>0</v>
      </c>
      <c r="BR299" s="263">
        <f t="shared" si="326"/>
        <v>0</v>
      </c>
      <c r="BS299" s="263">
        <f t="shared" si="327"/>
        <v>0</v>
      </c>
      <c r="BT299" s="263">
        <f t="shared" si="328"/>
        <v>0</v>
      </c>
      <c r="BU299" s="263">
        <f t="shared" si="329"/>
        <v>0</v>
      </c>
      <c r="BV299" s="263">
        <f t="shared" si="352"/>
        <v>0</v>
      </c>
      <c r="BW299" s="263">
        <f t="shared" si="330"/>
        <v>0</v>
      </c>
      <c r="BX299" s="263">
        <f t="shared" si="337"/>
        <v>1</v>
      </c>
      <c r="BY299" s="263">
        <f t="shared" si="331"/>
        <v>0</v>
      </c>
      <c r="BZ299" s="263">
        <f t="shared" si="370"/>
        <v>0</v>
      </c>
      <c r="CA299" s="263" t="str">
        <f t="shared" si="254"/>
        <v/>
      </c>
      <c r="CB299" s="263" t="str">
        <f t="shared" si="332"/>
        <v/>
      </c>
      <c r="CC299" s="263" t="str">
        <f t="shared" si="255"/>
        <v/>
      </c>
      <c r="CD299" s="263" t="str">
        <f t="shared" si="333"/>
        <v/>
      </c>
      <c r="CE299" s="263" t="str">
        <f t="shared" si="346"/>
        <v/>
      </c>
      <c r="CF299" s="263" t="str">
        <f t="shared" si="256"/>
        <v/>
      </c>
      <c r="CG299" s="263" t="str">
        <f t="shared" si="257"/>
        <v/>
      </c>
      <c r="CH299" s="263" t="str">
        <f t="shared" si="290"/>
        <v/>
      </c>
      <c r="CI299" s="263" t="str">
        <f t="shared" si="334"/>
        <v/>
      </c>
      <c r="CJ299" s="263" t="str">
        <f t="shared" si="291"/>
        <v/>
      </c>
      <c r="CK299" s="263" t="str">
        <f t="shared" si="335"/>
        <v/>
      </c>
      <c r="CL299" s="264">
        <f t="shared" si="367"/>
        <v>7562</v>
      </c>
      <c r="CM299" s="264">
        <f t="shared" si="362"/>
        <v>0</v>
      </c>
      <c r="CN299" s="500"/>
      <c r="CO299" s="501">
        <v>9.2010000000000008E-2</v>
      </c>
      <c r="CP299" s="501">
        <v>9.7970000000000002E-2</v>
      </c>
      <c r="CQ299" s="501">
        <v>0.10369999999999999</v>
      </c>
      <c r="CR299" s="501">
        <v>0.11109999999999999</v>
      </c>
      <c r="CS299" s="501">
        <v>0.11349999999999999</v>
      </c>
      <c r="CT299" s="501">
        <v>0.11547</v>
      </c>
      <c r="CU299" s="501">
        <v>0.11599999999999999</v>
      </c>
      <c r="CV299" s="501">
        <v>0.11709</v>
      </c>
      <c r="CW299" s="501">
        <v>0.11587</v>
      </c>
      <c r="CX299" s="501">
        <v>0.12067</v>
      </c>
      <c r="CY299" s="501">
        <v>0.11710000000000001</v>
      </c>
      <c r="CZ299" s="501">
        <v>0.12137000000000001</v>
      </c>
      <c r="DA299" s="501">
        <v>0.11990000000000001</v>
      </c>
      <c r="DB299" s="501">
        <v>0.12189</v>
      </c>
      <c r="DC299" s="501">
        <v>0.11800000000000001</v>
      </c>
      <c r="DD299" s="501">
        <v>0.12102</v>
      </c>
      <c r="DE299" s="501">
        <v>5.5E-2</v>
      </c>
      <c r="DF299" s="501">
        <v>6.3E-2</v>
      </c>
      <c r="DG299" s="501"/>
      <c r="DH299" s="501">
        <v>5.8299999999999998E-2</v>
      </c>
      <c r="DI299" s="501">
        <v>6.4699999999999994E-2</v>
      </c>
      <c r="DJ299" s="501">
        <v>6.6299999999999998E-2</v>
      </c>
      <c r="DK299" s="501">
        <v>5.8579999999999993E-2</v>
      </c>
      <c r="DL299" s="501">
        <v>6.4180000000000001E-2</v>
      </c>
      <c r="DM299" s="501">
        <v>5.867E-2</v>
      </c>
      <c r="DN299" s="501">
        <v>5.8650000000000001E-2</v>
      </c>
      <c r="DO299" s="264">
        <f t="shared" si="363"/>
        <v>7562</v>
      </c>
      <c r="DP299" s="264" cm="1">
        <f t="array" ref="DP299">+INDEX(AH299:AW299,MATCH(DO299,AH299:AW299,1)+1)</f>
        <v>9116</v>
      </c>
      <c r="DQ299" s="265">
        <f t="shared" si="364"/>
        <v>0.12189</v>
      </c>
      <c r="DR299" s="267">
        <f t="shared" si="365"/>
        <v>0.11800000000000001</v>
      </c>
      <c r="DS299" s="267">
        <f t="shared" si="297"/>
        <v>0.12189</v>
      </c>
      <c r="DT299" s="268">
        <f t="shared" si="293"/>
        <v>-187</v>
      </c>
      <c r="DU299" s="268" cm="1">
        <f t="array" ref="DU299">+INDEX(AX299:BG299,MATCH(DT299,AX299:BG299,1)+1)</f>
        <v>492</v>
      </c>
      <c r="DV299" s="267">
        <f t="shared" si="366"/>
        <v>5.5E-2</v>
      </c>
      <c r="DW299" s="267">
        <f t="shared" si="294"/>
        <v>6.3E-2</v>
      </c>
      <c r="DX299" s="267">
        <f t="shared" si="345"/>
        <v>5.7200000000000001E-2</v>
      </c>
      <c r="DY299" s="267">
        <f t="shared" si="341"/>
        <v>5.28E-2</v>
      </c>
      <c r="DZ299" s="205">
        <f t="shared" si="387"/>
        <v>0.11302015999999981</v>
      </c>
      <c r="EA299" s="205">
        <f t="shared" si="385"/>
        <v>0.11688938461538462</v>
      </c>
    </row>
    <row r="300" spans="2:131">
      <c r="B300" s="272">
        <v>45980</v>
      </c>
      <c r="C300" s="271">
        <f t="shared" si="386"/>
        <v>45980</v>
      </c>
      <c r="D300" s="263">
        <f>+SUMIFS(Tabla6[Nominal COP],Tabla6[Concepto],COSTO_OPORTUNIDAD!$B$18,Tabla6[Nemotécnico],COSTO_OPORTUNIDAD!D$16,Tabla6[Fecha Cumplimiento y/ liquidacion],COSTO_OPORTUNIDAD!$C300)/+SUMIFS(Tabla6[Nominal COP],Tabla6[Concepto],COSTO_OPORTUNIDAD!$B$18,Tabla6[Fecha Cumplimiento y/ liquidacion],COSTO_OPORTUNIDAD!$C300)</f>
        <v>0</v>
      </c>
      <c r="E300" s="263">
        <f>+SUMIFS(Tabla6[Nominal COP],Tabla6[Concepto],COSTO_OPORTUNIDAD!$B$18,Tabla6[Nemotécnico],COSTO_OPORTUNIDAD!E$16,Tabla6[Fecha Cumplimiento y/ liquidacion],COSTO_OPORTUNIDAD!$C300)/+SUMIFS(Tabla6[Nominal COP],Tabla6[Concepto],COSTO_OPORTUNIDAD!$B$18,Tabla6[Fecha Cumplimiento y/ liquidacion],COSTO_OPORTUNIDAD!$C300)</f>
        <v>0</v>
      </c>
      <c r="F300" s="263">
        <f>+SUMIFS(Tabla6[Nominal COP],Tabla6[Concepto],COSTO_OPORTUNIDAD!$B$18,Tabla6[Nemotécnico],COSTO_OPORTUNIDAD!F$16,Tabla6[Fecha Cumplimiento y/ liquidacion],COSTO_OPORTUNIDAD!$C300)/+SUMIFS(Tabla6[Nominal COP],Tabla6[Concepto],COSTO_OPORTUNIDAD!$B$18,Tabla6[Fecha Cumplimiento y/ liquidacion],COSTO_OPORTUNIDAD!$C300)</f>
        <v>0</v>
      </c>
      <c r="G300" s="263">
        <f>+SUMIFS(Tabla6[Nominal COP],Tabla6[Concepto],COSTO_OPORTUNIDAD!$B$18,Tabla6[Nemotécnico],COSTO_OPORTUNIDAD!G$16,Tabla6[Fecha Cumplimiento y/ liquidacion],COSTO_OPORTUNIDAD!$C300)/+SUMIFS(Tabla6[Nominal COP],Tabla6[Concepto],COSTO_OPORTUNIDAD!$B$18,Tabla6[Fecha Cumplimiento y/ liquidacion],COSTO_OPORTUNIDAD!$C300)</f>
        <v>0</v>
      </c>
      <c r="H300" s="263">
        <f>+SUMIFS(Tabla6[Nominal COP],Tabla6[Concepto],COSTO_OPORTUNIDAD!$B$18,Tabla6[Nemotécnico],COSTO_OPORTUNIDAD!H$16,Tabla6[Fecha Cumplimiento y/ liquidacion],COSTO_OPORTUNIDAD!$C300)/+SUMIFS(Tabla6[Nominal COP],Tabla6[Concepto],COSTO_OPORTUNIDAD!$B$18,Tabla6[Fecha Cumplimiento y/ liquidacion],COSTO_OPORTUNIDAD!$C300)</f>
        <v>0</v>
      </c>
      <c r="I300" s="263">
        <f>+SUMIFS(Tabla6[Nominal COP],Tabla6[Concepto],COSTO_OPORTUNIDAD!$B$18,Tabla6[Nemotécnico],COSTO_OPORTUNIDAD!I$16,Tabla6[Fecha Cumplimiento y/ liquidacion],COSTO_OPORTUNIDAD!$C300)/+SUMIFS(Tabla6[Nominal COP],Tabla6[Concepto],COSTO_OPORTUNIDAD!$B$18,Tabla6[Fecha Cumplimiento y/ liquidacion],COSTO_OPORTUNIDAD!$C300)</f>
        <v>1</v>
      </c>
      <c r="J300" s="263">
        <f>+SUMIFS(Tabla6[Nominal COP],Tabla6[Concepto],COSTO_OPORTUNIDAD!$B$18,Tabla6[Nemotécnico],COSTO_OPORTUNIDAD!J$16,Tabla6[Fecha Cumplimiento y/ liquidacion],COSTO_OPORTUNIDAD!$C300)/+SUMIFS(Tabla6[Nominal COP],Tabla6[Concepto],COSTO_OPORTUNIDAD!$B$18,Tabla6[Fecha Cumplimiento y/ liquidacion],COSTO_OPORTUNIDAD!$C300)</f>
        <v>0</v>
      </c>
      <c r="K300" s="263">
        <f>+SUMIFS(Tabla6[Nominal COP],Tabla6[Concepto],COSTO_OPORTUNIDAD!$B$18,Tabla6[Nemotécnico],COSTO_OPORTUNIDAD!K$16,Tabla6[Fecha Cumplimiento y/ liquidacion],COSTO_OPORTUNIDAD!$C300)/+SUMIFS(Tabla6[Nominal COP],Tabla6[Concepto],COSTO_OPORTUNIDAD!$B$18,Tabla6[Fecha Cumplimiento y/ liquidacion],COSTO_OPORTUNIDAD!$C300)</f>
        <v>0</v>
      </c>
      <c r="L300" s="263">
        <f>+SUMIFS(Tabla6[Nominal COP],Tabla6[Concepto],COSTO_OPORTUNIDAD!$B$18,Tabla6[Nemotécnico],COSTO_OPORTUNIDAD!L$16,Tabla6[Fecha Cumplimiento y/ liquidacion],COSTO_OPORTUNIDAD!$C300)/+SUMIFS(Tabla6[Nominal COP],Tabla6[Concepto],COSTO_OPORTUNIDAD!$B$18,Tabla6[Fecha Cumplimiento y/ liquidacion],COSTO_OPORTUNIDAD!$C300)</f>
        <v>0</v>
      </c>
      <c r="M300" s="263">
        <f>+SUMIFS(Tabla6[Nominal COP],Tabla6[Concepto],COSTO_OPORTUNIDAD!$B$18,Tabla6[Nemotécnico],COSTO_OPORTUNIDAD!M$16,Tabla6[Fecha Cumplimiento y/ liquidacion],COSTO_OPORTUNIDAD!$C300)/+SUMIFS(Tabla6[Nominal COP],Tabla6[Concepto],COSTO_OPORTUNIDAD!$B$18,Tabla6[Fecha Cumplimiento y/ liquidacion],COSTO_OPORTUNIDAD!$C300)</f>
        <v>0</v>
      </c>
      <c r="N300" s="263">
        <f>+SUMIFS(Tabla6[Nominal COP],Tabla6[Concepto],COSTO_OPORTUNIDAD!$B$18,Tabla6[Nemotécnico],COSTO_OPORTUNIDAD!N$16,Tabla6[Fecha Cumplimiento y/ liquidacion],COSTO_OPORTUNIDAD!$C300)/+SUMIFS(Tabla6[Nominal COP],Tabla6[Concepto],COSTO_OPORTUNIDAD!$B$18,Tabla6[Fecha Cumplimiento y/ liquidacion],COSTO_OPORTUNIDAD!$C300)</f>
        <v>0</v>
      </c>
      <c r="O300" s="263"/>
      <c r="P300" s="263">
        <f>+SUMIFS(Tabla6[Nominal COP],Tabla6[Concepto],COSTO_OPORTUNIDAD!$B$18,Tabla6[Nemotécnico],COSTO_OPORTUNIDAD!P$16,Tabla6[Fecha Cumplimiento y/ liquidacion],COSTO_OPORTUNIDAD!$C300)/+SUMIFS(Tabla6[Nominal COP],Tabla6[Concepto],COSTO_OPORTUNIDAD!$B$18,Tabla6[Fecha Cumplimiento y/ liquidacion],COSTO_OPORTUNIDAD!$C300)</f>
        <v>0</v>
      </c>
      <c r="Q300" s="263">
        <f>+SUMIFS(Tabla6[Nominal COP],Tabla6[Concepto],COSTO_OPORTUNIDAD!$B$18,Tabla6[Nemotécnico],COSTO_OPORTUNIDAD!Q$16,Tabla6[Fecha Cumplimiento y/ liquidacion],COSTO_OPORTUNIDAD!$C300)/+SUMIFS(Tabla6[Nominal COP],Tabla6[Concepto],COSTO_OPORTUNIDAD!$B$18,Tabla6[Fecha Cumplimiento y/ liquidacion],COSTO_OPORTUNIDAD!$C300)</f>
        <v>0</v>
      </c>
      <c r="R300" s="263">
        <f>+SUMIFS(Tabla6[Nominal COP],Tabla6[Concepto],COSTO_OPORTUNIDAD!$B$18,Tabla6[Nemotécnico],COSTO_OPORTUNIDAD!R$16,Tabla6[Fecha Cumplimiento y/ liquidacion],COSTO_OPORTUNIDAD!$C300)/+SUMIFS(Tabla6[Nominal COP],Tabla6[Concepto],COSTO_OPORTUNIDAD!$B$18,Tabla6[Fecha Cumplimiento y/ liquidacion],COSTO_OPORTUNIDAD!$C300)</f>
        <v>0</v>
      </c>
      <c r="S300" s="263">
        <f>+SUMIFS(Tabla6[Nominal COP],Tabla6[Concepto],COSTO_OPORTUNIDAD!$B$18,Tabla6[Nemotécnico],COSTO_OPORTUNIDAD!S$16,Tabla6[Fecha Cumplimiento y/ liquidacion],COSTO_OPORTUNIDAD!$C300)/+SUMIFS(Tabla6[Nominal COP],Tabla6[Concepto],COSTO_OPORTUNIDAD!$B$18,Tabla6[Fecha Cumplimiento y/ liquidacion],COSTO_OPORTUNIDAD!$C300)</f>
        <v>0</v>
      </c>
      <c r="T300" s="263">
        <f>+SUMIFS(Tabla6[Nominal COP],Tabla6[Concepto],COSTO_OPORTUNIDAD!$B$18,Tabla6[Nemotécnico],COSTO_OPORTUNIDAD!T$16,Tabla6[Fecha Cumplimiento y/ liquidacion],COSTO_OPORTUNIDAD!$C300)/+SUMIFS(Tabla6[Nominal COP],Tabla6[Concepto],COSTO_OPORTUNIDAD!$B$18,Tabla6[Fecha Cumplimiento y/ liquidacion],COSTO_OPORTUNIDAD!$C300)</f>
        <v>0</v>
      </c>
      <c r="U300" s="263">
        <f>+SUMIFS(Tabla6[Nominal COP],Tabla6[Concepto],COSTO_OPORTUNIDAD!$B$18,Tabla6[Nemotécnico],COSTO_OPORTUNIDAD!U$16,Tabla6[Fecha Cumplimiento y/ liquidacion],COSTO_OPORTUNIDAD!$C300)/+SUMIFS(Tabla6[Nominal COP],Tabla6[Concepto],COSTO_OPORTUNIDAD!$B$18,Tabla6[Fecha Cumplimiento y/ liquidacion],COSTO_OPORTUNIDAD!$C300)</f>
        <v>0</v>
      </c>
      <c r="V300" s="263">
        <f>+SUMIFS(Tabla6[Nominal COP],Tabla6[Concepto],COSTO_OPORTUNIDAD!$B$18,Tabla6[Nemotécnico],COSTO_OPORTUNIDAD!V$16,Tabla6[Fecha Cumplimiento y/ liquidacion],COSTO_OPORTUNIDAD!$C300)/+SUMIFS(Tabla6[Nominal COP],Tabla6[Concepto],COSTO_OPORTUNIDAD!$B$18,Tabla6[Fecha Cumplimiento y/ liquidacion],COSTO_OPORTUNIDAD!$C300)</f>
        <v>0</v>
      </c>
      <c r="W300" s="263">
        <f>+SUMIFS(Tabla6[Nominal COP],Tabla6[Concepto],COSTO_OPORTUNIDAD!$B$18,Tabla6[Nemotécnico],COSTO_OPORTUNIDAD!W$16,Tabla6[Fecha Cumplimiento y/ liquidacion],COSTO_OPORTUNIDAD!$C300)/+SUMIFS(Tabla6[Nominal COP],Tabla6[Concepto],COSTO_OPORTUNIDAD!$B$18,Tabla6[Fecha Cumplimiento y/ liquidacion],COSTO_OPORTUNIDAD!$C300)</f>
        <v>0</v>
      </c>
      <c r="X300" s="263">
        <f>+SUMIFS(Tabla6[Nominal COP],Tabla6[Concepto],COSTO_OPORTUNIDAD!$B$18,Tabla6[Nemotécnico],COSTO_OPORTUNIDAD!X$16,Tabla6[Fecha Cumplimiento y/ liquidacion],COSTO_OPORTUNIDAD!$C300)/+SUMIFS(Tabla6[Nominal COP],Tabla6[Concepto],COSTO_OPORTUNIDAD!$B$18,Tabla6[Fecha Cumplimiento y/ liquidacion],COSTO_OPORTUNIDAD!$C300)</f>
        <v>0</v>
      </c>
      <c r="Y300" s="263">
        <f>+SUMIFS(Tabla6[Nominal COP],Tabla6[Concepto],COSTO_OPORTUNIDAD!$B$18,Tabla6[Nemotécnico],COSTO_OPORTUNIDAD!Y$16,Tabla6[Fecha Cumplimiento y/ liquidacion],COSTO_OPORTUNIDAD!$C300)/+SUMIFS(Tabla6[Nominal COP],Tabla6[Concepto],COSTO_OPORTUNIDAD!$B$18,Tabla6[Fecha Cumplimiento y/ liquidacion],COSTO_OPORTUNIDAD!$C300)</f>
        <v>0</v>
      </c>
      <c r="Z300" s="263">
        <f>+SUMIFS(Tabla6[Nominal COP],Tabla6[Concepto],COSTO_OPORTUNIDAD!$B$18,Tabla6[Nemotécnico],COSTO_OPORTUNIDAD!Z$16,Tabla6[Fecha Cumplimiento y/ liquidacion],COSTO_OPORTUNIDAD!$C300)/+SUMIFS(Tabla6[Nominal COP],Tabla6[Concepto],COSTO_OPORTUNIDAD!$B$18,Tabla6[Fecha Cumplimiento y/ liquidacion],COSTO_OPORTUNIDAD!$C300)</f>
        <v>0</v>
      </c>
      <c r="AA300" s="263">
        <f>+SUMIFS(Tabla6[Nominal COP],Tabla6[Concepto],COSTO_OPORTUNIDAD!$B$18,Tabla6[Nemotécnico],COSTO_OPORTUNIDAD!AA$16,Tabla6[Fecha Cumplimiento y/ liquidacion],COSTO_OPORTUNIDAD!$C300)/+SUMIFS(Tabla6[Nominal COP],Tabla6[Concepto],COSTO_OPORTUNIDAD!$B$18,Tabla6[Fecha Cumplimiento y/ liquidacion],COSTO_OPORTUNIDAD!$C300)</f>
        <v>0</v>
      </c>
      <c r="AB300" s="263">
        <f>+SUMIFS(Tabla6[Nominal COP],Tabla6[Concepto],COSTO_OPORTUNIDAD!$B$18,Tabla6[Nemotécnico],COSTO_OPORTUNIDAD!AB$16,Tabla6[Fecha Cumplimiento y/ liquidacion],COSTO_OPORTUNIDAD!$C300)/+SUMIFS(Tabla6[Nominal COP],Tabla6[Concepto],COSTO_OPORTUNIDAD!$B$18,Tabla6[Fecha Cumplimiento y/ liquidacion],COSTO_OPORTUNIDAD!$C300)</f>
        <v>0</v>
      </c>
      <c r="AC300" s="263">
        <f>+SUMIFS(Tabla6[Nominal COP],Tabla6[Concepto],COSTO_OPORTUNIDAD!$B$18,Tabla6[Nemotécnico],COSTO_OPORTUNIDAD!AC$16,Tabla6[Fecha Cumplimiento y/ liquidacion],COSTO_OPORTUNIDAD!$C300)/+SUMIFS(Tabla6[Nominal COP],Tabla6[Concepto],COSTO_OPORTUNIDAD!$B$18,Tabla6[Fecha Cumplimiento y/ liquidacion],COSTO_OPORTUNIDAD!$C300)</f>
        <v>0</v>
      </c>
      <c r="AD300" s="263">
        <f>+SUMIFS(Tabla6[Nominal COP],Tabla6[Concepto],COSTO_OPORTUNIDAD!$B$18,Tabla6[Nemotécnico],COSTO_OPORTUNIDAD!AC$16,Tabla6[Fecha Cumplimiento y/ liquidacion],COSTO_OPORTUNIDAD!$C300)/+SUMIFS(Tabla6[Nominal COP],Tabla6[Concepto],COSTO_OPORTUNIDAD!$B$18,Tabla6[Fecha Cumplimiento y/ liquidacion],COSTO_OPORTUNIDAD!$C300)</f>
        <v>0</v>
      </c>
      <c r="AE300" s="263">
        <f>+SUMIFS(Tabla6[Nominal COP],Tabla6[Concepto],COSTO_OPORTUNIDAD!$B$18,Tabla6[Nemotécnico],COSTO_OPORTUNIDAD!AE$16,Tabla6[Fecha Cumplimiento y/ liquidacion],COSTO_OPORTUNIDAD!$C300)/+SUMIFS(Tabla6[Nominal COP],Tabla6[Concepto],COSTO_OPORTUNIDAD!$B$18,Tabla6[Fecha Cumplimiento y/ liquidacion],COSTO_OPORTUNIDAD!$C300)</f>
        <v>0</v>
      </c>
      <c r="AF300" s="263">
        <f>+SUMIFS(Tabla6[Nominal COP],Tabla6[Concepto],COSTO_OPORTUNIDAD!$B$18,Tabla6[Nemotécnico],COSTO_OPORTUNIDAD!AF$16,Tabla6[Fecha Cumplimiento y/ liquidacion],COSTO_OPORTUNIDAD!$C300)/+SUMIFS(Tabla6[Nominal COP],Tabla6[Concepto],COSTO_OPORTUNIDAD!$B$18,Tabla6[Fecha Cumplimiento y/ liquidacion],COSTO_OPORTUNIDAD!$C300)</f>
        <v>0</v>
      </c>
      <c r="AH300" s="274">
        <f t="shared" si="372"/>
        <v>280</v>
      </c>
      <c r="AI300" s="274">
        <f t="shared" si="372"/>
        <v>714</v>
      </c>
      <c r="AJ300" s="274">
        <f t="shared" si="372"/>
        <v>891</v>
      </c>
      <c r="AK300" s="274">
        <f t="shared" si="372"/>
        <v>1372</v>
      </c>
      <c r="AL300" s="274">
        <f t="shared" si="372"/>
        <v>1764</v>
      </c>
      <c r="AM300" s="274">
        <f t="shared" si="372"/>
        <v>1953</v>
      </c>
      <c r="AN300" s="274">
        <f t="shared" si="372"/>
        <v>2415</v>
      </c>
      <c r="AO300" s="274">
        <f t="shared" si="372"/>
        <v>2639</v>
      </c>
      <c r="AP300" s="274">
        <f t="shared" si="372"/>
        <v>3255</v>
      </c>
      <c r="AQ300" s="274"/>
      <c r="AR300" s="274">
        <f t="shared" si="313"/>
        <v>3885</v>
      </c>
      <c r="AS300" s="274">
        <f t="shared" si="301"/>
        <v>5488</v>
      </c>
      <c r="AT300" s="274">
        <f t="shared" si="283"/>
        <v>6034</v>
      </c>
      <c r="AU300" s="274">
        <f t="shared" si="284"/>
        <v>7553</v>
      </c>
      <c r="AV300" s="274">
        <f t="shared" si="285"/>
        <v>9107</v>
      </c>
      <c r="AW300" s="274">
        <f t="shared" si="361"/>
        <v>11802</v>
      </c>
      <c r="AX300" s="274">
        <f t="shared" si="373"/>
        <v>-196</v>
      </c>
      <c r="AY300" s="274">
        <f t="shared" si="374"/>
        <v>483</v>
      </c>
      <c r="AZ300" s="274">
        <f t="shared" si="375"/>
        <v>1246</v>
      </c>
      <c r="BA300" s="274">
        <f t="shared" si="376"/>
        <v>1890</v>
      </c>
      <c r="BB300" s="274">
        <f t="shared" si="377"/>
        <v>2683</v>
      </c>
      <c r="BC300" s="274">
        <f t="shared" si="378"/>
        <v>3423</v>
      </c>
      <c r="BD300" s="274">
        <f t="shared" si="379"/>
        <v>4116</v>
      </c>
      <c r="BE300" s="274">
        <f t="shared" si="380"/>
        <v>5600</v>
      </c>
      <c r="BF300" s="274">
        <f t="shared" si="381"/>
        <v>8610</v>
      </c>
      <c r="BG300" s="274">
        <f t="shared" si="382"/>
        <v>10773</v>
      </c>
      <c r="BH300" s="274">
        <f t="shared" si="383"/>
        <v>13223</v>
      </c>
      <c r="BI300" s="499">
        <f t="shared" si="318"/>
        <v>0</v>
      </c>
      <c r="BJ300" s="266">
        <f t="shared" si="319"/>
        <v>1</v>
      </c>
      <c r="BK300" s="263">
        <f t="shared" si="320"/>
        <v>0</v>
      </c>
      <c r="BL300" s="263">
        <f t="shared" si="321"/>
        <v>0</v>
      </c>
      <c r="BM300" s="263">
        <f t="shared" si="322"/>
        <v>0</v>
      </c>
      <c r="BN300" s="263">
        <f t="shared" si="351"/>
        <v>1</v>
      </c>
      <c r="BO300" s="263">
        <f t="shared" si="323"/>
        <v>0</v>
      </c>
      <c r="BP300" s="263">
        <f t="shared" si="324"/>
        <v>0</v>
      </c>
      <c r="BQ300" s="263">
        <f t="shared" si="325"/>
        <v>0</v>
      </c>
      <c r="BR300" s="263">
        <f t="shared" si="326"/>
        <v>0</v>
      </c>
      <c r="BS300" s="263">
        <f t="shared" si="327"/>
        <v>0</v>
      </c>
      <c r="BT300" s="263">
        <f t="shared" si="328"/>
        <v>0</v>
      </c>
      <c r="BU300" s="263">
        <f t="shared" si="329"/>
        <v>0</v>
      </c>
      <c r="BV300" s="263">
        <f t="shared" si="352"/>
        <v>0</v>
      </c>
      <c r="BW300" s="263">
        <f t="shared" si="330"/>
        <v>0</v>
      </c>
      <c r="BX300" s="263">
        <f t="shared" si="337"/>
        <v>0</v>
      </c>
      <c r="BY300" s="263">
        <f t="shared" si="331"/>
        <v>0</v>
      </c>
      <c r="BZ300" s="263">
        <f t="shared" si="370"/>
        <v>0</v>
      </c>
      <c r="CA300" s="263" t="str">
        <f t="shared" si="254"/>
        <v/>
      </c>
      <c r="CB300" s="263" t="str">
        <f t="shared" si="332"/>
        <v/>
      </c>
      <c r="CC300" s="263" t="str">
        <f t="shared" si="255"/>
        <v/>
      </c>
      <c r="CD300" s="263" t="str">
        <f t="shared" si="333"/>
        <v/>
      </c>
      <c r="CE300" s="263" t="str">
        <f t="shared" si="346"/>
        <v/>
      </c>
      <c r="CF300" s="263" t="str">
        <f t="shared" si="256"/>
        <v/>
      </c>
      <c r="CG300" s="263" t="str">
        <f t="shared" si="257"/>
        <v/>
      </c>
      <c r="CH300" s="263" t="str">
        <f t="shared" si="290"/>
        <v/>
      </c>
      <c r="CI300" s="263" t="str">
        <f t="shared" si="334"/>
        <v/>
      </c>
      <c r="CJ300" s="263" t="str">
        <f t="shared" si="291"/>
        <v/>
      </c>
      <c r="CK300" s="263" t="str">
        <f t="shared" si="335"/>
        <v/>
      </c>
      <c r="CL300" s="264">
        <f t="shared" si="367"/>
        <v>1372</v>
      </c>
      <c r="CM300" s="264">
        <f t="shared" si="362"/>
        <v>0</v>
      </c>
      <c r="CN300" s="500"/>
      <c r="CO300" s="501">
        <v>9.2920000000000003E-2</v>
      </c>
      <c r="CP300" s="501">
        <v>0.106</v>
      </c>
      <c r="CQ300" s="501">
        <v>0.1139</v>
      </c>
      <c r="CR300" s="501">
        <v>0.11900000000000001</v>
      </c>
      <c r="CS300" s="501">
        <v>0.12064999999999999</v>
      </c>
      <c r="CT300" s="501">
        <v>0.12161</v>
      </c>
      <c r="CU300" s="501">
        <v>0.12195</v>
      </c>
      <c r="CV300" s="501">
        <v>0.12295</v>
      </c>
      <c r="CW300" s="501">
        <v>0.1226</v>
      </c>
      <c r="CX300" s="501">
        <v>0.12407</v>
      </c>
      <c r="CY300" s="501">
        <v>0.12295</v>
      </c>
      <c r="CZ300" s="501">
        <v>0.124</v>
      </c>
      <c r="DA300" s="501">
        <v>0.124</v>
      </c>
      <c r="DB300" s="501">
        <v>0.12486999999999999</v>
      </c>
      <c r="DC300" s="501">
        <v>0.12369999999999999</v>
      </c>
      <c r="DD300" s="501">
        <v>0.12594</v>
      </c>
      <c r="DE300" s="501">
        <v>6.0999999999999999E-2</v>
      </c>
      <c r="DF300" s="501">
        <v>6.4500000000000002E-2</v>
      </c>
      <c r="DG300" s="501"/>
      <c r="DH300" s="501">
        <v>6.0990000000000003E-2</v>
      </c>
      <c r="DI300" s="501">
        <v>6.0999999999999999E-2</v>
      </c>
      <c r="DJ300" s="501">
        <v>6.0990000000000003E-2</v>
      </c>
      <c r="DK300" s="501">
        <v>6.3099999999999989E-2</v>
      </c>
      <c r="DL300" s="501">
        <v>6.2530000000000002E-2</v>
      </c>
      <c r="DM300" s="501">
        <v>6.2829999999999997E-2</v>
      </c>
      <c r="DN300" s="501">
        <v>6.3E-2</v>
      </c>
      <c r="DO300" s="264">
        <f t="shared" si="363"/>
        <v>1372</v>
      </c>
      <c r="DP300" s="264" cm="1">
        <f t="array" ref="DP300">+INDEX(AH300:AW300,MATCH(DO300,AH300:AW300,1)+1)</f>
        <v>1764</v>
      </c>
      <c r="DQ300" s="265">
        <f t="shared" si="364"/>
        <v>0.11900000000000001</v>
      </c>
      <c r="DR300" s="267">
        <f t="shared" si="365"/>
        <v>0.12064999999999999</v>
      </c>
      <c r="DS300" s="267">
        <f t="shared" si="297"/>
        <v>0.11899999999999999</v>
      </c>
      <c r="DT300" s="268">
        <f t="shared" si="293"/>
        <v>-196</v>
      </c>
      <c r="DU300" s="268" cm="1">
        <f t="array" ref="DU300">+INDEX(AX300:BG300,MATCH(DT300,AX300:BG300,1)+1)</f>
        <v>483</v>
      </c>
      <c r="DV300" s="267">
        <f t="shared" si="366"/>
        <v>6.0999999999999999E-2</v>
      </c>
      <c r="DW300" s="267">
        <f t="shared" si="294"/>
        <v>6.4500000000000002E-2</v>
      </c>
      <c r="DX300" s="267">
        <f t="shared" si="345"/>
        <v>6.2010000000000003E-2</v>
      </c>
      <c r="DY300" s="267">
        <f t="shared" si="341"/>
        <v>5.28E-2</v>
      </c>
      <c r="DZ300" s="205">
        <f t="shared" si="387"/>
        <v>0.11808412799999979</v>
      </c>
      <c r="EA300" s="205">
        <f t="shared" si="385"/>
        <v>0.11899999999999999</v>
      </c>
    </row>
    <row r="301" spans="2:131">
      <c r="B301" s="272">
        <v>45981</v>
      </c>
      <c r="C301" s="271">
        <f t="shared" si="386"/>
        <v>45981</v>
      </c>
      <c r="D301" s="263">
        <f>+SUMIFS(Tabla6[Nominal COP],Tabla6[Concepto],COSTO_OPORTUNIDAD!$B$18,Tabla6[Nemotécnico],COSTO_OPORTUNIDAD!D$16,Tabla6[Fecha Cumplimiento y/ liquidacion],COSTO_OPORTUNIDAD!$C301)/+SUMIFS(Tabla6[Nominal COP],Tabla6[Concepto],COSTO_OPORTUNIDAD!$B$18,Tabla6[Fecha Cumplimiento y/ liquidacion],COSTO_OPORTUNIDAD!$C301)</f>
        <v>0</v>
      </c>
      <c r="E301" s="263">
        <f>+SUMIFS(Tabla6[Nominal COP],Tabla6[Concepto],COSTO_OPORTUNIDAD!$B$18,Tabla6[Nemotécnico],COSTO_OPORTUNIDAD!E$16,Tabla6[Fecha Cumplimiento y/ liquidacion],COSTO_OPORTUNIDAD!$C301)/+SUMIFS(Tabla6[Nominal COP],Tabla6[Concepto],COSTO_OPORTUNIDAD!$B$18,Tabla6[Fecha Cumplimiento y/ liquidacion],COSTO_OPORTUNIDAD!$C301)</f>
        <v>0</v>
      </c>
      <c r="F301" s="263">
        <f>+SUMIFS(Tabla6[Nominal COP],Tabla6[Concepto],COSTO_OPORTUNIDAD!$B$18,Tabla6[Nemotécnico],COSTO_OPORTUNIDAD!F$16,Tabla6[Fecha Cumplimiento y/ liquidacion],COSTO_OPORTUNIDAD!$C301)/+SUMIFS(Tabla6[Nominal COP],Tabla6[Concepto],COSTO_OPORTUNIDAD!$B$18,Tabla6[Fecha Cumplimiento y/ liquidacion],COSTO_OPORTUNIDAD!$C301)</f>
        <v>0</v>
      </c>
      <c r="G301" s="263">
        <f>+SUMIFS(Tabla6[Nominal COP],Tabla6[Concepto],COSTO_OPORTUNIDAD!$B$18,Tabla6[Nemotécnico],COSTO_OPORTUNIDAD!G$16,Tabla6[Fecha Cumplimiento y/ liquidacion],COSTO_OPORTUNIDAD!$C301)/+SUMIFS(Tabla6[Nominal COP],Tabla6[Concepto],COSTO_OPORTUNIDAD!$B$18,Tabla6[Fecha Cumplimiento y/ liquidacion],COSTO_OPORTUNIDAD!$C301)</f>
        <v>0</v>
      </c>
      <c r="H301" s="263">
        <f>+SUMIFS(Tabla6[Nominal COP],Tabla6[Concepto],COSTO_OPORTUNIDAD!$B$18,Tabla6[Nemotécnico],COSTO_OPORTUNIDAD!H$16,Tabla6[Fecha Cumplimiento y/ liquidacion],COSTO_OPORTUNIDAD!$C301)/+SUMIFS(Tabla6[Nominal COP],Tabla6[Concepto],COSTO_OPORTUNIDAD!$B$18,Tabla6[Fecha Cumplimiento y/ liquidacion],COSTO_OPORTUNIDAD!$C301)</f>
        <v>0</v>
      </c>
      <c r="I301" s="263">
        <f>+SUMIFS(Tabla6[Nominal COP],Tabla6[Concepto],COSTO_OPORTUNIDAD!$B$18,Tabla6[Nemotécnico],COSTO_OPORTUNIDAD!I$16,Tabla6[Fecha Cumplimiento y/ liquidacion],COSTO_OPORTUNIDAD!$C301)/+SUMIFS(Tabla6[Nominal COP],Tabla6[Concepto],COSTO_OPORTUNIDAD!$B$18,Tabla6[Fecha Cumplimiento y/ liquidacion],COSTO_OPORTUNIDAD!$C301)</f>
        <v>1</v>
      </c>
      <c r="J301" s="263">
        <f>+SUMIFS(Tabla6[Nominal COP],Tabla6[Concepto],COSTO_OPORTUNIDAD!$B$18,Tabla6[Nemotécnico],COSTO_OPORTUNIDAD!J$16,Tabla6[Fecha Cumplimiento y/ liquidacion],COSTO_OPORTUNIDAD!$C301)/+SUMIFS(Tabla6[Nominal COP],Tabla6[Concepto],COSTO_OPORTUNIDAD!$B$18,Tabla6[Fecha Cumplimiento y/ liquidacion],COSTO_OPORTUNIDAD!$C301)</f>
        <v>0</v>
      </c>
      <c r="K301" s="263">
        <f>+SUMIFS(Tabla6[Nominal COP],Tabla6[Concepto],COSTO_OPORTUNIDAD!$B$18,Tabla6[Nemotécnico],COSTO_OPORTUNIDAD!K$16,Tabla6[Fecha Cumplimiento y/ liquidacion],COSTO_OPORTUNIDAD!$C301)/+SUMIFS(Tabla6[Nominal COP],Tabla6[Concepto],COSTO_OPORTUNIDAD!$B$18,Tabla6[Fecha Cumplimiento y/ liquidacion],COSTO_OPORTUNIDAD!$C301)</f>
        <v>0</v>
      </c>
      <c r="L301" s="263">
        <f>+SUMIFS(Tabla6[Nominal COP],Tabla6[Concepto],COSTO_OPORTUNIDAD!$B$18,Tabla6[Nemotécnico],COSTO_OPORTUNIDAD!L$16,Tabla6[Fecha Cumplimiento y/ liquidacion],COSTO_OPORTUNIDAD!$C301)/+SUMIFS(Tabla6[Nominal COP],Tabla6[Concepto],COSTO_OPORTUNIDAD!$B$18,Tabla6[Fecha Cumplimiento y/ liquidacion],COSTO_OPORTUNIDAD!$C301)</f>
        <v>0</v>
      </c>
      <c r="M301" s="263">
        <f>+SUMIFS(Tabla6[Nominal COP],Tabla6[Concepto],COSTO_OPORTUNIDAD!$B$18,Tabla6[Nemotécnico],COSTO_OPORTUNIDAD!M$16,Tabla6[Fecha Cumplimiento y/ liquidacion],COSTO_OPORTUNIDAD!$C301)/+SUMIFS(Tabla6[Nominal COP],Tabla6[Concepto],COSTO_OPORTUNIDAD!$B$18,Tabla6[Fecha Cumplimiento y/ liquidacion],COSTO_OPORTUNIDAD!$C301)</f>
        <v>0</v>
      </c>
      <c r="N301" s="263">
        <f>+SUMIFS(Tabla6[Nominal COP],Tabla6[Concepto],COSTO_OPORTUNIDAD!$B$18,Tabla6[Nemotécnico],COSTO_OPORTUNIDAD!N$16,Tabla6[Fecha Cumplimiento y/ liquidacion],COSTO_OPORTUNIDAD!$C301)/+SUMIFS(Tabla6[Nominal COP],Tabla6[Concepto],COSTO_OPORTUNIDAD!$B$18,Tabla6[Fecha Cumplimiento y/ liquidacion],COSTO_OPORTUNIDAD!$C301)</f>
        <v>0</v>
      </c>
      <c r="O301" s="263"/>
      <c r="P301" s="263">
        <f>+SUMIFS(Tabla6[Nominal COP],Tabla6[Concepto],COSTO_OPORTUNIDAD!$B$18,Tabla6[Nemotécnico],COSTO_OPORTUNIDAD!P$16,Tabla6[Fecha Cumplimiento y/ liquidacion],COSTO_OPORTUNIDAD!$C301)/+SUMIFS(Tabla6[Nominal COP],Tabla6[Concepto],COSTO_OPORTUNIDAD!$B$18,Tabla6[Fecha Cumplimiento y/ liquidacion],COSTO_OPORTUNIDAD!$C301)</f>
        <v>0</v>
      </c>
      <c r="Q301" s="263">
        <f>+SUMIFS(Tabla6[Nominal COP],Tabla6[Concepto],COSTO_OPORTUNIDAD!$B$18,Tabla6[Nemotécnico],COSTO_OPORTUNIDAD!Q$16,Tabla6[Fecha Cumplimiento y/ liquidacion],COSTO_OPORTUNIDAD!$C301)/+SUMIFS(Tabla6[Nominal COP],Tabla6[Concepto],COSTO_OPORTUNIDAD!$B$18,Tabla6[Fecha Cumplimiento y/ liquidacion],COSTO_OPORTUNIDAD!$C301)</f>
        <v>0</v>
      </c>
      <c r="R301" s="263">
        <f>+SUMIFS(Tabla6[Nominal COP],Tabla6[Concepto],COSTO_OPORTUNIDAD!$B$18,Tabla6[Nemotécnico],COSTO_OPORTUNIDAD!R$16,Tabla6[Fecha Cumplimiento y/ liquidacion],COSTO_OPORTUNIDAD!$C301)/+SUMIFS(Tabla6[Nominal COP],Tabla6[Concepto],COSTO_OPORTUNIDAD!$B$18,Tabla6[Fecha Cumplimiento y/ liquidacion],COSTO_OPORTUNIDAD!$C301)</f>
        <v>0</v>
      </c>
      <c r="S301" s="263">
        <f>+SUMIFS(Tabla6[Nominal COP],Tabla6[Concepto],COSTO_OPORTUNIDAD!$B$18,Tabla6[Nemotécnico],COSTO_OPORTUNIDAD!S$16,Tabla6[Fecha Cumplimiento y/ liquidacion],COSTO_OPORTUNIDAD!$C301)/+SUMIFS(Tabla6[Nominal COP],Tabla6[Concepto],COSTO_OPORTUNIDAD!$B$18,Tabla6[Fecha Cumplimiento y/ liquidacion],COSTO_OPORTUNIDAD!$C301)</f>
        <v>0</v>
      </c>
      <c r="T301" s="263">
        <f>+SUMIFS(Tabla6[Nominal COP],Tabla6[Concepto],COSTO_OPORTUNIDAD!$B$18,Tabla6[Nemotécnico],COSTO_OPORTUNIDAD!T$16,Tabla6[Fecha Cumplimiento y/ liquidacion],COSTO_OPORTUNIDAD!$C301)/+SUMIFS(Tabla6[Nominal COP],Tabla6[Concepto],COSTO_OPORTUNIDAD!$B$18,Tabla6[Fecha Cumplimiento y/ liquidacion],COSTO_OPORTUNIDAD!$C301)</f>
        <v>0</v>
      </c>
      <c r="U301" s="263">
        <f>+SUMIFS(Tabla6[Nominal COP],Tabla6[Concepto],COSTO_OPORTUNIDAD!$B$18,Tabla6[Nemotécnico],COSTO_OPORTUNIDAD!U$16,Tabla6[Fecha Cumplimiento y/ liquidacion],COSTO_OPORTUNIDAD!$C301)/+SUMIFS(Tabla6[Nominal COP],Tabla6[Concepto],COSTO_OPORTUNIDAD!$B$18,Tabla6[Fecha Cumplimiento y/ liquidacion],COSTO_OPORTUNIDAD!$C301)</f>
        <v>0</v>
      </c>
      <c r="V301" s="263">
        <f>+SUMIFS(Tabla6[Nominal COP],Tabla6[Concepto],COSTO_OPORTUNIDAD!$B$18,Tabla6[Nemotécnico],COSTO_OPORTUNIDAD!V$16,Tabla6[Fecha Cumplimiento y/ liquidacion],COSTO_OPORTUNIDAD!$C301)/+SUMIFS(Tabla6[Nominal COP],Tabla6[Concepto],COSTO_OPORTUNIDAD!$B$18,Tabla6[Fecha Cumplimiento y/ liquidacion],COSTO_OPORTUNIDAD!$C301)</f>
        <v>0</v>
      </c>
      <c r="W301" s="263">
        <f>+SUMIFS(Tabla6[Nominal COP],Tabla6[Concepto],COSTO_OPORTUNIDAD!$B$18,Tabla6[Nemotécnico],COSTO_OPORTUNIDAD!W$16,Tabla6[Fecha Cumplimiento y/ liquidacion],COSTO_OPORTUNIDAD!$C301)/+SUMIFS(Tabla6[Nominal COP],Tabla6[Concepto],COSTO_OPORTUNIDAD!$B$18,Tabla6[Fecha Cumplimiento y/ liquidacion],COSTO_OPORTUNIDAD!$C301)</f>
        <v>0</v>
      </c>
      <c r="X301" s="263">
        <f>+SUMIFS(Tabla6[Nominal COP],Tabla6[Concepto],COSTO_OPORTUNIDAD!$B$18,Tabla6[Nemotécnico],COSTO_OPORTUNIDAD!X$16,Tabla6[Fecha Cumplimiento y/ liquidacion],COSTO_OPORTUNIDAD!$C301)/+SUMIFS(Tabla6[Nominal COP],Tabla6[Concepto],COSTO_OPORTUNIDAD!$B$18,Tabla6[Fecha Cumplimiento y/ liquidacion],COSTO_OPORTUNIDAD!$C301)</f>
        <v>0</v>
      </c>
      <c r="Y301" s="263">
        <f>+SUMIFS(Tabla6[Nominal COP],Tabla6[Concepto],COSTO_OPORTUNIDAD!$B$18,Tabla6[Nemotécnico],COSTO_OPORTUNIDAD!Y$16,Tabla6[Fecha Cumplimiento y/ liquidacion],COSTO_OPORTUNIDAD!$C301)/+SUMIFS(Tabla6[Nominal COP],Tabla6[Concepto],COSTO_OPORTUNIDAD!$B$18,Tabla6[Fecha Cumplimiento y/ liquidacion],COSTO_OPORTUNIDAD!$C301)</f>
        <v>0</v>
      </c>
      <c r="Z301" s="263">
        <f>+SUMIFS(Tabla6[Nominal COP],Tabla6[Concepto],COSTO_OPORTUNIDAD!$B$18,Tabla6[Nemotécnico],COSTO_OPORTUNIDAD!Z$16,Tabla6[Fecha Cumplimiento y/ liquidacion],COSTO_OPORTUNIDAD!$C301)/+SUMIFS(Tabla6[Nominal COP],Tabla6[Concepto],COSTO_OPORTUNIDAD!$B$18,Tabla6[Fecha Cumplimiento y/ liquidacion],COSTO_OPORTUNIDAD!$C301)</f>
        <v>0</v>
      </c>
      <c r="AA301" s="263">
        <f>+SUMIFS(Tabla6[Nominal COP],Tabla6[Concepto],COSTO_OPORTUNIDAD!$B$18,Tabla6[Nemotécnico],COSTO_OPORTUNIDAD!AA$16,Tabla6[Fecha Cumplimiento y/ liquidacion],COSTO_OPORTUNIDAD!$C301)/+SUMIFS(Tabla6[Nominal COP],Tabla6[Concepto],COSTO_OPORTUNIDAD!$B$18,Tabla6[Fecha Cumplimiento y/ liquidacion],COSTO_OPORTUNIDAD!$C301)</f>
        <v>0</v>
      </c>
      <c r="AB301" s="263">
        <f>+SUMIFS(Tabla6[Nominal COP],Tabla6[Concepto],COSTO_OPORTUNIDAD!$B$18,Tabla6[Nemotécnico],COSTO_OPORTUNIDAD!AB$16,Tabla6[Fecha Cumplimiento y/ liquidacion],COSTO_OPORTUNIDAD!$C301)/+SUMIFS(Tabla6[Nominal COP],Tabla6[Concepto],COSTO_OPORTUNIDAD!$B$18,Tabla6[Fecha Cumplimiento y/ liquidacion],COSTO_OPORTUNIDAD!$C301)</f>
        <v>0</v>
      </c>
      <c r="AC301" s="263">
        <f>+SUMIFS(Tabla6[Nominal COP],Tabla6[Concepto],COSTO_OPORTUNIDAD!$B$18,Tabla6[Nemotécnico],COSTO_OPORTUNIDAD!AC$16,Tabla6[Fecha Cumplimiento y/ liquidacion],COSTO_OPORTUNIDAD!$C301)/+SUMIFS(Tabla6[Nominal COP],Tabla6[Concepto],COSTO_OPORTUNIDAD!$B$18,Tabla6[Fecha Cumplimiento y/ liquidacion],COSTO_OPORTUNIDAD!$C301)</f>
        <v>0</v>
      </c>
      <c r="AD301" s="263">
        <f>+SUMIFS(Tabla6[Nominal COP],Tabla6[Concepto],COSTO_OPORTUNIDAD!$B$18,Tabla6[Nemotécnico],COSTO_OPORTUNIDAD!AC$16,Tabla6[Fecha Cumplimiento y/ liquidacion],COSTO_OPORTUNIDAD!$C301)/+SUMIFS(Tabla6[Nominal COP],Tabla6[Concepto],COSTO_OPORTUNIDAD!$B$18,Tabla6[Fecha Cumplimiento y/ liquidacion],COSTO_OPORTUNIDAD!$C301)</f>
        <v>0</v>
      </c>
      <c r="AE301" s="263">
        <f>+SUMIFS(Tabla6[Nominal COP],Tabla6[Concepto],COSTO_OPORTUNIDAD!$B$18,Tabla6[Nemotécnico],COSTO_OPORTUNIDAD!AE$16,Tabla6[Fecha Cumplimiento y/ liquidacion],COSTO_OPORTUNIDAD!$C301)/+SUMIFS(Tabla6[Nominal COP],Tabla6[Concepto],COSTO_OPORTUNIDAD!$B$18,Tabla6[Fecha Cumplimiento y/ liquidacion],COSTO_OPORTUNIDAD!$C301)</f>
        <v>0</v>
      </c>
      <c r="AF301" s="263">
        <f>+SUMIFS(Tabla6[Nominal COP],Tabla6[Concepto],COSTO_OPORTUNIDAD!$B$18,Tabla6[Nemotécnico],COSTO_OPORTUNIDAD!AF$16,Tabla6[Fecha Cumplimiento y/ liquidacion],COSTO_OPORTUNIDAD!$C301)/+SUMIFS(Tabla6[Nominal COP],Tabla6[Concepto],COSTO_OPORTUNIDAD!$B$18,Tabla6[Fecha Cumplimiento y/ liquidacion],COSTO_OPORTUNIDAD!$C301)</f>
        <v>0</v>
      </c>
      <c r="AH301" s="502">
        <f t="shared" ref="AH301:AP301" si="388">(F$17-$B301)</f>
        <v>279</v>
      </c>
      <c r="AI301" s="502">
        <f t="shared" si="388"/>
        <v>713</v>
      </c>
      <c r="AJ301" s="502">
        <f t="shared" si="388"/>
        <v>890</v>
      </c>
      <c r="AK301" s="502">
        <f t="shared" si="388"/>
        <v>1371</v>
      </c>
      <c r="AL301" s="502">
        <f t="shared" si="388"/>
        <v>1763</v>
      </c>
      <c r="AM301" s="502">
        <f t="shared" si="388"/>
        <v>1952</v>
      </c>
      <c r="AN301" s="502">
        <f t="shared" si="388"/>
        <v>2414</v>
      </c>
      <c r="AO301" s="502">
        <f t="shared" si="388"/>
        <v>2638</v>
      </c>
      <c r="AP301" s="502">
        <f t="shared" si="388"/>
        <v>3254</v>
      </c>
      <c r="AQ301" s="502"/>
      <c r="AR301" s="502">
        <f t="shared" si="313"/>
        <v>3884</v>
      </c>
      <c r="AS301" s="502">
        <f t="shared" si="301"/>
        <v>5487</v>
      </c>
      <c r="AT301" s="502">
        <f t="shared" si="283"/>
        <v>6033</v>
      </c>
      <c r="AU301" s="502">
        <f t="shared" si="284"/>
        <v>7552</v>
      </c>
      <c r="AV301" s="502">
        <f t="shared" si="285"/>
        <v>9106</v>
      </c>
      <c r="AW301" s="502">
        <f t="shared" si="361"/>
        <v>11801</v>
      </c>
      <c r="AX301" s="502">
        <f t="shared" si="373"/>
        <v>-197</v>
      </c>
      <c r="AY301" s="502">
        <f t="shared" si="374"/>
        <v>482</v>
      </c>
      <c r="AZ301" s="502">
        <f t="shared" si="375"/>
        <v>1245</v>
      </c>
      <c r="BA301" s="502">
        <f t="shared" si="376"/>
        <v>1889</v>
      </c>
      <c r="BB301" s="502">
        <f t="shared" si="377"/>
        <v>2682</v>
      </c>
      <c r="BC301" s="502">
        <f t="shared" si="378"/>
        <v>3422</v>
      </c>
      <c r="BD301" s="502">
        <f t="shared" si="379"/>
        <v>4115</v>
      </c>
      <c r="BE301" s="502">
        <f t="shared" si="380"/>
        <v>5599</v>
      </c>
      <c r="BF301" s="502">
        <f t="shared" si="381"/>
        <v>8609</v>
      </c>
      <c r="BG301" s="502">
        <f t="shared" si="382"/>
        <v>10772</v>
      </c>
      <c r="BH301" s="502">
        <f t="shared" si="383"/>
        <v>13222</v>
      </c>
      <c r="BI301" s="198">
        <f t="shared" si="318"/>
        <v>0</v>
      </c>
      <c r="BJ301" s="198">
        <f t="shared" si="319"/>
        <v>1</v>
      </c>
      <c r="BK301" s="198">
        <f t="shared" si="320"/>
        <v>0</v>
      </c>
      <c r="BL301" s="198">
        <f t="shared" si="321"/>
        <v>0</v>
      </c>
      <c r="BM301" s="198">
        <f t="shared" si="322"/>
        <v>0</v>
      </c>
      <c r="BN301" s="198">
        <f t="shared" si="351"/>
        <v>1</v>
      </c>
      <c r="BO301" s="198">
        <f t="shared" si="323"/>
        <v>0</v>
      </c>
      <c r="BP301" s="198">
        <f t="shared" si="324"/>
        <v>0</v>
      </c>
      <c r="BQ301" s="198">
        <f t="shared" si="325"/>
        <v>0</v>
      </c>
      <c r="BR301" s="198">
        <f t="shared" si="326"/>
        <v>0</v>
      </c>
      <c r="BS301" s="198">
        <f t="shared" si="327"/>
        <v>0</v>
      </c>
      <c r="BT301" s="198">
        <f t="shared" si="328"/>
        <v>0</v>
      </c>
      <c r="BU301" s="198">
        <f t="shared" si="329"/>
        <v>0</v>
      </c>
      <c r="BV301" s="198">
        <f t="shared" si="352"/>
        <v>0</v>
      </c>
      <c r="BW301" s="198">
        <f t="shared" si="330"/>
        <v>0</v>
      </c>
      <c r="BX301" s="198">
        <f t="shared" si="337"/>
        <v>0</v>
      </c>
      <c r="BY301" s="198">
        <f t="shared" si="331"/>
        <v>0</v>
      </c>
      <c r="BZ301" s="198">
        <f t="shared" si="370"/>
        <v>0</v>
      </c>
      <c r="CA301" s="198" t="str">
        <f t="shared" si="254"/>
        <v/>
      </c>
      <c r="CB301" s="198" t="str">
        <f t="shared" si="332"/>
        <v/>
      </c>
      <c r="CC301" s="198" t="str">
        <f t="shared" si="255"/>
        <v/>
      </c>
      <c r="CD301" s="198" t="str">
        <f t="shared" si="333"/>
        <v/>
      </c>
      <c r="CE301" s="198" t="str">
        <f t="shared" si="346"/>
        <v/>
      </c>
      <c r="CF301" s="198" t="str">
        <f t="shared" si="256"/>
        <v/>
      </c>
      <c r="CG301" s="198" t="str">
        <f t="shared" si="257"/>
        <v/>
      </c>
      <c r="CH301" s="198" t="str">
        <f t="shared" si="290"/>
        <v/>
      </c>
      <c r="CI301" s="198" t="str">
        <f t="shared" si="334"/>
        <v/>
      </c>
      <c r="CJ301" s="198" t="str">
        <f t="shared" si="291"/>
        <v/>
      </c>
      <c r="CK301" s="198" t="str">
        <f t="shared" si="335"/>
        <v/>
      </c>
      <c r="CL301" s="503">
        <f t="shared" si="367"/>
        <v>1371</v>
      </c>
      <c r="CM301" s="503">
        <f t="shared" si="362"/>
        <v>0</v>
      </c>
      <c r="CN301" s="503"/>
      <c r="CO301" s="504" t="s">
        <v>558</v>
      </c>
      <c r="CP301" s="504" t="s">
        <v>559</v>
      </c>
      <c r="CQ301" s="504" t="s">
        <v>560</v>
      </c>
      <c r="CR301" s="504" t="s">
        <v>561</v>
      </c>
      <c r="CS301" s="504" t="s">
        <v>562</v>
      </c>
      <c r="CT301" s="504" t="s">
        <v>563</v>
      </c>
      <c r="CU301" s="504" t="s">
        <v>557</v>
      </c>
      <c r="CV301" s="504" t="s">
        <v>564</v>
      </c>
      <c r="CW301" s="504" t="s">
        <v>565</v>
      </c>
      <c r="CX301" s="504" t="s">
        <v>566</v>
      </c>
      <c r="CY301" s="504" t="s">
        <v>567</v>
      </c>
      <c r="CZ301" s="504" t="s">
        <v>568</v>
      </c>
      <c r="DA301" s="504" t="s">
        <v>569</v>
      </c>
      <c r="DB301" s="504" t="s">
        <v>570</v>
      </c>
      <c r="DC301" s="504" t="s">
        <v>565</v>
      </c>
      <c r="DD301" s="504" t="s">
        <v>571</v>
      </c>
      <c r="DE301" s="504" t="s">
        <v>559</v>
      </c>
      <c r="DF301" s="504" t="s">
        <v>560</v>
      </c>
      <c r="DG301" s="504"/>
      <c r="DH301" s="504" t="s">
        <v>561</v>
      </c>
      <c r="DI301" s="504" t="s">
        <v>562</v>
      </c>
      <c r="DJ301" s="504" t="s">
        <v>563</v>
      </c>
      <c r="DK301" s="504" t="s">
        <v>557</v>
      </c>
      <c r="DL301" s="504" t="s">
        <v>564</v>
      </c>
      <c r="DM301" s="504" t="s">
        <v>565</v>
      </c>
      <c r="DN301" s="504" t="s">
        <v>566</v>
      </c>
      <c r="DO301" s="503">
        <f t="shared" si="363"/>
        <v>1371</v>
      </c>
      <c r="DP301" s="503" cm="1">
        <f t="array" ref="DP301">+INDEX(AH301:AW301,MATCH(DO301,AH301:AW301,1)+1)</f>
        <v>1763</v>
      </c>
      <c r="DQ301" s="504" t="str">
        <f t="shared" si="364"/>
        <v>11.942%</v>
      </c>
      <c r="DR301" s="205" t="str">
        <f t="shared" si="365"/>
        <v>12.030%</v>
      </c>
      <c r="DS301" s="205">
        <f t="shared" si="297"/>
        <v>0.11942</v>
      </c>
      <c r="DT301" s="505">
        <f t="shared" si="293"/>
        <v>-197</v>
      </c>
      <c r="DU301" s="505" cm="1">
        <f t="array" ref="DU301">+INDEX(AX301:BG301,MATCH(DT301,AX301:BG301,1)+1)</f>
        <v>482</v>
      </c>
      <c r="DV301" s="205" t="str">
        <f t="shared" si="366"/>
        <v>10.640%</v>
      </c>
      <c r="DW301" s="205" t="str">
        <f t="shared" si="294"/>
        <v>11.320%</v>
      </c>
      <c r="DX301" s="205">
        <f t="shared" si="345"/>
        <v>0.10836999999999999</v>
      </c>
      <c r="DY301" s="205">
        <f t="shared" si="341"/>
        <v>5.28E-2</v>
      </c>
      <c r="DZ301" s="205">
        <f t="shared" ref="DZ301" si="389">+(1+DX301)*(1+DY301)-1</f>
        <v>0.16689193600000007</v>
      </c>
      <c r="EA301" s="205">
        <f t="shared" si="385"/>
        <v>0.11942</v>
      </c>
    </row>
    <row r="302" spans="2:131">
      <c r="B302" s="272">
        <v>45986</v>
      </c>
      <c r="C302" s="271">
        <f t="shared" si="386"/>
        <v>45986</v>
      </c>
      <c r="D302" s="263">
        <f>+SUMIFS(Tabla6[Nominal COP],Tabla6[Concepto],COSTO_OPORTUNIDAD!$B$18,Tabla6[Nemotécnico],COSTO_OPORTUNIDAD!D$16,Tabla6[Fecha Cumplimiento y/ liquidacion],COSTO_OPORTUNIDAD!$C302)/+SUMIFS(Tabla6[Nominal COP],Tabla6[Concepto],COSTO_OPORTUNIDAD!$B$18,Tabla6[Fecha Cumplimiento y/ liquidacion],COSTO_OPORTUNIDAD!$C302)</f>
        <v>0</v>
      </c>
      <c r="E302" s="263">
        <f>+SUMIFS(Tabla6[Nominal COP],Tabla6[Concepto],COSTO_OPORTUNIDAD!$B$18,Tabla6[Nemotécnico],COSTO_OPORTUNIDAD!E$16,Tabla6[Fecha Cumplimiento y/ liquidacion],COSTO_OPORTUNIDAD!$C302)/+SUMIFS(Tabla6[Nominal COP],Tabla6[Concepto],COSTO_OPORTUNIDAD!$B$18,Tabla6[Fecha Cumplimiento y/ liquidacion],COSTO_OPORTUNIDAD!$C302)</f>
        <v>0</v>
      </c>
      <c r="F302" s="263">
        <f>+SUMIFS(Tabla6[Nominal COP],Tabla6[Concepto],COSTO_OPORTUNIDAD!$B$18,Tabla6[Nemotécnico],COSTO_OPORTUNIDAD!F$16,Tabla6[Fecha Cumplimiento y/ liquidacion],COSTO_OPORTUNIDAD!$C302)/+SUMIFS(Tabla6[Nominal COP],Tabla6[Concepto],COSTO_OPORTUNIDAD!$B$18,Tabla6[Fecha Cumplimiento y/ liquidacion],COSTO_OPORTUNIDAD!$C302)</f>
        <v>0</v>
      </c>
      <c r="G302" s="263">
        <f>+SUMIFS(Tabla6[Nominal COP],Tabla6[Concepto],COSTO_OPORTUNIDAD!$B$18,Tabla6[Nemotécnico],COSTO_OPORTUNIDAD!G$16,Tabla6[Fecha Cumplimiento y/ liquidacion],COSTO_OPORTUNIDAD!$C302)/+SUMIFS(Tabla6[Nominal COP],Tabla6[Concepto],COSTO_OPORTUNIDAD!$B$18,Tabla6[Fecha Cumplimiento y/ liquidacion],COSTO_OPORTUNIDAD!$C302)</f>
        <v>0</v>
      </c>
      <c r="H302" s="263">
        <f>+SUMIFS(Tabla6[Nominal COP],Tabla6[Concepto],COSTO_OPORTUNIDAD!$B$18,Tabla6[Nemotécnico],COSTO_OPORTUNIDAD!H$16,Tabla6[Fecha Cumplimiento y/ liquidacion],COSTO_OPORTUNIDAD!$C302)/+SUMIFS(Tabla6[Nominal COP],Tabla6[Concepto],COSTO_OPORTUNIDAD!$B$18,Tabla6[Fecha Cumplimiento y/ liquidacion],COSTO_OPORTUNIDAD!$C302)</f>
        <v>0</v>
      </c>
      <c r="I302" s="263">
        <f>+SUMIFS(Tabla6[Nominal COP],Tabla6[Concepto],COSTO_OPORTUNIDAD!$B$18,Tabla6[Nemotécnico],COSTO_OPORTUNIDAD!I$16,Tabla6[Fecha Cumplimiento y/ liquidacion],COSTO_OPORTUNIDAD!$C302)/+SUMIFS(Tabla6[Nominal COP],Tabla6[Concepto],COSTO_OPORTUNIDAD!$B$18,Tabla6[Fecha Cumplimiento y/ liquidacion],COSTO_OPORTUNIDAD!$C302)</f>
        <v>0.71609195402298853</v>
      </c>
      <c r="J302" s="263">
        <f>+SUMIFS(Tabla6[Nominal COP],Tabla6[Concepto],COSTO_OPORTUNIDAD!$B$18,Tabla6[Nemotécnico],COSTO_OPORTUNIDAD!J$16,Tabla6[Fecha Cumplimiento y/ liquidacion],COSTO_OPORTUNIDAD!$C302)/+SUMIFS(Tabla6[Nominal COP],Tabla6[Concepto],COSTO_OPORTUNIDAD!$B$18,Tabla6[Fecha Cumplimiento y/ liquidacion],COSTO_OPORTUNIDAD!$C302)</f>
        <v>0</v>
      </c>
      <c r="K302" s="263">
        <f>+SUMIFS(Tabla6[Nominal COP],Tabla6[Concepto],COSTO_OPORTUNIDAD!$B$18,Tabla6[Nemotécnico],COSTO_OPORTUNIDAD!K$16,Tabla6[Fecha Cumplimiento y/ liquidacion],COSTO_OPORTUNIDAD!$C302)/+SUMIFS(Tabla6[Nominal COP],Tabla6[Concepto],COSTO_OPORTUNIDAD!$B$18,Tabla6[Fecha Cumplimiento y/ liquidacion],COSTO_OPORTUNIDAD!$C302)</f>
        <v>0</v>
      </c>
      <c r="L302" s="263">
        <f>+SUMIFS(Tabla6[Nominal COP],Tabla6[Concepto],COSTO_OPORTUNIDAD!$B$18,Tabla6[Nemotécnico],COSTO_OPORTUNIDAD!L$16,Tabla6[Fecha Cumplimiento y/ liquidacion],COSTO_OPORTUNIDAD!$C302)/+SUMIFS(Tabla6[Nominal COP],Tabla6[Concepto],COSTO_OPORTUNIDAD!$B$18,Tabla6[Fecha Cumplimiento y/ liquidacion],COSTO_OPORTUNIDAD!$C302)</f>
        <v>0</v>
      </c>
      <c r="M302" s="263">
        <f>+SUMIFS(Tabla6[Nominal COP],Tabla6[Concepto],COSTO_OPORTUNIDAD!$B$18,Tabla6[Nemotécnico],COSTO_OPORTUNIDAD!M$16,Tabla6[Fecha Cumplimiento y/ liquidacion],COSTO_OPORTUNIDAD!$C302)/+SUMIFS(Tabla6[Nominal COP],Tabla6[Concepto],COSTO_OPORTUNIDAD!$B$18,Tabla6[Fecha Cumplimiento y/ liquidacion],COSTO_OPORTUNIDAD!$C302)</f>
        <v>0</v>
      </c>
      <c r="N302" s="263">
        <f>+SUMIFS(Tabla6[Nominal COP],Tabla6[Concepto],COSTO_OPORTUNIDAD!$B$18,Tabla6[Nemotécnico],COSTO_OPORTUNIDAD!N$16,Tabla6[Fecha Cumplimiento y/ liquidacion],COSTO_OPORTUNIDAD!$C302)/+SUMIFS(Tabla6[Nominal COP],Tabla6[Concepto],COSTO_OPORTUNIDAD!$B$18,Tabla6[Fecha Cumplimiento y/ liquidacion],COSTO_OPORTUNIDAD!$C302)</f>
        <v>0</v>
      </c>
      <c r="O302" s="263">
        <f>+SUMIFS(Tabla6[Nominal COP],Tabla6[Concepto],COSTO_OPORTUNIDAD!$B$18,Tabla6[Nemotécnico],COSTO_OPORTUNIDAD!O$16,Tabla6[Fecha Cumplimiento y/ liquidacion],COSTO_OPORTUNIDAD!$C302)/+SUMIFS(Tabla6[Nominal COP],Tabla6[Concepto],COSTO_OPORTUNIDAD!$B$18,Tabla6[Fecha Cumplimiento y/ liquidacion],COSTO_OPORTUNIDAD!$C302)</f>
        <v>7.1264367816091953E-2</v>
      </c>
      <c r="P302" s="263">
        <f>+SUMIFS(Tabla6[Nominal COP],Tabla6[Concepto],COSTO_OPORTUNIDAD!$B$18,Tabla6[Nemotécnico],COSTO_OPORTUNIDAD!P$16,Tabla6[Fecha Cumplimiento y/ liquidacion],COSTO_OPORTUNIDAD!$C302)/+SUMIFS(Tabla6[Nominal COP],Tabla6[Concepto],COSTO_OPORTUNIDAD!$B$18,Tabla6[Fecha Cumplimiento y/ liquidacion],COSTO_OPORTUNIDAD!$C302)</f>
        <v>0</v>
      </c>
      <c r="Q302" s="263">
        <f>+SUMIFS(Tabla6[Nominal COP],Tabla6[Concepto],COSTO_OPORTUNIDAD!$B$18,Tabla6[Nemotécnico],COSTO_OPORTUNIDAD!Q$16,Tabla6[Fecha Cumplimiento y/ liquidacion],COSTO_OPORTUNIDAD!$C302)/+SUMIFS(Tabla6[Nominal COP],Tabla6[Concepto],COSTO_OPORTUNIDAD!$B$18,Tabla6[Fecha Cumplimiento y/ liquidacion],COSTO_OPORTUNIDAD!$C302)</f>
        <v>0</v>
      </c>
      <c r="R302" s="263">
        <f>+SUMIFS(Tabla6[Nominal COP],Tabla6[Concepto],COSTO_OPORTUNIDAD!$B$18,Tabla6[Nemotécnico],COSTO_OPORTUNIDAD!R$16,Tabla6[Fecha Cumplimiento y/ liquidacion],COSTO_OPORTUNIDAD!$C302)/+SUMIFS(Tabla6[Nominal COP],Tabla6[Concepto],COSTO_OPORTUNIDAD!$B$18,Tabla6[Fecha Cumplimiento y/ liquidacion],COSTO_OPORTUNIDAD!$C302)</f>
        <v>0</v>
      </c>
      <c r="S302" s="263">
        <f>+SUMIFS(Tabla6[Nominal COP],Tabla6[Concepto],COSTO_OPORTUNIDAD!$B$18,Tabla6[Nemotécnico],COSTO_OPORTUNIDAD!S$16,Tabla6[Fecha Cumplimiento y/ liquidacion],COSTO_OPORTUNIDAD!$C302)/+SUMIFS(Tabla6[Nominal COP],Tabla6[Concepto],COSTO_OPORTUNIDAD!$B$18,Tabla6[Fecha Cumplimiento y/ liquidacion],COSTO_OPORTUNIDAD!$C302)</f>
        <v>0.21264367816091953</v>
      </c>
      <c r="T302" s="263">
        <f>+SUMIFS(Tabla6[Nominal COP],Tabla6[Concepto],COSTO_OPORTUNIDAD!$B$18,Tabla6[Nemotécnico],COSTO_OPORTUNIDAD!T$16,Tabla6[Fecha Cumplimiento y/ liquidacion],COSTO_OPORTUNIDAD!$C302)/+SUMIFS(Tabla6[Nominal COP],Tabla6[Concepto],COSTO_OPORTUNIDAD!$B$18,Tabla6[Fecha Cumplimiento y/ liquidacion],COSTO_OPORTUNIDAD!$C302)</f>
        <v>0</v>
      </c>
      <c r="U302" s="263">
        <f>+SUMIFS(Tabla6[Nominal COP],Tabla6[Concepto],COSTO_OPORTUNIDAD!$B$18,Tabla6[Nemotécnico],COSTO_OPORTUNIDAD!U$16,Tabla6[Fecha Cumplimiento y/ liquidacion],COSTO_OPORTUNIDAD!$C302)/+SUMIFS(Tabla6[Nominal COP],Tabla6[Concepto],COSTO_OPORTUNIDAD!$B$18,Tabla6[Fecha Cumplimiento y/ liquidacion],COSTO_OPORTUNIDAD!$C302)</f>
        <v>0</v>
      </c>
      <c r="V302" s="263">
        <f>+SUMIFS(Tabla6[Nominal COP],Tabla6[Concepto],COSTO_OPORTUNIDAD!$B$18,Tabla6[Nemotécnico],COSTO_OPORTUNIDAD!V$16,Tabla6[Fecha Cumplimiento y/ liquidacion],COSTO_OPORTUNIDAD!$C302)/+SUMIFS(Tabla6[Nominal COP],Tabla6[Concepto],COSTO_OPORTUNIDAD!$B$18,Tabla6[Fecha Cumplimiento y/ liquidacion],COSTO_OPORTUNIDAD!$C302)</f>
        <v>0</v>
      </c>
      <c r="W302" s="263">
        <f>+SUMIFS(Tabla6[Nominal COP],Tabla6[Concepto],COSTO_OPORTUNIDAD!$B$18,Tabla6[Nemotécnico],COSTO_OPORTUNIDAD!W$16,Tabla6[Fecha Cumplimiento y/ liquidacion],COSTO_OPORTUNIDAD!$C302)/+SUMIFS(Tabla6[Nominal COP],Tabla6[Concepto],COSTO_OPORTUNIDAD!$B$18,Tabla6[Fecha Cumplimiento y/ liquidacion],COSTO_OPORTUNIDAD!$C302)</f>
        <v>0</v>
      </c>
      <c r="X302" s="263">
        <f>+SUMIFS(Tabla6[Nominal COP],Tabla6[Concepto],COSTO_OPORTUNIDAD!$B$18,Tabla6[Nemotécnico],COSTO_OPORTUNIDAD!X$16,Tabla6[Fecha Cumplimiento y/ liquidacion],COSTO_OPORTUNIDAD!$C302)/+SUMIFS(Tabla6[Nominal COP],Tabla6[Concepto],COSTO_OPORTUNIDAD!$B$18,Tabla6[Fecha Cumplimiento y/ liquidacion],COSTO_OPORTUNIDAD!$C302)</f>
        <v>0</v>
      </c>
      <c r="Y302" s="263">
        <f>+SUMIFS(Tabla6[Nominal COP],Tabla6[Concepto],COSTO_OPORTUNIDAD!$B$18,Tabla6[Nemotécnico],COSTO_OPORTUNIDAD!Y$16,Tabla6[Fecha Cumplimiento y/ liquidacion],COSTO_OPORTUNIDAD!$C302)/+SUMIFS(Tabla6[Nominal COP],Tabla6[Concepto],COSTO_OPORTUNIDAD!$B$18,Tabla6[Fecha Cumplimiento y/ liquidacion],COSTO_OPORTUNIDAD!$C302)</f>
        <v>0</v>
      </c>
      <c r="Z302" s="263">
        <f>+SUMIFS(Tabla6[Nominal COP],Tabla6[Concepto],COSTO_OPORTUNIDAD!$B$18,Tabla6[Nemotécnico],COSTO_OPORTUNIDAD!Z$16,Tabla6[Fecha Cumplimiento y/ liquidacion],COSTO_OPORTUNIDAD!$C302)/+SUMIFS(Tabla6[Nominal COP],Tabla6[Concepto],COSTO_OPORTUNIDAD!$B$18,Tabla6[Fecha Cumplimiento y/ liquidacion],COSTO_OPORTUNIDAD!$C302)</f>
        <v>0</v>
      </c>
      <c r="AA302" s="263">
        <f>+SUMIFS(Tabla6[Nominal COP],Tabla6[Concepto],COSTO_OPORTUNIDAD!$B$18,Tabla6[Nemotécnico],COSTO_OPORTUNIDAD!AA$16,Tabla6[Fecha Cumplimiento y/ liquidacion],COSTO_OPORTUNIDAD!$C302)/+SUMIFS(Tabla6[Nominal COP],Tabla6[Concepto],COSTO_OPORTUNIDAD!$B$18,Tabla6[Fecha Cumplimiento y/ liquidacion],COSTO_OPORTUNIDAD!$C302)</f>
        <v>0</v>
      </c>
      <c r="AB302" s="263">
        <f>+SUMIFS(Tabla6[Nominal COP],Tabla6[Concepto],COSTO_OPORTUNIDAD!$B$18,Tabla6[Nemotécnico],COSTO_OPORTUNIDAD!AB$16,Tabla6[Fecha Cumplimiento y/ liquidacion],COSTO_OPORTUNIDAD!$C302)/+SUMIFS(Tabla6[Nominal COP],Tabla6[Concepto],COSTO_OPORTUNIDAD!$B$18,Tabla6[Fecha Cumplimiento y/ liquidacion],COSTO_OPORTUNIDAD!$C302)</f>
        <v>0</v>
      </c>
      <c r="AC302" s="263">
        <f>+SUMIFS(Tabla6[Nominal COP],Tabla6[Concepto],COSTO_OPORTUNIDAD!$B$18,Tabla6[Nemotécnico],COSTO_OPORTUNIDAD!AC$16,Tabla6[Fecha Cumplimiento y/ liquidacion],COSTO_OPORTUNIDAD!$C302)/+SUMIFS(Tabla6[Nominal COP],Tabla6[Concepto],COSTO_OPORTUNIDAD!$B$18,Tabla6[Fecha Cumplimiento y/ liquidacion],COSTO_OPORTUNIDAD!$C302)</f>
        <v>0</v>
      </c>
      <c r="AD302" s="263">
        <f>+SUMIFS(Tabla6[Nominal COP],Tabla6[Concepto],COSTO_OPORTUNIDAD!$B$18,Tabla6[Nemotécnico],COSTO_OPORTUNIDAD!AC$16,Tabla6[Fecha Cumplimiento y/ liquidacion],COSTO_OPORTUNIDAD!$C302)/+SUMIFS(Tabla6[Nominal COP],Tabla6[Concepto],COSTO_OPORTUNIDAD!$B$18,Tabla6[Fecha Cumplimiento y/ liquidacion],COSTO_OPORTUNIDAD!$C302)</f>
        <v>0</v>
      </c>
      <c r="AE302" s="263">
        <f>+SUMIFS(Tabla6[Nominal COP],Tabla6[Concepto],COSTO_OPORTUNIDAD!$B$18,Tabla6[Nemotécnico],COSTO_OPORTUNIDAD!AE$16,Tabla6[Fecha Cumplimiento y/ liquidacion],COSTO_OPORTUNIDAD!$C302)/+SUMIFS(Tabla6[Nominal COP],Tabla6[Concepto],COSTO_OPORTUNIDAD!$B$18,Tabla6[Fecha Cumplimiento y/ liquidacion],COSTO_OPORTUNIDAD!$C302)</f>
        <v>0</v>
      </c>
      <c r="AF302" s="263">
        <f>+SUMIFS(Tabla6[Nominal COP],Tabla6[Concepto],COSTO_OPORTUNIDAD!$B$18,Tabla6[Nemotécnico],COSTO_OPORTUNIDAD!AF$16,Tabla6[Fecha Cumplimiento y/ liquidacion],COSTO_OPORTUNIDAD!$C302)/+SUMIFS(Tabla6[Nominal COP],Tabla6[Concepto],COSTO_OPORTUNIDAD!$B$18,Tabla6[Fecha Cumplimiento y/ liquidacion],COSTO_OPORTUNIDAD!$C302)</f>
        <v>0</v>
      </c>
      <c r="AH302" s="502">
        <f>(D$17-$B302)</f>
        <v>98</v>
      </c>
      <c r="AI302" s="502">
        <f t="shared" ref="AI302:AQ303" si="390">(G$17-$B302)</f>
        <v>708</v>
      </c>
      <c r="AJ302" s="502">
        <f t="shared" si="390"/>
        <v>885</v>
      </c>
      <c r="AK302" s="502">
        <f t="shared" si="390"/>
        <v>1366</v>
      </c>
      <c r="AL302" s="502">
        <f t="shared" si="390"/>
        <v>1758</v>
      </c>
      <c r="AM302" s="502">
        <f t="shared" si="390"/>
        <v>1947</v>
      </c>
      <c r="AN302" s="502">
        <f t="shared" si="390"/>
        <v>2409</v>
      </c>
      <c r="AO302" s="502">
        <f t="shared" si="390"/>
        <v>2633</v>
      </c>
      <c r="AP302" s="502">
        <f t="shared" si="390"/>
        <v>3249</v>
      </c>
      <c r="AQ302" s="502">
        <f t="shared" si="390"/>
        <v>3327</v>
      </c>
      <c r="AR302" s="502">
        <f t="shared" si="313"/>
        <v>3879</v>
      </c>
      <c r="AS302" s="502">
        <f t="shared" si="301"/>
        <v>5482</v>
      </c>
      <c r="AT302" s="502">
        <f t="shared" si="283"/>
        <v>6028</v>
      </c>
      <c r="AU302" s="502">
        <f t="shared" si="284"/>
        <v>7547</v>
      </c>
      <c r="AV302" s="502">
        <f t="shared" si="285"/>
        <v>9101</v>
      </c>
      <c r="AW302" s="502">
        <f t="shared" si="361"/>
        <v>11796</v>
      </c>
      <c r="AX302" s="502">
        <f t="shared" si="373"/>
        <v>-202</v>
      </c>
      <c r="AY302" s="502">
        <f t="shared" si="374"/>
        <v>477</v>
      </c>
      <c r="AZ302" s="502">
        <f t="shared" si="375"/>
        <v>1240</v>
      </c>
      <c r="BA302" s="502">
        <f t="shared" si="376"/>
        <v>1884</v>
      </c>
      <c r="BB302" s="502">
        <f t="shared" si="377"/>
        <v>2677</v>
      </c>
      <c r="BC302" s="502">
        <f t="shared" si="378"/>
        <v>3417</v>
      </c>
      <c r="BD302" s="502">
        <f t="shared" si="379"/>
        <v>4110</v>
      </c>
      <c r="BE302" s="502">
        <f t="shared" si="380"/>
        <v>5594</v>
      </c>
      <c r="BF302" s="502">
        <f t="shared" si="381"/>
        <v>8604</v>
      </c>
      <c r="BG302" s="502">
        <f t="shared" si="382"/>
        <v>10767</v>
      </c>
      <c r="BH302" s="502">
        <f t="shared" si="383"/>
        <v>13217</v>
      </c>
      <c r="BI302" s="198">
        <f t="shared" si="318"/>
        <v>0</v>
      </c>
      <c r="BJ302" s="198">
        <f t="shared" si="319"/>
        <v>1</v>
      </c>
      <c r="BK302" s="198">
        <f t="shared" si="320"/>
        <v>0</v>
      </c>
      <c r="BL302" s="198">
        <f t="shared" si="321"/>
        <v>0</v>
      </c>
      <c r="BM302" s="198">
        <f t="shared" si="322"/>
        <v>0</v>
      </c>
      <c r="BN302" s="198">
        <f t="shared" si="351"/>
        <v>0.71609195402298853</v>
      </c>
      <c r="BO302" s="198">
        <f t="shared" si="323"/>
        <v>0</v>
      </c>
      <c r="BP302" s="198">
        <f t="shared" si="324"/>
        <v>0</v>
      </c>
      <c r="BQ302" s="198">
        <f t="shared" si="325"/>
        <v>0</v>
      </c>
      <c r="BR302" s="198">
        <f t="shared" si="326"/>
        <v>0</v>
      </c>
      <c r="BS302" s="198">
        <f t="shared" si="327"/>
        <v>0</v>
      </c>
      <c r="BT302" s="198">
        <f>IFERROR(O302/$BJ302,"")</f>
        <v>7.1264367816091953E-2</v>
      </c>
      <c r="BU302" s="198">
        <f t="shared" si="329"/>
        <v>0</v>
      </c>
      <c r="BV302" s="198">
        <f t="shared" si="352"/>
        <v>0</v>
      </c>
      <c r="BW302" s="198">
        <f t="shared" si="330"/>
        <v>0</v>
      </c>
      <c r="BX302" s="198">
        <f t="shared" si="337"/>
        <v>0.21264367816091953</v>
      </c>
      <c r="BY302" s="198">
        <f t="shared" si="331"/>
        <v>0</v>
      </c>
      <c r="BZ302" s="198">
        <f t="shared" si="370"/>
        <v>0</v>
      </c>
      <c r="CA302" s="198" t="str">
        <f t="shared" si="254"/>
        <v/>
      </c>
      <c r="CB302" s="198" t="str">
        <f t="shared" si="332"/>
        <v/>
      </c>
      <c r="CC302" s="198" t="str">
        <f t="shared" si="255"/>
        <v/>
      </c>
      <c r="CD302" s="198" t="str">
        <f t="shared" si="333"/>
        <v/>
      </c>
      <c r="CE302" s="198" t="str">
        <f t="shared" si="346"/>
        <v/>
      </c>
      <c r="CF302" s="198" t="str">
        <f t="shared" si="256"/>
        <v/>
      </c>
      <c r="CG302" s="198" t="str">
        <f t="shared" si="257"/>
        <v/>
      </c>
      <c r="CH302" s="198" t="str">
        <f t="shared" si="290"/>
        <v/>
      </c>
      <c r="CI302" s="198" t="str">
        <f t="shared" si="334"/>
        <v/>
      </c>
      <c r="CJ302" s="198" t="str">
        <f t="shared" si="291"/>
        <v/>
      </c>
      <c r="CK302" s="198" t="str">
        <f t="shared" si="335"/>
        <v/>
      </c>
      <c r="CL302" s="503">
        <f t="shared" si="367"/>
        <v>3232</v>
      </c>
      <c r="CM302" s="503">
        <f t="shared" si="362"/>
        <v>0</v>
      </c>
      <c r="CN302" s="503"/>
      <c r="CO302" s="504" t="s">
        <v>558</v>
      </c>
      <c r="CP302" s="504">
        <v>0.10535</v>
      </c>
      <c r="CQ302" s="504">
        <v>0.1124</v>
      </c>
      <c r="CR302" s="504">
        <v>0.11960000000000001</v>
      </c>
      <c r="CS302" s="504">
        <v>0.12154999999999999</v>
      </c>
      <c r="CT302" s="504">
        <v>0.12234</v>
      </c>
      <c r="CU302" s="504">
        <v>0.12368</v>
      </c>
      <c r="CV302" s="504">
        <v>0.12369999999999999</v>
      </c>
      <c r="CW302" s="504">
        <v>0.12454000000000001</v>
      </c>
      <c r="CX302" s="504">
        <v>0.12640000000000001</v>
      </c>
      <c r="CY302" s="504">
        <v>0.124</v>
      </c>
      <c r="CZ302" s="504">
        <v>0.12572</v>
      </c>
      <c r="DA302" s="504">
        <v>0.12411</v>
      </c>
      <c r="DB302" s="504">
        <v>0.128</v>
      </c>
      <c r="DC302" s="504">
        <v>0.12464</v>
      </c>
      <c r="DD302" s="504">
        <v>0.12744</v>
      </c>
      <c r="DE302" s="504">
        <v>5.4699999999999999E-2</v>
      </c>
      <c r="DF302" s="504">
        <v>6.1940000000000002E-2</v>
      </c>
      <c r="DG302" s="504"/>
      <c r="DH302" s="504">
        <v>6.6500000000000004E-2</v>
      </c>
      <c r="DI302" s="504">
        <v>6.4509999999999998E-2</v>
      </c>
      <c r="DJ302" s="504">
        <v>6.480000000000001E-2</v>
      </c>
      <c r="DK302" s="504">
        <v>6.3990000000000005E-2</v>
      </c>
      <c r="DL302" s="504">
        <v>6.3949999999999993E-2</v>
      </c>
      <c r="DM302" s="504">
        <v>6.3090000000000007E-2</v>
      </c>
      <c r="DN302" s="504">
        <v>6.3299999999999995E-2</v>
      </c>
      <c r="DO302" s="503">
        <f t="shared" si="363"/>
        <v>2633</v>
      </c>
      <c r="DP302" s="503" cm="1">
        <f t="array" ref="DP302">+INDEX(AH302:AW302,MATCH(DO302,AH302:AW302,1)+1)</f>
        <v>3249</v>
      </c>
      <c r="DQ302" s="504">
        <f t="shared" si="364"/>
        <v>0.12369999999999999</v>
      </c>
      <c r="DR302" s="205">
        <f t="shared" si="365"/>
        <v>0.12454000000000001</v>
      </c>
      <c r="DS302" s="205">
        <f t="shared" si="297"/>
        <v>0.124517</v>
      </c>
      <c r="DT302" s="505">
        <f t="shared" si="293"/>
        <v>-202</v>
      </c>
      <c r="DU302" s="505" cm="1">
        <f t="array" ref="DU302">+INDEX(AX302:BG302,MATCH(DT302,AX302:BG302,1)+1)</f>
        <v>477</v>
      </c>
      <c r="DV302" s="205">
        <f t="shared" si="366"/>
        <v>5.4699999999999999E-2</v>
      </c>
      <c r="DW302" s="205">
        <f t="shared" si="294"/>
        <v>6.1940000000000002E-2</v>
      </c>
      <c r="DX302" s="205">
        <f t="shared" si="345"/>
        <v>5.6849999999999998E-2</v>
      </c>
      <c r="DY302" s="205">
        <f t="shared" si="341"/>
        <v>5.28E-2</v>
      </c>
      <c r="DZ302" s="205">
        <f t="shared" ref="DZ302" si="391">+(1+DX302)*(1+DY302)-1</f>
        <v>0.11265167999999992</v>
      </c>
      <c r="EA302" s="205">
        <f t="shared" si="385"/>
        <v>0.124517</v>
      </c>
    </row>
    <row r="303" spans="2:131">
      <c r="B303" s="272">
        <v>45987</v>
      </c>
      <c r="C303" s="271">
        <f t="shared" si="386"/>
        <v>45987</v>
      </c>
      <c r="D303" s="263">
        <f>+SUMIFS(Tabla6[Nominal COP],Tabla6[Concepto],COSTO_OPORTUNIDAD!$B$18,Tabla6[Nemotécnico],COSTO_OPORTUNIDAD!D$16,Tabla6[Fecha Cumplimiento y/ liquidacion],COSTO_OPORTUNIDAD!$C303)/+SUMIFS(Tabla6[Nominal COP],Tabla6[Concepto],COSTO_OPORTUNIDAD!$B$18,Tabla6[Fecha Cumplimiento y/ liquidacion],COSTO_OPORTUNIDAD!$C303)</f>
        <v>0</v>
      </c>
      <c r="E303" s="263">
        <f>+SUMIFS(Tabla6[Nominal COP],Tabla6[Concepto],COSTO_OPORTUNIDAD!$B$18,Tabla6[Nemotécnico],COSTO_OPORTUNIDAD!E$16,Tabla6[Fecha Cumplimiento y/ liquidacion],COSTO_OPORTUNIDAD!$C303)/+SUMIFS(Tabla6[Nominal COP],Tabla6[Concepto],COSTO_OPORTUNIDAD!$B$18,Tabla6[Fecha Cumplimiento y/ liquidacion],COSTO_OPORTUNIDAD!$C303)</f>
        <v>0</v>
      </c>
      <c r="F303" s="263">
        <f>+SUMIFS(Tabla6[Nominal COP],Tabla6[Concepto],COSTO_OPORTUNIDAD!$B$18,Tabla6[Nemotécnico],COSTO_OPORTUNIDAD!F$16,Tabla6[Fecha Cumplimiento y/ liquidacion],COSTO_OPORTUNIDAD!$C303)/+SUMIFS(Tabla6[Nominal COP],Tabla6[Concepto],COSTO_OPORTUNIDAD!$B$18,Tabla6[Fecha Cumplimiento y/ liquidacion],COSTO_OPORTUNIDAD!$C303)</f>
        <v>0</v>
      </c>
      <c r="G303" s="263">
        <f>+SUMIFS(Tabla6[Nominal COP],Tabla6[Concepto],COSTO_OPORTUNIDAD!$B$18,Tabla6[Nemotécnico],COSTO_OPORTUNIDAD!G$16,Tabla6[Fecha Cumplimiento y/ liquidacion],COSTO_OPORTUNIDAD!$C303)/+SUMIFS(Tabla6[Nominal COP],Tabla6[Concepto],COSTO_OPORTUNIDAD!$B$18,Tabla6[Fecha Cumplimiento y/ liquidacion],COSTO_OPORTUNIDAD!$C303)</f>
        <v>0</v>
      </c>
      <c r="H303" s="263">
        <f>+SUMIFS(Tabla6[Nominal COP],Tabla6[Concepto],COSTO_OPORTUNIDAD!$B$18,Tabla6[Nemotécnico],COSTO_OPORTUNIDAD!H$16,Tabla6[Fecha Cumplimiento y/ liquidacion],COSTO_OPORTUNIDAD!$C303)/+SUMIFS(Tabla6[Nominal COP],Tabla6[Concepto],COSTO_OPORTUNIDAD!$B$18,Tabla6[Fecha Cumplimiento y/ liquidacion],COSTO_OPORTUNIDAD!$C303)</f>
        <v>0</v>
      </c>
      <c r="I303" s="263">
        <f>+SUMIFS(Tabla6[Nominal COP],Tabla6[Concepto],COSTO_OPORTUNIDAD!$B$18,Tabla6[Nemotécnico],COSTO_OPORTUNIDAD!I$16,Tabla6[Fecha Cumplimiento y/ liquidacion],COSTO_OPORTUNIDAD!$C303)/+SUMIFS(Tabla6[Nominal COP],Tabla6[Concepto],COSTO_OPORTUNIDAD!$B$18,Tabla6[Fecha Cumplimiento y/ liquidacion],COSTO_OPORTUNIDAD!$C303)</f>
        <v>0.89386877362143102</v>
      </c>
      <c r="J303" s="263">
        <f>+SUMIFS(Tabla6[Nominal COP],Tabla6[Concepto],COSTO_OPORTUNIDAD!$B$18,Tabla6[Nemotécnico],COSTO_OPORTUNIDAD!J$16,Tabla6[Fecha Cumplimiento y/ liquidacion],COSTO_OPORTUNIDAD!$C303)/+SUMIFS(Tabla6[Nominal COP],Tabla6[Concepto],COSTO_OPORTUNIDAD!$B$18,Tabla6[Fecha Cumplimiento y/ liquidacion],COSTO_OPORTUNIDAD!$C303)</f>
        <v>0</v>
      </c>
      <c r="K303" s="263">
        <f>+SUMIFS(Tabla6[Nominal COP],Tabla6[Concepto],COSTO_OPORTUNIDAD!$B$18,Tabla6[Nemotécnico],COSTO_OPORTUNIDAD!K$16,Tabla6[Fecha Cumplimiento y/ liquidacion],COSTO_OPORTUNIDAD!$C303)/+SUMIFS(Tabla6[Nominal COP],Tabla6[Concepto],COSTO_OPORTUNIDAD!$B$18,Tabla6[Fecha Cumplimiento y/ liquidacion],COSTO_OPORTUNIDAD!$C303)</f>
        <v>0</v>
      </c>
      <c r="L303" s="263">
        <f>+SUMIFS(Tabla6[Nominal COP],Tabla6[Concepto],COSTO_OPORTUNIDAD!$B$18,Tabla6[Nemotécnico],COSTO_OPORTUNIDAD!L$16,Tabla6[Fecha Cumplimiento y/ liquidacion],COSTO_OPORTUNIDAD!$C303)/+SUMIFS(Tabla6[Nominal COP],Tabla6[Concepto],COSTO_OPORTUNIDAD!$B$18,Tabla6[Fecha Cumplimiento y/ liquidacion],COSTO_OPORTUNIDAD!$C303)</f>
        <v>0</v>
      </c>
      <c r="M303" s="263">
        <f>+SUMIFS(Tabla6[Nominal COP],Tabla6[Concepto],COSTO_OPORTUNIDAD!$B$18,Tabla6[Nemotécnico],COSTO_OPORTUNIDAD!M$16,Tabla6[Fecha Cumplimiento y/ liquidacion],COSTO_OPORTUNIDAD!$C303)/+SUMIFS(Tabla6[Nominal COP],Tabla6[Concepto],COSTO_OPORTUNIDAD!$B$18,Tabla6[Fecha Cumplimiento y/ liquidacion],COSTO_OPORTUNIDAD!$C303)</f>
        <v>0</v>
      </c>
      <c r="N303" s="263">
        <f>+SUMIFS(Tabla6[Nominal COP],Tabla6[Concepto],COSTO_OPORTUNIDAD!$B$18,Tabla6[Nemotécnico],COSTO_OPORTUNIDAD!N$16,Tabla6[Fecha Cumplimiento y/ liquidacion],COSTO_OPORTUNIDAD!$C303)/+SUMIFS(Tabla6[Nominal COP],Tabla6[Concepto],COSTO_OPORTUNIDAD!$B$18,Tabla6[Fecha Cumplimiento y/ liquidacion],COSTO_OPORTUNIDAD!$C303)</f>
        <v>0</v>
      </c>
      <c r="O303" s="263">
        <f>+SUMIFS(Tabla6[Nominal COP],Tabla6[Concepto],COSTO_OPORTUNIDAD!$B$18,Tabla6[Nemotécnico],COSTO_OPORTUNIDAD!O$16,Tabla6[Fecha Cumplimiento y/ liquidacion],COSTO_OPORTUNIDAD!$C303)/+SUMIFS(Tabla6[Nominal COP],Tabla6[Concepto],COSTO_OPORTUNIDAD!$B$18,Tabla6[Fecha Cumplimiento y/ liquidacion],COSTO_OPORTUNIDAD!$C303)</f>
        <v>4.6848468219152567E-3</v>
      </c>
      <c r="P303" s="263">
        <f>+SUMIFS(Tabla6[Nominal COP],Tabla6[Concepto],COSTO_OPORTUNIDAD!$B$18,Tabla6[Nemotécnico],COSTO_OPORTUNIDAD!P$16,Tabla6[Fecha Cumplimiento y/ liquidacion],COSTO_OPORTUNIDAD!$C303)/+SUMIFS(Tabla6[Nominal COP],Tabla6[Concepto],COSTO_OPORTUNIDAD!$B$18,Tabla6[Fecha Cumplimiento y/ liquidacion],COSTO_OPORTUNIDAD!$C303)</f>
        <v>0</v>
      </c>
      <c r="Q303" s="263">
        <f>+SUMIFS(Tabla6[Nominal COP],Tabla6[Concepto],COSTO_OPORTUNIDAD!$B$18,Tabla6[Nemotécnico],COSTO_OPORTUNIDAD!Q$16,Tabla6[Fecha Cumplimiento y/ liquidacion],COSTO_OPORTUNIDAD!$C303)/+SUMIFS(Tabla6[Nominal COP],Tabla6[Concepto],COSTO_OPORTUNIDAD!$B$18,Tabla6[Fecha Cumplimiento y/ liquidacion],COSTO_OPORTUNIDAD!$C303)</f>
        <v>0</v>
      </c>
      <c r="R303" s="263">
        <f>+SUMIFS(Tabla6[Nominal COP],Tabla6[Concepto],COSTO_OPORTUNIDAD!$B$18,Tabla6[Nemotécnico],COSTO_OPORTUNIDAD!R$16,Tabla6[Fecha Cumplimiento y/ liquidacion],COSTO_OPORTUNIDAD!$C303)/+SUMIFS(Tabla6[Nominal COP],Tabla6[Concepto],COSTO_OPORTUNIDAD!$B$18,Tabla6[Fecha Cumplimiento y/ liquidacion],COSTO_OPORTUNIDAD!$C303)</f>
        <v>0</v>
      </c>
      <c r="S303" s="263">
        <f>+SUMIFS(Tabla6[Nominal COP],Tabla6[Concepto],COSTO_OPORTUNIDAD!$B$18,Tabla6[Nemotécnico],COSTO_OPORTUNIDAD!S$16,Tabla6[Fecha Cumplimiento y/ liquidacion],COSTO_OPORTUNIDAD!$C303)/+SUMIFS(Tabla6[Nominal COP],Tabla6[Concepto],COSTO_OPORTUNIDAD!$B$18,Tabla6[Fecha Cumplimiento y/ liquidacion],COSTO_OPORTUNIDAD!$C303)</f>
        <v>2.3424234109576284E-2</v>
      </c>
      <c r="T303" s="263">
        <f>+SUMIFS(Tabla6[Nominal COP],Tabla6[Concepto],COSTO_OPORTUNIDAD!$B$18,Tabla6[Nemotécnico],COSTO_OPORTUNIDAD!T$16,Tabla6[Fecha Cumplimiento y/ liquidacion],COSTO_OPORTUNIDAD!$C303)/+SUMIFS(Tabla6[Nominal COP],Tabla6[Concepto],COSTO_OPORTUNIDAD!$B$18,Tabla6[Fecha Cumplimiento y/ liquidacion],COSTO_OPORTUNIDAD!$C303)</f>
        <v>0</v>
      </c>
      <c r="U303" s="263">
        <f>+SUMIFS(Tabla6[Nominal COP],Tabla6[Concepto],COSTO_OPORTUNIDAD!$B$18,Tabla6[Nemotécnico],COSTO_OPORTUNIDAD!U$16,Tabla6[Fecha Cumplimiento y/ liquidacion],COSTO_OPORTUNIDAD!$C303)/+SUMIFS(Tabla6[Nominal COP],Tabla6[Concepto],COSTO_OPORTUNIDAD!$B$18,Tabla6[Fecha Cumplimiento y/ liquidacion],COSTO_OPORTUNIDAD!$C303)</f>
        <v>0</v>
      </c>
      <c r="V303" s="263">
        <f>+SUMIFS(Tabla6[Nominal COP],Tabla6[Concepto],COSTO_OPORTUNIDAD!$B$18,Tabla6[Nemotécnico],COSTO_OPORTUNIDAD!V$16,Tabla6[Fecha Cumplimiento y/ liquidacion],COSTO_OPORTUNIDAD!$C303)/+SUMIFS(Tabla6[Nominal COP],Tabla6[Concepto],COSTO_OPORTUNIDAD!$B$18,Tabla6[Fecha Cumplimiento y/ liquidacion],COSTO_OPORTUNIDAD!$C303)</f>
        <v>0</v>
      </c>
      <c r="W303" s="263">
        <f>+SUMIFS(Tabla6[Nominal COP],Tabla6[Concepto],COSTO_OPORTUNIDAD!$B$18,Tabla6[Nemotécnico],COSTO_OPORTUNIDAD!W$16,Tabla6[Fecha Cumplimiento y/ liquidacion],COSTO_OPORTUNIDAD!$C303)/+SUMIFS(Tabla6[Nominal COP],Tabla6[Concepto],COSTO_OPORTUNIDAD!$B$18,Tabla6[Fecha Cumplimiento y/ liquidacion],COSTO_OPORTUNIDAD!$C303)</f>
        <v>0</v>
      </c>
      <c r="X303" s="263">
        <f>+SUMIFS(Tabla6[Nominal COP],Tabla6[Concepto],COSTO_OPORTUNIDAD!$B$18,Tabla6[Nemotécnico],COSTO_OPORTUNIDAD!X$16,Tabla6[Fecha Cumplimiento y/ liquidacion],COSTO_OPORTUNIDAD!$C303)/+SUMIFS(Tabla6[Nominal COP],Tabla6[Concepto],COSTO_OPORTUNIDAD!$B$18,Tabla6[Fecha Cumplimiento y/ liquidacion],COSTO_OPORTUNIDAD!$C303)</f>
        <v>0</v>
      </c>
      <c r="Y303" s="263">
        <f>+SUMIFS(Tabla6[Nominal COP],Tabla6[Concepto],COSTO_OPORTUNIDAD!$B$18,Tabla6[Nemotécnico],COSTO_OPORTUNIDAD!Y$16,Tabla6[Fecha Cumplimiento y/ liquidacion],COSTO_OPORTUNIDAD!$C303)/+SUMIFS(Tabla6[Nominal COP],Tabla6[Concepto],COSTO_OPORTUNIDAD!$B$18,Tabla6[Fecha Cumplimiento y/ liquidacion],COSTO_OPORTUNIDAD!$C303)</f>
        <v>0</v>
      </c>
      <c r="Z303" s="263">
        <f>+SUMIFS(Tabla6[Nominal COP],Tabla6[Concepto],COSTO_OPORTUNIDAD!$B$18,Tabla6[Nemotécnico],COSTO_OPORTUNIDAD!Z$16,Tabla6[Fecha Cumplimiento y/ liquidacion],COSTO_OPORTUNIDAD!$C303)/+SUMIFS(Tabla6[Nominal COP],Tabla6[Concepto],COSTO_OPORTUNIDAD!$B$18,Tabla6[Fecha Cumplimiento y/ liquidacion],COSTO_OPORTUNIDAD!$C303)</f>
        <v>0</v>
      </c>
      <c r="AA303" s="263">
        <f>+SUMIFS(Tabla6[Nominal COP],Tabla6[Concepto],COSTO_OPORTUNIDAD!$B$18,Tabla6[Nemotécnico],COSTO_OPORTUNIDAD!AA$16,Tabla6[Fecha Cumplimiento y/ liquidacion],COSTO_OPORTUNIDAD!$C303)/+SUMIFS(Tabla6[Nominal COP],Tabla6[Concepto],COSTO_OPORTUNIDAD!$B$18,Tabla6[Fecha Cumplimiento y/ liquidacion],COSTO_OPORTUNIDAD!$C303)</f>
        <v>0</v>
      </c>
      <c r="AB303" s="263">
        <f>+SUMIFS(Tabla6[Nominal COP],Tabla6[Concepto],COSTO_OPORTUNIDAD!$B$18,Tabla6[Nemotécnico],COSTO_OPORTUNIDAD!AB$16,Tabla6[Fecha Cumplimiento y/ liquidacion],COSTO_OPORTUNIDAD!$C303)/+SUMIFS(Tabla6[Nominal COP],Tabla6[Concepto],COSTO_OPORTUNIDAD!$B$18,Tabla6[Fecha Cumplimiento y/ liquidacion],COSTO_OPORTUNIDAD!$C303)</f>
        <v>0</v>
      </c>
      <c r="AC303" s="263">
        <f>+SUMIFS(Tabla6[Nominal COP],Tabla6[Concepto],COSTO_OPORTUNIDAD!$B$18,Tabla6[Nemotécnico],COSTO_OPORTUNIDAD!AC$16,Tabla6[Fecha Cumplimiento y/ liquidacion],COSTO_OPORTUNIDAD!$C303)/+SUMIFS(Tabla6[Nominal COP],Tabla6[Concepto],COSTO_OPORTUNIDAD!$B$18,Tabla6[Fecha Cumplimiento y/ liquidacion],COSTO_OPORTUNIDAD!$C303)</f>
        <v>0</v>
      </c>
      <c r="AD303" s="263">
        <f>+SUMIFS(Tabla6[Nominal COP],Tabla6[Concepto],COSTO_OPORTUNIDAD!$B$18,Tabla6[Nemotécnico],COSTO_OPORTUNIDAD!AC$16,Tabla6[Fecha Cumplimiento y/ liquidacion],COSTO_OPORTUNIDAD!$C303)/+SUMIFS(Tabla6[Nominal COP],Tabla6[Concepto],COSTO_OPORTUNIDAD!$B$18,Tabla6[Fecha Cumplimiento y/ liquidacion],COSTO_OPORTUNIDAD!$C303)</f>
        <v>0</v>
      </c>
      <c r="AE303" s="263">
        <f>+SUMIFS(Tabla6[Nominal COP],Tabla6[Concepto],COSTO_OPORTUNIDAD!$B$18,Tabla6[Nemotécnico],COSTO_OPORTUNIDAD!AE$16,Tabla6[Fecha Cumplimiento y/ liquidacion],COSTO_OPORTUNIDAD!$C303)/+SUMIFS(Tabla6[Nominal COP],Tabla6[Concepto],COSTO_OPORTUNIDAD!$B$18,Tabla6[Fecha Cumplimiento y/ liquidacion],COSTO_OPORTUNIDAD!$C303)</f>
        <v>0</v>
      </c>
      <c r="AF303" s="263">
        <f>+SUMIFS(Tabla6[Nominal COP],Tabla6[Concepto],COSTO_OPORTUNIDAD!$B$18,Tabla6[Nemotécnico],COSTO_OPORTUNIDAD!AF$16,Tabla6[Fecha Cumplimiento y/ liquidacion],COSTO_OPORTUNIDAD!$C303)/+SUMIFS(Tabla6[Nominal COP],Tabla6[Concepto],COSTO_OPORTUNIDAD!$B$18,Tabla6[Fecha Cumplimiento y/ liquidacion],COSTO_OPORTUNIDAD!$C303)</f>
        <v>7.8022145447077432E-2</v>
      </c>
      <c r="AH303" s="502">
        <f>(D$17-$B303)</f>
        <v>97</v>
      </c>
      <c r="AI303" s="502">
        <f t="shared" si="390"/>
        <v>707</v>
      </c>
      <c r="AJ303" s="502">
        <f t="shared" si="390"/>
        <v>884</v>
      </c>
      <c r="AK303" s="502">
        <f t="shared" si="390"/>
        <v>1365</v>
      </c>
      <c r="AL303" s="502">
        <f t="shared" si="390"/>
        <v>1757</v>
      </c>
      <c r="AM303" s="502">
        <f t="shared" si="390"/>
        <v>1946</v>
      </c>
      <c r="AN303" s="502">
        <f t="shared" si="390"/>
        <v>2408</v>
      </c>
      <c r="AO303" s="502">
        <f t="shared" si="390"/>
        <v>2632</v>
      </c>
      <c r="AP303" s="502">
        <f t="shared" si="390"/>
        <v>3248</v>
      </c>
      <c r="AQ303" s="502">
        <f t="shared" si="390"/>
        <v>3326</v>
      </c>
      <c r="AR303" s="502">
        <f t="shared" si="313"/>
        <v>3878</v>
      </c>
      <c r="AS303" s="502">
        <f t="shared" si="301"/>
        <v>5481</v>
      </c>
      <c r="AT303" s="502">
        <f t="shared" si="283"/>
        <v>6027</v>
      </c>
      <c r="AU303" s="502">
        <f t="shared" si="284"/>
        <v>7546</v>
      </c>
      <c r="AV303" s="502">
        <f t="shared" si="285"/>
        <v>9100</v>
      </c>
      <c r="AW303" s="502">
        <f t="shared" si="361"/>
        <v>11795</v>
      </c>
      <c r="AX303" s="502">
        <f t="shared" si="373"/>
        <v>-203</v>
      </c>
      <c r="AY303" s="502">
        <f t="shared" si="374"/>
        <v>476</v>
      </c>
      <c r="AZ303" s="502">
        <f t="shared" si="375"/>
        <v>1239</v>
      </c>
      <c r="BA303" s="502">
        <f t="shared" si="376"/>
        <v>1883</v>
      </c>
      <c r="BB303" s="502">
        <f t="shared" si="377"/>
        <v>2676</v>
      </c>
      <c r="BC303" s="502">
        <f t="shared" si="378"/>
        <v>3416</v>
      </c>
      <c r="BD303" s="502">
        <f t="shared" si="379"/>
        <v>4109</v>
      </c>
      <c r="BE303" s="502">
        <f t="shared" si="380"/>
        <v>5593</v>
      </c>
      <c r="BF303" s="502">
        <f t="shared" si="381"/>
        <v>8603</v>
      </c>
      <c r="BG303" s="502">
        <f t="shared" si="382"/>
        <v>10766</v>
      </c>
      <c r="BH303" s="502">
        <f t="shared" si="383"/>
        <v>13216</v>
      </c>
      <c r="BI303" s="198">
        <f t="shared" si="318"/>
        <v>7.8022145447077432E-2</v>
      </c>
      <c r="BJ303" s="198">
        <f t="shared" si="319"/>
        <v>0.92197785455292258</v>
      </c>
      <c r="BK303" s="198">
        <f t="shared" si="320"/>
        <v>0</v>
      </c>
      <c r="BL303" s="198">
        <f t="shared" si="321"/>
        <v>0</v>
      </c>
      <c r="BM303" s="198">
        <f t="shared" si="322"/>
        <v>0</v>
      </c>
      <c r="BN303" s="198">
        <f t="shared" si="351"/>
        <v>0.96951219512195119</v>
      </c>
      <c r="BO303" s="198">
        <f t="shared" si="323"/>
        <v>0</v>
      </c>
      <c r="BP303" s="198">
        <f t="shared" si="324"/>
        <v>0</v>
      </c>
      <c r="BQ303" s="198">
        <f t="shared" si="325"/>
        <v>0</v>
      </c>
      <c r="BR303" s="198">
        <f t="shared" si="326"/>
        <v>0</v>
      </c>
      <c r="BS303" s="198">
        <f t="shared" si="327"/>
        <v>0</v>
      </c>
      <c r="BT303" s="198">
        <f>IFERROR(O303/$BJ303,"")</f>
        <v>5.08130081300813E-3</v>
      </c>
      <c r="BU303" s="198">
        <f t="shared" si="329"/>
        <v>0</v>
      </c>
      <c r="BV303" s="198">
        <f t="shared" si="352"/>
        <v>0</v>
      </c>
      <c r="BW303" s="198">
        <f t="shared" si="330"/>
        <v>0</v>
      </c>
      <c r="BX303" s="198">
        <f t="shared" si="337"/>
        <v>2.540650406504065E-2</v>
      </c>
      <c r="BY303" s="198">
        <f t="shared" si="331"/>
        <v>0</v>
      </c>
      <c r="BZ303" s="198">
        <f t="shared" si="370"/>
        <v>0</v>
      </c>
      <c r="CA303" s="198">
        <f t="shared" si="254"/>
        <v>0</v>
      </c>
      <c r="CB303" s="198">
        <f t="shared" si="332"/>
        <v>0</v>
      </c>
      <c r="CC303" s="198">
        <f t="shared" si="255"/>
        <v>0</v>
      </c>
      <c r="CD303" s="198">
        <f t="shared" si="333"/>
        <v>0</v>
      </c>
      <c r="CE303" s="198">
        <f t="shared" si="346"/>
        <v>0</v>
      </c>
      <c r="CF303" s="198">
        <f t="shared" si="256"/>
        <v>0</v>
      </c>
      <c r="CG303" s="198">
        <f t="shared" si="257"/>
        <v>0</v>
      </c>
      <c r="CH303" s="198">
        <f t="shared" si="290"/>
        <v>0</v>
      </c>
      <c r="CI303" s="198">
        <f t="shared" si="334"/>
        <v>0</v>
      </c>
      <c r="CJ303" s="198">
        <f t="shared" si="291"/>
        <v>0</v>
      </c>
      <c r="CK303" s="198">
        <f t="shared" si="335"/>
        <v>1</v>
      </c>
      <c r="CL303" s="503">
        <f t="shared" si="367"/>
        <v>1561</v>
      </c>
      <c r="CM303" s="503">
        <f t="shared" si="362"/>
        <v>10766</v>
      </c>
      <c r="CO303" s="265">
        <v>9.5060000000000006E-2</v>
      </c>
      <c r="CP303" s="265">
        <v>0.10630000000000001</v>
      </c>
      <c r="CQ303" s="265">
        <v>0.113</v>
      </c>
      <c r="CR303" s="265">
        <v>0.12075</v>
      </c>
      <c r="CS303" s="265">
        <v>0.12157999999999999</v>
      </c>
      <c r="CT303" s="265">
        <v>0.1229</v>
      </c>
      <c r="CU303" s="265">
        <v>0.12385</v>
      </c>
      <c r="CV303" s="265">
        <v>0.126</v>
      </c>
      <c r="CW303" s="265">
        <v>0.1258</v>
      </c>
      <c r="CX303" s="265">
        <v>0.1288</v>
      </c>
      <c r="CY303" s="265">
        <v>0.127</v>
      </c>
      <c r="CZ303" s="265">
        <v>0.12798999999999999</v>
      </c>
      <c r="DA303" s="265">
        <v>0.1268</v>
      </c>
      <c r="DB303" s="265">
        <v>0.1298</v>
      </c>
      <c r="DC303" s="265">
        <v>0.12704000000000001</v>
      </c>
      <c r="DD303" s="265">
        <v>0.1295</v>
      </c>
      <c r="DE303" s="265">
        <v>5.5930000000000001E-2</v>
      </c>
      <c r="DF303" s="265">
        <v>6.3369999999999996E-2</v>
      </c>
      <c r="DH303" s="265">
        <v>6.7299999999999999E-2</v>
      </c>
      <c r="DI303" s="265">
        <v>6.6600000000000006E-2</v>
      </c>
      <c r="DJ303" s="265">
        <v>6.6699999999999995E-2</v>
      </c>
      <c r="DK303" s="265">
        <v>6.7500000000000004E-2</v>
      </c>
      <c r="DL303" s="265">
        <v>6.7500000000000004E-2</v>
      </c>
      <c r="DM303" s="265">
        <v>6.3090000000000007E-2</v>
      </c>
      <c r="DN303" s="265">
        <v>6.3299999999999995E-2</v>
      </c>
      <c r="DO303" s="503">
        <f t="shared" si="363"/>
        <v>1365</v>
      </c>
      <c r="DP303" s="503" cm="1">
        <f t="array" ref="DP303">+INDEX(AH303:AW303,MATCH(DO303,AH303:AW303,1)+1)</f>
        <v>1757</v>
      </c>
      <c r="DQ303" s="504">
        <f t="shared" si="364"/>
        <v>0.12075</v>
      </c>
      <c r="DR303" s="205">
        <f t="shared" si="365"/>
        <v>0.12157999999999999</v>
      </c>
      <c r="DS303" s="205">
        <f t="shared" si="297"/>
        <v>0.12116499999999999</v>
      </c>
      <c r="DT303" s="505">
        <f>+INDEX(AX303:BH303,MATCH(CM303,AX303:BH303,1))</f>
        <v>10766</v>
      </c>
      <c r="DU303" s="505" cm="1">
        <f t="array" ref="DU303">+INDEX(AY303:BH303,MATCH(DT303,AY303:BH303,1)+1)</f>
        <v>13216</v>
      </c>
      <c r="DV303" s="205">
        <f>+INDEX(DE303:DN303,MATCH(DT303,AY303:BH303,1))</f>
        <v>6.3090000000000007E-2</v>
      </c>
      <c r="DW303" s="205">
        <f>DN303</f>
        <v>6.3299999999999995E-2</v>
      </c>
      <c r="DX303" s="205">
        <f t="shared" si="345"/>
        <v>6.3089999999999993E-2</v>
      </c>
      <c r="DY303" s="205">
        <f t="shared" si="341"/>
        <v>5.28E-2</v>
      </c>
      <c r="DZ303" s="205">
        <f>+(1+DX303)*(1+DY303)-1</f>
        <v>0.11922115199999994</v>
      </c>
      <c r="EA303" s="205">
        <f t="shared" si="385"/>
        <v>0.12101333680861698</v>
      </c>
    </row>
    <row r="304" spans="2:131">
      <c r="B304" s="272">
        <v>45989</v>
      </c>
      <c r="C304" s="271">
        <f t="shared" si="386"/>
        <v>45989</v>
      </c>
      <c r="D304" s="263">
        <f>+SUMIFS(Tabla6[Nominal COP],Tabla6[Concepto],COSTO_OPORTUNIDAD!$B$18,Tabla6[Nemotécnico],COSTO_OPORTUNIDAD!D$16,Tabla6[Fecha Cumplimiento y/ liquidacion],COSTO_OPORTUNIDAD!$C304)/+SUMIFS(Tabla6[Nominal COP],Tabla6[Concepto],COSTO_OPORTUNIDAD!$B$18,Tabla6[Fecha Cumplimiento y/ liquidacion],COSTO_OPORTUNIDAD!$C304)</f>
        <v>0</v>
      </c>
      <c r="E304" s="263">
        <f>+SUMIFS(Tabla6[Nominal COP],Tabla6[Concepto],COSTO_OPORTUNIDAD!$B$18,Tabla6[Nemotécnico],COSTO_OPORTUNIDAD!E$16,Tabla6[Fecha Cumplimiento y/ liquidacion],COSTO_OPORTUNIDAD!$C304)/+SUMIFS(Tabla6[Nominal COP],Tabla6[Concepto],COSTO_OPORTUNIDAD!$B$18,Tabla6[Fecha Cumplimiento y/ liquidacion],COSTO_OPORTUNIDAD!$C304)</f>
        <v>0</v>
      </c>
      <c r="F304" s="263">
        <f>+SUMIFS(Tabla6[Nominal COP],Tabla6[Concepto],COSTO_OPORTUNIDAD!$B$18,Tabla6[Nemotécnico],COSTO_OPORTUNIDAD!F$16,Tabla6[Fecha Cumplimiento y/ liquidacion],COSTO_OPORTUNIDAD!$C304)/+SUMIFS(Tabla6[Nominal COP],Tabla6[Concepto],COSTO_OPORTUNIDAD!$B$18,Tabla6[Fecha Cumplimiento y/ liquidacion],COSTO_OPORTUNIDAD!$C304)</f>
        <v>0</v>
      </c>
      <c r="G304" s="263">
        <f>+SUMIFS(Tabla6[Nominal COP],Tabla6[Concepto],COSTO_OPORTUNIDAD!$B$18,Tabla6[Nemotécnico],COSTO_OPORTUNIDAD!G$16,Tabla6[Fecha Cumplimiento y/ liquidacion],COSTO_OPORTUNIDAD!$C304)/+SUMIFS(Tabla6[Nominal COP],Tabla6[Concepto],COSTO_OPORTUNIDAD!$B$18,Tabla6[Fecha Cumplimiento y/ liquidacion],COSTO_OPORTUNIDAD!$C304)</f>
        <v>0</v>
      </c>
      <c r="H304" s="263">
        <f>+SUMIFS(Tabla6[Nominal COP],Tabla6[Concepto],COSTO_OPORTUNIDAD!$B$18,Tabla6[Nemotécnico],COSTO_OPORTUNIDAD!H$16,Tabla6[Fecha Cumplimiento y/ liquidacion],COSTO_OPORTUNIDAD!$C304)/+SUMIFS(Tabla6[Nominal COP],Tabla6[Concepto],COSTO_OPORTUNIDAD!$B$18,Tabla6[Fecha Cumplimiento y/ liquidacion],COSTO_OPORTUNIDAD!$C304)</f>
        <v>0</v>
      </c>
      <c r="I304" s="263">
        <f>+SUMIFS(Tabla6[Nominal COP],Tabla6[Concepto],COSTO_OPORTUNIDAD!$B$18,Tabla6[Nemotécnico],COSTO_OPORTUNIDAD!I$16,Tabla6[Fecha Cumplimiento y/ liquidacion],COSTO_OPORTUNIDAD!$C304)/+SUMIFS(Tabla6[Nominal COP],Tabla6[Concepto],COSTO_OPORTUNIDAD!$B$18,Tabla6[Fecha Cumplimiento y/ liquidacion],COSTO_OPORTUNIDAD!$C304)</f>
        <v>0.5608194622279129</v>
      </c>
      <c r="J304" s="263">
        <f>+SUMIFS(Tabla6[Nominal COP],Tabla6[Concepto],COSTO_OPORTUNIDAD!$B$18,Tabla6[Nemotécnico],COSTO_OPORTUNIDAD!J$16,Tabla6[Fecha Cumplimiento y/ liquidacion],COSTO_OPORTUNIDAD!$C304)/+SUMIFS(Tabla6[Nominal COP],Tabla6[Concepto],COSTO_OPORTUNIDAD!$B$18,Tabla6[Fecha Cumplimiento y/ liquidacion],COSTO_OPORTUNIDAD!$C304)</f>
        <v>0</v>
      </c>
      <c r="K304" s="263">
        <f>+SUMIFS(Tabla6[Nominal COP],Tabla6[Concepto],COSTO_OPORTUNIDAD!$B$18,Tabla6[Nemotécnico],COSTO_OPORTUNIDAD!K$16,Tabla6[Fecha Cumplimiento y/ liquidacion],COSTO_OPORTUNIDAD!$C304)/+SUMIFS(Tabla6[Nominal COP],Tabla6[Concepto],COSTO_OPORTUNIDAD!$B$18,Tabla6[Fecha Cumplimiento y/ liquidacion],COSTO_OPORTUNIDAD!$C304)</f>
        <v>0</v>
      </c>
      <c r="L304" s="263">
        <f>+SUMIFS(Tabla6[Nominal COP],Tabla6[Concepto],COSTO_OPORTUNIDAD!$B$18,Tabla6[Nemotécnico],COSTO_OPORTUNIDAD!L$16,Tabla6[Fecha Cumplimiento y/ liquidacion],COSTO_OPORTUNIDAD!$C304)/+SUMIFS(Tabla6[Nominal COP],Tabla6[Concepto],COSTO_OPORTUNIDAD!$B$18,Tabla6[Fecha Cumplimiento y/ liquidacion],COSTO_OPORTUNIDAD!$C304)</f>
        <v>0</v>
      </c>
      <c r="M304" s="263">
        <f>+SUMIFS(Tabla6[Nominal COP],Tabla6[Concepto],COSTO_OPORTUNIDAD!$B$18,Tabla6[Nemotécnico],COSTO_OPORTUNIDAD!M$16,Tabla6[Fecha Cumplimiento y/ liquidacion],COSTO_OPORTUNIDAD!$C304)/+SUMIFS(Tabla6[Nominal COP],Tabla6[Concepto],COSTO_OPORTUNIDAD!$B$18,Tabla6[Fecha Cumplimiento y/ liquidacion],COSTO_OPORTUNIDAD!$C304)</f>
        <v>0</v>
      </c>
      <c r="N304" s="263">
        <f>+SUMIFS(Tabla6[Nominal COP],Tabla6[Concepto],COSTO_OPORTUNIDAD!$B$18,Tabla6[Nemotécnico],COSTO_OPORTUNIDAD!N$16,Tabla6[Fecha Cumplimiento y/ liquidacion],COSTO_OPORTUNIDAD!$C304)/+SUMIFS(Tabla6[Nominal COP],Tabla6[Concepto],COSTO_OPORTUNIDAD!$B$18,Tabla6[Fecha Cumplimiento y/ liquidacion],COSTO_OPORTUNIDAD!$C304)</f>
        <v>0</v>
      </c>
      <c r="O304" s="263">
        <f>+SUMIFS(Tabla6[Nominal COP],Tabla6[Concepto],COSTO_OPORTUNIDAD!$B$18,Tabla6[Nemotécnico],COSTO_OPORTUNIDAD!O$16,Tabla6[Fecha Cumplimiento y/ liquidacion],COSTO_OPORTUNIDAD!$C304)/+SUMIFS(Tabla6[Nominal COP],Tabla6[Concepto],COSTO_OPORTUNIDAD!$B$18,Tabla6[Fecha Cumplimiento y/ liquidacion],COSTO_OPORTUNIDAD!$C304)</f>
        <v>0</v>
      </c>
      <c r="P304" s="263">
        <f>+SUMIFS(Tabla6[Nominal COP],Tabla6[Concepto],COSTO_OPORTUNIDAD!$B$18,Tabla6[Nemotécnico],COSTO_OPORTUNIDAD!P$16,Tabla6[Fecha Cumplimiento y/ liquidacion],COSTO_OPORTUNIDAD!$C304)/+SUMIFS(Tabla6[Nominal COP],Tabla6[Concepto],COSTO_OPORTUNIDAD!$B$18,Tabla6[Fecha Cumplimiento y/ liquidacion],COSTO_OPORTUNIDAD!$C304)</f>
        <v>0</v>
      </c>
      <c r="Q304" s="263">
        <f>+SUMIFS(Tabla6[Nominal COP],Tabla6[Concepto],COSTO_OPORTUNIDAD!$B$18,Tabla6[Nemotécnico],COSTO_OPORTUNIDAD!Q$16,Tabla6[Fecha Cumplimiento y/ liquidacion],COSTO_OPORTUNIDAD!$C304)/+SUMIFS(Tabla6[Nominal COP],Tabla6[Concepto],COSTO_OPORTUNIDAD!$B$18,Tabla6[Fecha Cumplimiento y/ liquidacion],COSTO_OPORTUNIDAD!$C304)</f>
        <v>0.43918053777208704</v>
      </c>
      <c r="R304" s="263">
        <f>+SUMIFS(Tabla6[Nominal COP],Tabla6[Concepto],COSTO_OPORTUNIDAD!$B$18,Tabla6[Nemotécnico],COSTO_OPORTUNIDAD!R$16,Tabla6[Fecha Cumplimiento y/ liquidacion],COSTO_OPORTUNIDAD!$C304)/+SUMIFS(Tabla6[Nominal COP],Tabla6[Concepto],COSTO_OPORTUNIDAD!$B$18,Tabla6[Fecha Cumplimiento y/ liquidacion],COSTO_OPORTUNIDAD!$C304)</f>
        <v>0</v>
      </c>
      <c r="S304" s="263">
        <f>+SUMIFS(Tabla6[Nominal COP],Tabla6[Concepto],COSTO_OPORTUNIDAD!$B$18,Tabla6[Nemotécnico],COSTO_OPORTUNIDAD!S$16,Tabla6[Fecha Cumplimiento y/ liquidacion],COSTO_OPORTUNIDAD!$C304)/+SUMIFS(Tabla6[Nominal COP],Tabla6[Concepto],COSTO_OPORTUNIDAD!$B$18,Tabla6[Fecha Cumplimiento y/ liquidacion],COSTO_OPORTUNIDAD!$C304)</f>
        <v>0</v>
      </c>
      <c r="T304" s="263">
        <f>+SUMIFS(Tabla6[Nominal COP],Tabla6[Concepto],COSTO_OPORTUNIDAD!$B$18,Tabla6[Nemotécnico],COSTO_OPORTUNIDAD!T$16,Tabla6[Fecha Cumplimiento y/ liquidacion],COSTO_OPORTUNIDAD!$C304)/+SUMIFS(Tabla6[Nominal COP],Tabla6[Concepto],COSTO_OPORTUNIDAD!$B$18,Tabla6[Fecha Cumplimiento y/ liquidacion],COSTO_OPORTUNIDAD!$C304)</f>
        <v>0</v>
      </c>
      <c r="U304" s="263">
        <f>+SUMIFS(Tabla6[Nominal COP],Tabla6[Concepto],COSTO_OPORTUNIDAD!$B$18,Tabla6[Nemotécnico],COSTO_OPORTUNIDAD!U$16,Tabla6[Fecha Cumplimiento y/ liquidacion],COSTO_OPORTUNIDAD!$C304)/+SUMIFS(Tabla6[Nominal COP],Tabla6[Concepto],COSTO_OPORTUNIDAD!$B$18,Tabla6[Fecha Cumplimiento y/ liquidacion],COSTO_OPORTUNIDAD!$C304)</f>
        <v>0</v>
      </c>
      <c r="V304" s="263">
        <f>+SUMIFS(Tabla6[Nominal COP],Tabla6[Concepto],COSTO_OPORTUNIDAD!$B$18,Tabla6[Nemotécnico],COSTO_OPORTUNIDAD!V$16,Tabla6[Fecha Cumplimiento y/ liquidacion],COSTO_OPORTUNIDAD!$C304)/+SUMIFS(Tabla6[Nominal COP],Tabla6[Concepto],COSTO_OPORTUNIDAD!$B$18,Tabla6[Fecha Cumplimiento y/ liquidacion],COSTO_OPORTUNIDAD!$C304)</f>
        <v>0</v>
      </c>
      <c r="W304" s="263">
        <f>+SUMIFS(Tabla6[Nominal COP],Tabla6[Concepto],COSTO_OPORTUNIDAD!$B$18,Tabla6[Nemotécnico],COSTO_OPORTUNIDAD!W$16,Tabla6[Fecha Cumplimiento y/ liquidacion],COSTO_OPORTUNIDAD!$C304)/+SUMIFS(Tabla6[Nominal COP],Tabla6[Concepto],COSTO_OPORTUNIDAD!$B$18,Tabla6[Fecha Cumplimiento y/ liquidacion],COSTO_OPORTUNIDAD!$C304)</f>
        <v>0</v>
      </c>
      <c r="X304" s="263">
        <f>+SUMIFS(Tabla6[Nominal COP],Tabla6[Concepto],COSTO_OPORTUNIDAD!$B$18,Tabla6[Nemotécnico],COSTO_OPORTUNIDAD!X$16,Tabla6[Fecha Cumplimiento y/ liquidacion],COSTO_OPORTUNIDAD!$C304)/+SUMIFS(Tabla6[Nominal COP],Tabla6[Concepto],COSTO_OPORTUNIDAD!$B$18,Tabla6[Fecha Cumplimiento y/ liquidacion],COSTO_OPORTUNIDAD!$C304)</f>
        <v>0</v>
      </c>
      <c r="Y304" s="263">
        <f>+SUMIFS(Tabla6[Nominal COP],Tabla6[Concepto],COSTO_OPORTUNIDAD!$B$18,Tabla6[Nemotécnico],COSTO_OPORTUNIDAD!Y$16,Tabla6[Fecha Cumplimiento y/ liquidacion],COSTO_OPORTUNIDAD!$C304)/+SUMIFS(Tabla6[Nominal COP],Tabla6[Concepto],COSTO_OPORTUNIDAD!$B$18,Tabla6[Fecha Cumplimiento y/ liquidacion],COSTO_OPORTUNIDAD!$C304)</f>
        <v>0</v>
      </c>
      <c r="Z304" s="263">
        <f>+SUMIFS(Tabla6[Nominal COP],Tabla6[Concepto],COSTO_OPORTUNIDAD!$B$18,Tabla6[Nemotécnico],COSTO_OPORTUNIDAD!Z$16,Tabla6[Fecha Cumplimiento y/ liquidacion],COSTO_OPORTUNIDAD!$C304)/+SUMIFS(Tabla6[Nominal COP],Tabla6[Concepto],COSTO_OPORTUNIDAD!$B$18,Tabla6[Fecha Cumplimiento y/ liquidacion],COSTO_OPORTUNIDAD!$C304)</f>
        <v>0</v>
      </c>
      <c r="AA304" s="263">
        <f>+SUMIFS(Tabla6[Nominal COP],Tabla6[Concepto],COSTO_OPORTUNIDAD!$B$18,Tabla6[Nemotécnico],COSTO_OPORTUNIDAD!AA$16,Tabla6[Fecha Cumplimiento y/ liquidacion],COSTO_OPORTUNIDAD!$C304)/+SUMIFS(Tabla6[Nominal COP],Tabla6[Concepto],COSTO_OPORTUNIDAD!$B$18,Tabla6[Fecha Cumplimiento y/ liquidacion],COSTO_OPORTUNIDAD!$C304)</f>
        <v>0</v>
      </c>
      <c r="AB304" s="263">
        <f>+SUMIFS(Tabla6[Nominal COP],Tabla6[Concepto],COSTO_OPORTUNIDAD!$B$18,Tabla6[Nemotécnico],COSTO_OPORTUNIDAD!AB$16,Tabla6[Fecha Cumplimiento y/ liquidacion],COSTO_OPORTUNIDAD!$C304)/+SUMIFS(Tabla6[Nominal COP],Tabla6[Concepto],COSTO_OPORTUNIDAD!$B$18,Tabla6[Fecha Cumplimiento y/ liquidacion],COSTO_OPORTUNIDAD!$C304)</f>
        <v>0</v>
      </c>
      <c r="AC304" s="263">
        <f>+SUMIFS(Tabla6[Nominal COP],Tabla6[Concepto],COSTO_OPORTUNIDAD!$B$18,Tabla6[Nemotécnico],COSTO_OPORTUNIDAD!AC$16,Tabla6[Fecha Cumplimiento y/ liquidacion],COSTO_OPORTUNIDAD!$C304)/+SUMIFS(Tabla6[Nominal COP],Tabla6[Concepto],COSTO_OPORTUNIDAD!$B$18,Tabla6[Fecha Cumplimiento y/ liquidacion],COSTO_OPORTUNIDAD!$C304)</f>
        <v>0</v>
      </c>
      <c r="AD304" s="263">
        <f>+SUMIFS(Tabla6[Nominal COP],Tabla6[Concepto],COSTO_OPORTUNIDAD!$B$18,Tabla6[Nemotécnico],COSTO_OPORTUNIDAD!AC$16,Tabla6[Fecha Cumplimiento y/ liquidacion],COSTO_OPORTUNIDAD!$C304)/+SUMIFS(Tabla6[Nominal COP],Tabla6[Concepto],COSTO_OPORTUNIDAD!$B$18,Tabla6[Fecha Cumplimiento y/ liquidacion],COSTO_OPORTUNIDAD!$C304)</f>
        <v>0</v>
      </c>
      <c r="AE304" s="263">
        <f>+SUMIFS(Tabla6[Nominal COP],Tabla6[Concepto],COSTO_OPORTUNIDAD!$B$18,Tabla6[Nemotécnico],COSTO_OPORTUNIDAD!AE$16,Tabla6[Fecha Cumplimiento y/ liquidacion],COSTO_OPORTUNIDAD!$C304)/+SUMIFS(Tabla6[Nominal COP],Tabla6[Concepto],COSTO_OPORTUNIDAD!$B$18,Tabla6[Fecha Cumplimiento y/ liquidacion],COSTO_OPORTUNIDAD!$C304)</f>
        <v>0</v>
      </c>
      <c r="AF304" s="263">
        <f>+SUMIFS(Tabla6[Nominal COP],Tabla6[Concepto],COSTO_OPORTUNIDAD!$B$18,Tabla6[Nemotécnico],COSTO_OPORTUNIDAD!AF$16,Tabla6[Fecha Cumplimiento y/ liquidacion],COSTO_OPORTUNIDAD!$C304)/+SUMIFS(Tabla6[Nominal COP],Tabla6[Concepto],COSTO_OPORTUNIDAD!$B$18,Tabla6[Fecha Cumplimiento y/ liquidacion],COSTO_OPORTUNIDAD!$C304)</f>
        <v>0</v>
      </c>
      <c r="AH304" s="502">
        <f>(D$17-$B304)</f>
        <v>95</v>
      </c>
      <c r="AI304" s="502">
        <f t="shared" ref="AI304" si="392">(G$17-$B304)</f>
        <v>705</v>
      </c>
      <c r="AJ304" s="502">
        <f t="shared" ref="AJ304" si="393">(H$17-$B304)</f>
        <v>882</v>
      </c>
      <c r="AK304" s="502">
        <f t="shared" ref="AK304" si="394">(I$17-$B304)</f>
        <v>1363</v>
      </c>
      <c r="AL304" s="502">
        <f t="shared" ref="AL304" si="395">(J$17-$B304)</f>
        <v>1755</v>
      </c>
      <c r="AM304" s="502">
        <f t="shared" ref="AM304" si="396">(K$17-$B304)</f>
        <v>1944</v>
      </c>
      <c r="AN304" s="502">
        <f t="shared" ref="AN304" si="397">(L$17-$B304)</f>
        <v>2406</v>
      </c>
      <c r="AO304" s="502">
        <f t="shared" ref="AO304" si="398">(M$17-$B304)</f>
        <v>2630</v>
      </c>
      <c r="AP304" s="502">
        <f t="shared" ref="AP304" si="399">(N$17-$B304)</f>
        <v>3246</v>
      </c>
      <c r="AQ304" s="502">
        <f t="shared" ref="AQ304" si="400">(O$17-$B304)</f>
        <v>3324</v>
      </c>
      <c r="AR304" s="502">
        <f t="shared" si="313"/>
        <v>3876</v>
      </c>
      <c r="AS304" s="502">
        <f t="shared" si="301"/>
        <v>5479</v>
      </c>
      <c r="AT304" s="502">
        <f t="shared" si="283"/>
        <v>6025</v>
      </c>
      <c r="AU304" s="502">
        <f t="shared" si="284"/>
        <v>7544</v>
      </c>
      <c r="AV304" s="502">
        <f t="shared" si="285"/>
        <v>9098</v>
      </c>
      <c r="AW304" s="502">
        <f t="shared" si="361"/>
        <v>11793</v>
      </c>
      <c r="AX304" s="502">
        <f t="shared" si="373"/>
        <v>-205</v>
      </c>
      <c r="AY304" s="502">
        <f t="shared" si="374"/>
        <v>474</v>
      </c>
      <c r="AZ304" s="502">
        <f t="shared" si="375"/>
        <v>1237</v>
      </c>
      <c r="BA304" s="502">
        <f t="shared" si="376"/>
        <v>1881</v>
      </c>
      <c r="BB304" s="502">
        <f t="shared" si="377"/>
        <v>2674</v>
      </c>
      <c r="BC304" s="502">
        <f t="shared" si="378"/>
        <v>3414</v>
      </c>
      <c r="BD304" s="502">
        <f t="shared" si="379"/>
        <v>4107</v>
      </c>
      <c r="BE304" s="502">
        <f t="shared" si="380"/>
        <v>5591</v>
      </c>
      <c r="BF304" s="502">
        <f t="shared" si="381"/>
        <v>8601</v>
      </c>
      <c r="BG304" s="502">
        <f t="shared" si="382"/>
        <v>10764</v>
      </c>
      <c r="BH304" s="502">
        <f t="shared" si="383"/>
        <v>13214</v>
      </c>
      <c r="BI304" s="198">
        <f t="shared" si="318"/>
        <v>0</v>
      </c>
      <c r="BJ304" s="198">
        <f t="shared" si="319"/>
        <v>1</v>
      </c>
      <c r="BK304" s="198">
        <f t="shared" si="320"/>
        <v>0</v>
      </c>
      <c r="BL304" s="198">
        <f t="shared" si="321"/>
        <v>0</v>
      </c>
      <c r="BM304" s="198">
        <f t="shared" si="322"/>
        <v>0</v>
      </c>
      <c r="BN304" s="198">
        <f t="shared" si="351"/>
        <v>0.5608194622279129</v>
      </c>
      <c r="BO304" s="198">
        <f t="shared" si="323"/>
        <v>0</v>
      </c>
      <c r="BP304" s="198">
        <f t="shared" si="324"/>
        <v>0</v>
      </c>
      <c r="BQ304" s="198">
        <f t="shared" si="325"/>
        <v>0</v>
      </c>
      <c r="BR304" s="198">
        <f t="shared" si="326"/>
        <v>0</v>
      </c>
      <c r="BS304" s="198">
        <f t="shared" si="327"/>
        <v>0</v>
      </c>
      <c r="BT304" s="198">
        <f>IFERROR(O304/$BJ304,"")</f>
        <v>0</v>
      </c>
      <c r="BU304" s="198">
        <f t="shared" si="329"/>
        <v>0</v>
      </c>
      <c r="BV304" s="198">
        <f t="shared" si="352"/>
        <v>0.43918053777208704</v>
      </c>
      <c r="BW304" s="198">
        <f t="shared" si="330"/>
        <v>0</v>
      </c>
      <c r="BX304" s="198">
        <f t="shared" si="337"/>
        <v>0</v>
      </c>
      <c r="BY304" s="198">
        <f t="shared" si="331"/>
        <v>0</v>
      </c>
      <c r="BZ304" s="198">
        <f t="shared" si="370"/>
        <v>0</v>
      </c>
      <c r="CA304" s="198" t="str">
        <f t="shared" si="254"/>
        <v/>
      </c>
      <c r="CB304" s="198" t="str">
        <f t="shared" si="332"/>
        <v/>
      </c>
      <c r="CC304" s="198" t="str">
        <f t="shared" si="255"/>
        <v/>
      </c>
      <c r="CD304" s="198" t="str">
        <f t="shared" si="333"/>
        <v/>
      </c>
      <c r="CE304" s="198" t="str">
        <f t="shared" si="346"/>
        <v/>
      </c>
      <c r="CF304" s="198" t="str">
        <f t="shared" si="256"/>
        <v/>
      </c>
      <c r="CG304" s="198" t="str">
        <f t="shared" si="257"/>
        <v/>
      </c>
      <c r="CH304" s="198" t="str">
        <f t="shared" si="290"/>
        <v/>
      </c>
      <c r="CI304" s="198" t="str">
        <f t="shared" si="334"/>
        <v/>
      </c>
      <c r="CJ304" s="198" t="str">
        <f t="shared" si="291"/>
        <v/>
      </c>
      <c r="CK304" s="198" t="str">
        <f t="shared" si="335"/>
        <v/>
      </c>
      <c r="CL304" s="503">
        <f t="shared" si="367"/>
        <v>3171</v>
      </c>
      <c r="CM304" s="503">
        <f t="shared" si="362"/>
        <v>0</v>
      </c>
      <c r="CO304" s="265">
        <v>9.3200000000000005E-2</v>
      </c>
      <c r="CP304" s="265">
        <v>0.10615999999999999</v>
      </c>
      <c r="CQ304" s="265">
        <v>0.11199999999999999</v>
      </c>
      <c r="CR304" s="265">
        <v>0.11962999999999999</v>
      </c>
      <c r="CS304" s="265">
        <v>0.12136</v>
      </c>
      <c r="CT304" s="265">
        <v>0.12301999999999999</v>
      </c>
      <c r="CU304" s="265">
        <v>0.12398999999999999</v>
      </c>
      <c r="CV304" s="265">
        <v>0.12432</v>
      </c>
      <c r="CW304" s="265">
        <v>0.12404999999999999</v>
      </c>
      <c r="CX304" s="265">
        <v>0.12731999999999999</v>
      </c>
      <c r="CY304" s="265">
        <v>0.12575</v>
      </c>
      <c r="CZ304" s="265">
        <v>0.12817999999999999</v>
      </c>
      <c r="DA304" s="265">
        <v>0.12634999999999999</v>
      </c>
      <c r="DB304" s="265">
        <v>0.12859999999999999</v>
      </c>
      <c r="DC304" s="265">
        <v>0.12595000000000001</v>
      </c>
      <c r="DD304" s="265">
        <v>0.1285</v>
      </c>
      <c r="DE304" s="265">
        <v>5.4909999999999994E-2</v>
      </c>
      <c r="DF304" s="265">
        <v>6.0999999999999999E-2</v>
      </c>
      <c r="DH304" s="265">
        <v>6.4000000000000001E-2</v>
      </c>
      <c r="DI304" s="265">
        <v>6.3E-2</v>
      </c>
      <c r="DJ304" s="265">
        <v>6.4000000000000001E-2</v>
      </c>
      <c r="DK304" s="265">
        <v>6.3700000000000007E-2</v>
      </c>
      <c r="DL304" s="265">
        <v>6.2E-2</v>
      </c>
      <c r="DM304" s="265">
        <v>6.1890000000000001E-2</v>
      </c>
      <c r="DN304" s="265">
        <v>6.3E-2</v>
      </c>
      <c r="DO304" s="503">
        <f t="shared" si="363"/>
        <v>2630</v>
      </c>
      <c r="DP304" s="503" cm="1">
        <f t="array" ref="DP304">+INDEX(AH304:AW304,MATCH(DO304,AH304:AW304,1)+1)</f>
        <v>3246</v>
      </c>
      <c r="DQ304" s="504">
        <f t="shared" si="364"/>
        <v>0.12432</v>
      </c>
      <c r="DR304" s="205">
        <f t="shared" si="365"/>
        <v>0.12404999999999999</v>
      </c>
      <c r="DS304" s="205">
        <f t="shared" si="297"/>
        <v>0.124083</v>
      </c>
      <c r="DT304" s="505">
        <f>+INDEX(AX304:BH304,MATCH(CM304,AX304:BH304,1))</f>
        <v>-205</v>
      </c>
      <c r="DU304" s="505" t="e" cm="1">
        <f t="array" ref="DU304">+INDEX(AY304:BH304,MATCH(DT304,AY304:BH304,1)+1)</f>
        <v>#N/A</v>
      </c>
      <c r="DV304" s="205" t="e">
        <f>+INDEX(DE304:DN304,MATCH(DT304,AY304:BH304,1))</f>
        <v>#N/A</v>
      </c>
      <c r="DW304" s="205" t="e">
        <f>+INDEX(DE304:DM304,MATCH(DU304,AX304:BG304,1))</f>
        <v>#N/A</v>
      </c>
      <c r="DX304" s="205" t="e">
        <f t="shared" si="345"/>
        <v>#N/A</v>
      </c>
      <c r="DY304" s="205">
        <f t="shared" si="341"/>
        <v>5.28E-2</v>
      </c>
      <c r="DZ304" s="205" t="e">
        <f>+(1+DX304)*(1+DY304)-1</f>
        <v>#N/A</v>
      </c>
      <c r="EA304" s="205">
        <f t="shared" si="385"/>
        <v>0.124083</v>
      </c>
    </row>
    <row r="305" spans="2:131">
      <c r="B305" s="272">
        <v>45992</v>
      </c>
      <c r="C305" s="271">
        <f t="shared" si="386"/>
        <v>45992</v>
      </c>
      <c r="D305" s="263">
        <f>+SUMIFS(Tabla6[Nominal COP],Tabla6[Concepto],COSTO_OPORTUNIDAD!$B$18,Tabla6[Nemotécnico],COSTO_OPORTUNIDAD!D$16,Tabla6[Fecha Cumplimiento y/ liquidacion],COSTO_OPORTUNIDAD!$C305)/+SUMIFS(Tabla6[Nominal COP],Tabla6[Concepto],COSTO_OPORTUNIDAD!$B$18,Tabla6[Fecha Cumplimiento y/ liquidacion],COSTO_OPORTUNIDAD!$C305)</f>
        <v>0</v>
      </c>
      <c r="E305" s="263">
        <f>+SUMIFS(Tabla6[Nominal COP],Tabla6[Concepto],COSTO_OPORTUNIDAD!$B$18,Tabla6[Nemotécnico],COSTO_OPORTUNIDAD!E$16,Tabla6[Fecha Cumplimiento y/ liquidacion],COSTO_OPORTUNIDAD!$C305)/+SUMIFS(Tabla6[Nominal COP],Tabla6[Concepto],COSTO_OPORTUNIDAD!$B$18,Tabla6[Fecha Cumplimiento y/ liquidacion],COSTO_OPORTUNIDAD!$C305)</f>
        <v>0</v>
      </c>
      <c r="F305" s="263">
        <f>+SUMIFS(Tabla6[Nominal COP],Tabla6[Concepto],COSTO_OPORTUNIDAD!$B$18,Tabla6[Nemotécnico],COSTO_OPORTUNIDAD!F$16,Tabla6[Fecha Cumplimiento y/ liquidacion],COSTO_OPORTUNIDAD!$C305)/+SUMIFS(Tabla6[Nominal COP],Tabla6[Concepto],COSTO_OPORTUNIDAD!$B$18,Tabla6[Fecha Cumplimiento y/ liquidacion],COSTO_OPORTUNIDAD!$C305)</f>
        <v>0</v>
      </c>
      <c r="G305" s="263">
        <f>+SUMIFS(Tabla6[Nominal COP],Tabla6[Concepto],COSTO_OPORTUNIDAD!$B$18,Tabla6[Nemotécnico],COSTO_OPORTUNIDAD!G$16,Tabla6[Fecha Cumplimiento y/ liquidacion],COSTO_OPORTUNIDAD!$C305)/+SUMIFS(Tabla6[Nominal COP],Tabla6[Concepto],COSTO_OPORTUNIDAD!$B$18,Tabla6[Fecha Cumplimiento y/ liquidacion],COSTO_OPORTUNIDAD!$C305)</f>
        <v>0</v>
      </c>
      <c r="H305" s="263">
        <f>+SUMIFS(Tabla6[Nominal COP],Tabla6[Concepto],COSTO_OPORTUNIDAD!$B$18,Tabla6[Nemotécnico],COSTO_OPORTUNIDAD!H$16,Tabla6[Fecha Cumplimiento y/ liquidacion],COSTO_OPORTUNIDAD!$C305)/+SUMIFS(Tabla6[Nominal COP],Tabla6[Concepto],COSTO_OPORTUNIDAD!$B$18,Tabla6[Fecha Cumplimiento y/ liquidacion],COSTO_OPORTUNIDAD!$C305)</f>
        <v>0</v>
      </c>
      <c r="I305" s="263">
        <f>+SUMIFS(Tabla6[Nominal COP],Tabla6[Concepto],COSTO_OPORTUNIDAD!$B$18,Tabla6[Nemotécnico],COSTO_OPORTUNIDAD!I$16,Tabla6[Fecha Cumplimiento y/ liquidacion],COSTO_OPORTUNIDAD!$C305)/+SUMIFS(Tabla6[Nominal COP],Tabla6[Concepto],COSTO_OPORTUNIDAD!$B$18,Tabla6[Fecha Cumplimiento y/ liquidacion],COSTO_OPORTUNIDAD!$C305)</f>
        <v>0.72767527675276755</v>
      </c>
      <c r="J305" s="263">
        <f>+SUMIFS(Tabla6[Nominal COP],Tabla6[Concepto],COSTO_OPORTUNIDAD!$B$18,Tabla6[Nemotécnico],COSTO_OPORTUNIDAD!J$16,Tabla6[Fecha Cumplimiento y/ liquidacion],COSTO_OPORTUNIDAD!$C305)/+SUMIFS(Tabla6[Nominal COP],Tabla6[Concepto],COSTO_OPORTUNIDAD!$B$18,Tabla6[Fecha Cumplimiento y/ liquidacion],COSTO_OPORTUNIDAD!$C305)</f>
        <v>0</v>
      </c>
      <c r="K305" s="263">
        <f>+SUMIFS(Tabla6[Nominal COP],Tabla6[Concepto],COSTO_OPORTUNIDAD!$B$18,Tabla6[Nemotécnico],COSTO_OPORTUNIDAD!K$16,Tabla6[Fecha Cumplimiento y/ liquidacion],COSTO_OPORTUNIDAD!$C305)/+SUMIFS(Tabla6[Nominal COP],Tabla6[Concepto],COSTO_OPORTUNIDAD!$B$18,Tabla6[Fecha Cumplimiento y/ liquidacion],COSTO_OPORTUNIDAD!$C305)</f>
        <v>0</v>
      </c>
      <c r="L305" s="263">
        <f>+SUMIFS(Tabla6[Nominal COP],Tabla6[Concepto],COSTO_OPORTUNIDAD!$B$18,Tabla6[Nemotécnico],COSTO_OPORTUNIDAD!L$16,Tabla6[Fecha Cumplimiento y/ liquidacion],COSTO_OPORTUNIDAD!$C305)/+SUMIFS(Tabla6[Nominal COP],Tabla6[Concepto],COSTO_OPORTUNIDAD!$B$18,Tabla6[Fecha Cumplimiento y/ liquidacion],COSTO_OPORTUNIDAD!$C305)</f>
        <v>0</v>
      </c>
      <c r="M305" s="263">
        <f>+SUMIFS(Tabla6[Nominal COP],Tabla6[Concepto],COSTO_OPORTUNIDAD!$B$18,Tabla6[Nemotécnico],COSTO_OPORTUNIDAD!M$16,Tabla6[Fecha Cumplimiento y/ liquidacion],COSTO_OPORTUNIDAD!$C305)/+SUMIFS(Tabla6[Nominal COP],Tabla6[Concepto],COSTO_OPORTUNIDAD!$B$18,Tabla6[Fecha Cumplimiento y/ liquidacion],COSTO_OPORTUNIDAD!$C305)</f>
        <v>0</v>
      </c>
      <c r="N305" s="263">
        <f>+SUMIFS(Tabla6[Nominal COP],Tabla6[Concepto],COSTO_OPORTUNIDAD!$B$18,Tabla6[Nemotécnico],COSTO_OPORTUNIDAD!N$16,Tabla6[Fecha Cumplimiento y/ liquidacion],COSTO_OPORTUNIDAD!$C305)/+SUMIFS(Tabla6[Nominal COP],Tabla6[Concepto],COSTO_OPORTUNIDAD!$B$18,Tabla6[Fecha Cumplimiento y/ liquidacion],COSTO_OPORTUNIDAD!$C305)</f>
        <v>0</v>
      </c>
      <c r="O305" s="263">
        <f>+SUMIFS(Tabla6[Nominal COP],Tabla6[Concepto],COSTO_OPORTUNIDAD!$B$18,Tabla6[Nemotécnico],COSTO_OPORTUNIDAD!O$16,Tabla6[Fecha Cumplimiento y/ liquidacion],COSTO_OPORTUNIDAD!$C305)/+SUMIFS(Tabla6[Nominal COP],Tabla6[Concepto],COSTO_OPORTUNIDAD!$B$18,Tabla6[Fecha Cumplimiento y/ liquidacion],COSTO_OPORTUNIDAD!$C305)</f>
        <v>0</v>
      </c>
      <c r="P305" s="263">
        <f>+SUMIFS(Tabla6[Nominal COP],Tabla6[Concepto],COSTO_OPORTUNIDAD!$B$18,Tabla6[Nemotécnico],COSTO_OPORTUNIDAD!P$16,Tabla6[Fecha Cumplimiento y/ liquidacion],COSTO_OPORTUNIDAD!$C305)/+SUMIFS(Tabla6[Nominal COP],Tabla6[Concepto],COSTO_OPORTUNIDAD!$B$18,Tabla6[Fecha Cumplimiento y/ liquidacion],COSTO_OPORTUNIDAD!$C305)</f>
        <v>0</v>
      </c>
      <c r="Q305" s="263">
        <f>+SUMIFS(Tabla6[Nominal COP],Tabla6[Concepto],COSTO_OPORTUNIDAD!$B$18,Tabla6[Nemotécnico],COSTO_OPORTUNIDAD!Q$16,Tabla6[Fecha Cumplimiento y/ liquidacion],COSTO_OPORTUNIDAD!$C305)/+SUMIFS(Tabla6[Nominal COP],Tabla6[Concepto],COSTO_OPORTUNIDAD!$B$18,Tabla6[Fecha Cumplimiento y/ liquidacion],COSTO_OPORTUNIDAD!$C305)</f>
        <v>0.27232472324723245</v>
      </c>
      <c r="R305" s="263">
        <f>+SUMIFS(Tabla6[Nominal COP],Tabla6[Concepto],COSTO_OPORTUNIDAD!$B$18,Tabla6[Nemotécnico],COSTO_OPORTUNIDAD!R$16,Tabla6[Fecha Cumplimiento y/ liquidacion],COSTO_OPORTUNIDAD!$C305)/+SUMIFS(Tabla6[Nominal COP],Tabla6[Concepto],COSTO_OPORTUNIDAD!$B$18,Tabla6[Fecha Cumplimiento y/ liquidacion],COSTO_OPORTUNIDAD!$C305)</f>
        <v>0</v>
      </c>
      <c r="S305" s="263">
        <f>+SUMIFS(Tabla6[Nominal COP],Tabla6[Concepto],COSTO_OPORTUNIDAD!$B$18,Tabla6[Nemotécnico],COSTO_OPORTUNIDAD!S$16,Tabla6[Fecha Cumplimiento y/ liquidacion],COSTO_OPORTUNIDAD!$C305)/+SUMIFS(Tabla6[Nominal COP],Tabla6[Concepto],COSTO_OPORTUNIDAD!$B$18,Tabla6[Fecha Cumplimiento y/ liquidacion],COSTO_OPORTUNIDAD!$C305)</f>
        <v>0</v>
      </c>
      <c r="T305" s="263">
        <f>+SUMIFS(Tabla6[Nominal COP],Tabla6[Concepto],COSTO_OPORTUNIDAD!$B$18,Tabla6[Nemotécnico],COSTO_OPORTUNIDAD!T$16,Tabla6[Fecha Cumplimiento y/ liquidacion],COSTO_OPORTUNIDAD!$C305)/+SUMIFS(Tabla6[Nominal COP],Tabla6[Concepto],COSTO_OPORTUNIDAD!$B$18,Tabla6[Fecha Cumplimiento y/ liquidacion],COSTO_OPORTUNIDAD!$C305)</f>
        <v>0</v>
      </c>
      <c r="U305" s="263">
        <f>+SUMIFS(Tabla6[Nominal COP],Tabla6[Concepto],COSTO_OPORTUNIDAD!$B$18,Tabla6[Nemotécnico],COSTO_OPORTUNIDAD!U$16,Tabla6[Fecha Cumplimiento y/ liquidacion],COSTO_OPORTUNIDAD!$C305)/+SUMIFS(Tabla6[Nominal COP],Tabla6[Concepto],COSTO_OPORTUNIDAD!$B$18,Tabla6[Fecha Cumplimiento y/ liquidacion],COSTO_OPORTUNIDAD!$C305)</f>
        <v>0</v>
      </c>
      <c r="V305" s="263">
        <f>+SUMIFS(Tabla6[Nominal COP],Tabla6[Concepto],COSTO_OPORTUNIDAD!$B$18,Tabla6[Nemotécnico],COSTO_OPORTUNIDAD!V$16,Tabla6[Fecha Cumplimiento y/ liquidacion],COSTO_OPORTUNIDAD!$C305)/+SUMIFS(Tabla6[Nominal COP],Tabla6[Concepto],COSTO_OPORTUNIDAD!$B$18,Tabla6[Fecha Cumplimiento y/ liquidacion],COSTO_OPORTUNIDAD!$C305)</f>
        <v>0</v>
      </c>
      <c r="W305" s="263">
        <f>+SUMIFS(Tabla6[Nominal COP],Tabla6[Concepto],COSTO_OPORTUNIDAD!$B$18,Tabla6[Nemotécnico],COSTO_OPORTUNIDAD!W$16,Tabla6[Fecha Cumplimiento y/ liquidacion],COSTO_OPORTUNIDAD!$C305)/+SUMIFS(Tabla6[Nominal COP],Tabla6[Concepto],COSTO_OPORTUNIDAD!$B$18,Tabla6[Fecha Cumplimiento y/ liquidacion],COSTO_OPORTUNIDAD!$C305)</f>
        <v>0</v>
      </c>
      <c r="X305" s="263">
        <f>+SUMIFS(Tabla6[Nominal COP],Tabla6[Concepto],COSTO_OPORTUNIDAD!$B$18,Tabla6[Nemotécnico],COSTO_OPORTUNIDAD!X$16,Tabla6[Fecha Cumplimiento y/ liquidacion],COSTO_OPORTUNIDAD!$C305)/+SUMIFS(Tabla6[Nominal COP],Tabla6[Concepto],COSTO_OPORTUNIDAD!$B$18,Tabla6[Fecha Cumplimiento y/ liquidacion],COSTO_OPORTUNIDAD!$C305)</f>
        <v>0</v>
      </c>
      <c r="Y305" s="263">
        <f>+SUMIFS(Tabla6[Nominal COP],Tabla6[Concepto],COSTO_OPORTUNIDAD!$B$18,Tabla6[Nemotécnico],COSTO_OPORTUNIDAD!Y$16,Tabla6[Fecha Cumplimiento y/ liquidacion],COSTO_OPORTUNIDAD!$C305)/+SUMIFS(Tabla6[Nominal COP],Tabla6[Concepto],COSTO_OPORTUNIDAD!$B$18,Tabla6[Fecha Cumplimiento y/ liquidacion],COSTO_OPORTUNIDAD!$C305)</f>
        <v>0</v>
      </c>
      <c r="Z305" s="263">
        <f>+SUMIFS(Tabla6[Nominal COP],Tabla6[Concepto],COSTO_OPORTUNIDAD!$B$18,Tabla6[Nemotécnico],COSTO_OPORTUNIDAD!Z$16,Tabla6[Fecha Cumplimiento y/ liquidacion],COSTO_OPORTUNIDAD!$C305)/+SUMIFS(Tabla6[Nominal COP],Tabla6[Concepto],COSTO_OPORTUNIDAD!$B$18,Tabla6[Fecha Cumplimiento y/ liquidacion],COSTO_OPORTUNIDAD!$C305)</f>
        <v>0</v>
      </c>
      <c r="AA305" s="263">
        <f>+SUMIFS(Tabla6[Nominal COP],Tabla6[Concepto],COSTO_OPORTUNIDAD!$B$18,Tabla6[Nemotécnico],COSTO_OPORTUNIDAD!AA$16,Tabla6[Fecha Cumplimiento y/ liquidacion],COSTO_OPORTUNIDAD!$C305)/+SUMIFS(Tabla6[Nominal COP],Tabla6[Concepto],COSTO_OPORTUNIDAD!$B$18,Tabla6[Fecha Cumplimiento y/ liquidacion],COSTO_OPORTUNIDAD!$C305)</f>
        <v>0</v>
      </c>
      <c r="AB305" s="263">
        <f>+SUMIFS(Tabla6[Nominal COP],Tabla6[Concepto],COSTO_OPORTUNIDAD!$B$18,Tabla6[Nemotécnico],COSTO_OPORTUNIDAD!AB$16,Tabla6[Fecha Cumplimiento y/ liquidacion],COSTO_OPORTUNIDAD!$C305)/+SUMIFS(Tabla6[Nominal COP],Tabla6[Concepto],COSTO_OPORTUNIDAD!$B$18,Tabla6[Fecha Cumplimiento y/ liquidacion],COSTO_OPORTUNIDAD!$C305)</f>
        <v>0</v>
      </c>
      <c r="AC305" s="263">
        <f>+SUMIFS(Tabla6[Nominal COP],Tabla6[Concepto],COSTO_OPORTUNIDAD!$B$18,Tabla6[Nemotécnico],COSTO_OPORTUNIDAD!AC$16,Tabla6[Fecha Cumplimiento y/ liquidacion],COSTO_OPORTUNIDAD!$C305)/+SUMIFS(Tabla6[Nominal COP],Tabla6[Concepto],COSTO_OPORTUNIDAD!$B$18,Tabla6[Fecha Cumplimiento y/ liquidacion],COSTO_OPORTUNIDAD!$C305)</f>
        <v>0</v>
      </c>
      <c r="AD305" s="263">
        <f>+SUMIFS(Tabla6[Nominal COP],Tabla6[Concepto],COSTO_OPORTUNIDAD!$B$18,Tabla6[Nemotécnico],COSTO_OPORTUNIDAD!AC$16,Tabla6[Fecha Cumplimiento y/ liquidacion],COSTO_OPORTUNIDAD!$C305)/+SUMIFS(Tabla6[Nominal COP],Tabla6[Concepto],COSTO_OPORTUNIDAD!$B$18,Tabla6[Fecha Cumplimiento y/ liquidacion],COSTO_OPORTUNIDAD!$C305)</f>
        <v>0</v>
      </c>
      <c r="AE305" s="263">
        <f>+SUMIFS(Tabla6[Nominal COP],Tabla6[Concepto],COSTO_OPORTUNIDAD!$B$18,Tabla6[Nemotécnico],COSTO_OPORTUNIDAD!AE$16,Tabla6[Fecha Cumplimiento y/ liquidacion],COSTO_OPORTUNIDAD!$C305)/+SUMIFS(Tabla6[Nominal COP],Tabla6[Concepto],COSTO_OPORTUNIDAD!$B$18,Tabla6[Fecha Cumplimiento y/ liquidacion],COSTO_OPORTUNIDAD!$C305)</f>
        <v>0</v>
      </c>
      <c r="AF305" s="263">
        <f>+SUMIFS(Tabla6[Nominal COP],Tabla6[Concepto],COSTO_OPORTUNIDAD!$B$18,Tabla6[Nemotécnico],COSTO_OPORTUNIDAD!AF$16,Tabla6[Fecha Cumplimiento y/ liquidacion],COSTO_OPORTUNIDAD!$C305)/+SUMIFS(Tabla6[Nominal COP],Tabla6[Concepto],COSTO_OPORTUNIDAD!$B$18,Tabla6[Fecha Cumplimiento y/ liquidacion],COSTO_OPORTUNIDAD!$C305)</f>
        <v>0</v>
      </c>
      <c r="AH305" s="502">
        <f t="shared" ref="AH305:AH306" si="401">(D$17-$B305)</f>
        <v>92</v>
      </c>
      <c r="AI305" s="502">
        <f t="shared" ref="AI305:AI306" si="402">(G$17-$B305)</f>
        <v>702</v>
      </c>
      <c r="AJ305" s="502">
        <f t="shared" ref="AJ305:AJ306" si="403">(H$17-$B305)</f>
        <v>879</v>
      </c>
      <c r="AK305" s="502">
        <f t="shared" ref="AK305:AK306" si="404">(I$17-$B305)</f>
        <v>1360</v>
      </c>
      <c r="AL305" s="502">
        <f t="shared" ref="AL305:AL306" si="405">(J$17-$B305)</f>
        <v>1752</v>
      </c>
      <c r="AM305" s="502">
        <f t="shared" ref="AM305:AM306" si="406">(K$17-$B305)</f>
        <v>1941</v>
      </c>
      <c r="AN305" s="502">
        <f t="shared" ref="AN305:AN306" si="407">(L$17-$B305)</f>
        <v>2403</v>
      </c>
      <c r="AO305" s="502">
        <f t="shared" ref="AO305:AO306" si="408">(M$17-$B305)</f>
        <v>2627</v>
      </c>
      <c r="AP305" s="502">
        <f t="shared" ref="AP305:AP306" si="409">(N$17-$B305)</f>
        <v>3243</v>
      </c>
      <c r="AQ305" s="502">
        <f t="shared" ref="AQ305:AQ306" si="410">(O$17-$B305)</f>
        <v>3321</v>
      </c>
      <c r="AR305" s="502">
        <f t="shared" ref="AR305:AR306" si="411">(P$17-$B305)</f>
        <v>3873</v>
      </c>
      <c r="AS305" s="502">
        <f t="shared" ref="AS305:AS306" si="412">(Q$17-$B305)</f>
        <v>5476</v>
      </c>
      <c r="AT305" s="502">
        <f t="shared" ref="AT305:AT306" si="413">(R$17-$B305)</f>
        <v>6022</v>
      </c>
      <c r="AU305" s="502">
        <f t="shared" ref="AU305:AU306" si="414">(S$17-$B305)</f>
        <v>7541</v>
      </c>
      <c r="AV305" s="502">
        <f t="shared" ref="AV305:AV306" si="415">(T$17-$B305)</f>
        <v>9095</v>
      </c>
      <c r="AW305" s="502">
        <f t="shared" ref="AW305:AW306" si="416">(U$17-$B305)</f>
        <v>11790</v>
      </c>
      <c r="AX305" s="502">
        <f t="shared" ref="AX305:AX306" si="417">(V$17-$B305)</f>
        <v>-208</v>
      </c>
      <c r="AY305" s="502">
        <f t="shared" ref="AY305:AY306" si="418">(W$17-$B305)</f>
        <v>471</v>
      </c>
      <c r="AZ305" s="502">
        <f t="shared" ref="AZ305:AZ306" si="419">(X$17-$B305)</f>
        <v>1234</v>
      </c>
      <c r="BA305" s="502">
        <f t="shared" ref="BA305:BA306" si="420">(Y$17-$B305)</f>
        <v>1878</v>
      </c>
      <c r="BB305" s="502">
        <f t="shared" ref="BB305:BB306" si="421">(Z$17-$B305)</f>
        <v>2671</v>
      </c>
      <c r="BC305" s="502">
        <f t="shared" ref="BC305:BC306" si="422">(AA$17-$B305)</f>
        <v>3411</v>
      </c>
      <c r="BD305" s="502">
        <f t="shared" ref="BD305:BD306" si="423">(AB$17-$B305)</f>
        <v>4104</v>
      </c>
      <c r="BE305" s="502">
        <f t="shared" ref="BE305:BE306" si="424">(AC$17-$B305)</f>
        <v>5588</v>
      </c>
      <c r="BF305" s="502">
        <f t="shared" ref="BF305:BF306" si="425">(AD$17-$B305)</f>
        <v>8598</v>
      </c>
      <c r="BG305" s="502">
        <f t="shared" ref="BG305:BG306" si="426">(AE$17-$B305)</f>
        <v>10761</v>
      </c>
      <c r="BH305" s="502">
        <f t="shared" ref="BH305:BH306" si="427">(AF$17-$B305)</f>
        <v>13211</v>
      </c>
      <c r="BI305" s="198">
        <f t="shared" ref="BI305:BI306" si="428">+SUM(V305:AF305)</f>
        <v>0</v>
      </c>
      <c r="BJ305" s="198">
        <f t="shared" ref="BJ305:BJ306" si="429">+SUM(D305:T305)</f>
        <v>1</v>
      </c>
      <c r="BK305" s="198">
        <f t="shared" ref="BK305:BK306" si="430">IFERROR(F305/$BJ305,"")</f>
        <v>0</v>
      </c>
      <c r="BL305" s="198">
        <f t="shared" ref="BL305:BL306" si="431">IFERROR(G305/$BJ305,"")</f>
        <v>0</v>
      </c>
      <c r="BM305" s="198">
        <f t="shared" ref="BM305:BM306" si="432">IFERROR(H305/$BJ305,"")</f>
        <v>0</v>
      </c>
      <c r="BN305" s="198">
        <f t="shared" ref="BN305:BN306" si="433">IFERROR(I305/$BJ305,"")</f>
        <v>0.72767527675276755</v>
      </c>
      <c r="BO305" s="198">
        <f t="shared" ref="BO305:BO306" si="434">IFERROR(J305/$BJ305,"")</f>
        <v>0</v>
      </c>
      <c r="BP305" s="198">
        <f t="shared" ref="BP305:BP306" si="435">IFERROR(K305/$BJ305,"")</f>
        <v>0</v>
      </c>
      <c r="BQ305" s="198">
        <f t="shared" ref="BQ305:BQ306" si="436">IFERROR(L305/$BJ305,"")</f>
        <v>0</v>
      </c>
      <c r="BR305" s="198">
        <f t="shared" ref="BR305:BR306" si="437">IFERROR(M305/$BJ305,"")</f>
        <v>0</v>
      </c>
      <c r="BS305" s="198">
        <f t="shared" ref="BS305:BS306" si="438">IFERROR(N305/$BJ305,"")</f>
        <v>0</v>
      </c>
      <c r="BT305" s="198">
        <f t="shared" ref="BT305:BT306" si="439">IFERROR(O305/$BJ305,"")</f>
        <v>0</v>
      </c>
      <c r="BU305" s="198">
        <f t="shared" ref="BU305:BU306" si="440">IFERROR(P305/$BJ305,"")</f>
        <v>0</v>
      </c>
      <c r="BV305" s="198">
        <f t="shared" ref="BV305:BV306" si="441">IFERROR(Q305/$BJ305,"")</f>
        <v>0.27232472324723245</v>
      </c>
      <c r="BW305" s="198">
        <f t="shared" ref="BW305:BW306" si="442">IFERROR(R305/$BJ305,"")</f>
        <v>0</v>
      </c>
      <c r="BX305" s="198">
        <f t="shared" ref="BX305:BX306" si="443">IFERROR(S305/$BJ305,"")</f>
        <v>0</v>
      </c>
      <c r="BY305" s="198">
        <f t="shared" ref="BY305:BY306" si="444">IFERROR(T305/$BJ305,"")</f>
        <v>0</v>
      </c>
      <c r="BZ305" s="198">
        <f t="shared" ref="BZ305:BZ306" si="445">IFERROR(U305/$BJ305,"")</f>
        <v>0</v>
      </c>
      <c r="CA305" s="198" t="str">
        <f t="shared" ref="CA305:CA306" si="446">IFERROR(V305/$BI305,"")</f>
        <v/>
      </c>
      <c r="CB305" s="198" t="str">
        <f t="shared" ref="CB305:CB306" si="447">IFERROR(W305/$BI305,"")</f>
        <v/>
      </c>
      <c r="CC305" s="198" t="str">
        <f t="shared" ref="CC305:CC306" si="448">IFERROR(X305/$BI305,"")</f>
        <v/>
      </c>
      <c r="CD305" s="198" t="str">
        <f t="shared" ref="CD305:CD306" si="449">IFERROR(Y305/$BI305,"")</f>
        <v/>
      </c>
      <c r="CE305" s="198" t="str">
        <f t="shared" ref="CE305:CE306" si="450">IFERROR(Z305/$BI305,"")</f>
        <v/>
      </c>
      <c r="CF305" s="198" t="str">
        <f t="shared" ref="CF305:CF306" si="451">IFERROR(AA305/$BI305,"")</f>
        <v/>
      </c>
      <c r="CG305" s="198" t="str">
        <f t="shared" ref="CG305:CG306" si="452">IFERROR(AB305/$BI305,"")</f>
        <v/>
      </c>
      <c r="CH305" s="198" t="str">
        <f t="shared" ref="CH305:CH306" si="453">IFERROR(AC305/$BI305,"")</f>
        <v/>
      </c>
      <c r="CI305" s="198" t="str">
        <f t="shared" ref="CI305:CI306" si="454">IFERROR(AD305/$BI305,"")</f>
        <v/>
      </c>
      <c r="CJ305" s="198" t="str">
        <f t="shared" ref="CJ305:CJ306" si="455">IFERROR(AE305/$BI305,"")</f>
        <v/>
      </c>
      <c r="CK305" s="198" t="str">
        <f t="shared" ref="CK305:CK306" si="456">IFERROR(AF305/$BI305,"")</f>
        <v/>
      </c>
      <c r="CL305" s="503">
        <f t="shared" ref="CL305:CL306" si="457">ROUND(IFERROR((_xlfn.DAYS($F$17,B305)*BK305),0)+IFERROR((_xlfn.DAYS($G$17,B305)*BL305),0)+IFERROR((_xlfn.DAYS($H$17,B305)*BM305),0)+IFERROR((_xlfn.DAYS($I$17,B305)*BN305),0)+IFERROR((_xlfn.DAYS($J$17,B305)*BO305),0)+IFERROR((_xlfn.DAYS($K$17,B305)*BP305),0)+IFERROR((_xlfn.DAYS($L$17,B305)*BQ305),0)+IFERROR((_xlfn.DAYS($M$17,B305)*BR305),0)+IFERROR((_xlfn.DAYS($N$17,B305)*BS305),0)+IFERROR((_xlfn.DAYS($P$17,B305)*BU305),0)+IFERROR((_xlfn.DAYS($Q$17,B305)*BV305),0)+IFERROR((_xlfn.DAYS($R$17,B305)*BW305),0)+IFERROR((_xlfn.DAYS($S$17,B305)*BX305),0)+IFERROR((_xlfn.DAYS($T$17,B305)*BY305),0)+IFERROR((_xlfn.DAYS($T$17,B305)*BZ305),0)+IFERROR((_xlfn.DAYS($T$17,B305)*BT305),0),0)</f>
        <v>2481</v>
      </c>
      <c r="CM305" s="503">
        <f t="shared" ref="CM305:CM306" si="458">ROUND(IFERROR((_xlfn.DAYS($V$17,B305)*CA305),0)+IFERROR((_xlfn.DAYS($Z$17,B305)*CB305),0)+IFERROR((_xlfn.DAYS($W$17,B305)*CC305),0)+IFERROR((_xlfn.DAYS($X$17,B305)*CE305),0)+IFERROR((_xlfn.DAYS($AA$17,B305)*CF305),0)+IFERROR((_xlfn.DAYS($AB$17,B305)*CG305),0)+IFERROR((_xlfn.DAYS($AC$17,B305)*CH305),0)+IFERROR((_xlfn.DAYS($AD$17,B305)*CI305),0)+IFERROR((_xlfn.DAYS($AE$17,B305)*CJ305),0)+IFERROR((_xlfn.DAYS($AE$17,B305)*CD305),0)+IFERROR((_xlfn.DAYS($AE$17,B305)*CK305),0),0)</f>
        <v>0</v>
      </c>
      <c r="CO305" s="265">
        <v>9.4869999999999996E-2</v>
      </c>
      <c r="CP305" s="265">
        <v>0.10632999999999999</v>
      </c>
      <c r="CQ305" s="265">
        <v>0.11269999999999999</v>
      </c>
      <c r="CR305" s="265">
        <v>0.12050000000000001</v>
      </c>
      <c r="CS305" s="265">
        <v>0.12210000000000001</v>
      </c>
      <c r="CT305" s="265">
        <v>0.12291000000000001</v>
      </c>
      <c r="CU305" s="265">
        <v>0.12470000000000001</v>
      </c>
      <c r="CV305" s="265">
        <v>0.12483000000000001</v>
      </c>
      <c r="CW305" s="265">
        <v>0.12428</v>
      </c>
      <c r="CX305" s="265">
        <v>0.12765000000000001</v>
      </c>
      <c r="CY305" s="265">
        <v>0.12551000000000001</v>
      </c>
      <c r="CZ305" s="265">
        <v>0.12869999999999998</v>
      </c>
      <c r="DA305" s="265">
        <v>0.12689</v>
      </c>
      <c r="DB305" s="265">
        <v>0.12875</v>
      </c>
      <c r="DC305" s="265">
        <v>0.12560000000000002</v>
      </c>
      <c r="DD305" s="265">
        <v>0.12912999999999999</v>
      </c>
      <c r="DE305" s="265">
        <v>5.466E-2</v>
      </c>
      <c r="DF305" s="265">
        <v>6.0999999999999999E-2</v>
      </c>
      <c r="DH305" s="265">
        <v>6.4199999999999993E-2</v>
      </c>
      <c r="DI305" s="265">
        <v>6.3E-2</v>
      </c>
      <c r="DJ305" s="265">
        <v>6.4000000000000001E-2</v>
      </c>
      <c r="DK305" s="265">
        <v>6.3E-2</v>
      </c>
      <c r="DL305" s="265">
        <v>6.2149999999999997E-2</v>
      </c>
      <c r="DM305" s="265">
        <v>6.1890000000000001E-2</v>
      </c>
      <c r="DN305" s="265">
        <v>6.3E-2</v>
      </c>
      <c r="DO305" s="503">
        <f t="shared" ref="DO305:DO306" si="459">+INDEX(AH305:AW305,MATCH(CL305,AH305:AW305,1))</f>
        <v>2403</v>
      </c>
      <c r="DP305" s="503" cm="1">
        <f t="array" ref="DP305">+INDEX(AH305:AW305,MATCH(DO305,AH305:AW305,1)+1)</f>
        <v>2627</v>
      </c>
      <c r="DQ305" s="504">
        <f t="shared" ref="DQ305:DQ306" si="460">+INDEX(CO305:DD305,MATCH(DO305,AH305:AV305,1))</f>
        <v>0.12470000000000001</v>
      </c>
      <c r="DR305" s="205">
        <f t="shared" ref="DR305:DR306" si="461">+INDEX(CO305:DD305,MATCH(DP305,AH305:AV305,1))</f>
        <v>0.12483000000000001</v>
      </c>
      <c r="DS305" s="205">
        <f t="shared" ref="DS305:DS306" si="462">ROUND(DQ305+((CL305-DO305)/(DP305-DO305))*(DR305-DQ305),6)</f>
        <v>0.12474499999999999</v>
      </c>
      <c r="DT305" s="505">
        <f t="shared" ref="DT305:DT306" si="463">+INDEX(AX305:BH305,MATCH(CM305,AX305:BH305,1))</f>
        <v>-208</v>
      </c>
      <c r="DU305" s="505" t="e" cm="1">
        <f t="array" ref="DU305">+INDEX(AY305:BH305,MATCH(DT305,AY305:BH305,1)+1)</f>
        <v>#N/A</v>
      </c>
      <c r="DV305" s="205" t="e">
        <f t="shared" ref="DV305:DV306" si="464">+INDEX(DE305:DN305,MATCH(DT305,AY305:BH305,1))</f>
        <v>#N/A</v>
      </c>
      <c r="DW305" s="205" t="e">
        <f t="shared" ref="DW305:DW306" si="465">+INDEX(DE305:DM305,MATCH(DU305,AX305:BG305,1))</f>
        <v>#N/A</v>
      </c>
      <c r="DX305" s="205" t="e">
        <f t="shared" ref="DX305:DX306" si="466">ROUND(DV305+((CM305-DT305)/(DU305-DT305))*(DW305-DV305),5)</f>
        <v>#N/A</v>
      </c>
      <c r="DY305" s="205">
        <f t="shared" si="341"/>
        <v>5.28E-2</v>
      </c>
      <c r="DZ305" s="205" t="e">
        <f t="shared" ref="DZ305:DZ306" si="467">+(1+DX305)*(1+DY305)-1</f>
        <v>#N/A</v>
      </c>
      <c r="EA305" s="205">
        <f t="shared" ref="EA305:EA306" si="468">IFERROR(BJ305*DS305,0)+IFERROR(BI305*DZ305,0)</f>
        <v>0.12474499999999999</v>
      </c>
    </row>
    <row r="306" spans="2:131">
      <c r="B306" s="272">
        <v>45993</v>
      </c>
      <c r="C306" s="271">
        <f t="shared" si="386"/>
        <v>45993</v>
      </c>
      <c r="D306" s="263">
        <f>+SUMIFS(Tabla6[Nominal COP],Tabla6[Concepto],COSTO_OPORTUNIDAD!$B$18,Tabla6[Nemotécnico],COSTO_OPORTUNIDAD!D$16,Tabla6[Fecha Cumplimiento y/ liquidacion],COSTO_OPORTUNIDAD!$C306)/+SUMIFS(Tabla6[Nominal COP],Tabla6[Concepto],COSTO_OPORTUNIDAD!$B$18,Tabla6[Fecha Cumplimiento y/ liquidacion],COSTO_OPORTUNIDAD!$C306)</f>
        <v>0</v>
      </c>
      <c r="E306" s="263">
        <f>+SUMIFS(Tabla6[Nominal COP],Tabla6[Concepto],COSTO_OPORTUNIDAD!$B$18,Tabla6[Nemotécnico],COSTO_OPORTUNIDAD!E$16,Tabla6[Fecha Cumplimiento y/ liquidacion],COSTO_OPORTUNIDAD!$C306)/+SUMIFS(Tabla6[Nominal COP],Tabla6[Concepto],COSTO_OPORTUNIDAD!$B$18,Tabla6[Fecha Cumplimiento y/ liquidacion],COSTO_OPORTUNIDAD!$C306)</f>
        <v>0</v>
      </c>
      <c r="F306" s="263">
        <f>+SUMIFS(Tabla6[Nominal COP],Tabla6[Concepto],COSTO_OPORTUNIDAD!$B$18,Tabla6[Nemotécnico],COSTO_OPORTUNIDAD!F$16,Tabla6[Fecha Cumplimiento y/ liquidacion],COSTO_OPORTUNIDAD!$C306)/+SUMIFS(Tabla6[Nominal COP],Tabla6[Concepto],COSTO_OPORTUNIDAD!$B$18,Tabla6[Fecha Cumplimiento y/ liquidacion],COSTO_OPORTUNIDAD!$C306)</f>
        <v>0</v>
      </c>
      <c r="G306" s="263">
        <f>+SUMIFS(Tabla6[Nominal COP],Tabla6[Concepto],COSTO_OPORTUNIDAD!$B$18,Tabla6[Nemotécnico],COSTO_OPORTUNIDAD!G$16,Tabla6[Fecha Cumplimiento y/ liquidacion],COSTO_OPORTUNIDAD!$C306)/+SUMIFS(Tabla6[Nominal COP],Tabla6[Concepto],COSTO_OPORTUNIDAD!$B$18,Tabla6[Fecha Cumplimiento y/ liquidacion],COSTO_OPORTUNIDAD!$C306)</f>
        <v>0</v>
      </c>
      <c r="H306" s="263">
        <f>+SUMIFS(Tabla6[Nominal COP],Tabla6[Concepto],COSTO_OPORTUNIDAD!$B$18,Tabla6[Nemotécnico],COSTO_OPORTUNIDAD!H$16,Tabla6[Fecha Cumplimiento y/ liquidacion],COSTO_OPORTUNIDAD!$C306)/+SUMIFS(Tabla6[Nominal COP],Tabla6[Concepto],COSTO_OPORTUNIDAD!$B$18,Tabla6[Fecha Cumplimiento y/ liquidacion],COSTO_OPORTUNIDAD!$C306)</f>
        <v>0</v>
      </c>
      <c r="I306" s="263">
        <f>+SUMIFS(Tabla6[Nominal COP],Tabla6[Concepto],COSTO_OPORTUNIDAD!$B$18,Tabla6[Nemotécnico],COSTO_OPORTUNIDAD!I$16,Tabla6[Fecha Cumplimiento y/ liquidacion],COSTO_OPORTUNIDAD!$C306)/+SUMIFS(Tabla6[Nominal COP],Tabla6[Concepto],COSTO_OPORTUNIDAD!$B$18,Tabla6[Fecha Cumplimiento y/ liquidacion],COSTO_OPORTUNIDAD!$C306)</f>
        <v>1</v>
      </c>
      <c r="J306" s="263">
        <f>+SUMIFS(Tabla6[Nominal COP],Tabla6[Concepto],COSTO_OPORTUNIDAD!$B$18,Tabla6[Nemotécnico],COSTO_OPORTUNIDAD!J$16,Tabla6[Fecha Cumplimiento y/ liquidacion],COSTO_OPORTUNIDAD!$C306)/+SUMIFS(Tabla6[Nominal COP],Tabla6[Concepto],COSTO_OPORTUNIDAD!$B$18,Tabla6[Fecha Cumplimiento y/ liquidacion],COSTO_OPORTUNIDAD!$C306)</f>
        <v>0</v>
      </c>
      <c r="K306" s="263">
        <f>+SUMIFS(Tabla6[Nominal COP],Tabla6[Concepto],COSTO_OPORTUNIDAD!$B$18,Tabla6[Nemotécnico],COSTO_OPORTUNIDAD!K$16,Tabla6[Fecha Cumplimiento y/ liquidacion],COSTO_OPORTUNIDAD!$C306)/+SUMIFS(Tabla6[Nominal COP],Tabla6[Concepto],COSTO_OPORTUNIDAD!$B$18,Tabla6[Fecha Cumplimiento y/ liquidacion],COSTO_OPORTUNIDAD!$C306)</f>
        <v>0</v>
      </c>
      <c r="L306" s="263">
        <f>+SUMIFS(Tabla6[Nominal COP],Tabla6[Concepto],COSTO_OPORTUNIDAD!$B$18,Tabla6[Nemotécnico],COSTO_OPORTUNIDAD!L$16,Tabla6[Fecha Cumplimiento y/ liquidacion],COSTO_OPORTUNIDAD!$C306)/+SUMIFS(Tabla6[Nominal COP],Tabla6[Concepto],COSTO_OPORTUNIDAD!$B$18,Tabla6[Fecha Cumplimiento y/ liquidacion],COSTO_OPORTUNIDAD!$C306)</f>
        <v>0</v>
      </c>
      <c r="M306" s="263">
        <f>+SUMIFS(Tabla6[Nominal COP],Tabla6[Concepto],COSTO_OPORTUNIDAD!$B$18,Tabla6[Nemotécnico],COSTO_OPORTUNIDAD!M$16,Tabla6[Fecha Cumplimiento y/ liquidacion],COSTO_OPORTUNIDAD!$C306)/+SUMIFS(Tabla6[Nominal COP],Tabla6[Concepto],COSTO_OPORTUNIDAD!$B$18,Tabla6[Fecha Cumplimiento y/ liquidacion],COSTO_OPORTUNIDAD!$C306)</f>
        <v>0</v>
      </c>
      <c r="N306" s="263">
        <f>+SUMIFS(Tabla6[Nominal COP],Tabla6[Concepto],COSTO_OPORTUNIDAD!$B$18,Tabla6[Nemotécnico],COSTO_OPORTUNIDAD!N$16,Tabla6[Fecha Cumplimiento y/ liquidacion],COSTO_OPORTUNIDAD!$C306)/+SUMIFS(Tabla6[Nominal COP],Tabla6[Concepto],COSTO_OPORTUNIDAD!$B$18,Tabla6[Fecha Cumplimiento y/ liquidacion],COSTO_OPORTUNIDAD!$C306)</f>
        <v>0</v>
      </c>
      <c r="O306" s="263">
        <f>+SUMIFS(Tabla6[Nominal COP],Tabla6[Concepto],COSTO_OPORTUNIDAD!$B$18,Tabla6[Nemotécnico],COSTO_OPORTUNIDAD!O$16,Tabla6[Fecha Cumplimiento y/ liquidacion],COSTO_OPORTUNIDAD!$C306)/+SUMIFS(Tabla6[Nominal COP],Tabla6[Concepto],COSTO_OPORTUNIDAD!$B$18,Tabla6[Fecha Cumplimiento y/ liquidacion],COSTO_OPORTUNIDAD!$C306)</f>
        <v>0</v>
      </c>
      <c r="P306" s="263">
        <f>+SUMIFS(Tabla6[Nominal COP],Tabla6[Concepto],COSTO_OPORTUNIDAD!$B$18,Tabla6[Nemotécnico],COSTO_OPORTUNIDAD!P$16,Tabla6[Fecha Cumplimiento y/ liquidacion],COSTO_OPORTUNIDAD!$C306)/+SUMIFS(Tabla6[Nominal COP],Tabla6[Concepto],COSTO_OPORTUNIDAD!$B$18,Tabla6[Fecha Cumplimiento y/ liquidacion],COSTO_OPORTUNIDAD!$C306)</f>
        <v>0</v>
      </c>
      <c r="Q306" s="263">
        <f>+SUMIFS(Tabla6[Nominal COP],Tabla6[Concepto],COSTO_OPORTUNIDAD!$B$18,Tabla6[Nemotécnico],COSTO_OPORTUNIDAD!Q$16,Tabla6[Fecha Cumplimiento y/ liquidacion],COSTO_OPORTUNIDAD!$C306)/+SUMIFS(Tabla6[Nominal COP],Tabla6[Concepto],COSTO_OPORTUNIDAD!$B$18,Tabla6[Fecha Cumplimiento y/ liquidacion],COSTO_OPORTUNIDAD!$C306)</f>
        <v>0</v>
      </c>
      <c r="R306" s="263">
        <f>+SUMIFS(Tabla6[Nominal COP],Tabla6[Concepto],COSTO_OPORTUNIDAD!$B$18,Tabla6[Nemotécnico],COSTO_OPORTUNIDAD!R$16,Tabla6[Fecha Cumplimiento y/ liquidacion],COSTO_OPORTUNIDAD!$C306)/+SUMIFS(Tabla6[Nominal COP],Tabla6[Concepto],COSTO_OPORTUNIDAD!$B$18,Tabla6[Fecha Cumplimiento y/ liquidacion],COSTO_OPORTUNIDAD!$C306)</f>
        <v>0</v>
      </c>
      <c r="S306" s="263">
        <f>+SUMIFS(Tabla6[Nominal COP],Tabla6[Concepto],COSTO_OPORTUNIDAD!$B$18,Tabla6[Nemotécnico],COSTO_OPORTUNIDAD!S$16,Tabla6[Fecha Cumplimiento y/ liquidacion],COSTO_OPORTUNIDAD!$C306)/+SUMIFS(Tabla6[Nominal COP],Tabla6[Concepto],COSTO_OPORTUNIDAD!$B$18,Tabla6[Fecha Cumplimiento y/ liquidacion],COSTO_OPORTUNIDAD!$C306)</f>
        <v>0</v>
      </c>
      <c r="T306" s="263">
        <f>+SUMIFS(Tabla6[Nominal COP],Tabla6[Concepto],COSTO_OPORTUNIDAD!$B$18,Tabla6[Nemotécnico],COSTO_OPORTUNIDAD!T$16,Tabla6[Fecha Cumplimiento y/ liquidacion],COSTO_OPORTUNIDAD!$C306)/+SUMIFS(Tabla6[Nominal COP],Tabla6[Concepto],COSTO_OPORTUNIDAD!$B$18,Tabla6[Fecha Cumplimiento y/ liquidacion],COSTO_OPORTUNIDAD!$C306)</f>
        <v>0</v>
      </c>
      <c r="U306" s="263">
        <f>+SUMIFS(Tabla6[Nominal COP],Tabla6[Concepto],COSTO_OPORTUNIDAD!$B$18,Tabla6[Nemotécnico],COSTO_OPORTUNIDAD!U$16,Tabla6[Fecha Cumplimiento y/ liquidacion],COSTO_OPORTUNIDAD!$C306)/+SUMIFS(Tabla6[Nominal COP],Tabla6[Concepto],COSTO_OPORTUNIDAD!$B$18,Tabla6[Fecha Cumplimiento y/ liquidacion],COSTO_OPORTUNIDAD!$C306)</f>
        <v>0</v>
      </c>
      <c r="V306" s="263">
        <f>+SUMIFS(Tabla6[Nominal COP],Tabla6[Concepto],COSTO_OPORTUNIDAD!$B$18,Tabla6[Nemotécnico],COSTO_OPORTUNIDAD!V$16,Tabla6[Fecha Cumplimiento y/ liquidacion],COSTO_OPORTUNIDAD!$C306)/+SUMIFS(Tabla6[Nominal COP],Tabla6[Concepto],COSTO_OPORTUNIDAD!$B$18,Tabla6[Fecha Cumplimiento y/ liquidacion],COSTO_OPORTUNIDAD!$C306)</f>
        <v>0</v>
      </c>
      <c r="W306" s="263">
        <f>+SUMIFS(Tabla6[Nominal COP],Tabla6[Concepto],COSTO_OPORTUNIDAD!$B$18,Tabla6[Nemotécnico],COSTO_OPORTUNIDAD!W$16,Tabla6[Fecha Cumplimiento y/ liquidacion],COSTO_OPORTUNIDAD!$C306)/+SUMIFS(Tabla6[Nominal COP],Tabla6[Concepto],COSTO_OPORTUNIDAD!$B$18,Tabla6[Fecha Cumplimiento y/ liquidacion],COSTO_OPORTUNIDAD!$C306)</f>
        <v>0</v>
      </c>
      <c r="X306" s="263">
        <f>+SUMIFS(Tabla6[Nominal COP],Tabla6[Concepto],COSTO_OPORTUNIDAD!$B$18,Tabla6[Nemotécnico],COSTO_OPORTUNIDAD!X$16,Tabla6[Fecha Cumplimiento y/ liquidacion],COSTO_OPORTUNIDAD!$C306)/+SUMIFS(Tabla6[Nominal COP],Tabla6[Concepto],COSTO_OPORTUNIDAD!$B$18,Tabla6[Fecha Cumplimiento y/ liquidacion],COSTO_OPORTUNIDAD!$C306)</f>
        <v>0</v>
      </c>
      <c r="Y306" s="263">
        <f>+SUMIFS(Tabla6[Nominal COP],Tabla6[Concepto],COSTO_OPORTUNIDAD!$B$18,Tabla6[Nemotécnico],COSTO_OPORTUNIDAD!Y$16,Tabla6[Fecha Cumplimiento y/ liquidacion],COSTO_OPORTUNIDAD!$C306)/+SUMIFS(Tabla6[Nominal COP],Tabla6[Concepto],COSTO_OPORTUNIDAD!$B$18,Tabla6[Fecha Cumplimiento y/ liquidacion],COSTO_OPORTUNIDAD!$C306)</f>
        <v>0</v>
      </c>
      <c r="Z306" s="263">
        <f>+SUMIFS(Tabla6[Nominal COP],Tabla6[Concepto],COSTO_OPORTUNIDAD!$B$18,Tabla6[Nemotécnico],COSTO_OPORTUNIDAD!Z$16,Tabla6[Fecha Cumplimiento y/ liquidacion],COSTO_OPORTUNIDAD!$C306)/+SUMIFS(Tabla6[Nominal COP],Tabla6[Concepto],COSTO_OPORTUNIDAD!$B$18,Tabla6[Fecha Cumplimiento y/ liquidacion],COSTO_OPORTUNIDAD!$C306)</f>
        <v>0</v>
      </c>
      <c r="AA306" s="263">
        <f>+SUMIFS(Tabla6[Nominal COP],Tabla6[Concepto],COSTO_OPORTUNIDAD!$B$18,Tabla6[Nemotécnico],COSTO_OPORTUNIDAD!AA$16,Tabla6[Fecha Cumplimiento y/ liquidacion],COSTO_OPORTUNIDAD!$C306)/+SUMIFS(Tabla6[Nominal COP],Tabla6[Concepto],COSTO_OPORTUNIDAD!$B$18,Tabla6[Fecha Cumplimiento y/ liquidacion],COSTO_OPORTUNIDAD!$C306)</f>
        <v>0</v>
      </c>
      <c r="AB306" s="263">
        <f>+SUMIFS(Tabla6[Nominal COP],Tabla6[Concepto],COSTO_OPORTUNIDAD!$B$18,Tabla6[Nemotécnico],COSTO_OPORTUNIDAD!AB$16,Tabla6[Fecha Cumplimiento y/ liquidacion],COSTO_OPORTUNIDAD!$C306)/+SUMIFS(Tabla6[Nominal COP],Tabla6[Concepto],COSTO_OPORTUNIDAD!$B$18,Tabla6[Fecha Cumplimiento y/ liquidacion],COSTO_OPORTUNIDAD!$C306)</f>
        <v>0</v>
      </c>
      <c r="AC306" s="263">
        <f>+SUMIFS(Tabla6[Nominal COP],Tabla6[Concepto],COSTO_OPORTUNIDAD!$B$18,Tabla6[Nemotécnico],COSTO_OPORTUNIDAD!AC$16,Tabla6[Fecha Cumplimiento y/ liquidacion],COSTO_OPORTUNIDAD!$C306)/+SUMIFS(Tabla6[Nominal COP],Tabla6[Concepto],COSTO_OPORTUNIDAD!$B$18,Tabla6[Fecha Cumplimiento y/ liquidacion],COSTO_OPORTUNIDAD!$C306)</f>
        <v>0</v>
      </c>
      <c r="AD306" s="263">
        <f>+SUMIFS(Tabla6[Nominal COP],Tabla6[Concepto],COSTO_OPORTUNIDAD!$B$18,Tabla6[Nemotécnico],COSTO_OPORTUNIDAD!AC$16,Tabla6[Fecha Cumplimiento y/ liquidacion],COSTO_OPORTUNIDAD!$C306)/+SUMIFS(Tabla6[Nominal COP],Tabla6[Concepto],COSTO_OPORTUNIDAD!$B$18,Tabla6[Fecha Cumplimiento y/ liquidacion],COSTO_OPORTUNIDAD!$C306)</f>
        <v>0</v>
      </c>
      <c r="AE306" s="263">
        <f>+SUMIFS(Tabla6[Nominal COP],Tabla6[Concepto],COSTO_OPORTUNIDAD!$B$18,Tabla6[Nemotécnico],COSTO_OPORTUNIDAD!AE$16,Tabla6[Fecha Cumplimiento y/ liquidacion],COSTO_OPORTUNIDAD!$C306)/+SUMIFS(Tabla6[Nominal COP],Tabla6[Concepto],COSTO_OPORTUNIDAD!$B$18,Tabla6[Fecha Cumplimiento y/ liquidacion],COSTO_OPORTUNIDAD!$C306)</f>
        <v>0</v>
      </c>
      <c r="AF306" s="263">
        <f>+SUMIFS(Tabla6[Nominal COP],Tabla6[Concepto],COSTO_OPORTUNIDAD!$B$18,Tabla6[Nemotécnico],COSTO_OPORTUNIDAD!AF$16,Tabla6[Fecha Cumplimiento y/ liquidacion],COSTO_OPORTUNIDAD!$C306)/+SUMIFS(Tabla6[Nominal COP],Tabla6[Concepto],COSTO_OPORTUNIDAD!$B$18,Tabla6[Fecha Cumplimiento y/ liquidacion],COSTO_OPORTUNIDAD!$C306)</f>
        <v>0</v>
      </c>
      <c r="AH306" s="502">
        <f t="shared" si="401"/>
        <v>91</v>
      </c>
      <c r="AI306" s="502">
        <f t="shared" si="402"/>
        <v>701</v>
      </c>
      <c r="AJ306" s="502">
        <f t="shared" si="403"/>
        <v>878</v>
      </c>
      <c r="AK306" s="502">
        <f t="shared" si="404"/>
        <v>1359</v>
      </c>
      <c r="AL306" s="502">
        <f t="shared" si="405"/>
        <v>1751</v>
      </c>
      <c r="AM306" s="502">
        <f t="shared" si="406"/>
        <v>1940</v>
      </c>
      <c r="AN306" s="502">
        <f t="shared" si="407"/>
        <v>2402</v>
      </c>
      <c r="AO306" s="502">
        <f t="shared" si="408"/>
        <v>2626</v>
      </c>
      <c r="AP306" s="502">
        <f t="shared" si="409"/>
        <v>3242</v>
      </c>
      <c r="AQ306" s="502">
        <f t="shared" si="410"/>
        <v>3320</v>
      </c>
      <c r="AR306" s="502">
        <f t="shared" si="411"/>
        <v>3872</v>
      </c>
      <c r="AS306" s="502">
        <f t="shared" si="412"/>
        <v>5475</v>
      </c>
      <c r="AT306" s="502">
        <f t="shared" si="413"/>
        <v>6021</v>
      </c>
      <c r="AU306" s="502">
        <f t="shared" si="414"/>
        <v>7540</v>
      </c>
      <c r="AV306" s="502">
        <f t="shared" si="415"/>
        <v>9094</v>
      </c>
      <c r="AW306" s="502">
        <f t="shared" si="416"/>
        <v>11789</v>
      </c>
      <c r="AX306" s="502">
        <f t="shared" si="417"/>
        <v>-209</v>
      </c>
      <c r="AY306" s="502">
        <f t="shared" si="418"/>
        <v>470</v>
      </c>
      <c r="AZ306" s="502">
        <f t="shared" si="419"/>
        <v>1233</v>
      </c>
      <c r="BA306" s="502">
        <f t="shared" si="420"/>
        <v>1877</v>
      </c>
      <c r="BB306" s="502">
        <f t="shared" si="421"/>
        <v>2670</v>
      </c>
      <c r="BC306" s="502">
        <f t="shared" si="422"/>
        <v>3410</v>
      </c>
      <c r="BD306" s="502">
        <f t="shared" si="423"/>
        <v>4103</v>
      </c>
      <c r="BE306" s="502">
        <f t="shared" si="424"/>
        <v>5587</v>
      </c>
      <c r="BF306" s="502">
        <f t="shared" si="425"/>
        <v>8597</v>
      </c>
      <c r="BG306" s="502">
        <f t="shared" si="426"/>
        <v>10760</v>
      </c>
      <c r="BH306" s="502">
        <f t="shared" si="427"/>
        <v>13210</v>
      </c>
      <c r="BI306" s="198">
        <f t="shared" si="428"/>
        <v>0</v>
      </c>
      <c r="BJ306" s="198">
        <f t="shared" si="429"/>
        <v>1</v>
      </c>
      <c r="BK306" s="198">
        <f t="shared" si="430"/>
        <v>0</v>
      </c>
      <c r="BL306" s="198">
        <f t="shared" si="431"/>
        <v>0</v>
      </c>
      <c r="BM306" s="198">
        <f t="shared" si="432"/>
        <v>0</v>
      </c>
      <c r="BN306" s="198">
        <f t="shared" si="433"/>
        <v>1</v>
      </c>
      <c r="BO306" s="198">
        <f t="shared" si="434"/>
        <v>0</v>
      </c>
      <c r="BP306" s="198">
        <f t="shared" si="435"/>
        <v>0</v>
      </c>
      <c r="BQ306" s="198">
        <f t="shared" si="436"/>
        <v>0</v>
      </c>
      <c r="BR306" s="198">
        <f t="shared" si="437"/>
        <v>0</v>
      </c>
      <c r="BS306" s="198">
        <f t="shared" si="438"/>
        <v>0</v>
      </c>
      <c r="BT306" s="198">
        <f t="shared" si="439"/>
        <v>0</v>
      </c>
      <c r="BU306" s="198">
        <f t="shared" si="440"/>
        <v>0</v>
      </c>
      <c r="BV306" s="198">
        <f t="shared" si="441"/>
        <v>0</v>
      </c>
      <c r="BW306" s="198">
        <f t="shared" si="442"/>
        <v>0</v>
      </c>
      <c r="BX306" s="198">
        <f t="shared" si="443"/>
        <v>0</v>
      </c>
      <c r="BY306" s="198">
        <f t="shared" si="444"/>
        <v>0</v>
      </c>
      <c r="BZ306" s="198">
        <f t="shared" si="445"/>
        <v>0</v>
      </c>
      <c r="CA306" s="198" t="str">
        <f t="shared" si="446"/>
        <v/>
      </c>
      <c r="CB306" s="198" t="str">
        <f t="shared" si="447"/>
        <v/>
      </c>
      <c r="CC306" s="198" t="str">
        <f t="shared" si="448"/>
        <v/>
      </c>
      <c r="CD306" s="198" t="str">
        <f t="shared" si="449"/>
        <v/>
      </c>
      <c r="CE306" s="198" t="str">
        <f t="shared" si="450"/>
        <v/>
      </c>
      <c r="CF306" s="198" t="str">
        <f t="shared" si="451"/>
        <v/>
      </c>
      <c r="CG306" s="198" t="str">
        <f t="shared" si="452"/>
        <v/>
      </c>
      <c r="CH306" s="198" t="str">
        <f t="shared" si="453"/>
        <v/>
      </c>
      <c r="CI306" s="198" t="str">
        <f t="shared" si="454"/>
        <v/>
      </c>
      <c r="CJ306" s="198" t="str">
        <f t="shared" si="455"/>
        <v/>
      </c>
      <c r="CK306" s="198" t="str">
        <f t="shared" si="456"/>
        <v/>
      </c>
      <c r="CL306" s="503">
        <f t="shared" si="457"/>
        <v>1359</v>
      </c>
      <c r="CM306" s="503">
        <f t="shared" si="458"/>
        <v>0</v>
      </c>
      <c r="CO306" s="265">
        <v>9.3480000000000008E-2</v>
      </c>
      <c r="CP306" s="265">
        <v>0.10640000000000001</v>
      </c>
      <c r="CQ306" s="265">
        <v>0.11310000000000001</v>
      </c>
      <c r="CR306" s="265">
        <v>0.12092</v>
      </c>
      <c r="CS306" s="265">
        <v>0.12221</v>
      </c>
      <c r="CT306" s="265">
        <v>0.12348000000000001</v>
      </c>
      <c r="CU306" s="265">
        <v>0.12429999999999999</v>
      </c>
      <c r="CV306" s="265">
        <v>0.12539999999999998</v>
      </c>
      <c r="CW306" s="265">
        <v>0.12506</v>
      </c>
      <c r="CX306" s="265">
        <v>0.12725</v>
      </c>
      <c r="CY306" s="265">
        <v>0.12506999999999999</v>
      </c>
      <c r="CZ306" s="265">
        <v>0.12820000000000001</v>
      </c>
      <c r="DA306" s="265">
        <v>0.12626999999999999</v>
      </c>
      <c r="DB306" s="265">
        <v>0.12820999999999999</v>
      </c>
      <c r="DC306" s="265">
        <v>0.125</v>
      </c>
      <c r="DD306" s="265">
        <v>0.12912999999999999</v>
      </c>
      <c r="DE306" s="265">
        <v>5.5389999999999995E-2</v>
      </c>
      <c r="DF306" s="265">
        <v>6.1349999999999995E-2</v>
      </c>
      <c r="DG306" s="265">
        <v>6.5700000000000008E-2</v>
      </c>
      <c r="DH306" s="265">
        <v>6.3799999999999996E-2</v>
      </c>
      <c r="DI306" s="265">
        <v>6.4000000000000001E-2</v>
      </c>
      <c r="DJ306" s="265">
        <v>6.3E-2</v>
      </c>
      <c r="DK306" s="265">
        <v>6.3530000000000003E-2</v>
      </c>
      <c r="DL306" s="265">
        <v>6.1890000000000001E-2</v>
      </c>
      <c r="DM306" s="265">
        <v>6.2800000000000009E-2</v>
      </c>
      <c r="DN306" s="265">
        <v>6.3649999999999998E-2</v>
      </c>
      <c r="DO306" s="503">
        <f t="shared" si="459"/>
        <v>1359</v>
      </c>
      <c r="DP306" s="503" cm="1">
        <f t="array" ref="DP306">+INDEX(AH306:AW306,MATCH(DO306,AH306:AW306,1)+1)</f>
        <v>1751</v>
      </c>
      <c r="DQ306" s="504">
        <f t="shared" si="460"/>
        <v>0.12092</v>
      </c>
      <c r="DR306" s="205">
        <f t="shared" si="461"/>
        <v>0.12221</v>
      </c>
      <c r="DS306" s="205">
        <f t="shared" si="462"/>
        <v>0.12092</v>
      </c>
      <c r="DT306" s="505">
        <f t="shared" si="463"/>
        <v>-209</v>
      </c>
      <c r="DU306" s="505" t="e" cm="1">
        <f t="array" ref="DU306">+INDEX(AY306:BH306,MATCH(DT306,AY306:BH306,1)+1)</f>
        <v>#N/A</v>
      </c>
      <c r="DV306" s="205" t="e">
        <f t="shared" si="464"/>
        <v>#N/A</v>
      </c>
      <c r="DW306" s="205" t="e">
        <f t="shared" si="465"/>
        <v>#N/A</v>
      </c>
      <c r="DX306" s="205" t="e">
        <f t="shared" si="466"/>
        <v>#N/A</v>
      </c>
      <c r="DY306" s="205">
        <f t="shared" si="341"/>
        <v>5.28E-2</v>
      </c>
      <c r="DZ306" s="205" t="e">
        <f t="shared" si="467"/>
        <v>#N/A</v>
      </c>
      <c r="EA306" s="205">
        <f t="shared" si="468"/>
        <v>0.12092</v>
      </c>
    </row>
    <row r="307" spans="2:131">
      <c r="B307" s="272">
        <v>45994</v>
      </c>
      <c r="C307" s="271">
        <f t="shared" ref="C307:C313" si="469">+B307</f>
        <v>45994</v>
      </c>
      <c r="D307" s="263">
        <f>+SUMIFS(Tabla6[Nominal COP],Tabla6[Concepto],COSTO_OPORTUNIDAD!$B$18,Tabla6[Nemotécnico],COSTO_OPORTUNIDAD!D$16,Tabla6[Fecha Cumplimiento y/ liquidacion],COSTO_OPORTUNIDAD!$C307)/+SUMIFS(Tabla6[Nominal COP],Tabla6[Concepto],COSTO_OPORTUNIDAD!$B$18,Tabla6[Fecha Cumplimiento y/ liquidacion],COSTO_OPORTUNIDAD!$C307)</f>
        <v>0</v>
      </c>
      <c r="E307" s="263">
        <f>+SUMIFS(Tabla6[Nominal COP],Tabla6[Concepto],COSTO_OPORTUNIDAD!$B$18,Tabla6[Nemotécnico],COSTO_OPORTUNIDAD!E$16,Tabla6[Fecha Cumplimiento y/ liquidacion],COSTO_OPORTUNIDAD!$C307)/+SUMIFS(Tabla6[Nominal COP],Tabla6[Concepto],COSTO_OPORTUNIDAD!$B$18,Tabla6[Fecha Cumplimiento y/ liquidacion],COSTO_OPORTUNIDAD!$C307)</f>
        <v>0</v>
      </c>
      <c r="F307" s="263">
        <f>+SUMIFS(Tabla6[Nominal COP],Tabla6[Concepto],COSTO_OPORTUNIDAD!$B$18,Tabla6[Nemotécnico],COSTO_OPORTUNIDAD!F$16,Tabla6[Fecha Cumplimiento y/ liquidacion],COSTO_OPORTUNIDAD!$C307)/+SUMIFS(Tabla6[Nominal COP],Tabla6[Concepto],COSTO_OPORTUNIDAD!$B$18,Tabla6[Fecha Cumplimiento y/ liquidacion],COSTO_OPORTUNIDAD!$C307)</f>
        <v>0</v>
      </c>
      <c r="G307" s="263">
        <f>+SUMIFS(Tabla6[Nominal COP],Tabla6[Concepto],COSTO_OPORTUNIDAD!$B$18,Tabla6[Nemotécnico],COSTO_OPORTUNIDAD!G$16,Tabla6[Fecha Cumplimiento y/ liquidacion],COSTO_OPORTUNIDAD!$C307)/+SUMIFS(Tabla6[Nominal COP],Tabla6[Concepto],COSTO_OPORTUNIDAD!$B$18,Tabla6[Fecha Cumplimiento y/ liquidacion],COSTO_OPORTUNIDAD!$C307)</f>
        <v>0</v>
      </c>
      <c r="H307" s="263">
        <f>+SUMIFS(Tabla6[Nominal COP],Tabla6[Concepto],COSTO_OPORTUNIDAD!$B$18,Tabla6[Nemotécnico],COSTO_OPORTUNIDAD!H$16,Tabla6[Fecha Cumplimiento y/ liquidacion],COSTO_OPORTUNIDAD!$C307)/+SUMIFS(Tabla6[Nominal COP],Tabla6[Concepto],COSTO_OPORTUNIDAD!$B$18,Tabla6[Fecha Cumplimiento y/ liquidacion],COSTO_OPORTUNIDAD!$C307)</f>
        <v>0</v>
      </c>
      <c r="I307" s="263">
        <f>+SUMIFS(Tabla6[Nominal COP],Tabla6[Concepto],COSTO_OPORTUNIDAD!$B$18,Tabla6[Nemotécnico],COSTO_OPORTUNIDAD!I$16,Tabla6[Fecha Cumplimiento y/ liquidacion],COSTO_OPORTUNIDAD!$C307)/+SUMIFS(Tabla6[Nominal COP],Tabla6[Concepto],COSTO_OPORTUNIDAD!$B$18,Tabla6[Fecha Cumplimiento y/ liquidacion],COSTO_OPORTUNIDAD!$C307)</f>
        <v>1</v>
      </c>
      <c r="J307" s="263">
        <f>+SUMIFS(Tabla6[Nominal COP],Tabla6[Concepto],COSTO_OPORTUNIDAD!$B$18,Tabla6[Nemotécnico],COSTO_OPORTUNIDAD!J$16,Tabla6[Fecha Cumplimiento y/ liquidacion],COSTO_OPORTUNIDAD!$C307)/+SUMIFS(Tabla6[Nominal COP],Tabla6[Concepto],COSTO_OPORTUNIDAD!$B$18,Tabla6[Fecha Cumplimiento y/ liquidacion],COSTO_OPORTUNIDAD!$C307)</f>
        <v>0</v>
      </c>
      <c r="K307" s="263">
        <f>+SUMIFS(Tabla6[Nominal COP],Tabla6[Concepto],COSTO_OPORTUNIDAD!$B$18,Tabla6[Nemotécnico],COSTO_OPORTUNIDAD!K$16,Tabla6[Fecha Cumplimiento y/ liquidacion],COSTO_OPORTUNIDAD!$C307)/+SUMIFS(Tabla6[Nominal COP],Tabla6[Concepto],COSTO_OPORTUNIDAD!$B$18,Tabla6[Fecha Cumplimiento y/ liquidacion],COSTO_OPORTUNIDAD!$C307)</f>
        <v>0</v>
      </c>
      <c r="L307" s="263">
        <f>+SUMIFS(Tabla6[Nominal COP],Tabla6[Concepto],COSTO_OPORTUNIDAD!$B$18,Tabla6[Nemotécnico],COSTO_OPORTUNIDAD!L$16,Tabla6[Fecha Cumplimiento y/ liquidacion],COSTO_OPORTUNIDAD!$C307)/+SUMIFS(Tabla6[Nominal COP],Tabla6[Concepto],COSTO_OPORTUNIDAD!$B$18,Tabla6[Fecha Cumplimiento y/ liquidacion],COSTO_OPORTUNIDAD!$C307)</f>
        <v>0</v>
      </c>
      <c r="M307" s="263">
        <f>+SUMIFS(Tabla6[Nominal COP],Tabla6[Concepto],COSTO_OPORTUNIDAD!$B$18,Tabla6[Nemotécnico],COSTO_OPORTUNIDAD!M$16,Tabla6[Fecha Cumplimiento y/ liquidacion],COSTO_OPORTUNIDAD!$C307)/+SUMIFS(Tabla6[Nominal COP],Tabla6[Concepto],COSTO_OPORTUNIDAD!$B$18,Tabla6[Fecha Cumplimiento y/ liquidacion],COSTO_OPORTUNIDAD!$C307)</f>
        <v>0</v>
      </c>
      <c r="N307" s="263">
        <f>+SUMIFS(Tabla6[Nominal COP],Tabla6[Concepto],COSTO_OPORTUNIDAD!$B$18,Tabla6[Nemotécnico],COSTO_OPORTUNIDAD!N$16,Tabla6[Fecha Cumplimiento y/ liquidacion],COSTO_OPORTUNIDAD!$C307)/+SUMIFS(Tabla6[Nominal COP],Tabla6[Concepto],COSTO_OPORTUNIDAD!$B$18,Tabla6[Fecha Cumplimiento y/ liquidacion],COSTO_OPORTUNIDAD!$C307)</f>
        <v>0</v>
      </c>
      <c r="O307" s="263">
        <f>+SUMIFS(Tabla6[Nominal COP],Tabla6[Concepto],COSTO_OPORTUNIDAD!$B$18,Tabla6[Nemotécnico],COSTO_OPORTUNIDAD!O$16,Tabla6[Fecha Cumplimiento y/ liquidacion],COSTO_OPORTUNIDAD!$C307)/+SUMIFS(Tabla6[Nominal COP],Tabla6[Concepto],COSTO_OPORTUNIDAD!$B$18,Tabla6[Fecha Cumplimiento y/ liquidacion],COSTO_OPORTUNIDAD!$C307)</f>
        <v>0</v>
      </c>
      <c r="P307" s="263">
        <f>+SUMIFS(Tabla6[Nominal COP],Tabla6[Concepto],COSTO_OPORTUNIDAD!$B$18,Tabla6[Nemotécnico],COSTO_OPORTUNIDAD!P$16,Tabla6[Fecha Cumplimiento y/ liquidacion],COSTO_OPORTUNIDAD!$C307)/+SUMIFS(Tabla6[Nominal COP],Tabla6[Concepto],COSTO_OPORTUNIDAD!$B$18,Tabla6[Fecha Cumplimiento y/ liquidacion],COSTO_OPORTUNIDAD!$C307)</f>
        <v>0</v>
      </c>
      <c r="Q307" s="263">
        <f>+SUMIFS(Tabla6[Nominal COP],Tabla6[Concepto],COSTO_OPORTUNIDAD!$B$18,Tabla6[Nemotécnico],COSTO_OPORTUNIDAD!Q$16,Tabla6[Fecha Cumplimiento y/ liquidacion],COSTO_OPORTUNIDAD!$C307)/+SUMIFS(Tabla6[Nominal COP],Tabla6[Concepto],COSTO_OPORTUNIDAD!$B$18,Tabla6[Fecha Cumplimiento y/ liquidacion],COSTO_OPORTUNIDAD!$C307)</f>
        <v>0</v>
      </c>
      <c r="R307" s="263">
        <f>+SUMIFS(Tabla6[Nominal COP],Tabla6[Concepto],COSTO_OPORTUNIDAD!$B$18,Tabla6[Nemotécnico],COSTO_OPORTUNIDAD!R$16,Tabla6[Fecha Cumplimiento y/ liquidacion],COSTO_OPORTUNIDAD!$C307)/+SUMIFS(Tabla6[Nominal COP],Tabla6[Concepto],COSTO_OPORTUNIDAD!$B$18,Tabla6[Fecha Cumplimiento y/ liquidacion],COSTO_OPORTUNIDAD!$C307)</f>
        <v>0</v>
      </c>
      <c r="S307" s="263">
        <f>+SUMIFS(Tabla6[Nominal COP],Tabla6[Concepto],COSTO_OPORTUNIDAD!$B$18,Tabla6[Nemotécnico],COSTO_OPORTUNIDAD!S$16,Tabla6[Fecha Cumplimiento y/ liquidacion],COSTO_OPORTUNIDAD!$C307)/+SUMIFS(Tabla6[Nominal COP],Tabla6[Concepto],COSTO_OPORTUNIDAD!$B$18,Tabla6[Fecha Cumplimiento y/ liquidacion],COSTO_OPORTUNIDAD!$C307)</f>
        <v>0</v>
      </c>
      <c r="T307" s="263">
        <f>+SUMIFS(Tabla6[Nominal COP],Tabla6[Concepto],COSTO_OPORTUNIDAD!$B$18,Tabla6[Nemotécnico],COSTO_OPORTUNIDAD!T$16,Tabla6[Fecha Cumplimiento y/ liquidacion],COSTO_OPORTUNIDAD!$C307)/+SUMIFS(Tabla6[Nominal COP],Tabla6[Concepto],COSTO_OPORTUNIDAD!$B$18,Tabla6[Fecha Cumplimiento y/ liquidacion],COSTO_OPORTUNIDAD!$C307)</f>
        <v>0</v>
      </c>
      <c r="U307" s="263">
        <f>+SUMIFS(Tabla6[Nominal COP],Tabla6[Concepto],COSTO_OPORTUNIDAD!$B$18,Tabla6[Nemotécnico],COSTO_OPORTUNIDAD!U$16,Tabla6[Fecha Cumplimiento y/ liquidacion],COSTO_OPORTUNIDAD!$C307)/+SUMIFS(Tabla6[Nominal COP],Tabla6[Concepto],COSTO_OPORTUNIDAD!$B$18,Tabla6[Fecha Cumplimiento y/ liquidacion],COSTO_OPORTUNIDAD!$C307)</f>
        <v>0</v>
      </c>
      <c r="V307" s="263">
        <f>+SUMIFS(Tabla6[Nominal COP],Tabla6[Concepto],COSTO_OPORTUNIDAD!$B$18,Tabla6[Nemotécnico],COSTO_OPORTUNIDAD!V$16,Tabla6[Fecha Cumplimiento y/ liquidacion],COSTO_OPORTUNIDAD!$C307)/+SUMIFS(Tabla6[Nominal COP],Tabla6[Concepto],COSTO_OPORTUNIDAD!$B$18,Tabla6[Fecha Cumplimiento y/ liquidacion],COSTO_OPORTUNIDAD!$C307)</f>
        <v>0</v>
      </c>
      <c r="W307" s="263">
        <f>+SUMIFS(Tabla6[Nominal COP],Tabla6[Concepto],COSTO_OPORTUNIDAD!$B$18,Tabla6[Nemotécnico],COSTO_OPORTUNIDAD!W$16,Tabla6[Fecha Cumplimiento y/ liquidacion],COSTO_OPORTUNIDAD!$C307)/+SUMIFS(Tabla6[Nominal COP],Tabla6[Concepto],COSTO_OPORTUNIDAD!$B$18,Tabla6[Fecha Cumplimiento y/ liquidacion],COSTO_OPORTUNIDAD!$C307)</f>
        <v>0</v>
      </c>
      <c r="X307" s="263">
        <f>+SUMIFS(Tabla6[Nominal COP],Tabla6[Concepto],COSTO_OPORTUNIDAD!$B$18,Tabla6[Nemotécnico],COSTO_OPORTUNIDAD!X$16,Tabla6[Fecha Cumplimiento y/ liquidacion],COSTO_OPORTUNIDAD!$C307)/+SUMIFS(Tabla6[Nominal COP],Tabla6[Concepto],COSTO_OPORTUNIDAD!$B$18,Tabla6[Fecha Cumplimiento y/ liquidacion],COSTO_OPORTUNIDAD!$C307)</f>
        <v>0</v>
      </c>
      <c r="Y307" s="263">
        <f>+SUMIFS(Tabla6[Nominal COP],Tabla6[Concepto],COSTO_OPORTUNIDAD!$B$18,Tabla6[Nemotécnico],COSTO_OPORTUNIDAD!Y$16,Tabla6[Fecha Cumplimiento y/ liquidacion],COSTO_OPORTUNIDAD!$C307)/+SUMIFS(Tabla6[Nominal COP],Tabla6[Concepto],COSTO_OPORTUNIDAD!$B$18,Tabla6[Fecha Cumplimiento y/ liquidacion],COSTO_OPORTUNIDAD!$C307)</f>
        <v>0</v>
      </c>
      <c r="Z307" s="263">
        <f>+SUMIFS(Tabla6[Nominal COP],Tabla6[Concepto],COSTO_OPORTUNIDAD!$B$18,Tabla6[Nemotécnico],COSTO_OPORTUNIDAD!Z$16,Tabla6[Fecha Cumplimiento y/ liquidacion],COSTO_OPORTUNIDAD!$C307)/+SUMIFS(Tabla6[Nominal COP],Tabla6[Concepto],COSTO_OPORTUNIDAD!$B$18,Tabla6[Fecha Cumplimiento y/ liquidacion],COSTO_OPORTUNIDAD!$C307)</f>
        <v>0</v>
      </c>
      <c r="AA307" s="263">
        <f>+SUMIFS(Tabla6[Nominal COP],Tabla6[Concepto],COSTO_OPORTUNIDAD!$B$18,Tabla6[Nemotécnico],COSTO_OPORTUNIDAD!AA$16,Tabla6[Fecha Cumplimiento y/ liquidacion],COSTO_OPORTUNIDAD!$C307)/+SUMIFS(Tabla6[Nominal COP],Tabla6[Concepto],COSTO_OPORTUNIDAD!$B$18,Tabla6[Fecha Cumplimiento y/ liquidacion],COSTO_OPORTUNIDAD!$C307)</f>
        <v>0</v>
      </c>
      <c r="AB307" s="263">
        <f>+SUMIFS(Tabla6[Nominal COP],Tabla6[Concepto],COSTO_OPORTUNIDAD!$B$18,Tabla6[Nemotécnico],COSTO_OPORTUNIDAD!AB$16,Tabla6[Fecha Cumplimiento y/ liquidacion],COSTO_OPORTUNIDAD!$C307)/+SUMIFS(Tabla6[Nominal COP],Tabla6[Concepto],COSTO_OPORTUNIDAD!$B$18,Tabla6[Fecha Cumplimiento y/ liquidacion],COSTO_OPORTUNIDAD!$C307)</f>
        <v>0</v>
      </c>
      <c r="AC307" s="263">
        <f>+SUMIFS(Tabla6[Nominal COP],Tabla6[Concepto],COSTO_OPORTUNIDAD!$B$18,Tabla6[Nemotécnico],COSTO_OPORTUNIDAD!AC$16,Tabla6[Fecha Cumplimiento y/ liquidacion],COSTO_OPORTUNIDAD!$C307)/+SUMIFS(Tabla6[Nominal COP],Tabla6[Concepto],COSTO_OPORTUNIDAD!$B$18,Tabla6[Fecha Cumplimiento y/ liquidacion],COSTO_OPORTUNIDAD!$C307)</f>
        <v>0</v>
      </c>
      <c r="AD307" s="263">
        <f>+SUMIFS(Tabla6[Nominal COP],Tabla6[Concepto],COSTO_OPORTUNIDAD!$B$18,Tabla6[Nemotécnico],COSTO_OPORTUNIDAD!AC$16,Tabla6[Fecha Cumplimiento y/ liquidacion],COSTO_OPORTUNIDAD!$C307)/+SUMIFS(Tabla6[Nominal COP],Tabla6[Concepto],COSTO_OPORTUNIDAD!$B$18,Tabla6[Fecha Cumplimiento y/ liquidacion],COSTO_OPORTUNIDAD!$C307)</f>
        <v>0</v>
      </c>
      <c r="AE307" s="263">
        <f>+SUMIFS(Tabla6[Nominal COP],Tabla6[Concepto],COSTO_OPORTUNIDAD!$B$18,Tabla6[Nemotécnico],COSTO_OPORTUNIDAD!AE$16,Tabla6[Fecha Cumplimiento y/ liquidacion],COSTO_OPORTUNIDAD!$C307)/+SUMIFS(Tabla6[Nominal COP],Tabla6[Concepto],COSTO_OPORTUNIDAD!$B$18,Tabla6[Fecha Cumplimiento y/ liquidacion],COSTO_OPORTUNIDAD!$C307)</f>
        <v>0</v>
      </c>
      <c r="AF307" s="263">
        <f>+SUMIFS(Tabla6[Nominal COP],Tabla6[Concepto],COSTO_OPORTUNIDAD!$B$18,Tabla6[Nemotécnico],COSTO_OPORTUNIDAD!AF$16,Tabla6[Fecha Cumplimiento y/ liquidacion],COSTO_OPORTUNIDAD!$C307)/+SUMIFS(Tabla6[Nominal COP],Tabla6[Concepto],COSTO_OPORTUNIDAD!$B$18,Tabla6[Fecha Cumplimiento y/ liquidacion],COSTO_OPORTUNIDAD!$C307)</f>
        <v>0</v>
      </c>
      <c r="AH307" s="502">
        <f t="shared" ref="AH307:AH308" si="470">(D$17-$B307)</f>
        <v>90</v>
      </c>
      <c r="AI307" s="502">
        <f t="shared" ref="AI307:AI308" si="471">(G$17-$B307)</f>
        <v>700</v>
      </c>
      <c r="AJ307" s="502">
        <f t="shared" ref="AJ307:AJ308" si="472">(H$17-$B307)</f>
        <v>877</v>
      </c>
      <c r="AK307" s="502">
        <f t="shared" ref="AK307:AK308" si="473">(I$17-$B307)</f>
        <v>1358</v>
      </c>
      <c r="AL307" s="502">
        <f t="shared" ref="AL307:AL308" si="474">(J$17-$B307)</f>
        <v>1750</v>
      </c>
      <c r="AM307" s="502">
        <f t="shared" ref="AM307:AM308" si="475">(K$17-$B307)</f>
        <v>1939</v>
      </c>
      <c r="AN307" s="502">
        <f t="shared" ref="AN307:AN308" si="476">(L$17-$B307)</f>
        <v>2401</v>
      </c>
      <c r="AO307" s="502">
        <f t="shared" ref="AO307:AO308" si="477">(M$17-$B307)</f>
        <v>2625</v>
      </c>
      <c r="AP307" s="502">
        <f t="shared" ref="AP307:AP308" si="478">(N$17-$B307)</f>
        <v>3241</v>
      </c>
      <c r="AQ307" s="502">
        <f t="shared" ref="AQ307:AQ308" si="479">(O$17-$B307)</f>
        <v>3319</v>
      </c>
      <c r="AR307" s="502">
        <f t="shared" ref="AR307:AR308" si="480">(P$17-$B307)</f>
        <v>3871</v>
      </c>
      <c r="AS307" s="502">
        <f t="shared" ref="AS307:AS308" si="481">(Q$17-$B307)</f>
        <v>5474</v>
      </c>
      <c r="AT307" s="502">
        <f t="shared" ref="AT307:AT308" si="482">(R$17-$B307)</f>
        <v>6020</v>
      </c>
      <c r="AU307" s="502">
        <f t="shared" ref="AU307:AU308" si="483">(S$17-$B307)</f>
        <v>7539</v>
      </c>
      <c r="AV307" s="502">
        <f t="shared" ref="AV307:AV308" si="484">(T$17-$B307)</f>
        <v>9093</v>
      </c>
      <c r="AW307" s="502">
        <f t="shared" ref="AW307:AW308" si="485">(U$17-$B307)</f>
        <v>11788</v>
      </c>
      <c r="AX307" s="502">
        <f t="shared" ref="AX307:AX308" si="486">(V$17-$B307)</f>
        <v>-210</v>
      </c>
      <c r="AY307" s="502">
        <f t="shared" ref="AY307:AY308" si="487">(W$17-$B307)</f>
        <v>469</v>
      </c>
      <c r="AZ307" s="502">
        <f t="shared" ref="AZ307:AZ308" si="488">(X$17-$B307)</f>
        <v>1232</v>
      </c>
      <c r="BA307" s="502">
        <f t="shared" ref="BA307:BA308" si="489">(Y$17-$B307)</f>
        <v>1876</v>
      </c>
      <c r="BB307" s="502">
        <f t="shared" ref="BB307:BB308" si="490">(Z$17-$B307)</f>
        <v>2669</v>
      </c>
      <c r="BC307" s="502">
        <f t="shared" ref="BC307:BC308" si="491">(AA$17-$B307)</f>
        <v>3409</v>
      </c>
      <c r="BD307" s="502">
        <f t="shared" ref="BD307:BD308" si="492">(AB$17-$B307)</f>
        <v>4102</v>
      </c>
      <c r="BE307" s="502">
        <f t="shared" ref="BE307:BE308" si="493">(AC$17-$B307)</f>
        <v>5586</v>
      </c>
      <c r="BF307" s="502">
        <f t="shared" ref="BF307:BF308" si="494">(AD$17-$B307)</f>
        <v>8596</v>
      </c>
      <c r="BG307" s="502">
        <f t="shared" ref="BG307:BG308" si="495">(AE$17-$B307)</f>
        <v>10759</v>
      </c>
      <c r="BH307" s="502">
        <f t="shared" ref="BH307:BH308" si="496">(AF$17-$B307)</f>
        <v>13209</v>
      </c>
      <c r="BI307" s="198">
        <f t="shared" ref="BI307:BI308" si="497">+SUM(V307:AF307)</f>
        <v>0</v>
      </c>
      <c r="BJ307" s="198">
        <f t="shared" ref="BJ307:BJ308" si="498">+SUM(D307:T307)</f>
        <v>1</v>
      </c>
      <c r="BK307" s="198">
        <f t="shared" ref="BK307:BK308" si="499">IFERROR(F307/$BJ307,"")</f>
        <v>0</v>
      </c>
      <c r="BL307" s="198">
        <f t="shared" ref="BL307:BL308" si="500">IFERROR(G307/$BJ307,"")</f>
        <v>0</v>
      </c>
      <c r="BM307" s="198">
        <f t="shared" ref="BM307:BM308" si="501">IFERROR(H307/$BJ307,"")</f>
        <v>0</v>
      </c>
      <c r="BN307" s="198">
        <f t="shared" ref="BN307:BN308" si="502">IFERROR(I307/$BJ307,"")</f>
        <v>1</v>
      </c>
      <c r="BO307" s="198">
        <f t="shared" ref="BO307:BO308" si="503">IFERROR(J307/$BJ307,"")</f>
        <v>0</v>
      </c>
      <c r="BP307" s="198">
        <f t="shared" ref="BP307:BP308" si="504">IFERROR(K307/$BJ307,"")</f>
        <v>0</v>
      </c>
      <c r="BQ307" s="198">
        <f t="shared" ref="BQ307:BQ308" si="505">IFERROR(L307/$BJ307,"")</f>
        <v>0</v>
      </c>
      <c r="BR307" s="198">
        <f t="shared" ref="BR307:BR308" si="506">IFERROR(M307/$BJ307,"")</f>
        <v>0</v>
      </c>
      <c r="BS307" s="198">
        <f t="shared" ref="BS307:BS308" si="507">IFERROR(N307/$BJ307,"")</f>
        <v>0</v>
      </c>
      <c r="BT307" s="198">
        <f t="shared" ref="BT307:BT308" si="508">IFERROR(O307/$BJ307,"")</f>
        <v>0</v>
      </c>
      <c r="BU307" s="198">
        <f t="shared" ref="BU307:BU308" si="509">IFERROR(P307/$BJ307,"")</f>
        <v>0</v>
      </c>
      <c r="BV307" s="198">
        <f t="shared" ref="BV307:BV308" si="510">IFERROR(Q307/$BJ307,"")</f>
        <v>0</v>
      </c>
      <c r="BW307" s="198">
        <f t="shared" ref="BW307:BW308" si="511">IFERROR(R307/$BJ307,"")</f>
        <v>0</v>
      </c>
      <c r="BX307" s="198">
        <f t="shared" ref="BX307:BX308" si="512">IFERROR(S307/$BJ307,"")</f>
        <v>0</v>
      </c>
      <c r="BY307" s="198">
        <f t="shared" ref="BY307:BY308" si="513">IFERROR(T307/$BJ307,"")</f>
        <v>0</v>
      </c>
      <c r="BZ307" s="198">
        <f t="shared" ref="BZ307:BZ308" si="514">IFERROR(U307/$BJ307,"")</f>
        <v>0</v>
      </c>
      <c r="CA307" s="198" t="str">
        <f t="shared" ref="CA307:CA308" si="515">IFERROR(V307/$BI307,"")</f>
        <v/>
      </c>
      <c r="CB307" s="198" t="str">
        <f t="shared" ref="CB307:CB308" si="516">IFERROR(W307/$BI307,"")</f>
        <v/>
      </c>
      <c r="CC307" s="198" t="str">
        <f t="shared" ref="CC307:CC308" si="517">IFERROR(X307/$BI307,"")</f>
        <v/>
      </c>
      <c r="CD307" s="198" t="str">
        <f t="shared" ref="CD307:CD308" si="518">IFERROR(Y307/$BI307,"")</f>
        <v/>
      </c>
      <c r="CE307" s="198" t="str">
        <f t="shared" ref="CE307:CE308" si="519">IFERROR(Z307/$BI307,"")</f>
        <v/>
      </c>
      <c r="CF307" s="198" t="str">
        <f t="shared" ref="CF307:CF308" si="520">IFERROR(AA307/$BI307,"")</f>
        <v/>
      </c>
      <c r="CG307" s="198" t="str">
        <f t="shared" ref="CG307:CG308" si="521">IFERROR(AB307/$BI307,"")</f>
        <v/>
      </c>
      <c r="CH307" s="198" t="str">
        <f t="shared" ref="CH307:CH308" si="522">IFERROR(AC307/$BI307,"")</f>
        <v/>
      </c>
      <c r="CI307" s="198" t="str">
        <f t="shared" ref="CI307:CI308" si="523">IFERROR(AD307/$BI307,"")</f>
        <v/>
      </c>
      <c r="CJ307" s="198" t="str">
        <f t="shared" ref="CJ307:CJ308" si="524">IFERROR(AE307/$BI307,"")</f>
        <v/>
      </c>
      <c r="CK307" s="198" t="str">
        <f t="shared" ref="CK307:CK308" si="525">IFERROR(AF307/$BI307,"")</f>
        <v/>
      </c>
      <c r="CL307" s="503">
        <f t="shared" ref="CL307:CL308" si="526">ROUND(IFERROR((_xlfn.DAYS($F$17,B307)*BK307),0)+IFERROR((_xlfn.DAYS($G$17,B307)*BL307),0)+IFERROR((_xlfn.DAYS($H$17,B307)*BM307),0)+IFERROR((_xlfn.DAYS($I$17,B307)*BN307),0)+IFERROR((_xlfn.DAYS($J$17,B307)*BO307),0)+IFERROR((_xlfn.DAYS($K$17,B307)*BP307),0)+IFERROR((_xlfn.DAYS($L$17,B307)*BQ307),0)+IFERROR((_xlfn.DAYS($M$17,B307)*BR307),0)+IFERROR((_xlfn.DAYS($N$17,B307)*BS307),0)+IFERROR((_xlfn.DAYS($P$17,B307)*BU307),0)+IFERROR((_xlfn.DAYS($Q$17,B307)*BV307),0)+IFERROR((_xlfn.DAYS($R$17,B307)*BW307),0)+IFERROR((_xlfn.DAYS($S$17,B307)*BX307),0)+IFERROR((_xlfn.DAYS($T$17,B307)*BY307),0)+IFERROR((_xlfn.DAYS($T$17,B307)*BZ307),0)+IFERROR((_xlfn.DAYS($T$17,B307)*BT307),0),0)</f>
        <v>1358</v>
      </c>
      <c r="CM307" s="503">
        <f t="shared" ref="CM307:CM313" si="527">ROUND(IFERROR((_xlfn.DAYS($V$17,B307)*CA307),0)+IFERROR((_xlfn.DAYS($Z$17,B307)*CB307),0)+IFERROR((_xlfn.DAYS($W$17,B307)*CC307),0)+IFERROR((_xlfn.DAYS($X$17,B307)*CE307),0)+IFERROR((_xlfn.DAYS($AA$17,B307)*CF307),0)+IFERROR((_xlfn.DAYS($AB$17,B307)*CG307),0)+IFERROR((_xlfn.DAYS($AC$17,B307)*CH307),0)+IFERROR((_xlfn.DAYS($AD$17,B307)*CI307),0)+IFERROR((_xlfn.DAYS($AE$17,B307)*CJ307),0)+IFERROR((_xlfn.DAYS($AE$17,B307)*CD307),0)+IFERROR((_xlfn.DAYS($AE$17,B307)*CK307),0),0)</f>
        <v>0</v>
      </c>
      <c r="CO307" s="265">
        <v>9.3480000000000008E-2</v>
      </c>
      <c r="CP307" s="265">
        <v>0.10481</v>
      </c>
      <c r="CQ307" s="265">
        <v>0.1115</v>
      </c>
      <c r="CR307" s="265">
        <v>0.11910999999999999</v>
      </c>
      <c r="CS307" s="265">
        <v>0.12101000000000001</v>
      </c>
      <c r="CT307" s="265">
        <v>0.1225</v>
      </c>
      <c r="CU307" s="265">
        <v>0.12342</v>
      </c>
      <c r="CV307" s="265">
        <v>0.1231</v>
      </c>
      <c r="CW307" s="265">
        <v>0.12256</v>
      </c>
      <c r="CX307" s="265">
        <v>0.1255</v>
      </c>
      <c r="CY307" s="265">
        <v>0.1235</v>
      </c>
      <c r="CZ307" s="265">
        <v>0.12590000000000001</v>
      </c>
      <c r="DA307" s="265">
        <v>0.12407</v>
      </c>
      <c r="DB307" s="265">
        <v>0.12590999999999999</v>
      </c>
      <c r="DC307" s="265">
        <v>0.12202</v>
      </c>
      <c r="DD307" s="265">
        <v>0.1258</v>
      </c>
      <c r="DE307" s="265">
        <v>5.5389999999999995E-2</v>
      </c>
      <c r="DF307" s="265">
        <v>6.1349999999999995E-2</v>
      </c>
      <c r="DG307" s="265">
        <v>6.5700000000000008E-2</v>
      </c>
      <c r="DH307" s="265">
        <v>6.3799999999999996E-2</v>
      </c>
      <c r="DI307" s="265">
        <v>6.4000000000000001E-2</v>
      </c>
      <c r="DJ307" s="265">
        <v>6.3E-2</v>
      </c>
      <c r="DK307" s="265">
        <v>6.3530000000000003E-2</v>
      </c>
      <c r="DL307" s="265">
        <v>6.1890000000000001E-2</v>
      </c>
      <c r="DM307" s="265">
        <v>6.2800000000000009E-2</v>
      </c>
      <c r="DN307" s="265">
        <v>6.3649999999999998E-2</v>
      </c>
      <c r="DO307" s="503">
        <f t="shared" ref="DO307:DO308" si="528">+INDEX(AH307:AW307,MATCH(CL307,AH307:AW307,1))</f>
        <v>1358</v>
      </c>
      <c r="DP307" s="503" cm="1">
        <f t="array" ref="DP307">+INDEX(AH307:AW307,MATCH(DO307,AH307:AW307,1)+1)</f>
        <v>1750</v>
      </c>
      <c r="DQ307" s="504">
        <f t="shared" ref="DQ307:DQ308" si="529">+INDEX(CO307:DD307,MATCH(DO307,AH307:AV307,1))</f>
        <v>0.11910999999999999</v>
      </c>
      <c r="DR307" s="205">
        <f t="shared" ref="DR307:DR308" si="530">+INDEX(CO307:DD307,MATCH(DP307,AH307:AV307,1))</f>
        <v>0.12101000000000001</v>
      </c>
      <c r="DS307" s="205">
        <f t="shared" ref="DS307:DS308" si="531">ROUND(DQ307+((CL307-DO307)/(DP307-DO307))*(DR307-DQ307),6)</f>
        <v>0.11910999999999999</v>
      </c>
      <c r="DT307" s="505">
        <f t="shared" ref="DT307:DT308" si="532">+INDEX(AX307:BH307,MATCH(CM307,AX307:BH307,1))</f>
        <v>-210</v>
      </c>
      <c r="DU307" s="505" t="e" cm="1">
        <f t="array" ref="DU307">+INDEX(AY307:BH307,MATCH(DT307,AY307:BH307,1)+1)</f>
        <v>#N/A</v>
      </c>
      <c r="DV307" s="205" t="e">
        <f t="shared" ref="DV307:DV308" si="533">+INDEX(DE307:DN307,MATCH(DT307,AY307:BH307,1))</f>
        <v>#N/A</v>
      </c>
      <c r="DW307" s="205" t="e">
        <f t="shared" ref="DW307:DW308" si="534">+INDEX(DE307:DM307,MATCH(DU307,AX307:BG307,1))</f>
        <v>#N/A</v>
      </c>
      <c r="DX307" s="205" t="e">
        <f t="shared" ref="DX307:DX308" si="535">ROUND(DV307+((CM307-DT307)/(DU307-DT307))*(DW307-DV307),5)</f>
        <v>#N/A</v>
      </c>
      <c r="DY307" s="205">
        <f t="shared" si="341"/>
        <v>5.28E-2</v>
      </c>
      <c r="DZ307" s="205" t="e">
        <f t="shared" ref="DZ307:DZ308" si="536">+(1+DX307)*(1+DY307)-1</f>
        <v>#N/A</v>
      </c>
      <c r="EA307" s="205">
        <f t="shared" ref="EA307:EA308" si="537">IFERROR(BJ307*DS307,0)+IFERROR(BI307*DZ307,0)</f>
        <v>0.11910999999999999</v>
      </c>
    </row>
    <row r="308" spans="2:131">
      <c r="B308" s="272">
        <v>45995</v>
      </c>
      <c r="C308" s="271">
        <f t="shared" si="469"/>
        <v>45995</v>
      </c>
      <c r="D308" s="263">
        <f>+SUMIFS(Tabla6[Nominal COP],Tabla6[Concepto],COSTO_OPORTUNIDAD!$B$18,Tabla6[Nemotécnico],COSTO_OPORTUNIDAD!D$16,Tabla6[Fecha Cumplimiento y/ liquidacion],COSTO_OPORTUNIDAD!$C308)/+SUMIFS(Tabla6[Nominal COP],Tabla6[Concepto],COSTO_OPORTUNIDAD!$B$18,Tabla6[Fecha Cumplimiento y/ liquidacion],COSTO_OPORTUNIDAD!$C308)</f>
        <v>0</v>
      </c>
      <c r="E308" s="263">
        <f>+SUMIFS(Tabla6[Nominal COP],Tabla6[Concepto],COSTO_OPORTUNIDAD!$B$18,Tabla6[Nemotécnico],COSTO_OPORTUNIDAD!E$16,Tabla6[Fecha Cumplimiento y/ liquidacion],COSTO_OPORTUNIDAD!$C308)/+SUMIFS(Tabla6[Nominal COP],Tabla6[Concepto],COSTO_OPORTUNIDAD!$B$18,Tabla6[Fecha Cumplimiento y/ liquidacion],COSTO_OPORTUNIDAD!$C308)</f>
        <v>0</v>
      </c>
      <c r="F308" s="263">
        <f>+SUMIFS(Tabla6[Nominal COP],Tabla6[Concepto],COSTO_OPORTUNIDAD!$B$18,Tabla6[Nemotécnico],COSTO_OPORTUNIDAD!F$16,Tabla6[Fecha Cumplimiento y/ liquidacion],COSTO_OPORTUNIDAD!$C308)/+SUMIFS(Tabla6[Nominal COP],Tabla6[Concepto],COSTO_OPORTUNIDAD!$B$18,Tabla6[Fecha Cumplimiento y/ liquidacion],COSTO_OPORTUNIDAD!$C308)</f>
        <v>0</v>
      </c>
      <c r="G308" s="263">
        <f>+SUMIFS(Tabla6[Nominal COP],Tabla6[Concepto],COSTO_OPORTUNIDAD!$B$18,Tabla6[Nemotécnico],COSTO_OPORTUNIDAD!G$16,Tabla6[Fecha Cumplimiento y/ liquidacion],COSTO_OPORTUNIDAD!$C308)/+SUMIFS(Tabla6[Nominal COP],Tabla6[Concepto],COSTO_OPORTUNIDAD!$B$18,Tabla6[Fecha Cumplimiento y/ liquidacion],COSTO_OPORTUNIDAD!$C308)</f>
        <v>0</v>
      </c>
      <c r="H308" s="263">
        <f>+SUMIFS(Tabla6[Nominal COP],Tabla6[Concepto],COSTO_OPORTUNIDAD!$B$18,Tabla6[Nemotécnico],COSTO_OPORTUNIDAD!H$16,Tabla6[Fecha Cumplimiento y/ liquidacion],COSTO_OPORTUNIDAD!$C308)/+SUMIFS(Tabla6[Nominal COP],Tabla6[Concepto],COSTO_OPORTUNIDAD!$B$18,Tabla6[Fecha Cumplimiento y/ liquidacion],COSTO_OPORTUNIDAD!$C308)</f>
        <v>0</v>
      </c>
      <c r="I308" s="263">
        <f>+SUMIFS(Tabla6[Nominal COP],Tabla6[Concepto],COSTO_OPORTUNIDAD!$B$18,Tabla6[Nemotécnico],COSTO_OPORTUNIDAD!I$16,Tabla6[Fecha Cumplimiento y/ liquidacion],COSTO_OPORTUNIDAD!$C308)/+SUMIFS(Tabla6[Nominal COP],Tabla6[Concepto],COSTO_OPORTUNIDAD!$B$18,Tabla6[Fecha Cumplimiento y/ liquidacion],COSTO_OPORTUNIDAD!$C308)</f>
        <v>1</v>
      </c>
      <c r="J308" s="263">
        <f>+SUMIFS(Tabla6[Nominal COP],Tabla6[Concepto],COSTO_OPORTUNIDAD!$B$18,Tabla6[Nemotécnico],COSTO_OPORTUNIDAD!J$16,Tabla6[Fecha Cumplimiento y/ liquidacion],COSTO_OPORTUNIDAD!$C308)/+SUMIFS(Tabla6[Nominal COP],Tabla6[Concepto],COSTO_OPORTUNIDAD!$B$18,Tabla6[Fecha Cumplimiento y/ liquidacion],COSTO_OPORTUNIDAD!$C308)</f>
        <v>0</v>
      </c>
      <c r="K308" s="263">
        <f>+SUMIFS(Tabla6[Nominal COP],Tabla6[Concepto],COSTO_OPORTUNIDAD!$B$18,Tabla6[Nemotécnico],COSTO_OPORTUNIDAD!K$16,Tabla6[Fecha Cumplimiento y/ liquidacion],COSTO_OPORTUNIDAD!$C308)/+SUMIFS(Tabla6[Nominal COP],Tabla6[Concepto],COSTO_OPORTUNIDAD!$B$18,Tabla6[Fecha Cumplimiento y/ liquidacion],COSTO_OPORTUNIDAD!$C308)</f>
        <v>0</v>
      </c>
      <c r="L308" s="263">
        <f>+SUMIFS(Tabla6[Nominal COP],Tabla6[Concepto],COSTO_OPORTUNIDAD!$B$18,Tabla6[Nemotécnico],COSTO_OPORTUNIDAD!L$16,Tabla6[Fecha Cumplimiento y/ liquidacion],COSTO_OPORTUNIDAD!$C308)/+SUMIFS(Tabla6[Nominal COP],Tabla6[Concepto],COSTO_OPORTUNIDAD!$B$18,Tabla6[Fecha Cumplimiento y/ liquidacion],COSTO_OPORTUNIDAD!$C308)</f>
        <v>0</v>
      </c>
      <c r="M308" s="263">
        <f>+SUMIFS(Tabla6[Nominal COP],Tabla6[Concepto],COSTO_OPORTUNIDAD!$B$18,Tabla6[Nemotécnico],COSTO_OPORTUNIDAD!M$16,Tabla6[Fecha Cumplimiento y/ liquidacion],COSTO_OPORTUNIDAD!$C308)/+SUMIFS(Tabla6[Nominal COP],Tabla6[Concepto],COSTO_OPORTUNIDAD!$B$18,Tabla6[Fecha Cumplimiento y/ liquidacion],COSTO_OPORTUNIDAD!$C308)</f>
        <v>0</v>
      </c>
      <c r="N308" s="263">
        <f>+SUMIFS(Tabla6[Nominal COP],Tabla6[Concepto],COSTO_OPORTUNIDAD!$B$18,Tabla6[Nemotécnico],COSTO_OPORTUNIDAD!N$16,Tabla6[Fecha Cumplimiento y/ liquidacion],COSTO_OPORTUNIDAD!$C308)/+SUMIFS(Tabla6[Nominal COP],Tabla6[Concepto],COSTO_OPORTUNIDAD!$B$18,Tabla6[Fecha Cumplimiento y/ liquidacion],COSTO_OPORTUNIDAD!$C308)</f>
        <v>0</v>
      </c>
      <c r="O308" s="263">
        <f>+SUMIFS(Tabla6[Nominal COP],Tabla6[Concepto],COSTO_OPORTUNIDAD!$B$18,Tabla6[Nemotécnico],COSTO_OPORTUNIDAD!O$16,Tabla6[Fecha Cumplimiento y/ liquidacion],COSTO_OPORTUNIDAD!$C308)/+SUMIFS(Tabla6[Nominal COP],Tabla6[Concepto],COSTO_OPORTUNIDAD!$B$18,Tabla6[Fecha Cumplimiento y/ liquidacion],COSTO_OPORTUNIDAD!$C308)</f>
        <v>0</v>
      </c>
      <c r="P308" s="263">
        <f>+SUMIFS(Tabla6[Nominal COP],Tabla6[Concepto],COSTO_OPORTUNIDAD!$B$18,Tabla6[Nemotécnico],COSTO_OPORTUNIDAD!P$16,Tabla6[Fecha Cumplimiento y/ liquidacion],COSTO_OPORTUNIDAD!$C308)/+SUMIFS(Tabla6[Nominal COP],Tabla6[Concepto],COSTO_OPORTUNIDAD!$B$18,Tabla6[Fecha Cumplimiento y/ liquidacion],COSTO_OPORTUNIDAD!$C308)</f>
        <v>0</v>
      </c>
      <c r="Q308" s="263">
        <f>+SUMIFS(Tabla6[Nominal COP],Tabla6[Concepto],COSTO_OPORTUNIDAD!$B$18,Tabla6[Nemotécnico],COSTO_OPORTUNIDAD!Q$16,Tabla6[Fecha Cumplimiento y/ liquidacion],COSTO_OPORTUNIDAD!$C308)/+SUMIFS(Tabla6[Nominal COP],Tabla6[Concepto],COSTO_OPORTUNIDAD!$B$18,Tabla6[Fecha Cumplimiento y/ liquidacion],COSTO_OPORTUNIDAD!$C308)</f>
        <v>0</v>
      </c>
      <c r="R308" s="263">
        <f>+SUMIFS(Tabla6[Nominal COP],Tabla6[Concepto],COSTO_OPORTUNIDAD!$B$18,Tabla6[Nemotécnico],COSTO_OPORTUNIDAD!R$16,Tabla6[Fecha Cumplimiento y/ liquidacion],COSTO_OPORTUNIDAD!$C308)/+SUMIFS(Tabla6[Nominal COP],Tabla6[Concepto],COSTO_OPORTUNIDAD!$B$18,Tabla6[Fecha Cumplimiento y/ liquidacion],COSTO_OPORTUNIDAD!$C308)</f>
        <v>0</v>
      </c>
      <c r="S308" s="263">
        <f>+SUMIFS(Tabla6[Nominal COP],Tabla6[Concepto],COSTO_OPORTUNIDAD!$B$18,Tabla6[Nemotécnico],COSTO_OPORTUNIDAD!S$16,Tabla6[Fecha Cumplimiento y/ liquidacion],COSTO_OPORTUNIDAD!$C308)/+SUMIFS(Tabla6[Nominal COP],Tabla6[Concepto],COSTO_OPORTUNIDAD!$B$18,Tabla6[Fecha Cumplimiento y/ liquidacion],COSTO_OPORTUNIDAD!$C308)</f>
        <v>0</v>
      </c>
      <c r="T308" s="263">
        <f>+SUMIFS(Tabla6[Nominal COP],Tabla6[Concepto],COSTO_OPORTUNIDAD!$B$18,Tabla6[Nemotécnico],COSTO_OPORTUNIDAD!T$16,Tabla6[Fecha Cumplimiento y/ liquidacion],COSTO_OPORTUNIDAD!$C308)/+SUMIFS(Tabla6[Nominal COP],Tabla6[Concepto],COSTO_OPORTUNIDAD!$B$18,Tabla6[Fecha Cumplimiento y/ liquidacion],COSTO_OPORTUNIDAD!$C308)</f>
        <v>0</v>
      </c>
      <c r="U308" s="263">
        <f>+SUMIFS(Tabla6[Nominal COP],Tabla6[Concepto],COSTO_OPORTUNIDAD!$B$18,Tabla6[Nemotécnico],COSTO_OPORTUNIDAD!U$16,Tabla6[Fecha Cumplimiento y/ liquidacion],COSTO_OPORTUNIDAD!$C308)/+SUMIFS(Tabla6[Nominal COP],Tabla6[Concepto],COSTO_OPORTUNIDAD!$B$18,Tabla6[Fecha Cumplimiento y/ liquidacion],COSTO_OPORTUNIDAD!$C308)</f>
        <v>0</v>
      </c>
      <c r="V308" s="263">
        <f>+SUMIFS(Tabla6[Nominal COP],Tabla6[Concepto],COSTO_OPORTUNIDAD!$B$18,Tabla6[Nemotécnico],COSTO_OPORTUNIDAD!V$16,Tabla6[Fecha Cumplimiento y/ liquidacion],COSTO_OPORTUNIDAD!$C308)/+SUMIFS(Tabla6[Nominal COP],Tabla6[Concepto],COSTO_OPORTUNIDAD!$B$18,Tabla6[Fecha Cumplimiento y/ liquidacion],COSTO_OPORTUNIDAD!$C308)</f>
        <v>0</v>
      </c>
      <c r="W308" s="263">
        <f>+SUMIFS(Tabla6[Nominal COP],Tabla6[Concepto],COSTO_OPORTUNIDAD!$B$18,Tabla6[Nemotécnico],COSTO_OPORTUNIDAD!W$16,Tabla6[Fecha Cumplimiento y/ liquidacion],COSTO_OPORTUNIDAD!$C308)/+SUMIFS(Tabla6[Nominal COP],Tabla6[Concepto],COSTO_OPORTUNIDAD!$B$18,Tabla6[Fecha Cumplimiento y/ liquidacion],COSTO_OPORTUNIDAD!$C308)</f>
        <v>0</v>
      </c>
      <c r="X308" s="263">
        <f>+SUMIFS(Tabla6[Nominal COP],Tabla6[Concepto],COSTO_OPORTUNIDAD!$B$18,Tabla6[Nemotécnico],COSTO_OPORTUNIDAD!X$16,Tabla6[Fecha Cumplimiento y/ liquidacion],COSTO_OPORTUNIDAD!$C308)/+SUMIFS(Tabla6[Nominal COP],Tabla6[Concepto],COSTO_OPORTUNIDAD!$B$18,Tabla6[Fecha Cumplimiento y/ liquidacion],COSTO_OPORTUNIDAD!$C308)</f>
        <v>0</v>
      </c>
      <c r="Y308" s="263">
        <f>+SUMIFS(Tabla6[Nominal COP],Tabla6[Concepto],COSTO_OPORTUNIDAD!$B$18,Tabla6[Nemotécnico],COSTO_OPORTUNIDAD!Y$16,Tabla6[Fecha Cumplimiento y/ liquidacion],COSTO_OPORTUNIDAD!$C308)/+SUMIFS(Tabla6[Nominal COP],Tabla6[Concepto],COSTO_OPORTUNIDAD!$B$18,Tabla6[Fecha Cumplimiento y/ liquidacion],COSTO_OPORTUNIDAD!$C308)</f>
        <v>0</v>
      </c>
      <c r="Z308" s="263">
        <f>+SUMIFS(Tabla6[Nominal COP],Tabla6[Concepto],COSTO_OPORTUNIDAD!$B$18,Tabla6[Nemotécnico],COSTO_OPORTUNIDAD!Z$16,Tabla6[Fecha Cumplimiento y/ liquidacion],COSTO_OPORTUNIDAD!$C308)/+SUMIFS(Tabla6[Nominal COP],Tabla6[Concepto],COSTO_OPORTUNIDAD!$B$18,Tabla6[Fecha Cumplimiento y/ liquidacion],COSTO_OPORTUNIDAD!$C308)</f>
        <v>0</v>
      </c>
      <c r="AA308" s="263">
        <f>+SUMIFS(Tabla6[Nominal COP],Tabla6[Concepto],COSTO_OPORTUNIDAD!$B$18,Tabla6[Nemotécnico],COSTO_OPORTUNIDAD!AA$16,Tabla6[Fecha Cumplimiento y/ liquidacion],COSTO_OPORTUNIDAD!$C308)/+SUMIFS(Tabla6[Nominal COP],Tabla6[Concepto],COSTO_OPORTUNIDAD!$B$18,Tabla6[Fecha Cumplimiento y/ liquidacion],COSTO_OPORTUNIDAD!$C308)</f>
        <v>0</v>
      </c>
      <c r="AB308" s="263">
        <f>+SUMIFS(Tabla6[Nominal COP],Tabla6[Concepto],COSTO_OPORTUNIDAD!$B$18,Tabla6[Nemotécnico],COSTO_OPORTUNIDAD!AB$16,Tabla6[Fecha Cumplimiento y/ liquidacion],COSTO_OPORTUNIDAD!$C308)/+SUMIFS(Tabla6[Nominal COP],Tabla6[Concepto],COSTO_OPORTUNIDAD!$B$18,Tabla6[Fecha Cumplimiento y/ liquidacion],COSTO_OPORTUNIDAD!$C308)</f>
        <v>0</v>
      </c>
      <c r="AC308" s="263">
        <f>+SUMIFS(Tabla6[Nominal COP],Tabla6[Concepto],COSTO_OPORTUNIDAD!$B$18,Tabla6[Nemotécnico],COSTO_OPORTUNIDAD!AC$16,Tabla6[Fecha Cumplimiento y/ liquidacion],COSTO_OPORTUNIDAD!$C308)/+SUMIFS(Tabla6[Nominal COP],Tabla6[Concepto],COSTO_OPORTUNIDAD!$B$18,Tabla6[Fecha Cumplimiento y/ liquidacion],COSTO_OPORTUNIDAD!$C308)</f>
        <v>0</v>
      </c>
      <c r="AD308" s="263">
        <f>+SUMIFS(Tabla6[Nominal COP],Tabla6[Concepto],COSTO_OPORTUNIDAD!$B$18,Tabla6[Nemotécnico],COSTO_OPORTUNIDAD!AC$16,Tabla6[Fecha Cumplimiento y/ liquidacion],COSTO_OPORTUNIDAD!$C308)/+SUMIFS(Tabla6[Nominal COP],Tabla6[Concepto],COSTO_OPORTUNIDAD!$B$18,Tabla6[Fecha Cumplimiento y/ liquidacion],COSTO_OPORTUNIDAD!$C308)</f>
        <v>0</v>
      </c>
      <c r="AE308" s="263">
        <f>+SUMIFS(Tabla6[Nominal COP],Tabla6[Concepto],COSTO_OPORTUNIDAD!$B$18,Tabla6[Nemotécnico],COSTO_OPORTUNIDAD!AE$16,Tabla6[Fecha Cumplimiento y/ liquidacion],COSTO_OPORTUNIDAD!$C308)/+SUMIFS(Tabla6[Nominal COP],Tabla6[Concepto],COSTO_OPORTUNIDAD!$B$18,Tabla6[Fecha Cumplimiento y/ liquidacion],COSTO_OPORTUNIDAD!$C308)</f>
        <v>0</v>
      </c>
      <c r="AF308" s="263">
        <f>+SUMIFS(Tabla6[Nominal COP],Tabla6[Concepto],COSTO_OPORTUNIDAD!$B$18,Tabla6[Nemotécnico],COSTO_OPORTUNIDAD!AF$16,Tabla6[Fecha Cumplimiento y/ liquidacion],COSTO_OPORTUNIDAD!$C308)/+SUMIFS(Tabla6[Nominal COP],Tabla6[Concepto],COSTO_OPORTUNIDAD!$B$18,Tabla6[Fecha Cumplimiento y/ liquidacion],COSTO_OPORTUNIDAD!$C308)</f>
        <v>0</v>
      </c>
      <c r="AH308" s="502">
        <f t="shared" si="470"/>
        <v>89</v>
      </c>
      <c r="AI308" s="502">
        <f t="shared" si="471"/>
        <v>699</v>
      </c>
      <c r="AJ308" s="502">
        <f t="shared" si="472"/>
        <v>876</v>
      </c>
      <c r="AK308" s="502">
        <f t="shared" si="473"/>
        <v>1357</v>
      </c>
      <c r="AL308" s="502">
        <f t="shared" si="474"/>
        <v>1749</v>
      </c>
      <c r="AM308" s="502">
        <f t="shared" si="475"/>
        <v>1938</v>
      </c>
      <c r="AN308" s="502">
        <f t="shared" si="476"/>
        <v>2400</v>
      </c>
      <c r="AO308" s="502">
        <f t="shared" si="477"/>
        <v>2624</v>
      </c>
      <c r="AP308" s="502">
        <f t="shared" si="478"/>
        <v>3240</v>
      </c>
      <c r="AQ308" s="502">
        <f t="shared" si="479"/>
        <v>3318</v>
      </c>
      <c r="AR308" s="502">
        <f t="shared" si="480"/>
        <v>3870</v>
      </c>
      <c r="AS308" s="502">
        <f t="shared" si="481"/>
        <v>5473</v>
      </c>
      <c r="AT308" s="502">
        <f t="shared" si="482"/>
        <v>6019</v>
      </c>
      <c r="AU308" s="502">
        <f t="shared" si="483"/>
        <v>7538</v>
      </c>
      <c r="AV308" s="502">
        <f t="shared" si="484"/>
        <v>9092</v>
      </c>
      <c r="AW308" s="502">
        <f t="shared" si="485"/>
        <v>11787</v>
      </c>
      <c r="AX308" s="502">
        <f t="shared" si="486"/>
        <v>-211</v>
      </c>
      <c r="AY308" s="502">
        <f t="shared" si="487"/>
        <v>468</v>
      </c>
      <c r="AZ308" s="502">
        <f t="shared" si="488"/>
        <v>1231</v>
      </c>
      <c r="BA308" s="502">
        <f t="shared" si="489"/>
        <v>1875</v>
      </c>
      <c r="BB308" s="502">
        <f t="shared" si="490"/>
        <v>2668</v>
      </c>
      <c r="BC308" s="502">
        <f t="shared" si="491"/>
        <v>3408</v>
      </c>
      <c r="BD308" s="502">
        <f t="shared" si="492"/>
        <v>4101</v>
      </c>
      <c r="BE308" s="502">
        <f t="shared" si="493"/>
        <v>5585</v>
      </c>
      <c r="BF308" s="502">
        <f t="shared" si="494"/>
        <v>8595</v>
      </c>
      <c r="BG308" s="502">
        <f t="shared" si="495"/>
        <v>10758</v>
      </c>
      <c r="BH308" s="502">
        <f t="shared" si="496"/>
        <v>13208</v>
      </c>
      <c r="BI308" s="198">
        <f t="shared" si="497"/>
        <v>0</v>
      </c>
      <c r="BJ308" s="198">
        <f t="shared" si="498"/>
        <v>1</v>
      </c>
      <c r="BK308" s="198">
        <f t="shared" si="499"/>
        <v>0</v>
      </c>
      <c r="BL308" s="198">
        <f t="shared" si="500"/>
        <v>0</v>
      </c>
      <c r="BM308" s="198">
        <f t="shared" si="501"/>
        <v>0</v>
      </c>
      <c r="BN308" s="198">
        <f t="shared" si="502"/>
        <v>1</v>
      </c>
      <c r="BO308" s="198">
        <f t="shared" si="503"/>
        <v>0</v>
      </c>
      <c r="BP308" s="198">
        <f t="shared" si="504"/>
        <v>0</v>
      </c>
      <c r="BQ308" s="198">
        <f t="shared" si="505"/>
        <v>0</v>
      </c>
      <c r="BR308" s="198">
        <f t="shared" si="506"/>
        <v>0</v>
      </c>
      <c r="BS308" s="198">
        <f t="shared" si="507"/>
        <v>0</v>
      </c>
      <c r="BT308" s="198">
        <f t="shared" si="508"/>
        <v>0</v>
      </c>
      <c r="BU308" s="198">
        <f t="shared" si="509"/>
        <v>0</v>
      </c>
      <c r="BV308" s="198">
        <f t="shared" si="510"/>
        <v>0</v>
      </c>
      <c r="BW308" s="198">
        <f t="shared" si="511"/>
        <v>0</v>
      </c>
      <c r="BX308" s="198">
        <f t="shared" si="512"/>
        <v>0</v>
      </c>
      <c r="BY308" s="198">
        <f t="shared" si="513"/>
        <v>0</v>
      </c>
      <c r="BZ308" s="198">
        <f t="shared" si="514"/>
        <v>0</v>
      </c>
      <c r="CA308" s="198" t="str">
        <f t="shared" si="515"/>
        <v/>
      </c>
      <c r="CB308" s="198" t="str">
        <f t="shared" si="516"/>
        <v/>
      </c>
      <c r="CC308" s="198" t="str">
        <f t="shared" si="517"/>
        <v/>
      </c>
      <c r="CD308" s="198" t="str">
        <f t="shared" si="518"/>
        <v/>
      </c>
      <c r="CE308" s="198" t="str">
        <f t="shared" si="519"/>
        <v/>
      </c>
      <c r="CF308" s="198" t="str">
        <f t="shared" si="520"/>
        <v/>
      </c>
      <c r="CG308" s="198" t="str">
        <f t="shared" si="521"/>
        <v/>
      </c>
      <c r="CH308" s="198" t="str">
        <f t="shared" si="522"/>
        <v/>
      </c>
      <c r="CI308" s="198" t="str">
        <f t="shared" si="523"/>
        <v/>
      </c>
      <c r="CJ308" s="198" t="str">
        <f t="shared" si="524"/>
        <v/>
      </c>
      <c r="CK308" s="198" t="str">
        <f t="shared" si="525"/>
        <v/>
      </c>
      <c r="CL308" s="503">
        <f t="shared" si="526"/>
        <v>1357</v>
      </c>
      <c r="CM308" s="503">
        <f t="shared" si="527"/>
        <v>0</v>
      </c>
      <c r="CO308" s="265">
        <v>9.2409999999999992E-2</v>
      </c>
      <c r="CP308" s="265">
        <v>0.10522000000000001</v>
      </c>
      <c r="CQ308" s="265">
        <v>0.1115</v>
      </c>
      <c r="CR308" s="265">
        <v>0.11868000000000001</v>
      </c>
      <c r="CS308" s="265">
        <v>0.1193</v>
      </c>
      <c r="CT308" s="265">
        <v>0.1208</v>
      </c>
      <c r="CU308" s="265">
        <v>0.121</v>
      </c>
      <c r="CV308" s="265">
        <v>0.12203</v>
      </c>
      <c r="CW308" s="265">
        <v>0.12130000000000001</v>
      </c>
      <c r="CX308" s="265">
        <v>0.12349</v>
      </c>
      <c r="CY308" s="265">
        <v>0.121</v>
      </c>
      <c r="CZ308" s="265">
        <v>0.1242</v>
      </c>
      <c r="DA308" s="265">
        <v>0.12135</v>
      </c>
      <c r="DB308" s="265">
        <v>0.12352</v>
      </c>
      <c r="DC308" s="265">
        <v>0.12090999999999999</v>
      </c>
      <c r="DD308" s="265">
        <v>0.12359999999999999</v>
      </c>
      <c r="DE308" s="265">
        <v>5.5389999999999995E-2</v>
      </c>
      <c r="DF308" s="265">
        <v>6.1349999999999995E-2</v>
      </c>
      <c r="DG308" s="265">
        <v>6.5700000000000008E-2</v>
      </c>
      <c r="DH308" s="265">
        <v>6.3799999999999996E-2</v>
      </c>
      <c r="DI308" s="265">
        <v>6.4000000000000001E-2</v>
      </c>
      <c r="DJ308" s="265">
        <v>6.3E-2</v>
      </c>
      <c r="DK308" s="265">
        <v>6.3530000000000003E-2</v>
      </c>
      <c r="DL308" s="265">
        <v>6.1890000000000001E-2</v>
      </c>
      <c r="DM308" s="265">
        <v>6.2800000000000009E-2</v>
      </c>
      <c r="DN308" s="265">
        <v>6.3649999999999998E-2</v>
      </c>
      <c r="DO308" s="503">
        <f t="shared" si="528"/>
        <v>1357</v>
      </c>
      <c r="DP308" s="503" cm="1">
        <f t="array" ref="DP308">+INDEX(AH308:AW308,MATCH(DO308,AH308:AW308,1)+1)</f>
        <v>1749</v>
      </c>
      <c r="DQ308" s="504">
        <f t="shared" si="529"/>
        <v>0.11868000000000001</v>
      </c>
      <c r="DR308" s="205">
        <f t="shared" si="530"/>
        <v>0.1193</v>
      </c>
      <c r="DS308" s="205">
        <f t="shared" si="531"/>
        <v>0.11867999999999999</v>
      </c>
      <c r="DT308" s="505">
        <f t="shared" si="532"/>
        <v>-211</v>
      </c>
      <c r="DU308" s="505" t="e" cm="1">
        <f t="array" ref="DU308">+INDEX(AY308:BH308,MATCH(DT308,AY308:BH308,1)+1)</f>
        <v>#N/A</v>
      </c>
      <c r="DV308" s="205" t="e">
        <f t="shared" si="533"/>
        <v>#N/A</v>
      </c>
      <c r="DW308" s="205" t="e">
        <f t="shared" si="534"/>
        <v>#N/A</v>
      </c>
      <c r="DX308" s="205" t="e">
        <f t="shared" si="535"/>
        <v>#N/A</v>
      </c>
      <c r="DY308" s="205">
        <f t="shared" si="341"/>
        <v>5.28E-2</v>
      </c>
      <c r="DZ308" s="205" t="e">
        <f t="shared" si="536"/>
        <v>#N/A</v>
      </c>
      <c r="EA308" s="205">
        <f t="shared" si="537"/>
        <v>0.11867999999999999</v>
      </c>
    </row>
    <row r="309" spans="2:131">
      <c r="B309" s="272">
        <v>45996</v>
      </c>
      <c r="C309" s="271">
        <f t="shared" si="469"/>
        <v>45996</v>
      </c>
      <c r="D309" s="263">
        <f>+SUMIFS(Tabla6[Nominal COP],Tabla6[Concepto],COSTO_OPORTUNIDAD!$B$18,Tabla6[Nemotécnico],COSTO_OPORTUNIDAD!D$16,Tabla6[Fecha Cumplimiento y/ liquidacion],COSTO_OPORTUNIDAD!$C309)/+SUMIFS(Tabla6[Nominal COP],Tabla6[Concepto],COSTO_OPORTUNIDAD!$B$18,Tabla6[Fecha Cumplimiento y/ liquidacion],COSTO_OPORTUNIDAD!$C309)</f>
        <v>0</v>
      </c>
      <c r="E309" s="263">
        <f>+SUMIFS(Tabla6[Nominal COP],Tabla6[Concepto],COSTO_OPORTUNIDAD!$B$18,Tabla6[Nemotécnico],COSTO_OPORTUNIDAD!E$16,Tabla6[Fecha Cumplimiento y/ liquidacion],COSTO_OPORTUNIDAD!$C309)/+SUMIFS(Tabla6[Nominal COP],Tabla6[Concepto],COSTO_OPORTUNIDAD!$B$18,Tabla6[Fecha Cumplimiento y/ liquidacion],COSTO_OPORTUNIDAD!$C309)</f>
        <v>0</v>
      </c>
      <c r="F309" s="263">
        <f>+SUMIFS(Tabla6[Nominal COP],Tabla6[Concepto],COSTO_OPORTUNIDAD!$B$18,Tabla6[Nemotécnico],COSTO_OPORTUNIDAD!F$16,Tabla6[Fecha Cumplimiento y/ liquidacion],COSTO_OPORTUNIDAD!$C309)/+SUMIFS(Tabla6[Nominal COP],Tabla6[Concepto],COSTO_OPORTUNIDAD!$B$18,Tabla6[Fecha Cumplimiento y/ liquidacion],COSTO_OPORTUNIDAD!$C309)</f>
        <v>0</v>
      </c>
      <c r="G309" s="263">
        <f>+SUMIFS(Tabla6[Nominal COP],Tabla6[Concepto],COSTO_OPORTUNIDAD!$B$18,Tabla6[Nemotécnico],COSTO_OPORTUNIDAD!G$16,Tabla6[Fecha Cumplimiento y/ liquidacion],COSTO_OPORTUNIDAD!$C309)/+SUMIFS(Tabla6[Nominal COP],Tabla6[Concepto],COSTO_OPORTUNIDAD!$B$18,Tabla6[Fecha Cumplimiento y/ liquidacion],COSTO_OPORTUNIDAD!$C309)</f>
        <v>0</v>
      </c>
      <c r="H309" s="263">
        <f>+SUMIFS(Tabla6[Nominal COP],Tabla6[Concepto],COSTO_OPORTUNIDAD!$B$18,Tabla6[Nemotécnico],COSTO_OPORTUNIDAD!H$16,Tabla6[Fecha Cumplimiento y/ liquidacion],COSTO_OPORTUNIDAD!$C309)/+SUMIFS(Tabla6[Nominal COP],Tabla6[Concepto],COSTO_OPORTUNIDAD!$B$18,Tabla6[Fecha Cumplimiento y/ liquidacion],COSTO_OPORTUNIDAD!$C309)</f>
        <v>0</v>
      </c>
      <c r="I309" s="263">
        <f>+SUMIFS(Tabla6[Nominal COP],Tabla6[Concepto],COSTO_OPORTUNIDAD!$B$18,Tabla6[Nemotécnico],COSTO_OPORTUNIDAD!I$16,Tabla6[Fecha Cumplimiento y/ liquidacion],COSTO_OPORTUNIDAD!$C309)/+SUMIFS(Tabla6[Nominal COP],Tabla6[Concepto],COSTO_OPORTUNIDAD!$B$18,Tabla6[Fecha Cumplimiento y/ liquidacion],COSTO_OPORTUNIDAD!$C309)</f>
        <v>1</v>
      </c>
      <c r="J309" s="263">
        <f>+SUMIFS(Tabla6[Nominal COP],Tabla6[Concepto],COSTO_OPORTUNIDAD!$B$18,Tabla6[Nemotécnico],COSTO_OPORTUNIDAD!J$16,Tabla6[Fecha Cumplimiento y/ liquidacion],COSTO_OPORTUNIDAD!$C309)/+SUMIFS(Tabla6[Nominal COP],Tabla6[Concepto],COSTO_OPORTUNIDAD!$B$18,Tabla6[Fecha Cumplimiento y/ liquidacion],COSTO_OPORTUNIDAD!$C309)</f>
        <v>0</v>
      </c>
      <c r="K309" s="263">
        <f>+SUMIFS(Tabla6[Nominal COP],Tabla6[Concepto],COSTO_OPORTUNIDAD!$B$18,Tabla6[Nemotécnico],COSTO_OPORTUNIDAD!K$16,Tabla6[Fecha Cumplimiento y/ liquidacion],COSTO_OPORTUNIDAD!$C309)/+SUMIFS(Tabla6[Nominal COP],Tabla6[Concepto],COSTO_OPORTUNIDAD!$B$18,Tabla6[Fecha Cumplimiento y/ liquidacion],COSTO_OPORTUNIDAD!$C309)</f>
        <v>0</v>
      </c>
      <c r="L309" s="263">
        <f>+SUMIFS(Tabla6[Nominal COP],Tabla6[Concepto],COSTO_OPORTUNIDAD!$B$18,Tabla6[Nemotécnico],COSTO_OPORTUNIDAD!L$16,Tabla6[Fecha Cumplimiento y/ liquidacion],COSTO_OPORTUNIDAD!$C309)/+SUMIFS(Tabla6[Nominal COP],Tabla6[Concepto],COSTO_OPORTUNIDAD!$B$18,Tabla6[Fecha Cumplimiento y/ liquidacion],COSTO_OPORTUNIDAD!$C309)</f>
        <v>0</v>
      </c>
      <c r="M309" s="263">
        <f>+SUMIFS(Tabla6[Nominal COP],Tabla6[Concepto],COSTO_OPORTUNIDAD!$B$18,Tabla6[Nemotécnico],COSTO_OPORTUNIDAD!M$16,Tabla6[Fecha Cumplimiento y/ liquidacion],COSTO_OPORTUNIDAD!$C309)/+SUMIFS(Tabla6[Nominal COP],Tabla6[Concepto],COSTO_OPORTUNIDAD!$B$18,Tabla6[Fecha Cumplimiento y/ liquidacion],COSTO_OPORTUNIDAD!$C309)</f>
        <v>0</v>
      </c>
      <c r="N309" s="263">
        <f>+SUMIFS(Tabla6[Nominal COP],Tabla6[Concepto],COSTO_OPORTUNIDAD!$B$18,Tabla6[Nemotécnico],COSTO_OPORTUNIDAD!N$16,Tabla6[Fecha Cumplimiento y/ liquidacion],COSTO_OPORTUNIDAD!$C309)/+SUMIFS(Tabla6[Nominal COP],Tabla6[Concepto],COSTO_OPORTUNIDAD!$B$18,Tabla6[Fecha Cumplimiento y/ liquidacion],COSTO_OPORTUNIDAD!$C309)</f>
        <v>0</v>
      </c>
      <c r="O309" s="263">
        <f>+SUMIFS(Tabla6[Nominal COP],Tabla6[Concepto],COSTO_OPORTUNIDAD!$B$18,Tabla6[Nemotécnico],COSTO_OPORTUNIDAD!O$16,Tabla6[Fecha Cumplimiento y/ liquidacion],COSTO_OPORTUNIDAD!$C309)/+SUMIFS(Tabla6[Nominal COP],Tabla6[Concepto],COSTO_OPORTUNIDAD!$B$18,Tabla6[Fecha Cumplimiento y/ liquidacion],COSTO_OPORTUNIDAD!$C309)</f>
        <v>0</v>
      </c>
      <c r="P309" s="263">
        <f>+SUMIFS(Tabla6[Nominal COP],Tabla6[Concepto],COSTO_OPORTUNIDAD!$B$18,Tabla6[Nemotécnico],COSTO_OPORTUNIDAD!P$16,Tabla6[Fecha Cumplimiento y/ liquidacion],COSTO_OPORTUNIDAD!$C309)/+SUMIFS(Tabla6[Nominal COP],Tabla6[Concepto],COSTO_OPORTUNIDAD!$B$18,Tabla6[Fecha Cumplimiento y/ liquidacion],COSTO_OPORTUNIDAD!$C309)</f>
        <v>0</v>
      </c>
      <c r="Q309" s="263">
        <f>+SUMIFS(Tabla6[Nominal COP],Tabla6[Concepto],COSTO_OPORTUNIDAD!$B$18,Tabla6[Nemotécnico],COSTO_OPORTUNIDAD!Q$16,Tabla6[Fecha Cumplimiento y/ liquidacion],COSTO_OPORTUNIDAD!$C309)/+SUMIFS(Tabla6[Nominal COP],Tabla6[Concepto],COSTO_OPORTUNIDAD!$B$18,Tabla6[Fecha Cumplimiento y/ liquidacion],COSTO_OPORTUNIDAD!$C309)</f>
        <v>0</v>
      </c>
      <c r="R309" s="263">
        <f>+SUMIFS(Tabla6[Nominal COP],Tabla6[Concepto],COSTO_OPORTUNIDAD!$B$18,Tabla6[Nemotécnico],COSTO_OPORTUNIDAD!R$16,Tabla6[Fecha Cumplimiento y/ liquidacion],COSTO_OPORTUNIDAD!$C309)/+SUMIFS(Tabla6[Nominal COP],Tabla6[Concepto],COSTO_OPORTUNIDAD!$B$18,Tabla6[Fecha Cumplimiento y/ liquidacion],COSTO_OPORTUNIDAD!$C309)</f>
        <v>0</v>
      </c>
      <c r="S309" s="263">
        <f>+SUMIFS(Tabla6[Nominal COP],Tabla6[Concepto],COSTO_OPORTUNIDAD!$B$18,Tabla6[Nemotécnico],COSTO_OPORTUNIDAD!S$16,Tabla6[Fecha Cumplimiento y/ liquidacion],COSTO_OPORTUNIDAD!$C309)/+SUMIFS(Tabla6[Nominal COP],Tabla6[Concepto],COSTO_OPORTUNIDAD!$B$18,Tabla6[Fecha Cumplimiento y/ liquidacion],COSTO_OPORTUNIDAD!$C309)</f>
        <v>0</v>
      </c>
      <c r="T309" s="263">
        <f>+SUMIFS(Tabla6[Nominal COP],Tabla6[Concepto],COSTO_OPORTUNIDAD!$B$18,Tabla6[Nemotécnico],COSTO_OPORTUNIDAD!T$16,Tabla6[Fecha Cumplimiento y/ liquidacion],COSTO_OPORTUNIDAD!$C309)/+SUMIFS(Tabla6[Nominal COP],Tabla6[Concepto],COSTO_OPORTUNIDAD!$B$18,Tabla6[Fecha Cumplimiento y/ liquidacion],COSTO_OPORTUNIDAD!$C309)</f>
        <v>0</v>
      </c>
      <c r="U309" s="263">
        <f>+SUMIFS(Tabla6[Nominal COP],Tabla6[Concepto],COSTO_OPORTUNIDAD!$B$18,Tabla6[Nemotécnico],COSTO_OPORTUNIDAD!U$16,Tabla6[Fecha Cumplimiento y/ liquidacion],COSTO_OPORTUNIDAD!$C309)/+SUMIFS(Tabla6[Nominal COP],Tabla6[Concepto],COSTO_OPORTUNIDAD!$B$18,Tabla6[Fecha Cumplimiento y/ liquidacion],COSTO_OPORTUNIDAD!$C309)</f>
        <v>0</v>
      </c>
      <c r="V309" s="263">
        <f>+SUMIFS(Tabla6[Nominal COP],Tabla6[Concepto],COSTO_OPORTUNIDAD!$B$18,Tabla6[Nemotécnico],COSTO_OPORTUNIDAD!V$16,Tabla6[Fecha Cumplimiento y/ liquidacion],COSTO_OPORTUNIDAD!$C309)/+SUMIFS(Tabla6[Nominal COP],Tabla6[Concepto],COSTO_OPORTUNIDAD!$B$18,Tabla6[Fecha Cumplimiento y/ liquidacion],COSTO_OPORTUNIDAD!$C309)</f>
        <v>0</v>
      </c>
      <c r="W309" s="263">
        <f>+SUMIFS(Tabla6[Nominal COP],Tabla6[Concepto],COSTO_OPORTUNIDAD!$B$18,Tabla6[Nemotécnico],COSTO_OPORTUNIDAD!W$16,Tabla6[Fecha Cumplimiento y/ liquidacion],COSTO_OPORTUNIDAD!$C309)/+SUMIFS(Tabla6[Nominal COP],Tabla6[Concepto],COSTO_OPORTUNIDAD!$B$18,Tabla6[Fecha Cumplimiento y/ liquidacion],COSTO_OPORTUNIDAD!$C309)</f>
        <v>0</v>
      </c>
      <c r="X309" s="263">
        <f>+SUMIFS(Tabla6[Nominal COP],Tabla6[Concepto],COSTO_OPORTUNIDAD!$B$18,Tabla6[Nemotécnico],COSTO_OPORTUNIDAD!X$16,Tabla6[Fecha Cumplimiento y/ liquidacion],COSTO_OPORTUNIDAD!$C309)/+SUMIFS(Tabla6[Nominal COP],Tabla6[Concepto],COSTO_OPORTUNIDAD!$B$18,Tabla6[Fecha Cumplimiento y/ liquidacion],COSTO_OPORTUNIDAD!$C309)</f>
        <v>0</v>
      </c>
      <c r="Y309" s="263">
        <f>+SUMIFS(Tabla6[Nominal COP],Tabla6[Concepto],COSTO_OPORTUNIDAD!$B$18,Tabla6[Nemotécnico],COSTO_OPORTUNIDAD!Y$16,Tabla6[Fecha Cumplimiento y/ liquidacion],COSTO_OPORTUNIDAD!$C309)/+SUMIFS(Tabla6[Nominal COP],Tabla6[Concepto],COSTO_OPORTUNIDAD!$B$18,Tabla6[Fecha Cumplimiento y/ liquidacion],COSTO_OPORTUNIDAD!$C309)</f>
        <v>0</v>
      </c>
      <c r="Z309" s="263">
        <f>+SUMIFS(Tabla6[Nominal COP],Tabla6[Concepto],COSTO_OPORTUNIDAD!$B$18,Tabla6[Nemotécnico],COSTO_OPORTUNIDAD!Z$16,Tabla6[Fecha Cumplimiento y/ liquidacion],COSTO_OPORTUNIDAD!$C309)/+SUMIFS(Tabla6[Nominal COP],Tabla6[Concepto],COSTO_OPORTUNIDAD!$B$18,Tabla6[Fecha Cumplimiento y/ liquidacion],COSTO_OPORTUNIDAD!$C309)</f>
        <v>0</v>
      </c>
      <c r="AA309" s="263">
        <f>+SUMIFS(Tabla6[Nominal COP],Tabla6[Concepto],COSTO_OPORTUNIDAD!$B$18,Tabla6[Nemotécnico],COSTO_OPORTUNIDAD!AA$16,Tabla6[Fecha Cumplimiento y/ liquidacion],COSTO_OPORTUNIDAD!$C309)/+SUMIFS(Tabla6[Nominal COP],Tabla6[Concepto],COSTO_OPORTUNIDAD!$B$18,Tabla6[Fecha Cumplimiento y/ liquidacion],COSTO_OPORTUNIDAD!$C309)</f>
        <v>0</v>
      </c>
      <c r="AB309" s="263">
        <f>+SUMIFS(Tabla6[Nominal COP],Tabla6[Concepto],COSTO_OPORTUNIDAD!$B$18,Tabla6[Nemotécnico],COSTO_OPORTUNIDAD!AB$16,Tabla6[Fecha Cumplimiento y/ liquidacion],COSTO_OPORTUNIDAD!$C309)/+SUMIFS(Tabla6[Nominal COP],Tabla6[Concepto],COSTO_OPORTUNIDAD!$B$18,Tabla6[Fecha Cumplimiento y/ liquidacion],COSTO_OPORTUNIDAD!$C309)</f>
        <v>0</v>
      </c>
      <c r="AC309" s="263">
        <f>+SUMIFS(Tabla6[Nominal COP],Tabla6[Concepto],COSTO_OPORTUNIDAD!$B$18,Tabla6[Nemotécnico],COSTO_OPORTUNIDAD!AC$16,Tabla6[Fecha Cumplimiento y/ liquidacion],COSTO_OPORTUNIDAD!$C309)/+SUMIFS(Tabla6[Nominal COP],Tabla6[Concepto],COSTO_OPORTUNIDAD!$B$18,Tabla6[Fecha Cumplimiento y/ liquidacion],COSTO_OPORTUNIDAD!$C309)</f>
        <v>0</v>
      </c>
      <c r="AD309" s="263">
        <f>+SUMIFS(Tabla6[Nominal COP],Tabla6[Concepto],COSTO_OPORTUNIDAD!$B$18,Tabla6[Nemotécnico],COSTO_OPORTUNIDAD!AC$16,Tabla6[Fecha Cumplimiento y/ liquidacion],COSTO_OPORTUNIDAD!$C309)/+SUMIFS(Tabla6[Nominal COP],Tabla6[Concepto],COSTO_OPORTUNIDAD!$B$18,Tabla6[Fecha Cumplimiento y/ liquidacion],COSTO_OPORTUNIDAD!$C309)</f>
        <v>0</v>
      </c>
      <c r="AE309" s="263">
        <f>+SUMIFS(Tabla6[Nominal COP],Tabla6[Concepto],COSTO_OPORTUNIDAD!$B$18,Tabla6[Nemotécnico],COSTO_OPORTUNIDAD!AE$16,Tabla6[Fecha Cumplimiento y/ liquidacion],COSTO_OPORTUNIDAD!$C309)/+SUMIFS(Tabla6[Nominal COP],Tabla6[Concepto],COSTO_OPORTUNIDAD!$B$18,Tabla6[Fecha Cumplimiento y/ liquidacion],COSTO_OPORTUNIDAD!$C309)</f>
        <v>0</v>
      </c>
      <c r="AF309" s="263">
        <f>+SUMIFS(Tabla6[Nominal COP],Tabla6[Concepto],COSTO_OPORTUNIDAD!$B$18,Tabla6[Nemotécnico],COSTO_OPORTUNIDAD!AF$16,Tabla6[Fecha Cumplimiento y/ liquidacion],COSTO_OPORTUNIDAD!$C309)/+SUMIFS(Tabla6[Nominal COP],Tabla6[Concepto],COSTO_OPORTUNIDAD!$B$18,Tabla6[Fecha Cumplimiento y/ liquidacion],COSTO_OPORTUNIDAD!$C309)</f>
        <v>0</v>
      </c>
      <c r="AH309" s="502">
        <f t="shared" ref="AH309:AH313" si="538">(D$17-$B309)</f>
        <v>88</v>
      </c>
      <c r="AI309" s="502">
        <f t="shared" ref="AI309:AI313" si="539">(G$17-$B309)</f>
        <v>698</v>
      </c>
      <c r="AJ309" s="502">
        <f t="shared" ref="AJ309:AJ313" si="540">(H$17-$B309)</f>
        <v>875</v>
      </c>
      <c r="AK309" s="502">
        <f t="shared" ref="AK309:AK313" si="541">(I$17-$B309)</f>
        <v>1356</v>
      </c>
      <c r="AL309" s="502">
        <f t="shared" ref="AL309:AL313" si="542">(J$17-$B309)</f>
        <v>1748</v>
      </c>
      <c r="AM309" s="502">
        <f t="shared" ref="AM309:AM313" si="543">(K$17-$B309)</f>
        <v>1937</v>
      </c>
      <c r="AN309" s="502">
        <f t="shared" ref="AN309:AN313" si="544">(L$17-$B309)</f>
        <v>2399</v>
      </c>
      <c r="AO309" s="502">
        <f t="shared" ref="AO309:AO313" si="545">(M$17-$B309)</f>
        <v>2623</v>
      </c>
      <c r="AP309" s="502">
        <f t="shared" ref="AP309:AP313" si="546">(N$17-$B309)</f>
        <v>3239</v>
      </c>
      <c r="AQ309" s="502">
        <f t="shared" ref="AQ309:AQ313" si="547">(O$17-$B309)</f>
        <v>3317</v>
      </c>
      <c r="AR309" s="502">
        <f t="shared" ref="AR309:AR313" si="548">(P$17-$B309)</f>
        <v>3869</v>
      </c>
      <c r="AS309" s="502">
        <f t="shared" ref="AS309:AS313" si="549">(Q$17-$B309)</f>
        <v>5472</v>
      </c>
      <c r="AT309" s="502">
        <f t="shared" ref="AT309:AT313" si="550">(R$17-$B309)</f>
        <v>6018</v>
      </c>
      <c r="AU309" s="502">
        <f t="shared" ref="AU309:AU313" si="551">(S$17-$B309)</f>
        <v>7537</v>
      </c>
      <c r="AV309" s="502">
        <f t="shared" ref="AV309:AV313" si="552">(T$17-$B309)</f>
        <v>9091</v>
      </c>
      <c r="AW309" s="502">
        <f t="shared" ref="AW309:AW313" si="553">(U$17-$B309)</f>
        <v>11786</v>
      </c>
      <c r="AX309" s="502">
        <f t="shared" ref="AX309:AX313" si="554">(V$17-$B309)</f>
        <v>-212</v>
      </c>
      <c r="AY309" s="502">
        <f t="shared" ref="AY309:AY313" si="555">(W$17-$B309)</f>
        <v>467</v>
      </c>
      <c r="AZ309" s="502">
        <f t="shared" ref="AZ309:AZ313" si="556">(X$17-$B309)</f>
        <v>1230</v>
      </c>
      <c r="BA309" s="502">
        <f t="shared" ref="BA309:BA313" si="557">(Y$17-$B309)</f>
        <v>1874</v>
      </c>
      <c r="BB309" s="502">
        <f t="shared" ref="BB309:BB313" si="558">(Z$17-$B309)</f>
        <v>2667</v>
      </c>
      <c r="BC309" s="502">
        <f t="shared" ref="BC309:BC313" si="559">(AA$17-$B309)</f>
        <v>3407</v>
      </c>
      <c r="BD309" s="502">
        <f t="shared" ref="BD309:BD313" si="560">(AB$17-$B309)</f>
        <v>4100</v>
      </c>
      <c r="BE309" s="502">
        <f t="shared" ref="BE309:BE313" si="561">(AC$17-$B309)</f>
        <v>5584</v>
      </c>
      <c r="BF309" s="502">
        <f t="shared" ref="BF309:BF313" si="562">(AD$17-$B309)</f>
        <v>8594</v>
      </c>
      <c r="BG309" s="502">
        <f t="shared" ref="BG309:BG313" si="563">(AE$17-$B309)</f>
        <v>10757</v>
      </c>
      <c r="BH309" s="502">
        <f t="shared" ref="BH309:BH313" si="564">(AF$17-$B309)</f>
        <v>13207</v>
      </c>
      <c r="BI309" s="198">
        <f t="shared" ref="BI309:BI313" si="565">+SUM(V309:AF309)</f>
        <v>0</v>
      </c>
      <c r="BJ309" s="198">
        <f t="shared" ref="BJ309:BJ313" si="566">+SUM(D309:T309)</f>
        <v>1</v>
      </c>
      <c r="BK309" s="198">
        <f t="shared" ref="BK309:BK313" si="567">IFERROR(F309/$BJ309,"")</f>
        <v>0</v>
      </c>
      <c r="BL309" s="198">
        <f t="shared" ref="BL309:BL313" si="568">IFERROR(G309/$BJ309,"")</f>
        <v>0</v>
      </c>
      <c r="BM309" s="198">
        <f t="shared" ref="BM309:BM313" si="569">IFERROR(H309/$BJ309,"")</f>
        <v>0</v>
      </c>
      <c r="BN309" s="198">
        <f t="shared" ref="BN309:BN313" si="570">IFERROR(I309/$BJ309,"")</f>
        <v>1</v>
      </c>
      <c r="BO309" s="198">
        <f t="shared" ref="BO309:BO313" si="571">IFERROR(J309/$BJ309,"")</f>
        <v>0</v>
      </c>
      <c r="BP309" s="198">
        <f t="shared" ref="BP309:BP313" si="572">IFERROR(K309/$BJ309,"")</f>
        <v>0</v>
      </c>
      <c r="BQ309" s="198">
        <f t="shared" ref="BQ309:BQ313" si="573">IFERROR(L309/$BJ309,"")</f>
        <v>0</v>
      </c>
      <c r="BR309" s="198">
        <f t="shared" ref="BR309:BR313" si="574">IFERROR(M309/$BJ309,"")</f>
        <v>0</v>
      </c>
      <c r="BS309" s="198">
        <f t="shared" ref="BS309:BS313" si="575">IFERROR(N309/$BJ309,"")</f>
        <v>0</v>
      </c>
      <c r="BT309" s="198">
        <f t="shared" ref="BT309:BT313" si="576">IFERROR(O309/$BJ309,"")</f>
        <v>0</v>
      </c>
      <c r="BU309" s="198">
        <f t="shared" ref="BU309:BU313" si="577">IFERROR(P309/$BJ309,"")</f>
        <v>0</v>
      </c>
      <c r="BV309" s="198">
        <f t="shared" ref="BV309:BV313" si="578">IFERROR(Q309/$BJ309,"")</f>
        <v>0</v>
      </c>
      <c r="BW309" s="198">
        <f t="shared" ref="BW309:BW313" si="579">IFERROR(R309/$BJ309,"")</f>
        <v>0</v>
      </c>
      <c r="BX309" s="198">
        <f t="shared" ref="BX309:BX313" si="580">IFERROR(S309/$BJ309,"")</f>
        <v>0</v>
      </c>
      <c r="BY309" s="198">
        <f t="shared" ref="BY309:BY313" si="581">IFERROR(T309/$BJ309,"")</f>
        <v>0</v>
      </c>
      <c r="BZ309" s="198">
        <f t="shared" ref="BZ309:BZ313" si="582">IFERROR(U309/$BJ309,"")</f>
        <v>0</v>
      </c>
      <c r="CA309" s="198" t="str">
        <f t="shared" ref="CA309:CA313" si="583">IFERROR(V309/$BI309,"")</f>
        <v/>
      </c>
      <c r="CB309" s="198" t="str">
        <f t="shared" ref="CB309:CB313" si="584">IFERROR(W309/$BI309,"")</f>
        <v/>
      </c>
      <c r="CC309" s="198" t="str">
        <f t="shared" ref="CC309:CC313" si="585">IFERROR(X309/$BI309,"")</f>
        <v/>
      </c>
      <c r="CD309" s="198" t="str">
        <f t="shared" ref="CD309:CD313" si="586">IFERROR(Y309/$BI309,"")</f>
        <v/>
      </c>
      <c r="CE309" s="198" t="str">
        <f t="shared" ref="CE309:CE313" si="587">IFERROR(Z309/$BI309,"")</f>
        <v/>
      </c>
      <c r="CF309" s="198" t="str">
        <f t="shared" ref="CF309:CF313" si="588">IFERROR(AA309/$BI309,"")</f>
        <v/>
      </c>
      <c r="CG309" s="198" t="str">
        <f t="shared" ref="CG309:CG313" si="589">IFERROR(AB309/$BI309,"")</f>
        <v/>
      </c>
      <c r="CH309" s="198" t="str">
        <f t="shared" ref="CH309:CH313" si="590">IFERROR(AC309/$BI309,"")</f>
        <v/>
      </c>
      <c r="CI309" s="198" t="str">
        <f t="shared" ref="CI309:CI313" si="591">IFERROR(AD309/$BI309,"")</f>
        <v/>
      </c>
      <c r="CJ309" s="198" t="str">
        <f t="shared" ref="CJ309:CJ313" si="592">IFERROR(AE309/$BI309,"")</f>
        <v/>
      </c>
      <c r="CK309" s="198" t="str">
        <f t="shared" ref="CK309:CK313" si="593">IFERROR(AF309/$BI309,"")</f>
        <v/>
      </c>
      <c r="CL309" s="503">
        <f t="shared" ref="CL309:CL313" si="594">ROUND(IFERROR((_xlfn.DAYS($F$17,B309)*BK309),0)+IFERROR((_xlfn.DAYS($G$17,B309)*BL309),0)+IFERROR((_xlfn.DAYS($H$17,B309)*BM309),0)+IFERROR((_xlfn.DAYS($I$17,B309)*BN309),0)+IFERROR((_xlfn.DAYS($J$17,B309)*BO309),0)+IFERROR((_xlfn.DAYS($K$17,B309)*BP309),0)+IFERROR((_xlfn.DAYS($L$17,B309)*BQ309),0)+IFERROR((_xlfn.DAYS($M$17,B309)*BR309),0)+IFERROR((_xlfn.DAYS($N$17,B309)*BS309),0)+IFERROR((_xlfn.DAYS($P$17,B309)*BU309),0)+IFERROR((_xlfn.DAYS($Q$17,B309)*BV309),0)+IFERROR((_xlfn.DAYS($R$17,B309)*BW309),0)+IFERROR((_xlfn.DAYS($S$17,B309)*BX309),0)+IFERROR((_xlfn.DAYS($T$17,B309)*BY309),0)+IFERROR((_xlfn.DAYS($T$17,B309)*BZ309),0)+IFERROR((_xlfn.DAYS($T$17,B309)*BT309),0),0)</f>
        <v>1356</v>
      </c>
      <c r="CM309" s="503">
        <f t="shared" si="527"/>
        <v>0</v>
      </c>
      <c r="CO309" s="265">
        <v>9.1150000000000009E-2</v>
      </c>
      <c r="CP309" s="265">
        <v>0.106</v>
      </c>
      <c r="CQ309" s="265">
        <v>0.11199999999999999</v>
      </c>
      <c r="CR309" s="265">
        <v>0.11900000000000001</v>
      </c>
      <c r="CS309" s="265">
        <v>0.12</v>
      </c>
      <c r="CT309" s="265">
        <v>0.12050000000000001</v>
      </c>
      <c r="CU309" s="265">
        <v>0.12035999999999999</v>
      </c>
      <c r="CV309" s="265">
        <v>0.12182</v>
      </c>
      <c r="CW309" s="265">
        <v>0.12051000000000001</v>
      </c>
      <c r="CX309" s="265">
        <v>0.12311999999999999</v>
      </c>
      <c r="CY309" s="265">
        <v>0.12007</v>
      </c>
      <c r="CZ309" s="265">
        <v>0.12321</v>
      </c>
      <c r="DA309" s="265">
        <v>0.12105</v>
      </c>
      <c r="DB309" s="265">
        <v>0.12359999999999999</v>
      </c>
      <c r="DC309" s="265">
        <v>0.12003</v>
      </c>
      <c r="DD309" s="265">
        <v>0.12311</v>
      </c>
      <c r="DE309" s="265">
        <v>5.509E-2</v>
      </c>
      <c r="DF309" s="265">
        <v>6.1349999999999995E-2</v>
      </c>
      <c r="DG309" s="265">
        <v>6.2800000000000009E-2</v>
      </c>
      <c r="DH309" s="265">
        <v>6.3799999999999996E-2</v>
      </c>
      <c r="DI309" s="265">
        <v>6.4000000000000001E-2</v>
      </c>
      <c r="DJ309" s="265">
        <v>6.2800000000000009E-2</v>
      </c>
      <c r="DK309" s="265">
        <v>6.1500000000000006E-2</v>
      </c>
      <c r="DL309" s="265">
        <v>6.1890000000000001E-2</v>
      </c>
      <c r="DM309" s="265">
        <v>6.2800000000000009E-2</v>
      </c>
      <c r="DN309" s="265">
        <v>6.3649999999999998E-2</v>
      </c>
      <c r="DO309" s="503">
        <f t="shared" ref="DO309:DO313" si="595">+INDEX(AH309:AW309,MATCH(CL309,AH309:AW309,1))</f>
        <v>1356</v>
      </c>
      <c r="DP309" s="503" cm="1">
        <f t="array" ref="DP309">+INDEX(AH309:AW309,MATCH(DO309,AH309:AW309,1)+1)</f>
        <v>1748</v>
      </c>
      <c r="DQ309" s="504">
        <f t="shared" ref="DQ309:DQ313" si="596">+INDEX(CO309:DD309,MATCH(DO309,AH309:AV309,1))</f>
        <v>0.11900000000000001</v>
      </c>
      <c r="DR309" s="205">
        <f t="shared" ref="DR309:DR313" si="597">+INDEX(CO309:DD309,MATCH(DP309,AH309:AV309,1))</f>
        <v>0.12</v>
      </c>
      <c r="DS309" s="205">
        <f t="shared" ref="DS309:DS313" si="598">ROUND(DQ309+((CL309-DO309)/(DP309-DO309))*(DR309-DQ309),6)</f>
        <v>0.11899999999999999</v>
      </c>
      <c r="DT309" s="505">
        <f t="shared" ref="DT309:DT313" si="599">+INDEX(AX309:BH309,MATCH(CM309,AX309:BH309,1))</f>
        <v>-212</v>
      </c>
      <c r="DU309" s="505" t="e" cm="1">
        <f t="array" ref="DU309">+INDEX(AY309:BH309,MATCH(DT309,AY309:BH309,1)+1)</f>
        <v>#N/A</v>
      </c>
      <c r="DV309" s="205" t="e">
        <f t="shared" ref="DV309:DV313" si="600">+INDEX(DE309:DN309,MATCH(DT309,AY309:BH309,1))</f>
        <v>#N/A</v>
      </c>
      <c r="DW309" s="205" t="e">
        <f t="shared" ref="DW309:DW313" si="601">+INDEX(DE309:DM309,MATCH(DU309,AX309:BG309,1))</f>
        <v>#N/A</v>
      </c>
      <c r="DX309" s="205" t="e">
        <f t="shared" ref="DX309:DX313" si="602">ROUND(DV309+((CM309-DT309)/(DU309-DT309))*(DW309-DV309),5)</f>
        <v>#N/A</v>
      </c>
      <c r="DY309" s="205">
        <f t="shared" si="341"/>
        <v>5.28E-2</v>
      </c>
      <c r="DZ309" s="205" t="e">
        <f t="shared" ref="DZ309:DZ313" si="603">+(1+DX309)*(1+DY309)-1</f>
        <v>#N/A</v>
      </c>
      <c r="EA309" s="205">
        <f t="shared" ref="EA309:EA313" si="604">IFERROR(BJ309*DS309,0)+IFERROR(BI309*DZ309,0)</f>
        <v>0.11899999999999999</v>
      </c>
    </row>
    <row r="310" spans="2:131">
      <c r="B310" s="272">
        <v>46000</v>
      </c>
      <c r="C310" s="271">
        <f t="shared" si="469"/>
        <v>46000</v>
      </c>
      <c r="D310" s="263">
        <f>+SUMIFS(Tabla6[Nominal COP],Tabla6[Concepto],COSTO_OPORTUNIDAD!$B$18,Tabla6[Nemotécnico],COSTO_OPORTUNIDAD!D$16,Tabla6[Fecha Cumplimiento y/ liquidacion],COSTO_OPORTUNIDAD!$C310)/+SUMIFS(Tabla6[Nominal COP],Tabla6[Concepto],COSTO_OPORTUNIDAD!$B$18,Tabla6[Fecha Cumplimiento y/ liquidacion],COSTO_OPORTUNIDAD!$C310)</f>
        <v>0</v>
      </c>
      <c r="E310" s="263">
        <f>+SUMIFS(Tabla6[Nominal COP],Tabla6[Concepto],COSTO_OPORTUNIDAD!$B$18,Tabla6[Nemotécnico],COSTO_OPORTUNIDAD!E$16,Tabla6[Fecha Cumplimiento y/ liquidacion],COSTO_OPORTUNIDAD!$C310)/+SUMIFS(Tabla6[Nominal COP],Tabla6[Concepto],COSTO_OPORTUNIDAD!$B$18,Tabla6[Fecha Cumplimiento y/ liquidacion],COSTO_OPORTUNIDAD!$C310)</f>
        <v>0</v>
      </c>
      <c r="F310" s="263">
        <f>+SUMIFS(Tabla6[Nominal COP],Tabla6[Concepto],COSTO_OPORTUNIDAD!$B$18,Tabla6[Nemotécnico],COSTO_OPORTUNIDAD!F$16,Tabla6[Fecha Cumplimiento y/ liquidacion],COSTO_OPORTUNIDAD!$C310)/+SUMIFS(Tabla6[Nominal COP],Tabla6[Concepto],COSTO_OPORTUNIDAD!$B$18,Tabla6[Fecha Cumplimiento y/ liquidacion],COSTO_OPORTUNIDAD!$C310)</f>
        <v>0</v>
      </c>
      <c r="G310" s="263">
        <f>+SUMIFS(Tabla6[Nominal COP],Tabla6[Concepto],COSTO_OPORTUNIDAD!$B$18,Tabla6[Nemotécnico],COSTO_OPORTUNIDAD!G$16,Tabla6[Fecha Cumplimiento y/ liquidacion],COSTO_OPORTUNIDAD!$C310)/+SUMIFS(Tabla6[Nominal COP],Tabla6[Concepto],COSTO_OPORTUNIDAD!$B$18,Tabla6[Fecha Cumplimiento y/ liquidacion],COSTO_OPORTUNIDAD!$C310)</f>
        <v>0</v>
      </c>
      <c r="H310" s="263">
        <f>+SUMIFS(Tabla6[Nominal COP],Tabla6[Concepto],COSTO_OPORTUNIDAD!$B$18,Tabla6[Nemotécnico],COSTO_OPORTUNIDAD!H$16,Tabla6[Fecha Cumplimiento y/ liquidacion],COSTO_OPORTUNIDAD!$C310)/+SUMIFS(Tabla6[Nominal COP],Tabla6[Concepto],COSTO_OPORTUNIDAD!$B$18,Tabla6[Fecha Cumplimiento y/ liquidacion],COSTO_OPORTUNIDAD!$C310)</f>
        <v>0</v>
      </c>
      <c r="I310" s="263">
        <f>+SUMIFS(Tabla6[Nominal COP],Tabla6[Concepto],COSTO_OPORTUNIDAD!$B$18,Tabla6[Nemotécnico],COSTO_OPORTUNIDAD!I$16,Tabla6[Fecha Cumplimiento y/ liquidacion],COSTO_OPORTUNIDAD!$C310)/+SUMIFS(Tabla6[Nominal COP],Tabla6[Concepto],COSTO_OPORTUNIDAD!$B$18,Tabla6[Fecha Cumplimiento y/ liquidacion],COSTO_OPORTUNIDAD!$C310)</f>
        <v>1</v>
      </c>
      <c r="J310" s="263">
        <f>+SUMIFS(Tabla6[Nominal COP],Tabla6[Concepto],COSTO_OPORTUNIDAD!$B$18,Tabla6[Nemotécnico],COSTO_OPORTUNIDAD!J$16,Tabla6[Fecha Cumplimiento y/ liquidacion],COSTO_OPORTUNIDAD!$C310)/+SUMIFS(Tabla6[Nominal COP],Tabla6[Concepto],COSTO_OPORTUNIDAD!$B$18,Tabla6[Fecha Cumplimiento y/ liquidacion],COSTO_OPORTUNIDAD!$C310)</f>
        <v>0</v>
      </c>
      <c r="K310" s="263">
        <f>+SUMIFS(Tabla6[Nominal COP],Tabla6[Concepto],COSTO_OPORTUNIDAD!$B$18,Tabla6[Nemotécnico],COSTO_OPORTUNIDAD!K$16,Tabla6[Fecha Cumplimiento y/ liquidacion],COSTO_OPORTUNIDAD!$C310)/+SUMIFS(Tabla6[Nominal COP],Tabla6[Concepto],COSTO_OPORTUNIDAD!$B$18,Tabla6[Fecha Cumplimiento y/ liquidacion],COSTO_OPORTUNIDAD!$C310)</f>
        <v>0</v>
      </c>
      <c r="L310" s="263">
        <f>+SUMIFS(Tabla6[Nominal COP],Tabla6[Concepto],COSTO_OPORTUNIDAD!$B$18,Tabla6[Nemotécnico],COSTO_OPORTUNIDAD!L$16,Tabla6[Fecha Cumplimiento y/ liquidacion],COSTO_OPORTUNIDAD!$C310)/+SUMIFS(Tabla6[Nominal COP],Tabla6[Concepto],COSTO_OPORTUNIDAD!$B$18,Tabla6[Fecha Cumplimiento y/ liquidacion],COSTO_OPORTUNIDAD!$C310)</f>
        <v>0</v>
      </c>
      <c r="M310" s="263">
        <f>+SUMIFS(Tabla6[Nominal COP],Tabla6[Concepto],COSTO_OPORTUNIDAD!$B$18,Tabla6[Nemotécnico],COSTO_OPORTUNIDAD!M$16,Tabla6[Fecha Cumplimiento y/ liquidacion],COSTO_OPORTUNIDAD!$C310)/+SUMIFS(Tabla6[Nominal COP],Tabla6[Concepto],COSTO_OPORTUNIDAD!$B$18,Tabla6[Fecha Cumplimiento y/ liquidacion],COSTO_OPORTUNIDAD!$C310)</f>
        <v>0</v>
      </c>
      <c r="N310" s="263">
        <f>+SUMIFS(Tabla6[Nominal COP],Tabla6[Concepto],COSTO_OPORTUNIDAD!$B$18,Tabla6[Nemotécnico],COSTO_OPORTUNIDAD!N$16,Tabla6[Fecha Cumplimiento y/ liquidacion],COSTO_OPORTUNIDAD!$C310)/+SUMIFS(Tabla6[Nominal COP],Tabla6[Concepto],COSTO_OPORTUNIDAD!$B$18,Tabla6[Fecha Cumplimiento y/ liquidacion],COSTO_OPORTUNIDAD!$C310)</f>
        <v>0</v>
      </c>
      <c r="O310" s="263">
        <f>+SUMIFS(Tabla6[Nominal COP],Tabla6[Concepto],COSTO_OPORTUNIDAD!$B$18,Tabla6[Nemotécnico],COSTO_OPORTUNIDAD!O$16,Tabla6[Fecha Cumplimiento y/ liquidacion],COSTO_OPORTUNIDAD!$C310)/+SUMIFS(Tabla6[Nominal COP],Tabla6[Concepto],COSTO_OPORTUNIDAD!$B$18,Tabla6[Fecha Cumplimiento y/ liquidacion],COSTO_OPORTUNIDAD!$C310)</f>
        <v>0</v>
      </c>
      <c r="P310" s="263">
        <f>+SUMIFS(Tabla6[Nominal COP],Tabla6[Concepto],COSTO_OPORTUNIDAD!$B$18,Tabla6[Nemotécnico],COSTO_OPORTUNIDAD!P$16,Tabla6[Fecha Cumplimiento y/ liquidacion],COSTO_OPORTUNIDAD!$C310)/+SUMIFS(Tabla6[Nominal COP],Tabla6[Concepto],COSTO_OPORTUNIDAD!$B$18,Tabla6[Fecha Cumplimiento y/ liquidacion],COSTO_OPORTUNIDAD!$C310)</f>
        <v>0</v>
      </c>
      <c r="Q310" s="263">
        <f>+SUMIFS(Tabla6[Nominal COP],Tabla6[Concepto],COSTO_OPORTUNIDAD!$B$18,Tabla6[Nemotécnico],COSTO_OPORTUNIDAD!Q$16,Tabla6[Fecha Cumplimiento y/ liquidacion],COSTO_OPORTUNIDAD!$C310)/+SUMIFS(Tabla6[Nominal COP],Tabla6[Concepto],COSTO_OPORTUNIDAD!$B$18,Tabla6[Fecha Cumplimiento y/ liquidacion],COSTO_OPORTUNIDAD!$C310)</f>
        <v>0</v>
      </c>
      <c r="R310" s="263">
        <f>+SUMIFS(Tabla6[Nominal COP],Tabla6[Concepto],COSTO_OPORTUNIDAD!$B$18,Tabla6[Nemotécnico],COSTO_OPORTUNIDAD!R$16,Tabla6[Fecha Cumplimiento y/ liquidacion],COSTO_OPORTUNIDAD!$C310)/+SUMIFS(Tabla6[Nominal COP],Tabla6[Concepto],COSTO_OPORTUNIDAD!$B$18,Tabla6[Fecha Cumplimiento y/ liquidacion],COSTO_OPORTUNIDAD!$C310)</f>
        <v>0</v>
      </c>
      <c r="S310" s="263">
        <f>+SUMIFS(Tabla6[Nominal COP],Tabla6[Concepto],COSTO_OPORTUNIDAD!$B$18,Tabla6[Nemotécnico],COSTO_OPORTUNIDAD!S$16,Tabla6[Fecha Cumplimiento y/ liquidacion],COSTO_OPORTUNIDAD!$C310)/+SUMIFS(Tabla6[Nominal COP],Tabla6[Concepto],COSTO_OPORTUNIDAD!$B$18,Tabla6[Fecha Cumplimiento y/ liquidacion],COSTO_OPORTUNIDAD!$C310)</f>
        <v>0</v>
      </c>
      <c r="T310" s="263">
        <f>+SUMIFS(Tabla6[Nominal COP],Tabla6[Concepto],COSTO_OPORTUNIDAD!$B$18,Tabla6[Nemotécnico],COSTO_OPORTUNIDAD!T$16,Tabla6[Fecha Cumplimiento y/ liquidacion],COSTO_OPORTUNIDAD!$C310)/+SUMIFS(Tabla6[Nominal COP],Tabla6[Concepto],COSTO_OPORTUNIDAD!$B$18,Tabla6[Fecha Cumplimiento y/ liquidacion],COSTO_OPORTUNIDAD!$C310)</f>
        <v>0</v>
      </c>
      <c r="U310" s="263">
        <f>+SUMIFS(Tabla6[Nominal COP],Tabla6[Concepto],COSTO_OPORTUNIDAD!$B$18,Tabla6[Nemotécnico],COSTO_OPORTUNIDAD!U$16,Tabla6[Fecha Cumplimiento y/ liquidacion],COSTO_OPORTUNIDAD!$C310)/+SUMIFS(Tabla6[Nominal COP],Tabla6[Concepto],COSTO_OPORTUNIDAD!$B$18,Tabla6[Fecha Cumplimiento y/ liquidacion],COSTO_OPORTUNIDAD!$C310)</f>
        <v>0</v>
      </c>
      <c r="V310" s="263">
        <f>+SUMIFS(Tabla6[Nominal COP],Tabla6[Concepto],COSTO_OPORTUNIDAD!$B$18,Tabla6[Nemotécnico],COSTO_OPORTUNIDAD!V$16,Tabla6[Fecha Cumplimiento y/ liquidacion],COSTO_OPORTUNIDAD!$C310)/+SUMIFS(Tabla6[Nominal COP],Tabla6[Concepto],COSTO_OPORTUNIDAD!$B$18,Tabla6[Fecha Cumplimiento y/ liquidacion],COSTO_OPORTUNIDAD!$C310)</f>
        <v>0</v>
      </c>
      <c r="W310" s="263">
        <f>+SUMIFS(Tabla6[Nominal COP],Tabla6[Concepto],COSTO_OPORTUNIDAD!$B$18,Tabla6[Nemotécnico],COSTO_OPORTUNIDAD!W$16,Tabla6[Fecha Cumplimiento y/ liquidacion],COSTO_OPORTUNIDAD!$C310)/+SUMIFS(Tabla6[Nominal COP],Tabla6[Concepto],COSTO_OPORTUNIDAD!$B$18,Tabla6[Fecha Cumplimiento y/ liquidacion],COSTO_OPORTUNIDAD!$C310)</f>
        <v>0</v>
      </c>
      <c r="X310" s="263">
        <f>+SUMIFS(Tabla6[Nominal COP],Tabla6[Concepto],COSTO_OPORTUNIDAD!$B$18,Tabla6[Nemotécnico],COSTO_OPORTUNIDAD!X$16,Tabla6[Fecha Cumplimiento y/ liquidacion],COSTO_OPORTUNIDAD!$C310)/+SUMIFS(Tabla6[Nominal COP],Tabla6[Concepto],COSTO_OPORTUNIDAD!$B$18,Tabla6[Fecha Cumplimiento y/ liquidacion],COSTO_OPORTUNIDAD!$C310)</f>
        <v>0</v>
      </c>
      <c r="Y310" s="263">
        <f>+SUMIFS(Tabla6[Nominal COP],Tabla6[Concepto],COSTO_OPORTUNIDAD!$B$18,Tabla6[Nemotécnico],COSTO_OPORTUNIDAD!Y$16,Tabla6[Fecha Cumplimiento y/ liquidacion],COSTO_OPORTUNIDAD!$C310)/+SUMIFS(Tabla6[Nominal COP],Tabla6[Concepto],COSTO_OPORTUNIDAD!$B$18,Tabla6[Fecha Cumplimiento y/ liquidacion],COSTO_OPORTUNIDAD!$C310)</f>
        <v>0</v>
      </c>
      <c r="Z310" s="263">
        <f>+SUMIFS(Tabla6[Nominal COP],Tabla6[Concepto],COSTO_OPORTUNIDAD!$B$18,Tabla6[Nemotécnico],COSTO_OPORTUNIDAD!Z$16,Tabla6[Fecha Cumplimiento y/ liquidacion],COSTO_OPORTUNIDAD!$C310)/+SUMIFS(Tabla6[Nominal COP],Tabla6[Concepto],COSTO_OPORTUNIDAD!$B$18,Tabla6[Fecha Cumplimiento y/ liquidacion],COSTO_OPORTUNIDAD!$C310)</f>
        <v>0</v>
      </c>
      <c r="AA310" s="263">
        <f>+SUMIFS(Tabla6[Nominal COP],Tabla6[Concepto],COSTO_OPORTUNIDAD!$B$18,Tabla6[Nemotécnico],COSTO_OPORTUNIDAD!AA$16,Tabla6[Fecha Cumplimiento y/ liquidacion],COSTO_OPORTUNIDAD!$C310)/+SUMIFS(Tabla6[Nominal COP],Tabla6[Concepto],COSTO_OPORTUNIDAD!$B$18,Tabla6[Fecha Cumplimiento y/ liquidacion],COSTO_OPORTUNIDAD!$C310)</f>
        <v>0</v>
      </c>
      <c r="AB310" s="263">
        <f>+SUMIFS(Tabla6[Nominal COP],Tabla6[Concepto],COSTO_OPORTUNIDAD!$B$18,Tabla6[Nemotécnico],COSTO_OPORTUNIDAD!AB$16,Tabla6[Fecha Cumplimiento y/ liquidacion],COSTO_OPORTUNIDAD!$C310)/+SUMIFS(Tabla6[Nominal COP],Tabla6[Concepto],COSTO_OPORTUNIDAD!$B$18,Tabla6[Fecha Cumplimiento y/ liquidacion],COSTO_OPORTUNIDAD!$C310)</f>
        <v>0</v>
      </c>
      <c r="AC310" s="263">
        <f>+SUMIFS(Tabla6[Nominal COP],Tabla6[Concepto],COSTO_OPORTUNIDAD!$B$18,Tabla6[Nemotécnico],COSTO_OPORTUNIDAD!AC$16,Tabla6[Fecha Cumplimiento y/ liquidacion],COSTO_OPORTUNIDAD!$C310)/+SUMIFS(Tabla6[Nominal COP],Tabla6[Concepto],COSTO_OPORTUNIDAD!$B$18,Tabla6[Fecha Cumplimiento y/ liquidacion],COSTO_OPORTUNIDAD!$C310)</f>
        <v>0</v>
      </c>
      <c r="AD310" s="263">
        <f>+SUMIFS(Tabla6[Nominal COP],Tabla6[Concepto],COSTO_OPORTUNIDAD!$B$18,Tabla6[Nemotécnico],COSTO_OPORTUNIDAD!AC$16,Tabla6[Fecha Cumplimiento y/ liquidacion],COSTO_OPORTUNIDAD!$C310)/+SUMIFS(Tabla6[Nominal COP],Tabla6[Concepto],COSTO_OPORTUNIDAD!$B$18,Tabla6[Fecha Cumplimiento y/ liquidacion],COSTO_OPORTUNIDAD!$C310)</f>
        <v>0</v>
      </c>
      <c r="AE310" s="263">
        <f>+SUMIFS(Tabla6[Nominal COP],Tabla6[Concepto],COSTO_OPORTUNIDAD!$B$18,Tabla6[Nemotécnico],COSTO_OPORTUNIDAD!AE$16,Tabla6[Fecha Cumplimiento y/ liquidacion],COSTO_OPORTUNIDAD!$C310)/+SUMIFS(Tabla6[Nominal COP],Tabla6[Concepto],COSTO_OPORTUNIDAD!$B$18,Tabla6[Fecha Cumplimiento y/ liquidacion],COSTO_OPORTUNIDAD!$C310)</f>
        <v>0</v>
      </c>
      <c r="AF310" s="263">
        <f>+SUMIFS(Tabla6[Nominal COP],Tabla6[Concepto],COSTO_OPORTUNIDAD!$B$18,Tabla6[Nemotécnico],COSTO_OPORTUNIDAD!AF$16,Tabla6[Fecha Cumplimiento y/ liquidacion],COSTO_OPORTUNIDAD!$C310)/+SUMIFS(Tabla6[Nominal COP],Tabla6[Concepto],COSTO_OPORTUNIDAD!$B$18,Tabla6[Fecha Cumplimiento y/ liquidacion],COSTO_OPORTUNIDAD!$C310)</f>
        <v>0</v>
      </c>
      <c r="AH310" s="502">
        <f t="shared" si="538"/>
        <v>84</v>
      </c>
      <c r="AI310" s="502">
        <f t="shared" si="539"/>
        <v>694</v>
      </c>
      <c r="AJ310" s="502">
        <f t="shared" si="540"/>
        <v>871</v>
      </c>
      <c r="AK310" s="502">
        <f t="shared" si="541"/>
        <v>1352</v>
      </c>
      <c r="AL310" s="502">
        <f t="shared" si="542"/>
        <v>1744</v>
      </c>
      <c r="AM310" s="502">
        <f t="shared" si="543"/>
        <v>1933</v>
      </c>
      <c r="AN310" s="502">
        <f t="shared" si="544"/>
        <v>2395</v>
      </c>
      <c r="AO310" s="502">
        <f t="shared" si="545"/>
        <v>2619</v>
      </c>
      <c r="AP310" s="502">
        <f t="shared" si="546"/>
        <v>3235</v>
      </c>
      <c r="AQ310" s="502">
        <f t="shared" si="547"/>
        <v>3313</v>
      </c>
      <c r="AR310" s="502">
        <f t="shared" si="548"/>
        <v>3865</v>
      </c>
      <c r="AS310" s="502">
        <f t="shared" si="549"/>
        <v>5468</v>
      </c>
      <c r="AT310" s="502">
        <f t="shared" si="550"/>
        <v>6014</v>
      </c>
      <c r="AU310" s="502">
        <f t="shared" si="551"/>
        <v>7533</v>
      </c>
      <c r="AV310" s="502">
        <f t="shared" si="552"/>
        <v>9087</v>
      </c>
      <c r="AW310" s="502">
        <f t="shared" si="553"/>
        <v>11782</v>
      </c>
      <c r="AX310" s="502">
        <f t="shared" si="554"/>
        <v>-216</v>
      </c>
      <c r="AY310" s="502">
        <f t="shared" si="555"/>
        <v>463</v>
      </c>
      <c r="AZ310" s="502">
        <f t="shared" si="556"/>
        <v>1226</v>
      </c>
      <c r="BA310" s="502">
        <f t="shared" si="557"/>
        <v>1870</v>
      </c>
      <c r="BB310" s="502">
        <f t="shared" si="558"/>
        <v>2663</v>
      </c>
      <c r="BC310" s="502">
        <f t="shared" si="559"/>
        <v>3403</v>
      </c>
      <c r="BD310" s="502">
        <f t="shared" si="560"/>
        <v>4096</v>
      </c>
      <c r="BE310" s="502">
        <f t="shared" si="561"/>
        <v>5580</v>
      </c>
      <c r="BF310" s="502">
        <f t="shared" si="562"/>
        <v>8590</v>
      </c>
      <c r="BG310" s="502">
        <f t="shared" si="563"/>
        <v>10753</v>
      </c>
      <c r="BH310" s="502">
        <f t="shared" si="564"/>
        <v>13203</v>
      </c>
      <c r="BI310" s="198">
        <f t="shared" si="565"/>
        <v>0</v>
      </c>
      <c r="BJ310" s="198">
        <f t="shared" si="566"/>
        <v>1</v>
      </c>
      <c r="BK310" s="198">
        <f t="shared" si="567"/>
        <v>0</v>
      </c>
      <c r="BL310" s="198">
        <f t="shared" si="568"/>
        <v>0</v>
      </c>
      <c r="BM310" s="198">
        <f t="shared" si="569"/>
        <v>0</v>
      </c>
      <c r="BN310" s="198">
        <f t="shared" si="570"/>
        <v>1</v>
      </c>
      <c r="BO310" s="198">
        <f t="shared" si="571"/>
        <v>0</v>
      </c>
      <c r="BP310" s="198">
        <f t="shared" si="572"/>
        <v>0</v>
      </c>
      <c r="BQ310" s="198">
        <f t="shared" si="573"/>
        <v>0</v>
      </c>
      <c r="BR310" s="198">
        <f t="shared" si="574"/>
        <v>0</v>
      </c>
      <c r="BS310" s="198">
        <f t="shared" si="575"/>
        <v>0</v>
      </c>
      <c r="BT310" s="198">
        <f t="shared" si="576"/>
        <v>0</v>
      </c>
      <c r="BU310" s="198">
        <f t="shared" si="577"/>
        <v>0</v>
      </c>
      <c r="BV310" s="198">
        <f t="shared" si="578"/>
        <v>0</v>
      </c>
      <c r="BW310" s="198">
        <f t="shared" si="579"/>
        <v>0</v>
      </c>
      <c r="BX310" s="198">
        <f t="shared" si="580"/>
        <v>0</v>
      </c>
      <c r="BY310" s="198">
        <f t="shared" si="581"/>
        <v>0</v>
      </c>
      <c r="BZ310" s="198">
        <f t="shared" si="582"/>
        <v>0</v>
      </c>
      <c r="CA310" s="198" t="str">
        <f t="shared" si="583"/>
        <v/>
      </c>
      <c r="CB310" s="198" t="str">
        <f t="shared" si="584"/>
        <v/>
      </c>
      <c r="CC310" s="198" t="str">
        <f t="shared" si="585"/>
        <v/>
      </c>
      <c r="CD310" s="198" t="str">
        <f t="shared" si="586"/>
        <v/>
      </c>
      <c r="CE310" s="198" t="str">
        <f t="shared" si="587"/>
        <v/>
      </c>
      <c r="CF310" s="198" t="str">
        <f t="shared" si="588"/>
        <v/>
      </c>
      <c r="CG310" s="198" t="str">
        <f t="shared" si="589"/>
        <v/>
      </c>
      <c r="CH310" s="198" t="str">
        <f t="shared" si="590"/>
        <v/>
      </c>
      <c r="CI310" s="198" t="str">
        <f t="shared" si="591"/>
        <v/>
      </c>
      <c r="CJ310" s="198" t="str">
        <f t="shared" si="592"/>
        <v/>
      </c>
      <c r="CK310" s="198" t="str">
        <f t="shared" si="593"/>
        <v/>
      </c>
      <c r="CL310" s="503">
        <f t="shared" si="594"/>
        <v>1352</v>
      </c>
      <c r="CM310" s="503">
        <f t="shared" si="527"/>
        <v>0</v>
      </c>
      <c r="CO310" s="265">
        <v>8.8710000000000011E-2</v>
      </c>
      <c r="CP310" s="265">
        <v>0.1072</v>
      </c>
      <c r="CQ310" s="265">
        <v>0.11349999999999999</v>
      </c>
      <c r="CR310" s="265">
        <v>0.12099</v>
      </c>
      <c r="CS310" s="265">
        <v>0.12223000000000001</v>
      </c>
      <c r="CT310" s="265">
        <v>0.12229</v>
      </c>
      <c r="CU310" s="265">
        <v>0.12300000000000001</v>
      </c>
      <c r="CV310" s="265">
        <v>0.12275999999999999</v>
      </c>
      <c r="CW310" s="265">
        <v>0.12247999999999999</v>
      </c>
      <c r="CX310" s="265">
        <v>0.12628999999999999</v>
      </c>
      <c r="CY310" s="265">
        <v>0.1225</v>
      </c>
      <c r="CZ310" s="265">
        <v>0.12517</v>
      </c>
      <c r="DA310" s="265">
        <v>0.1226</v>
      </c>
      <c r="DB310" s="265">
        <v>0.12551999999999999</v>
      </c>
      <c r="DC310" s="265">
        <v>0.12300000000000001</v>
      </c>
      <c r="DD310" s="265">
        <v>0.126</v>
      </c>
      <c r="DE310" s="265">
        <v>5.62E-2</v>
      </c>
      <c r="DF310" s="265">
        <v>6.1200000000000004E-2</v>
      </c>
      <c r="DG310" s="265">
        <v>6.4500000000000002E-2</v>
      </c>
      <c r="DH310" s="265">
        <v>6.3799999999999996E-2</v>
      </c>
      <c r="DI310" s="265">
        <v>6.4000000000000001E-2</v>
      </c>
      <c r="DJ310" s="265">
        <v>6.3700000000000007E-2</v>
      </c>
      <c r="DK310" s="265">
        <v>6.3500000000000001E-2</v>
      </c>
      <c r="DL310" s="265">
        <v>6.1890000000000001E-2</v>
      </c>
      <c r="DM310" s="265">
        <v>6.2800000000000009E-2</v>
      </c>
      <c r="DN310" s="265">
        <v>6.3600000000000004E-2</v>
      </c>
      <c r="DO310" s="503">
        <f t="shared" si="595"/>
        <v>1352</v>
      </c>
      <c r="DP310" s="503" cm="1">
        <f t="array" ref="DP310">+INDEX(AH310:AW310,MATCH(DO310,AH310:AW310,1)+1)</f>
        <v>1744</v>
      </c>
      <c r="DQ310" s="504">
        <f t="shared" si="596"/>
        <v>0.12099</v>
      </c>
      <c r="DR310" s="205">
        <f t="shared" si="597"/>
        <v>0.12223000000000001</v>
      </c>
      <c r="DS310" s="205">
        <f t="shared" si="598"/>
        <v>0.12099</v>
      </c>
      <c r="DT310" s="505">
        <f t="shared" si="599"/>
        <v>-216</v>
      </c>
      <c r="DU310" s="505" t="e" cm="1">
        <f t="array" ref="DU310">+INDEX(AY310:BH310,MATCH(DT310,AY310:BH310,1)+1)</f>
        <v>#N/A</v>
      </c>
      <c r="DV310" s="205" t="e">
        <f t="shared" si="600"/>
        <v>#N/A</v>
      </c>
      <c r="DW310" s="205" t="e">
        <f t="shared" si="601"/>
        <v>#N/A</v>
      </c>
      <c r="DX310" s="205" t="e">
        <f t="shared" si="602"/>
        <v>#N/A</v>
      </c>
      <c r="DY310" s="205">
        <f t="shared" si="341"/>
        <v>5.28E-2</v>
      </c>
      <c r="DZ310" s="205" t="e">
        <f t="shared" si="603"/>
        <v>#N/A</v>
      </c>
      <c r="EA310" s="205">
        <f t="shared" si="604"/>
        <v>0.12099</v>
      </c>
    </row>
    <row r="311" spans="2:131">
      <c r="B311" s="272">
        <v>46001</v>
      </c>
      <c r="C311" s="271">
        <f t="shared" si="469"/>
        <v>46001</v>
      </c>
      <c r="D311" s="263">
        <f>+SUMIFS(Tabla6[Nominal COP],Tabla6[Concepto],COSTO_OPORTUNIDAD!$B$18,Tabla6[Nemotécnico],COSTO_OPORTUNIDAD!D$16,Tabla6[Fecha Cumplimiento y/ liquidacion],COSTO_OPORTUNIDAD!$C311)/+SUMIFS(Tabla6[Nominal COP],Tabla6[Concepto],COSTO_OPORTUNIDAD!$B$18,Tabla6[Fecha Cumplimiento y/ liquidacion],COSTO_OPORTUNIDAD!$C311)</f>
        <v>0</v>
      </c>
      <c r="E311" s="263">
        <f>+SUMIFS(Tabla6[Nominal COP],Tabla6[Concepto],COSTO_OPORTUNIDAD!$B$18,Tabla6[Nemotécnico],COSTO_OPORTUNIDAD!E$16,Tabla6[Fecha Cumplimiento y/ liquidacion],COSTO_OPORTUNIDAD!$C311)/+SUMIFS(Tabla6[Nominal COP],Tabla6[Concepto],COSTO_OPORTUNIDAD!$B$18,Tabla6[Fecha Cumplimiento y/ liquidacion],COSTO_OPORTUNIDAD!$C311)</f>
        <v>0</v>
      </c>
      <c r="F311" s="263">
        <f>+SUMIFS(Tabla6[Nominal COP],Tabla6[Concepto],COSTO_OPORTUNIDAD!$B$18,Tabla6[Nemotécnico],COSTO_OPORTUNIDAD!F$16,Tabla6[Fecha Cumplimiento y/ liquidacion],COSTO_OPORTUNIDAD!$C311)/+SUMIFS(Tabla6[Nominal COP],Tabla6[Concepto],COSTO_OPORTUNIDAD!$B$18,Tabla6[Fecha Cumplimiento y/ liquidacion],COSTO_OPORTUNIDAD!$C311)</f>
        <v>0</v>
      </c>
      <c r="G311" s="263">
        <f>+SUMIFS(Tabla6[Nominal COP],Tabla6[Concepto],COSTO_OPORTUNIDAD!$B$18,Tabla6[Nemotécnico],COSTO_OPORTUNIDAD!G$16,Tabla6[Fecha Cumplimiento y/ liquidacion],COSTO_OPORTUNIDAD!$C311)/+SUMIFS(Tabla6[Nominal COP],Tabla6[Concepto],COSTO_OPORTUNIDAD!$B$18,Tabla6[Fecha Cumplimiento y/ liquidacion],COSTO_OPORTUNIDAD!$C311)</f>
        <v>0</v>
      </c>
      <c r="H311" s="263">
        <f>+SUMIFS(Tabla6[Nominal COP],Tabla6[Concepto],COSTO_OPORTUNIDAD!$B$18,Tabla6[Nemotécnico],COSTO_OPORTUNIDAD!H$16,Tabla6[Fecha Cumplimiento y/ liquidacion],COSTO_OPORTUNIDAD!$C311)/+SUMIFS(Tabla6[Nominal COP],Tabla6[Concepto],COSTO_OPORTUNIDAD!$B$18,Tabla6[Fecha Cumplimiento y/ liquidacion],COSTO_OPORTUNIDAD!$C311)</f>
        <v>0</v>
      </c>
      <c r="I311" s="263">
        <f>+SUMIFS(Tabla6[Nominal COP],Tabla6[Concepto],COSTO_OPORTUNIDAD!$B$18,Tabla6[Nemotécnico],COSTO_OPORTUNIDAD!I$16,Tabla6[Fecha Cumplimiento y/ liquidacion],COSTO_OPORTUNIDAD!$C311)/+SUMIFS(Tabla6[Nominal COP],Tabla6[Concepto],COSTO_OPORTUNIDAD!$B$18,Tabla6[Fecha Cumplimiento y/ liquidacion],COSTO_OPORTUNIDAD!$C311)</f>
        <v>1</v>
      </c>
      <c r="J311" s="263">
        <f>+SUMIFS(Tabla6[Nominal COP],Tabla6[Concepto],COSTO_OPORTUNIDAD!$B$18,Tabla6[Nemotécnico],COSTO_OPORTUNIDAD!J$16,Tabla6[Fecha Cumplimiento y/ liquidacion],COSTO_OPORTUNIDAD!$C311)/+SUMIFS(Tabla6[Nominal COP],Tabla6[Concepto],COSTO_OPORTUNIDAD!$B$18,Tabla6[Fecha Cumplimiento y/ liquidacion],COSTO_OPORTUNIDAD!$C311)</f>
        <v>0</v>
      </c>
      <c r="K311" s="263">
        <f>+SUMIFS(Tabla6[Nominal COP],Tabla6[Concepto],COSTO_OPORTUNIDAD!$B$18,Tabla6[Nemotécnico],COSTO_OPORTUNIDAD!K$16,Tabla6[Fecha Cumplimiento y/ liquidacion],COSTO_OPORTUNIDAD!$C311)/+SUMIFS(Tabla6[Nominal COP],Tabla6[Concepto],COSTO_OPORTUNIDAD!$B$18,Tabla6[Fecha Cumplimiento y/ liquidacion],COSTO_OPORTUNIDAD!$C311)</f>
        <v>0</v>
      </c>
      <c r="L311" s="263">
        <f>+SUMIFS(Tabla6[Nominal COP],Tabla6[Concepto],COSTO_OPORTUNIDAD!$B$18,Tabla6[Nemotécnico],COSTO_OPORTUNIDAD!L$16,Tabla6[Fecha Cumplimiento y/ liquidacion],COSTO_OPORTUNIDAD!$C311)/+SUMIFS(Tabla6[Nominal COP],Tabla6[Concepto],COSTO_OPORTUNIDAD!$B$18,Tabla6[Fecha Cumplimiento y/ liquidacion],COSTO_OPORTUNIDAD!$C311)</f>
        <v>0</v>
      </c>
      <c r="M311" s="263">
        <f>+SUMIFS(Tabla6[Nominal COP],Tabla6[Concepto],COSTO_OPORTUNIDAD!$B$18,Tabla6[Nemotécnico],COSTO_OPORTUNIDAD!M$16,Tabla6[Fecha Cumplimiento y/ liquidacion],COSTO_OPORTUNIDAD!$C311)/+SUMIFS(Tabla6[Nominal COP],Tabla6[Concepto],COSTO_OPORTUNIDAD!$B$18,Tabla6[Fecha Cumplimiento y/ liquidacion],COSTO_OPORTUNIDAD!$C311)</f>
        <v>0</v>
      </c>
      <c r="N311" s="263">
        <f>+SUMIFS(Tabla6[Nominal COP],Tabla6[Concepto],COSTO_OPORTUNIDAD!$B$18,Tabla6[Nemotécnico],COSTO_OPORTUNIDAD!N$16,Tabla6[Fecha Cumplimiento y/ liquidacion],COSTO_OPORTUNIDAD!$C311)/+SUMIFS(Tabla6[Nominal COP],Tabla6[Concepto],COSTO_OPORTUNIDAD!$B$18,Tabla6[Fecha Cumplimiento y/ liquidacion],COSTO_OPORTUNIDAD!$C311)</f>
        <v>0</v>
      </c>
      <c r="O311" s="263">
        <f>+SUMIFS(Tabla6[Nominal COP],Tabla6[Concepto],COSTO_OPORTUNIDAD!$B$18,Tabla6[Nemotécnico],COSTO_OPORTUNIDAD!O$16,Tabla6[Fecha Cumplimiento y/ liquidacion],COSTO_OPORTUNIDAD!$C311)/+SUMIFS(Tabla6[Nominal COP],Tabla6[Concepto],COSTO_OPORTUNIDAD!$B$18,Tabla6[Fecha Cumplimiento y/ liquidacion],COSTO_OPORTUNIDAD!$C311)</f>
        <v>0</v>
      </c>
      <c r="P311" s="263">
        <f>+SUMIFS(Tabla6[Nominal COP],Tabla6[Concepto],COSTO_OPORTUNIDAD!$B$18,Tabla6[Nemotécnico],COSTO_OPORTUNIDAD!P$16,Tabla6[Fecha Cumplimiento y/ liquidacion],COSTO_OPORTUNIDAD!$C311)/+SUMIFS(Tabla6[Nominal COP],Tabla6[Concepto],COSTO_OPORTUNIDAD!$B$18,Tabla6[Fecha Cumplimiento y/ liquidacion],COSTO_OPORTUNIDAD!$C311)</f>
        <v>0</v>
      </c>
      <c r="Q311" s="263">
        <f>+SUMIFS(Tabla6[Nominal COP],Tabla6[Concepto],COSTO_OPORTUNIDAD!$B$18,Tabla6[Nemotécnico],COSTO_OPORTUNIDAD!Q$16,Tabla6[Fecha Cumplimiento y/ liquidacion],COSTO_OPORTUNIDAD!$C311)/+SUMIFS(Tabla6[Nominal COP],Tabla6[Concepto],COSTO_OPORTUNIDAD!$B$18,Tabla6[Fecha Cumplimiento y/ liquidacion],COSTO_OPORTUNIDAD!$C311)</f>
        <v>0</v>
      </c>
      <c r="R311" s="263">
        <f>+SUMIFS(Tabla6[Nominal COP],Tabla6[Concepto],COSTO_OPORTUNIDAD!$B$18,Tabla6[Nemotécnico],COSTO_OPORTUNIDAD!R$16,Tabla6[Fecha Cumplimiento y/ liquidacion],COSTO_OPORTUNIDAD!$C311)/+SUMIFS(Tabla6[Nominal COP],Tabla6[Concepto],COSTO_OPORTUNIDAD!$B$18,Tabla6[Fecha Cumplimiento y/ liquidacion],COSTO_OPORTUNIDAD!$C311)</f>
        <v>0</v>
      </c>
      <c r="S311" s="263">
        <f>+SUMIFS(Tabla6[Nominal COP],Tabla6[Concepto],COSTO_OPORTUNIDAD!$B$18,Tabla6[Nemotécnico],COSTO_OPORTUNIDAD!S$16,Tabla6[Fecha Cumplimiento y/ liquidacion],COSTO_OPORTUNIDAD!$C311)/+SUMIFS(Tabla6[Nominal COP],Tabla6[Concepto],COSTO_OPORTUNIDAD!$B$18,Tabla6[Fecha Cumplimiento y/ liquidacion],COSTO_OPORTUNIDAD!$C311)</f>
        <v>0</v>
      </c>
      <c r="T311" s="263">
        <f>+SUMIFS(Tabla6[Nominal COP],Tabla6[Concepto],COSTO_OPORTUNIDAD!$B$18,Tabla6[Nemotécnico],COSTO_OPORTUNIDAD!T$16,Tabla6[Fecha Cumplimiento y/ liquidacion],COSTO_OPORTUNIDAD!$C311)/+SUMIFS(Tabla6[Nominal COP],Tabla6[Concepto],COSTO_OPORTUNIDAD!$B$18,Tabla6[Fecha Cumplimiento y/ liquidacion],COSTO_OPORTUNIDAD!$C311)</f>
        <v>0</v>
      </c>
      <c r="U311" s="263">
        <f>+SUMIFS(Tabla6[Nominal COP],Tabla6[Concepto],COSTO_OPORTUNIDAD!$B$18,Tabla6[Nemotécnico],COSTO_OPORTUNIDAD!U$16,Tabla6[Fecha Cumplimiento y/ liquidacion],COSTO_OPORTUNIDAD!$C311)/+SUMIFS(Tabla6[Nominal COP],Tabla6[Concepto],COSTO_OPORTUNIDAD!$B$18,Tabla6[Fecha Cumplimiento y/ liquidacion],COSTO_OPORTUNIDAD!$C311)</f>
        <v>0</v>
      </c>
      <c r="V311" s="263">
        <f>+SUMIFS(Tabla6[Nominal COP],Tabla6[Concepto],COSTO_OPORTUNIDAD!$B$18,Tabla6[Nemotécnico],COSTO_OPORTUNIDAD!V$16,Tabla6[Fecha Cumplimiento y/ liquidacion],COSTO_OPORTUNIDAD!$C311)/+SUMIFS(Tabla6[Nominal COP],Tabla6[Concepto],COSTO_OPORTUNIDAD!$B$18,Tabla6[Fecha Cumplimiento y/ liquidacion],COSTO_OPORTUNIDAD!$C311)</f>
        <v>0</v>
      </c>
      <c r="W311" s="263">
        <f>+SUMIFS(Tabla6[Nominal COP],Tabla6[Concepto],COSTO_OPORTUNIDAD!$B$18,Tabla6[Nemotécnico],COSTO_OPORTUNIDAD!W$16,Tabla6[Fecha Cumplimiento y/ liquidacion],COSTO_OPORTUNIDAD!$C311)/+SUMIFS(Tabla6[Nominal COP],Tabla6[Concepto],COSTO_OPORTUNIDAD!$B$18,Tabla6[Fecha Cumplimiento y/ liquidacion],COSTO_OPORTUNIDAD!$C311)</f>
        <v>0</v>
      </c>
      <c r="X311" s="263">
        <f>+SUMIFS(Tabla6[Nominal COP],Tabla6[Concepto],COSTO_OPORTUNIDAD!$B$18,Tabla6[Nemotécnico],COSTO_OPORTUNIDAD!X$16,Tabla6[Fecha Cumplimiento y/ liquidacion],COSTO_OPORTUNIDAD!$C311)/+SUMIFS(Tabla6[Nominal COP],Tabla6[Concepto],COSTO_OPORTUNIDAD!$B$18,Tabla6[Fecha Cumplimiento y/ liquidacion],COSTO_OPORTUNIDAD!$C311)</f>
        <v>0</v>
      </c>
      <c r="Y311" s="263">
        <f>+SUMIFS(Tabla6[Nominal COP],Tabla6[Concepto],COSTO_OPORTUNIDAD!$B$18,Tabla6[Nemotécnico],COSTO_OPORTUNIDAD!Y$16,Tabla6[Fecha Cumplimiento y/ liquidacion],COSTO_OPORTUNIDAD!$C311)/+SUMIFS(Tabla6[Nominal COP],Tabla6[Concepto],COSTO_OPORTUNIDAD!$B$18,Tabla6[Fecha Cumplimiento y/ liquidacion],COSTO_OPORTUNIDAD!$C311)</f>
        <v>0</v>
      </c>
      <c r="Z311" s="263">
        <f>+SUMIFS(Tabla6[Nominal COP],Tabla6[Concepto],COSTO_OPORTUNIDAD!$B$18,Tabla6[Nemotécnico],COSTO_OPORTUNIDAD!Z$16,Tabla6[Fecha Cumplimiento y/ liquidacion],COSTO_OPORTUNIDAD!$C311)/+SUMIFS(Tabla6[Nominal COP],Tabla6[Concepto],COSTO_OPORTUNIDAD!$B$18,Tabla6[Fecha Cumplimiento y/ liquidacion],COSTO_OPORTUNIDAD!$C311)</f>
        <v>0</v>
      </c>
      <c r="AA311" s="263">
        <f>+SUMIFS(Tabla6[Nominal COP],Tabla6[Concepto],COSTO_OPORTUNIDAD!$B$18,Tabla6[Nemotécnico],COSTO_OPORTUNIDAD!AA$16,Tabla6[Fecha Cumplimiento y/ liquidacion],COSTO_OPORTUNIDAD!$C311)/+SUMIFS(Tabla6[Nominal COP],Tabla6[Concepto],COSTO_OPORTUNIDAD!$B$18,Tabla6[Fecha Cumplimiento y/ liquidacion],COSTO_OPORTUNIDAD!$C311)</f>
        <v>0</v>
      </c>
      <c r="AB311" s="263">
        <f>+SUMIFS(Tabla6[Nominal COP],Tabla6[Concepto],COSTO_OPORTUNIDAD!$B$18,Tabla6[Nemotécnico],COSTO_OPORTUNIDAD!AB$16,Tabla6[Fecha Cumplimiento y/ liquidacion],COSTO_OPORTUNIDAD!$C311)/+SUMIFS(Tabla6[Nominal COP],Tabla6[Concepto],COSTO_OPORTUNIDAD!$B$18,Tabla6[Fecha Cumplimiento y/ liquidacion],COSTO_OPORTUNIDAD!$C311)</f>
        <v>0</v>
      </c>
      <c r="AC311" s="263">
        <f>+SUMIFS(Tabla6[Nominal COP],Tabla6[Concepto],COSTO_OPORTUNIDAD!$B$18,Tabla6[Nemotécnico],COSTO_OPORTUNIDAD!AC$16,Tabla6[Fecha Cumplimiento y/ liquidacion],COSTO_OPORTUNIDAD!$C311)/+SUMIFS(Tabla6[Nominal COP],Tabla6[Concepto],COSTO_OPORTUNIDAD!$B$18,Tabla6[Fecha Cumplimiento y/ liquidacion],COSTO_OPORTUNIDAD!$C311)</f>
        <v>0</v>
      </c>
      <c r="AD311" s="263">
        <f>+SUMIFS(Tabla6[Nominal COP],Tabla6[Concepto],COSTO_OPORTUNIDAD!$B$18,Tabla6[Nemotécnico],COSTO_OPORTUNIDAD!AC$16,Tabla6[Fecha Cumplimiento y/ liquidacion],COSTO_OPORTUNIDAD!$C311)/+SUMIFS(Tabla6[Nominal COP],Tabla6[Concepto],COSTO_OPORTUNIDAD!$B$18,Tabla6[Fecha Cumplimiento y/ liquidacion],COSTO_OPORTUNIDAD!$C311)</f>
        <v>0</v>
      </c>
      <c r="AE311" s="263">
        <f>+SUMIFS(Tabla6[Nominal COP],Tabla6[Concepto],COSTO_OPORTUNIDAD!$B$18,Tabla6[Nemotécnico],COSTO_OPORTUNIDAD!AE$16,Tabla6[Fecha Cumplimiento y/ liquidacion],COSTO_OPORTUNIDAD!$C311)/+SUMIFS(Tabla6[Nominal COP],Tabla6[Concepto],COSTO_OPORTUNIDAD!$B$18,Tabla6[Fecha Cumplimiento y/ liquidacion],COSTO_OPORTUNIDAD!$C311)</f>
        <v>0</v>
      </c>
      <c r="AF311" s="263">
        <f>+SUMIFS(Tabla6[Nominal COP],Tabla6[Concepto],COSTO_OPORTUNIDAD!$B$18,Tabla6[Nemotécnico],COSTO_OPORTUNIDAD!AF$16,Tabla6[Fecha Cumplimiento y/ liquidacion],COSTO_OPORTUNIDAD!$C311)/+SUMIFS(Tabla6[Nominal COP],Tabla6[Concepto],COSTO_OPORTUNIDAD!$B$18,Tabla6[Fecha Cumplimiento y/ liquidacion],COSTO_OPORTUNIDAD!$C311)</f>
        <v>0</v>
      </c>
      <c r="AH311" s="502">
        <f t="shared" si="538"/>
        <v>83</v>
      </c>
      <c r="AI311" s="502">
        <f t="shared" si="539"/>
        <v>693</v>
      </c>
      <c r="AJ311" s="502">
        <f t="shared" si="540"/>
        <v>870</v>
      </c>
      <c r="AK311" s="502">
        <f t="shared" si="541"/>
        <v>1351</v>
      </c>
      <c r="AL311" s="502">
        <f t="shared" si="542"/>
        <v>1743</v>
      </c>
      <c r="AM311" s="502">
        <f t="shared" si="543"/>
        <v>1932</v>
      </c>
      <c r="AN311" s="502">
        <f t="shared" si="544"/>
        <v>2394</v>
      </c>
      <c r="AO311" s="502">
        <f t="shared" si="545"/>
        <v>2618</v>
      </c>
      <c r="AP311" s="502">
        <f t="shared" si="546"/>
        <v>3234</v>
      </c>
      <c r="AQ311" s="502">
        <f t="shared" si="547"/>
        <v>3312</v>
      </c>
      <c r="AR311" s="502">
        <f t="shared" si="548"/>
        <v>3864</v>
      </c>
      <c r="AS311" s="502">
        <f t="shared" si="549"/>
        <v>5467</v>
      </c>
      <c r="AT311" s="502">
        <f t="shared" si="550"/>
        <v>6013</v>
      </c>
      <c r="AU311" s="502">
        <f t="shared" si="551"/>
        <v>7532</v>
      </c>
      <c r="AV311" s="502">
        <f t="shared" si="552"/>
        <v>9086</v>
      </c>
      <c r="AW311" s="502">
        <f t="shared" si="553"/>
        <v>11781</v>
      </c>
      <c r="AX311" s="502">
        <f t="shared" si="554"/>
        <v>-217</v>
      </c>
      <c r="AY311" s="502">
        <f t="shared" si="555"/>
        <v>462</v>
      </c>
      <c r="AZ311" s="502">
        <f t="shared" si="556"/>
        <v>1225</v>
      </c>
      <c r="BA311" s="502">
        <f t="shared" si="557"/>
        <v>1869</v>
      </c>
      <c r="BB311" s="502">
        <f t="shared" si="558"/>
        <v>2662</v>
      </c>
      <c r="BC311" s="502">
        <f t="shared" si="559"/>
        <v>3402</v>
      </c>
      <c r="BD311" s="502">
        <f t="shared" si="560"/>
        <v>4095</v>
      </c>
      <c r="BE311" s="502">
        <f t="shared" si="561"/>
        <v>5579</v>
      </c>
      <c r="BF311" s="502">
        <f t="shared" si="562"/>
        <v>8589</v>
      </c>
      <c r="BG311" s="502">
        <f t="shared" si="563"/>
        <v>10752</v>
      </c>
      <c r="BH311" s="502">
        <f t="shared" si="564"/>
        <v>13202</v>
      </c>
      <c r="BI311" s="198">
        <f t="shared" si="565"/>
        <v>0</v>
      </c>
      <c r="BJ311" s="198">
        <f t="shared" si="566"/>
        <v>1</v>
      </c>
      <c r="BK311" s="198">
        <f t="shared" si="567"/>
        <v>0</v>
      </c>
      <c r="BL311" s="198">
        <f t="shared" si="568"/>
        <v>0</v>
      </c>
      <c r="BM311" s="198">
        <f t="shared" si="569"/>
        <v>0</v>
      </c>
      <c r="BN311" s="198">
        <f t="shared" si="570"/>
        <v>1</v>
      </c>
      <c r="BO311" s="198">
        <f t="shared" si="571"/>
        <v>0</v>
      </c>
      <c r="BP311" s="198">
        <f t="shared" si="572"/>
        <v>0</v>
      </c>
      <c r="BQ311" s="198">
        <f t="shared" si="573"/>
        <v>0</v>
      </c>
      <c r="BR311" s="198">
        <f t="shared" si="574"/>
        <v>0</v>
      </c>
      <c r="BS311" s="198">
        <f t="shared" si="575"/>
        <v>0</v>
      </c>
      <c r="BT311" s="198">
        <f t="shared" si="576"/>
        <v>0</v>
      </c>
      <c r="BU311" s="198">
        <f t="shared" si="577"/>
        <v>0</v>
      </c>
      <c r="BV311" s="198">
        <f t="shared" si="578"/>
        <v>0</v>
      </c>
      <c r="BW311" s="198">
        <f t="shared" si="579"/>
        <v>0</v>
      </c>
      <c r="BX311" s="198">
        <f t="shared" si="580"/>
        <v>0</v>
      </c>
      <c r="BY311" s="198">
        <f t="shared" si="581"/>
        <v>0</v>
      </c>
      <c r="BZ311" s="198">
        <f t="shared" si="582"/>
        <v>0</v>
      </c>
      <c r="CA311" s="198" t="str">
        <f t="shared" si="583"/>
        <v/>
      </c>
      <c r="CB311" s="198" t="str">
        <f t="shared" si="584"/>
        <v/>
      </c>
      <c r="CC311" s="198" t="str">
        <f t="shared" si="585"/>
        <v/>
      </c>
      <c r="CD311" s="198" t="str">
        <f t="shared" si="586"/>
        <v/>
      </c>
      <c r="CE311" s="198" t="str">
        <f t="shared" si="587"/>
        <v/>
      </c>
      <c r="CF311" s="198" t="str">
        <f t="shared" si="588"/>
        <v/>
      </c>
      <c r="CG311" s="198" t="str">
        <f t="shared" si="589"/>
        <v/>
      </c>
      <c r="CH311" s="198" t="str">
        <f t="shared" si="590"/>
        <v/>
      </c>
      <c r="CI311" s="198" t="str">
        <f t="shared" si="591"/>
        <v/>
      </c>
      <c r="CJ311" s="198" t="str">
        <f t="shared" si="592"/>
        <v/>
      </c>
      <c r="CK311" s="198" t="str">
        <f t="shared" si="593"/>
        <v/>
      </c>
      <c r="CL311" s="503">
        <f t="shared" si="594"/>
        <v>1351</v>
      </c>
      <c r="CM311" s="503">
        <f t="shared" si="527"/>
        <v>0</v>
      </c>
      <c r="CO311" s="265">
        <v>9.0410000000000004E-2</v>
      </c>
      <c r="CP311" s="265">
        <v>0.10875</v>
      </c>
      <c r="CQ311" s="265">
        <v>0.11670999999999999</v>
      </c>
      <c r="CR311" s="265">
        <v>0.12359000000000001</v>
      </c>
      <c r="CS311" s="265">
        <v>0.1242</v>
      </c>
      <c r="CT311" s="265">
        <v>0.12529000000000001</v>
      </c>
      <c r="CU311" s="265">
        <v>0.12544</v>
      </c>
      <c r="CV311" s="265">
        <v>0.12583</v>
      </c>
      <c r="CW311" s="265">
        <v>0.12548000000000001</v>
      </c>
      <c r="CX311" s="265">
        <v>0.12892000000000001</v>
      </c>
      <c r="CY311" s="265">
        <v>0.12407</v>
      </c>
      <c r="CZ311" s="265">
        <v>0.12839999999999999</v>
      </c>
      <c r="DA311" s="265">
        <v>0.12648000000000001</v>
      </c>
      <c r="DB311" s="265">
        <v>0.12853999999999999</v>
      </c>
      <c r="DC311" s="265">
        <v>0.12499</v>
      </c>
      <c r="DD311" s="265">
        <v>0.129</v>
      </c>
      <c r="DE311" s="265">
        <v>0.06</v>
      </c>
      <c r="DF311" s="265">
        <v>6.3949999999999993E-2</v>
      </c>
      <c r="DG311" s="265">
        <v>6.6000000000000003E-2</v>
      </c>
      <c r="DH311" s="265">
        <v>6.3799999999999996E-2</v>
      </c>
      <c r="DI311" s="265">
        <v>6.4000000000000001E-2</v>
      </c>
      <c r="DJ311" s="265">
        <v>6.5199999999999994E-2</v>
      </c>
      <c r="DK311" s="265">
        <v>6.5099999999999991E-2</v>
      </c>
      <c r="DL311" s="265">
        <v>6.1890000000000001E-2</v>
      </c>
      <c r="DM311" s="265">
        <v>6.3899999999999998E-2</v>
      </c>
      <c r="DN311" s="265">
        <v>6.4049999999999996E-2</v>
      </c>
      <c r="DO311" s="503">
        <f t="shared" si="595"/>
        <v>1351</v>
      </c>
      <c r="DP311" s="503" cm="1">
        <f t="array" ref="DP311">+INDEX(AH311:AW311,MATCH(DO311,AH311:AW311,1)+1)</f>
        <v>1743</v>
      </c>
      <c r="DQ311" s="504">
        <f t="shared" si="596"/>
        <v>0.12359000000000001</v>
      </c>
      <c r="DR311" s="205">
        <f t="shared" si="597"/>
        <v>0.1242</v>
      </c>
      <c r="DS311" s="205">
        <f t="shared" si="598"/>
        <v>0.12359000000000001</v>
      </c>
      <c r="DT311" s="505">
        <f t="shared" si="599"/>
        <v>-217</v>
      </c>
      <c r="DU311" s="505" t="e" cm="1">
        <f t="array" ref="DU311">+INDEX(AY311:BH311,MATCH(DT311,AY311:BH311,1)+1)</f>
        <v>#N/A</v>
      </c>
      <c r="DV311" s="205" t="e">
        <f t="shared" si="600"/>
        <v>#N/A</v>
      </c>
      <c r="DW311" s="205" t="e">
        <f t="shared" si="601"/>
        <v>#N/A</v>
      </c>
      <c r="DX311" s="205" t="e">
        <f t="shared" si="602"/>
        <v>#N/A</v>
      </c>
      <c r="DY311" s="205">
        <f t="shared" si="341"/>
        <v>5.28E-2</v>
      </c>
      <c r="DZ311" s="205" t="e">
        <f t="shared" si="603"/>
        <v>#N/A</v>
      </c>
      <c r="EA311" s="205">
        <f t="shared" si="604"/>
        <v>0.12359000000000001</v>
      </c>
    </row>
    <row r="312" spans="2:131">
      <c r="B312" s="272">
        <v>46002</v>
      </c>
      <c r="C312" s="271">
        <f t="shared" si="469"/>
        <v>46002</v>
      </c>
      <c r="D312" s="263">
        <f>+SUMIFS(Tabla6[Nominal COP],Tabla6[Concepto],COSTO_OPORTUNIDAD!$B$18,Tabla6[Nemotécnico],COSTO_OPORTUNIDAD!D$16,Tabla6[Fecha Cumplimiento y/ liquidacion],COSTO_OPORTUNIDAD!$C312)/+SUMIFS(Tabla6[Nominal COP],Tabla6[Concepto],COSTO_OPORTUNIDAD!$B$18,Tabla6[Fecha Cumplimiento y/ liquidacion],COSTO_OPORTUNIDAD!$C312)</f>
        <v>0</v>
      </c>
      <c r="E312" s="263">
        <f>+SUMIFS(Tabla6[Nominal COP],Tabla6[Concepto],COSTO_OPORTUNIDAD!$B$18,Tabla6[Nemotécnico],COSTO_OPORTUNIDAD!E$16,Tabla6[Fecha Cumplimiento y/ liquidacion],COSTO_OPORTUNIDAD!$C312)/+SUMIFS(Tabla6[Nominal COP],Tabla6[Concepto],COSTO_OPORTUNIDAD!$B$18,Tabla6[Fecha Cumplimiento y/ liquidacion],COSTO_OPORTUNIDAD!$C312)</f>
        <v>0</v>
      </c>
      <c r="F312" s="263">
        <f>+SUMIFS(Tabla6[Nominal COP],Tabla6[Concepto],COSTO_OPORTUNIDAD!$B$18,Tabla6[Nemotécnico],COSTO_OPORTUNIDAD!F$16,Tabla6[Fecha Cumplimiento y/ liquidacion],COSTO_OPORTUNIDAD!$C312)/+SUMIFS(Tabla6[Nominal COP],Tabla6[Concepto],COSTO_OPORTUNIDAD!$B$18,Tabla6[Fecha Cumplimiento y/ liquidacion],COSTO_OPORTUNIDAD!$C312)</f>
        <v>0</v>
      </c>
      <c r="G312" s="263">
        <f>+SUMIFS(Tabla6[Nominal COP],Tabla6[Concepto],COSTO_OPORTUNIDAD!$B$18,Tabla6[Nemotécnico],COSTO_OPORTUNIDAD!G$16,Tabla6[Fecha Cumplimiento y/ liquidacion],COSTO_OPORTUNIDAD!$C312)/+SUMIFS(Tabla6[Nominal COP],Tabla6[Concepto],COSTO_OPORTUNIDAD!$B$18,Tabla6[Fecha Cumplimiento y/ liquidacion],COSTO_OPORTUNIDAD!$C312)</f>
        <v>0</v>
      </c>
      <c r="H312" s="263">
        <f>+SUMIFS(Tabla6[Nominal COP],Tabla6[Concepto],COSTO_OPORTUNIDAD!$B$18,Tabla6[Nemotécnico],COSTO_OPORTUNIDAD!H$16,Tabla6[Fecha Cumplimiento y/ liquidacion],COSTO_OPORTUNIDAD!$C312)/+SUMIFS(Tabla6[Nominal COP],Tabla6[Concepto],COSTO_OPORTUNIDAD!$B$18,Tabla6[Fecha Cumplimiento y/ liquidacion],COSTO_OPORTUNIDAD!$C312)</f>
        <v>0</v>
      </c>
      <c r="I312" s="263">
        <f>+SUMIFS(Tabla6[Nominal COP],Tabla6[Concepto],COSTO_OPORTUNIDAD!$B$18,Tabla6[Nemotécnico],COSTO_OPORTUNIDAD!I$16,Tabla6[Fecha Cumplimiento y/ liquidacion],COSTO_OPORTUNIDAD!$C312)/+SUMIFS(Tabla6[Nominal COP],Tabla6[Concepto],COSTO_OPORTUNIDAD!$B$18,Tabla6[Fecha Cumplimiento y/ liquidacion],COSTO_OPORTUNIDAD!$C312)</f>
        <v>1</v>
      </c>
      <c r="J312" s="263">
        <f>+SUMIFS(Tabla6[Nominal COP],Tabla6[Concepto],COSTO_OPORTUNIDAD!$B$18,Tabla6[Nemotécnico],COSTO_OPORTUNIDAD!J$16,Tabla6[Fecha Cumplimiento y/ liquidacion],COSTO_OPORTUNIDAD!$C312)/+SUMIFS(Tabla6[Nominal COP],Tabla6[Concepto],COSTO_OPORTUNIDAD!$B$18,Tabla6[Fecha Cumplimiento y/ liquidacion],COSTO_OPORTUNIDAD!$C312)</f>
        <v>0</v>
      </c>
      <c r="K312" s="263">
        <f>+SUMIFS(Tabla6[Nominal COP],Tabla6[Concepto],COSTO_OPORTUNIDAD!$B$18,Tabla6[Nemotécnico],COSTO_OPORTUNIDAD!K$16,Tabla6[Fecha Cumplimiento y/ liquidacion],COSTO_OPORTUNIDAD!$C312)/+SUMIFS(Tabla6[Nominal COP],Tabla6[Concepto],COSTO_OPORTUNIDAD!$B$18,Tabla6[Fecha Cumplimiento y/ liquidacion],COSTO_OPORTUNIDAD!$C312)</f>
        <v>0</v>
      </c>
      <c r="L312" s="263">
        <f>+SUMIFS(Tabla6[Nominal COP],Tabla6[Concepto],COSTO_OPORTUNIDAD!$B$18,Tabla6[Nemotécnico],COSTO_OPORTUNIDAD!L$16,Tabla6[Fecha Cumplimiento y/ liquidacion],COSTO_OPORTUNIDAD!$C312)/+SUMIFS(Tabla6[Nominal COP],Tabla6[Concepto],COSTO_OPORTUNIDAD!$B$18,Tabla6[Fecha Cumplimiento y/ liquidacion],COSTO_OPORTUNIDAD!$C312)</f>
        <v>0</v>
      </c>
      <c r="M312" s="263">
        <f>+SUMIFS(Tabla6[Nominal COP],Tabla6[Concepto],COSTO_OPORTUNIDAD!$B$18,Tabla6[Nemotécnico],COSTO_OPORTUNIDAD!M$16,Tabla6[Fecha Cumplimiento y/ liquidacion],COSTO_OPORTUNIDAD!$C312)/+SUMIFS(Tabla6[Nominal COP],Tabla6[Concepto],COSTO_OPORTUNIDAD!$B$18,Tabla6[Fecha Cumplimiento y/ liquidacion],COSTO_OPORTUNIDAD!$C312)</f>
        <v>0</v>
      </c>
      <c r="N312" s="263">
        <f>+SUMIFS(Tabla6[Nominal COP],Tabla6[Concepto],COSTO_OPORTUNIDAD!$B$18,Tabla6[Nemotécnico],COSTO_OPORTUNIDAD!N$16,Tabla6[Fecha Cumplimiento y/ liquidacion],COSTO_OPORTUNIDAD!$C312)/+SUMIFS(Tabla6[Nominal COP],Tabla6[Concepto],COSTO_OPORTUNIDAD!$B$18,Tabla6[Fecha Cumplimiento y/ liquidacion],COSTO_OPORTUNIDAD!$C312)</f>
        <v>0</v>
      </c>
      <c r="O312" s="263">
        <f>+SUMIFS(Tabla6[Nominal COP],Tabla6[Concepto],COSTO_OPORTUNIDAD!$B$18,Tabla6[Nemotécnico],COSTO_OPORTUNIDAD!O$16,Tabla6[Fecha Cumplimiento y/ liquidacion],COSTO_OPORTUNIDAD!$C312)/+SUMIFS(Tabla6[Nominal COP],Tabla6[Concepto],COSTO_OPORTUNIDAD!$B$18,Tabla6[Fecha Cumplimiento y/ liquidacion],COSTO_OPORTUNIDAD!$C312)</f>
        <v>0</v>
      </c>
      <c r="P312" s="263">
        <f>+SUMIFS(Tabla6[Nominal COP],Tabla6[Concepto],COSTO_OPORTUNIDAD!$B$18,Tabla6[Nemotécnico],COSTO_OPORTUNIDAD!P$16,Tabla6[Fecha Cumplimiento y/ liquidacion],COSTO_OPORTUNIDAD!$C312)/+SUMIFS(Tabla6[Nominal COP],Tabla6[Concepto],COSTO_OPORTUNIDAD!$B$18,Tabla6[Fecha Cumplimiento y/ liquidacion],COSTO_OPORTUNIDAD!$C312)</f>
        <v>0</v>
      </c>
      <c r="Q312" s="263">
        <f>+SUMIFS(Tabla6[Nominal COP],Tabla6[Concepto],COSTO_OPORTUNIDAD!$B$18,Tabla6[Nemotécnico],COSTO_OPORTUNIDAD!Q$16,Tabla6[Fecha Cumplimiento y/ liquidacion],COSTO_OPORTUNIDAD!$C312)/+SUMIFS(Tabla6[Nominal COP],Tabla6[Concepto],COSTO_OPORTUNIDAD!$B$18,Tabla6[Fecha Cumplimiento y/ liquidacion],COSTO_OPORTUNIDAD!$C312)</f>
        <v>0</v>
      </c>
      <c r="R312" s="263">
        <f>+SUMIFS(Tabla6[Nominal COP],Tabla6[Concepto],COSTO_OPORTUNIDAD!$B$18,Tabla6[Nemotécnico],COSTO_OPORTUNIDAD!R$16,Tabla6[Fecha Cumplimiento y/ liquidacion],COSTO_OPORTUNIDAD!$C312)/+SUMIFS(Tabla6[Nominal COP],Tabla6[Concepto],COSTO_OPORTUNIDAD!$B$18,Tabla6[Fecha Cumplimiento y/ liquidacion],COSTO_OPORTUNIDAD!$C312)</f>
        <v>0</v>
      </c>
      <c r="S312" s="263">
        <f>+SUMIFS(Tabla6[Nominal COP],Tabla6[Concepto],COSTO_OPORTUNIDAD!$B$18,Tabla6[Nemotécnico],COSTO_OPORTUNIDAD!S$16,Tabla6[Fecha Cumplimiento y/ liquidacion],COSTO_OPORTUNIDAD!$C312)/+SUMIFS(Tabla6[Nominal COP],Tabla6[Concepto],COSTO_OPORTUNIDAD!$B$18,Tabla6[Fecha Cumplimiento y/ liquidacion],COSTO_OPORTUNIDAD!$C312)</f>
        <v>0</v>
      </c>
      <c r="T312" s="263">
        <f>+SUMIFS(Tabla6[Nominal COP],Tabla6[Concepto],COSTO_OPORTUNIDAD!$B$18,Tabla6[Nemotécnico],COSTO_OPORTUNIDAD!T$16,Tabla6[Fecha Cumplimiento y/ liquidacion],COSTO_OPORTUNIDAD!$C312)/+SUMIFS(Tabla6[Nominal COP],Tabla6[Concepto],COSTO_OPORTUNIDAD!$B$18,Tabla6[Fecha Cumplimiento y/ liquidacion],COSTO_OPORTUNIDAD!$C312)</f>
        <v>0</v>
      </c>
      <c r="U312" s="263">
        <f>+SUMIFS(Tabla6[Nominal COP],Tabla6[Concepto],COSTO_OPORTUNIDAD!$B$18,Tabla6[Nemotécnico],COSTO_OPORTUNIDAD!U$16,Tabla6[Fecha Cumplimiento y/ liquidacion],COSTO_OPORTUNIDAD!$C312)/+SUMIFS(Tabla6[Nominal COP],Tabla6[Concepto],COSTO_OPORTUNIDAD!$B$18,Tabla6[Fecha Cumplimiento y/ liquidacion],COSTO_OPORTUNIDAD!$C312)</f>
        <v>0</v>
      </c>
      <c r="V312" s="263">
        <f>+SUMIFS(Tabla6[Nominal COP],Tabla6[Concepto],COSTO_OPORTUNIDAD!$B$18,Tabla6[Nemotécnico],COSTO_OPORTUNIDAD!V$16,Tabla6[Fecha Cumplimiento y/ liquidacion],COSTO_OPORTUNIDAD!$C312)/+SUMIFS(Tabla6[Nominal COP],Tabla6[Concepto],COSTO_OPORTUNIDAD!$B$18,Tabla6[Fecha Cumplimiento y/ liquidacion],COSTO_OPORTUNIDAD!$C312)</f>
        <v>0</v>
      </c>
      <c r="W312" s="263">
        <f>+SUMIFS(Tabla6[Nominal COP],Tabla6[Concepto],COSTO_OPORTUNIDAD!$B$18,Tabla6[Nemotécnico],COSTO_OPORTUNIDAD!W$16,Tabla6[Fecha Cumplimiento y/ liquidacion],COSTO_OPORTUNIDAD!$C312)/+SUMIFS(Tabla6[Nominal COP],Tabla6[Concepto],COSTO_OPORTUNIDAD!$B$18,Tabla6[Fecha Cumplimiento y/ liquidacion],COSTO_OPORTUNIDAD!$C312)</f>
        <v>0</v>
      </c>
      <c r="X312" s="263">
        <f>+SUMIFS(Tabla6[Nominal COP],Tabla6[Concepto],COSTO_OPORTUNIDAD!$B$18,Tabla6[Nemotécnico],COSTO_OPORTUNIDAD!X$16,Tabla6[Fecha Cumplimiento y/ liquidacion],COSTO_OPORTUNIDAD!$C312)/+SUMIFS(Tabla6[Nominal COP],Tabla6[Concepto],COSTO_OPORTUNIDAD!$B$18,Tabla6[Fecha Cumplimiento y/ liquidacion],COSTO_OPORTUNIDAD!$C312)</f>
        <v>0</v>
      </c>
      <c r="Y312" s="263">
        <f>+SUMIFS(Tabla6[Nominal COP],Tabla6[Concepto],COSTO_OPORTUNIDAD!$B$18,Tabla6[Nemotécnico],COSTO_OPORTUNIDAD!Y$16,Tabla6[Fecha Cumplimiento y/ liquidacion],COSTO_OPORTUNIDAD!$C312)/+SUMIFS(Tabla6[Nominal COP],Tabla6[Concepto],COSTO_OPORTUNIDAD!$B$18,Tabla6[Fecha Cumplimiento y/ liquidacion],COSTO_OPORTUNIDAD!$C312)</f>
        <v>0</v>
      </c>
      <c r="Z312" s="263">
        <f>+SUMIFS(Tabla6[Nominal COP],Tabla6[Concepto],COSTO_OPORTUNIDAD!$B$18,Tabla6[Nemotécnico],COSTO_OPORTUNIDAD!Z$16,Tabla6[Fecha Cumplimiento y/ liquidacion],COSTO_OPORTUNIDAD!$C312)/+SUMIFS(Tabla6[Nominal COP],Tabla6[Concepto],COSTO_OPORTUNIDAD!$B$18,Tabla6[Fecha Cumplimiento y/ liquidacion],COSTO_OPORTUNIDAD!$C312)</f>
        <v>0</v>
      </c>
      <c r="AA312" s="263">
        <f>+SUMIFS(Tabla6[Nominal COP],Tabla6[Concepto],COSTO_OPORTUNIDAD!$B$18,Tabla6[Nemotécnico],COSTO_OPORTUNIDAD!AA$16,Tabla6[Fecha Cumplimiento y/ liquidacion],COSTO_OPORTUNIDAD!$C312)/+SUMIFS(Tabla6[Nominal COP],Tabla6[Concepto],COSTO_OPORTUNIDAD!$B$18,Tabla6[Fecha Cumplimiento y/ liquidacion],COSTO_OPORTUNIDAD!$C312)</f>
        <v>0</v>
      </c>
      <c r="AB312" s="263">
        <f>+SUMIFS(Tabla6[Nominal COP],Tabla6[Concepto],COSTO_OPORTUNIDAD!$B$18,Tabla6[Nemotécnico],COSTO_OPORTUNIDAD!AB$16,Tabla6[Fecha Cumplimiento y/ liquidacion],COSTO_OPORTUNIDAD!$C312)/+SUMIFS(Tabla6[Nominal COP],Tabla6[Concepto],COSTO_OPORTUNIDAD!$B$18,Tabla6[Fecha Cumplimiento y/ liquidacion],COSTO_OPORTUNIDAD!$C312)</f>
        <v>0</v>
      </c>
      <c r="AC312" s="263">
        <f>+SUMIFS(Tabla6[Nominal COP],Tabla6[Concepto],COSTO_OPORTUNIDAD!$B$18,Tabla6[Nemotécnico],COSTO_OPORTUNIDAD!AC$16,Tabla6[Fecha Cumplimiento y/ liquidacion],COSTO_OPORTUNIDAD!$C312)/+SUMIFS(Tabla6[Nominal COP],Tabla6[Concepto],COSTO_OPORTUNIDAD!$B$18,Tabla6[Fecha Cumplimiento y/ liquidacion],COSTO_OPORTUNIDAD!$C312)</f>
        <v>0</v>
      </c>
      <c r="AD312" s="263">
        <f>+SUMIFS(Tabla6[Nominal COP],Tabla6[Concepto],COSTO_OPORTUNIDAD!$B$18,Tabla6[Nemotécnico],COSTO_OPORTUNIDAD!AC$16,Tabla6[Fecha Cumplimiento y/ liquidacion],COSTO_OPORTUNIDAD!$C312)/+SUMIFS(Tabla6[Nominal COP],Tabla6[Concepto],COSTO_OPORTUNIDAD!$B$18,Tabla6[Fecha Cumplimiento y/ liquidacion],COSTO_OPORTUNIDAD!$C312)</f>
        <v>0</v>
      </c>
      <c r="AE312" s="263">
        <f>+SUMIFS(Tabla6[Nominal COP],Tabla6[Concepto],COSTO_OPORTUNIDAD!$B$18,Tabla6[Nemotécnico],COSTO_OPORTUNIDAD!AE$16,Tabla6[Fecha Cumplimiento y/ liquidacion],COSTO_OPORTUNIDAD!$C312)/+SUMIFS(Tabla6[Nominal COP],Tabla6[Concepto],COSTO_OPORTUNIDAD!$B$18,Tabla6[Fecha Cumplimiento y/ liquidacion],COSTO_OPORTUNIDAD!$C312)</f>
        <v>0</v>
      </c>
      <c r="AF312" s="263">
        <f>+SUMIFS(Tabla6[Nominal COP],Tabla6[Concepto],COSTO_OPORTUNIDAD!$B$18,Tabla6[Nemotécnico],COSTO_OPORTUNIDAD!AF$16,Tabla6[Fecha Cumplimiento y/ liquidacion],COSTO_OPORTUNIDAD!$C312)/+SUMIFS(Tabla6[Nominal COP],Tabla6[Concepto],COSTO_OPORTUNIDAD!$B$18,Tabla6[Fecha Cumplimiento y/ liquidacion],COSTO_OPORTUNIDAD!$C312)</f>
        <v>0</v>
      </c>
      <c r="AH312" s="502">
        <f t="shared" si="538"/>
        <v>82</v>
      </c>
      <c r="AI312" s="502">
        <f t="shared" si="539"/>
        <v>692</v>
      </c>
      <c r="AJ312" s="502">
        <f t="shared" si="540"/>
        <v>869</v>
      </c>
      <c r="AK312" s="502">
        <f t="shared" si="541"/>
        <v>1350</v>
      </c>
      <c r="AL312" s="502">
        <f t="shared" si="542"/>
        <v>1742</v>
      </c>
      <c r="AM312" s="502">
        <f t="shared" si="543"/>
        <v>1931</v>
      </c>
      <c r="AN312" s="502">
        <f t="shared" si="544"/>
        <v>2393</v>
      </c>
      <c r="AO312" s="502">
        <f t="shared" si="545"/>
        <v>2617</v>
      </c>
      <c r="AP312" s="502">
        <f t="shared" si="546"/>
        <v>3233</v>
      </c>
      <c r="AQ312" s="502">
        <f t="shared" si="547"/>
        <v>3311</v>
      </c>
      <c r="AR312" s="502">
        <f t="shared" si="548"/>
        <v>3863</v>
      </c>
      <c r="AS312" s="502">
        <f t="shared" si="549"/>
        <v>5466</v>
      </c>
      <c r="AT312" s="502">
        <f t="shared" si="550"/>
        <v>6012</v>
      </c>
      <c r="AU312" s="502">
        <f t="shared" si="551"/>
        <v>7531</v>
      </c>
      <c r="AV312" s="502">
        <f t="shared" si="552"/>
        <v>9085</v>
      </c>
      <c r="AW312" s="502">
        <f t="shared" si="553"/>
        <v>11780</v>
      </c>
      <c r="AX312" s="502">
        <f t="shared" si="554"/>
        <v>-218</v>
      </c>
      <c r="AY312" s="502">
        <f t="shared" si="555"/>
        <v>461</v>
      </c>
      <c r="AZ312" s="502">
        <f t="shared" si="556"/>
        <v>1224</v>
      </c>
      <c r="BA312" s="502">
        <f t="shared" si="557"/>
        <v>1868</v>
      </c>
      <c r="BB312" s="502">
        <f t="shared" si="558"/>
        <v>2661</v>
      </c>
      <c r="BC312" s="502">
        <f t="shared" si="559"/>
        <v>3401</v>
      </c>
      <c r="BD312" s="502">
        <f t="shared" si="560"/>
        <v>4094</v>
      </c>
      <c r="BE312" s="502">
        <f t="shared" si="561"/>
        <v>5578</v>
      </c>
      <c r="BF312" s="502">
        <f t="shared" si="562"/>
        <v>8588</v>
      </c>
      <c r="BG312" s="502">
        <f t="shared" si="563"/>
        <v>10751</v>
      </c>
      <c r="BH312" s="502">
        <f t="shared" si="564"/>
        <v>13201</v>
      </c>
      <c r="BI312" s="198">
        <f t="shared" si="565"/>
        <v>0</v>
      </c>
      <c r="BJ312" s="198">
        <f t="shared" si="566"/>
        <v>1</v>
      </c>
      <c r="BK312" s="198">
        <f t="shared" si="567"/>
        <v>0</v>
      </c>
      <c r="BL312" s="198">
        <f t="shared" si="568"/>
        <v>0</v>
      </c>
      <c r="BM312" s="198">
        <f t="shared" si="569"/>
        <v>0</v>
      </c>
      <c r="BN312" s="198">
        <f t="shared" si="570"/>
        <v>1</v>
      </c>
      <c r="BO312" s="198">
        <f t="shared" si="571"/>
        <v>0</v>
      </c>
      <c r="BP312" s="198">
        <f t="shared" si="572"/>
        <v>0</v>
      </c>
      <c r="BQ312" s="198">
        <f t="shared" si="573"/>
        <v>0</v>
      </c>
      <c r="BR312" s="198">
        <f t="shared" si="574"/>
        <v>0</v>
      </c>
      <c r="BS312" s="198">
        <f t="shared" si="575"/>
        <v>0</v>
      </c>
      <c r="BT312" s="198">
        <f t="shared" si="576"/>
        <v>0</v>
      </c>
      <c r="BU312" s="198">
        <f t="shared" si="577"/>
        <v>0</v>
      </c>
      <c r="BV312" s="198">
        <f t="shared" si="578"/>
        <v>0</v>
      </c>
      <c r="BW312" s="198">
        <f t="shared" si="579"/>
        <v>0</v>
      </c>
      <c r="BX312" s="198">
        <f t="shared" si="580"/>
        <v>0</v>
      </c>
      <c r="BY312" s="198">
        <f t="shared" si="581"/>
        <v>0</v>
      </c>
      <c r="BZ312" s="198">
        <f t="shared" si="582"/>
        <v>0</v>
      </c>
      <c r="CA312" s="198" t="str">
        <f t="shared" si="583"/>
        <v/>
      </c>
      <c r="CB312" s="198" t="str">
        <f t="shared" si="584"/>
        <v/>
      </c>
      <c r="CC312" s="198" t="str">
        <f t="shared" si="585"/>
        <v/>
      </c>
      <c r="CD312" s="198" t="str">
        <f t="shared" si="586"/>
        <v/>
      </c>
      <c r="CE312" s="198" t="str">
        <f t="shared" si="587"/>
        <v/>
      </c>
      <c r="CF312" s="198" t="str">
        <f t="shared" si="588"/>
        <v/>
      </c>
      <c r="CG312" s="198" t="str">
        <f t="shared" si="589"/>
        <v/>
      </c>
      <c r="CH312" s="198" t="str">
        <f t="shared" si="590"/>
        <v/>
      </c>
      <c r="CI312" s="198" t="str">
        <f t="shared" si="591"/>
        <v/>
      </c>
      <c r="CJ312" s="198" t="str">
        <f t="shared" si="592"/>
        <v/>
      </c>
      <c r="CK312" s="198" t="str">
        <f t="shared" si="593"/>
        <v/>
      </c>
      <c r="CL312" s="503">
        <f t="shared" si="594"/>
        <v>1350</v>
      </c>
      <c r="CM312" s="503">
        <f t="shared" si="527"/>
        <v>0</v>
      </c>
      <c r="CO312" s="265">
        <v>8.9499999999999996E-2</v>
      </c>
      <c r="CP312" s="265">
        <v>0.10915</v>
      </c>
      <c r="CQ312" s="265">
        <v>0.11621000000000001</v>
      </c>
      <c r="CR312" s="265">
        <v>0.12330000000000001</v>
      </c>
      <c r="CS312" s="265">
        <v>0.12378</v>
      </c>
      <c r="CT312" s="265">
        <v>0.1245</v>
      </c>
      <c r="CU312" s="265">
        <v>0.12475</v>
      </c>
      <c r="CV312" s="265">
        <v>0.1245</v>
      </c>
      <c r="CW312" s="265">
        <v>0.12539999999999998</v>
      </c>
      <c r="CX312" s="265">
        <v>0.12825</v>
      </c>
      <c r="CY312" s="265">
        <v>0.12598999999999999</v>
      </c>
      <c r="CZ312" s="265">
        <v>0.12809999999999999</v>
      </c>
      <c r="DA312" s="265">
        <v>0.12531</v>
      </c>
      <c r="DB312" s="265">
        <v>0.12897999999999998</v>
      </c>
      <c r="DC312" s="265">
        <v>0.12585000000000002</v>
      </c>
      <c r="DD312" s="265">
        <v>0.12900999999999999</v>
      </c>
      <c r="DE312" s="265">
        <v>5.9500000000000004E-2</v>
      </c>
      <c r="DF312" s="265">
        <v>6.2300000000000001E-2</v>
      </c>
      <c r="DG312" s="265">
        <v>6.4600000000000005E-2</v>
      </c>
      <c r="DH312" s="265">
        <v>6.3500000000000001E-2</v>
      </c>
      <c r="DI312" s="265">
        <v>6.4000000000000001E-2</v>
      </c>
      <c r="DJ312" s="265">
        <v>6.5199999999999994E-2</v>
      </c>
      <c r="DK312" s="265">
        <v>6.361E-2</v>
      </c>
      <c r="DL312" s="265">
        <v>6.1890000000000001E-2</v>
      </c>
      <c r="DM312" s="265">
        <v>6.3710000000000003E-2</v>
      </c>
      <c r="DN312" s="265">
        <v>6.3899999999999998E-2</v>
      </c>
      <c r="DO312" s="503">
        <f t="shared" si="595"/>
        <v>1350</v>
      </c>
      <c r="DP312" s="503" cm="1">
        <f t="array" ref="DP312">+INDEX(AH312:AW312,MATCH(DO312,AH312:AW312,1)+1)</f>
        <v>1742</v>
      </c>
      <c r="DQ312" s="504">
        <f t="shared" si="596"/>
        <v>0.12330000000000001</v>
      </c>
      <c r="DR312" s="205">
        <f t="shared" si="597"/>
        <v>0.12378</v>
      </c>
      <c r="DS312" s="205">
        <f t="shared" si="598"/>
        <v>0.12330000000000001</v>
      </c>
      <c r="DT312" s="505">
        <f t="shared" si="599"/>
        <v>-218</v>
      </c>
      <c r="DU312" s="505" t="e" cm="1">
        <f t="array" ref="DU312">+INDEX(AY312:BH312,MATCH(DT312,AY312:BH312,1)+1)</f>
        <v>#N/A</v>
      </c>
      <c r="DV312" s="205" t="e">
        <f t="shared" si="600"/>
        <v>#N/A</v>
      </c>
      <c r="DW312" s="205" t="e">
        <f t="shared" si="601"/>
        <v>#N/A</v>
      </c>
      <c r="DX312" s="205" t="e">
        <f t="shared" si="602"/>
        <v>#N/A</v>
      </c>
      <c r="DY312" s="205">
        <f t="shared" si="341"/>
        <v>5.28E-2</v>
      </c>
      <c r="DZ312" s="205" t="e">
        <f t="shared" si="603"/>
        <v>#N/A</v>
      </c>
      <c r="EA312" s="205">
        <f t="shared" si="604"/>
        <v>0.12330000000000001</v>
      </c>
    </row>
    <row r="313" spans="2:131">
      <c r="B313" s="272">
        <v>46003</v>
      </c>
      <c r="C313" s="271">
        <f t="shared" si="469"/>
        <v>46003</v>
      </c>
      <c r="D313" s="263">
        <f>+SUMIFS(Tabla6[Nominal COP],Tabla6[Concepto],COSTO_OPORTUNIDAD!$B$18,Tabla6[Nemotécnico],COSTO_OPORTUNIDAD!D$16,Tabla6[Fecha Cumplimiento y/ liquidacion],COSTO_OPORTUNIDAD!$C313)/+SUMIFS(Tabla6[Nominal COP],Tabla6[Concepto],COSTO_OPORTUNIDAD!$B$18,Tabla6[Fecha Cumplimiento y/ liquidacion],COSTO_OPORTUNIDAD!$C313)</f>
        <v>0</v>
      </c>
      <c r="E313" s="263">
        <f>+SUMIFS(Tabla6[Nominal COP],Tabla6[Concepto],COSTO_OPORTUNIDAD!$B$18,Tabla6[Nemotécnico],COSTO_OPORTUNIDAD!E$16,Tabla6[Fecha Cumplimiento y/ liquidacion],COSTO_OPORTUNIDAD!$C313)/+SUMIFS(Tabla6[Nominal COP],Tabla6[Concepto],COSTO_OPORTUNIDAD!$B$18,Tabla6[Fecha Cumplimiento y/ liquidacion],COSTO_OPORTUNIDAD!$C313)</f>
        <v>0</v>
      </c>
      <c r="F313" s="263">
        <f>+SUMIFS(Tabla6[Nominal COP],Tabla6[Concepto],COSTO_OPORTUNIDAD!$B$18,Tabla6[Nemotécnico],COSTO_OPORTUNIDAD!F$16,Tabla6[Fecha Cumplimiento y/ liquidacion],COSTO_OPORTUNIDAD!$C313)/+SUMIFS(Tabla6[Nominal COP],Tabla6[Concepto],COSTO_OPORTUNIDAD!$B$18,Tabla6[Fecha Cumplimiento y/ liquidacion],COSTO_OPORTUNIDAD!$C313)</f>
        <v>0</v>
      </c>
      <c r="G313" s="263">
        <f>+SUMIFS(Tabla6[Nominal COP],Tabla6[Concepto],COSTO_OPORTUNIDAD!$B$18,Tabla6[Nemotécnico],COSTO_OPORTUNIDAD!G$16,Tabla6[Fecha Cumplimiento y/ liquidacion],COSTO_OPORTUNIDAD!$C313)/+SUMIFS(Tabla6[Nominal COP],Tabla6[Concepto],COSTO_OPORTUNIDAD!$B$18,Tabla6[Fecha Cumplimiento y/ liquidacion],COSTO_OPORTUNIDAD!$C313)</f>
        <v>0</v>
      </c>
      <c r="H313" s="263">
        <f>+SUMIFS(Tabla6[Nominal COP],Tabla6[Concepto],COSTO_OPORTUNIDAD!$B$18,Tabla6[Nemotécnico],COSTO_OPORTUNIDAD!H$16,Tabla6[Fecha Cumplimiento y/ liquidacion],COSTO_OPORTUNIDAD!$C313)/+SUMIFS(Tabla6[Nominal COP],Tabla6[Concepto],COSTO_OPORTUNIDAD!$B$18,Tabla6[Fecha Cumplimiento y/ liquidacion],COSTO_OPORTUNIDAD!$C313)</f>
        <v>0</v>
      </c>
      <c r="I313" s="263">
        <f>+SUMIFS(Tabla6[Nominal COP],Tabla6[Concepto],COSTO_OPORTUNIDAD!$B$18,Tabla6[Nemotécnico],COSTO_OPORTUNIDAD!I$16,Tabla6[Fecha Cumplimiento y/ liquidacion],COSTO_OPORTUNIDAD!$C313)/+SUMIFS(Tabla6[Nominal COP],Tabla6[Concepto],COSTO_OPORTUNIDAD!$B$18,Tabla6[Fecha Cumplimiento y/ liquidacion],COSTO_OPORTUNIDAD!$C313)</f>
        <v>1</v>
      </c>
      <c r="J313" s="263">
        <f>+SUMIFS(Tabla6[Nominal COP],Tabla6[Concepto],COSTO_OPORTUNIDAD!$B$18,Tabla6[Nemotécnico],COSTO_OPORTUNIDAD!J$16,Tabla6[Fecha Cumplimiento y/ liquidacion],COSTO_OPORTUNIDAD!$C313)/+SUMIFS(Tabla6[Nominal COP],Tabla6[Concepto],COSTO_OPORTUNIDAD!$B$18,Tabla6[Fecha Cumplimiento y/ liquidacion],COSTO_OPORTUNIDAD!$C313)</f>
        <v>0</v>
      </c>
      <c r="K313" s="263">
        <f>+SUMIFS(Tabla6[Nominal COP],Tabla6[Concepto],COSTO_OPORTUNIDAD!$B$18,Tabla6[Nemotécnico],COSTO_OPORTUNIDAD!K$16,Tabla6[Fecha Cumplimiento y/ liquidacion],COSTO_OPORTUNIDAD!$C313)/+SUMIFS(Tabla6[Nominal COP],Tabla6[Concepto],COSTO_OPORTUNIDAD!$B$18,Tabla6[Fecha Cumplimiento y/ liquidacion],COSTO_OPORTUNIDAD!$C313)</f>
        <v>0</v>
      </c>
      <c r="L313" s="263">
        <f>+SUMIFS(Tabla6[Nominal COP],Tabla6[Concepto],COSTO_OPORTUNIDAD!$B$18,Tabla6[Nemotécnico],COSTO_OPORTUNIDAD!L$16,Tabla6[Fecha Cumplimiento y/ liquidacion],COSTO_OPORTUNIDAD!$C313)/+SUMIFS(Tabla6[Nominal COP],Tabla6[Concepto],COSTO_OPORTUNIDAD!$B$18,Tabla6[Fecha Cumplimiento y/ liquidacion],COSTO_OPORTUNIDAD!$C313)</f>
        <v>0</v>
      </c>
      <c r="M313" s="263">
        <f>+SUMIFS(Tabla6[Nominal COP],Tabla6[Concepto],COSTO_OPORTUNIDAD!$B$18,Tabla6[Nemotécnico],COSTO_OPORTUNIDAD!M$16,Tabla6[Fecha Cumplimiento y/ liquidacion],COSTO_OPORTUNIDAD!$C313)/+SUMIFS(Tabla6[Nominal COP],Tabla6[Concepto],COSTO_OPORTUNIDAD!$B$18,Tabla6[Fecha Cumplimiento y/ liquidacion],COSTO_OPORTUNIDAD!$C313)</f>
        <v>0</v>
      </c>
      <c r="N313" s="263">
        <f>+SUMIFS(Tabla6[Nominal COP],Tabla6[Concepto],COSTO_OPORTUNIDAD!$B$18,Tabla6[Nemotécnico],COSTO_OPORTUNIDAD!N$16,Tabla6[Fecha Cumplimiento y/ liquidacion],COSTO_OPORTUNIDAD!$C313)/+SUMIFS(Tabla6[Nominal COP],Tabla6[Concepto],COSTO_OPORTUNIDAD!$B$18,Tabla6[Fecha Cumplimiento y/ liquidacion],COSTO_OPORTUNIDAD!$C313)</f>
        <v>0</v>
      </c>
      <c r="O313" s="263">
        <f>+SUMIFS(Tabla6[Nominal COP],Tabla6[Concepto],COSTO_OPORTUNIDAD!$B$18,Tabla6[Nemotécnico],COSTO_OPORTUNIDAD!O$16,Tabla6[Fecha Cumplimiento y/ liquidacion],COSTO_OPORTUNIDAD!$C313)/+SUMIFS(Tabla6[Nominal COP],Tabla6[Concepto],COSTO_OPORTUNIDAD!$B$18,Tabla6[Fecha Cumplimiento y/ liquidacion],COSTO_OPORTUNIDAD!$C313)</f>
        <v>0</v>
      </c>
      <c r="P313" s="263">
        <f>+SUMIFS(Tabla6[Nominal COP],Tabla6[Concepto],COSTO_OPORTUNIDAD!$B$18,Tabla6[Nemotécnico],COSTO_OPORTUNIDAD!P$16,Tabla6[Fecha Cumplimiento y/ liquidacion],COSTO_OPORTUNIDAD!$C313)/+SUMIFS(Tabla6[Nominal COP],Tabla6[Concepto],COSTO_OPORTUNIDAD!$B$18,Tabla6[Fecha Cumplimiento y/ liquidacion],COSTO_OPORTUNIDAD!$C313)</f>
        <v>0</v>
      </c>
      <c r="Q313" s="263">
        <f>+SUMIFS(Tabla6[Nominal COP],Tabla6[Concepto],COSTO_OPORTUNIDAD!$B$18,Tabla6[Nemotécnico],COSTO_OPORTUNIDAD!Q$16,Tabla6[Fecha Cumplimiento y/ liquidacion],COSTO_OPORTUNIDAD!$C313)/+SUMIFS(Tabla6[Nominal COP],Tabla6[Concepto],COSTO_OPORTUNIDAD!$B$18,Tabla6[Fecha Cumplimiento y/ liquidacion],COSTO_OPORTUNIDAD!$C313)</f>
        <v>0</v>
      </c>
      <c r="R313" s="263">
        <f>+SUMIFS(Tabla6[Nominal COP],Tabla6[Concepto],COSTO_OPORTUNIDAD!$B$18,Tabla6[Nemotécnico],COSTO_OPORTUNIDAD!R$16,Tabla6[Fecha Cumplimiento y/ liquidacion],COSTO_OPORTUNIDAD!$C313)/+SUMIFS(Tabla6[Nominal COP],Tabla6[Concepto],COSTO_OPORTUNIDAD!$B$18,Tabla6[Fecha Cumplimiento y/ liquidacion],COSTO_OPORTUNIDAD!$C313)</f>
        <v>0</v>
      </c>
      <c r="S313" s="263">
        <f>+SUMIFS(Tabla6[Nominal COP],Tabla6[Concepto],COSTO_OPORTUNIDAD!$B$18,Tabla6[Nemotécnico],COSTO_OPORTUNIDAD!S$16,Tabla6[Fecha Cumplimiento y/ liquidacion],COSTO_OPORTUNIDAD!$C313)/+SUMIFS(Tabla6[Nominal COP],Tabla6[Concepto],COSTO_OPORTUNIDAD!$B$18,Tabla6[Fecha Cumplimiento y/ liquidacion],COSTO_OPORTUNIDAD!$C313)</f>
        <v>0</v>
      </c>
      <c r="T313" s="263">
        <f>+SUMIFS(Tabla6[Nominal COP],Tabla6[Concepto],COSTO_OPORTUNIDAD!$B$18,Tabla6[Nemotécnico],COSTO_OPORTUNIDAD!T$16,Tabla6[Fecha Cumplimiento y/ liquidacion],COSTO_OPORTUNIDAD!$C313)/+SUMIFS(Tabla6[Nominal COP],Tabla6[Concepto],COSTO_OPORTUNIDAD!$B$18,Tabla6[Fecha Cumplimiento y/ liquidacion],COSTO_OPORTUNIDAD!$C313)</f>
        <v>0</v>
      </c>
      <c r="U313" s="263">
        <f>+SUMIFS(Tabla6[Nominal COP],Tabla6[Concepto],COSTO_OPORTUNIDAD!$B$18,Tabla6[Nemotécnico],COSTO_OPORTUNIDAD!U$16,Tabla6[Fecha Cumplimiento y/ liquidacion],COSTO_OPORTUNIDAD!$C313)/+SUMIFS(Tabla6[Nominal COP],Tabla6[Concepto],COSTO_OPORTUNIDAD!$B$18,Tabla6[Fecha Cumplimiento y/ liquidacion],COSTO_OPORTUNIDAD!$C313)</f>
        <v>0</v>
      </c>
      <c r="V313" s="263">
        <f>+SUMIFS(Tabla6[Nominal COP],Tabla6[Concepto],COSTO_OPORTUNIDAD!$B$18,Tabla6[Nemotécnico],COSTO_OPORTUNIDAD!V$16,Tabla6[Fecha Cumplimiento y/ liquidacion],COSTO_OPORTUNIDAD!$C313)/+SUMIFS(Tabla6[Nominal COP],Tabla6[Concepto],COSTO_OPORTUNIDAD!$B$18,Tabla6[Fecha Cumplimiento y/ liquidacion],COSTO_OPORTUNIDAD!$C313)</f>
        <v>0</v>
      </c>
      <c r="W313" s="263">
        <f>+SUMIFS(Tabla6[Nominal COP],Tabla6[Concepto],COSTO_OPORTUNIDAD!$B$18,Tabla6[Nemotécnico],COSTO_OPORTUNIDAD!W$16,Tabla6[Fecha Cumplimiento y/ liquidacion],COSTO_OPORTUNIDAD!$C313)/+SUMIFS(Tabla6[Nominal COP],Tabla6[Concepto],COSTO_OPORTUNIDAD!$B$18,Tabla6[Fecha Cumplimiento y/ liquidacion],COSTO_OPORTUNIDAD!$C313)</f>
        <v>0</v>
      </c>
      <c r="X313" s="263">
        <f>+SUMIFS(Tabla6[Nominal COP],Tabla6[Concepto],COSTO_OPORTUNIDAD!$B$18,Tabla6[Nemotécnico],COSTO_OPORTUNIDAD!X$16,Tabla6[Fecha Cumplimiento y/ liquidacion],COSTO_OPORTUNIDAD!$C313)/+SUMIFS(Tabla6[Nominal COP],Tabla6[Concepto],COSTO_OPORTUNIDAD!$B$18,Tabla6[Fecha Cumplimiento y/ liquidacion],COSTO_OPORTUNIDAD!$C313)</f>
        <v>0</v>
      </c>
      <c r="Y313" s="263">
        <f>+SUMIFS(Tabla6[Nominal COP],Tabla6[Concepto],COSTO_OPORTUNIDAD!$B$18,Tabla6[Nemotécnico],COSTO_OPORTUNIDAD!Y$16,Tabla6[Fecha Cumplimiento y/ liquidacion],COSTO_OPORTUNIDAD!$C313)/+SUMIFS(Tabla6[Nominal COP],Tabla6[Concepto],COSTO_OPORTUNIDAD!$B$18,Tabla6[Fecha Cumplimiento y/ liquidacion],COSTO_OPORTUNIDAD!$C313)</f>
        <v>0</v>
      </c>
      <c r="Z313" s="263">
        <f>+SUMIFS(Tabla6[Nominal COP],Tabla6[Concepto],COSTO_OPORTUNIDAD!$B$18,Tabla6[Nemotécnico],COSTO_OPORTUNIDAD!Z$16,Tabla6[Fecha Cumplimiento y/ liquidacion],COSTO_OPORTUNIDAD!$C313)/+SUMIFS(Tabla6[Nominal COP],Tabla6[Concepto],COSTO_OPORTUNIDAD!$B$18,Tabla6[Fecha Cumplimiento y/ liquidacion],COSTO_OPORTUNIDAD!$C313)</f>
        <v>0</v>
      </c>
      <c r="AA313" s="263">
        <f>+SUMIFS(Tabla6[Nominal COP],Tabla6[Concepto],COSTO_OPORTUNIDAD!$B$18,Tabla6[Nemotécnico],COSTO_OPORTUNIDAD!AA$16,Tabla6[Fecha Cumplimiento y/ liquidacion],COSTO_OPORTUNIDAD!$C313)/+SUMIFS(Tabla6[Nominal COP],Tabla6[Concepto],COSTO_OPORTUNIDAD!$B$18,Tabla6[Fecha Cumplimiento y/ liquidacion],COSTO_OPORTUNIDAD!$C313)</f>
        <v>0</v>
      </c>
      <c r="AB313" s="263">
        <f>+SUMIFS(Tabla6[Nominal COP],Tabla6[Concepto],COSTO_OPORTUNIDAD!$B$18,Tabla6[Nemotécnico],COSTO_OPORTUNIDAD!AB$16,Tabla6[Fecha Cumplimiento y/ liquidacion],COSTO_OPORTUNIDAD!$C313)/+SUMIFS(Tabla6[Nominal COP],Tabla6[Concepto],COSTO_OPORTUNIDAD!$B$18,Tabla6[Fecha Cumplimiento y/ liquidacion],COSTO_OPORTUNIDAD!$C313)</f>
        <v>0</v>
      </c>
      <c r="AC313" s="263">
        <f>+SUMIFS(Tabla6[Nominal COP],Tabla6[Concepto],COSTO_OPORTUNIDAD!$B$18,Tabla6[Nemotécnico],COSTO_OPORTUNIDAD!AC$16,Tabla6[Fecha Cumplimiento y/ liquidacion],COSTO_OPORTUNIDAD!$C313)/+SUMIFS(Tabla6[Nominal COP],Tabla6[Concepto],COSTO_OPORTUNIDAD!$B$18,Tabla6[Fecha Cumplimiento y/ liquidacion],COSTO_OPORTUNIDAD!$C313)</f>
        <v>0</v>
      </c>
      <c r="AD313" s="263">
        <f>+SUMIFS(Tabla6[Nominal COP],Tabla6[Concepto],COSTO_OPORTUNIDAD!$B$18,Tabla6[Nemotécnico],COSTO_OPORTUNIDAD!AC$16,Tabla6[Fecha Cumplimiento y/ liquidacion],COSTO_OPORTUNIDAD!$C313)/+SUMIFS(Tabla6[Nominal COP],Tabla6[Concepto],COSTO_OPORTUNIDAD!$B$18,Tabla6[Fecha Cumplimiento y/ liquidacion],COSTO_OPORTUNIDAD!$C313)</f>
        <v>0</v>
      </c>
      <c r="AE313" s="263">
        <f>+SUMIFS(Tabla6[Nominal COP],Tabla6[Concepto],COSTO_OPORTUNIDAD!$B$18,Tabla6[Nemotécnico],COSTO_OPORTUNIDAD!AE$16,Tabla6[Fecha Cumplimiento y/ liquidacion],COSTO_OPORTUNIDAD!$C313)/+SUMIFS(Tabla6[Nominal COP],Tabla6[Concepto],COSTO_OPORTUNIDAD!$B$18,Tabla6[Fecha Cumplimiento y/ liquidacion],COSTO_OPORTUNIDAD!$C313)</f>
        <v>0</v>
      </c>
      <c r="AF313" s="263">
        <f>+SUMIFS(Tabla6[Nominal COP],Tabla6[Concepto],COSTO_OPORTUNIDAD!$B$18,Tabla6[Nemotécnico],COSTO_OPORTUNIDAD!AF$16,Tabla6[Fecha Cumplimiento y/ liquidacion],COSTO_OPORTUNIDAD!$C313)/+SUMIFS(Tabla6[Nominal COP],Tabla6[Concepto],COSTO_OPORTUNIDAD!$B$18,Tabla6[Fecha Cumplimiento y/ liquidacion],COSTO_OPORTUNIDAD!$C313)</f>
        <v>0</v>
      </c>
      <c r="AH313" s="502">
        <f t="shared" si="538"/>
        <v>81</v>
      </c>
      <c r="AI313" s="502">
        <f t="shared" si="539"/>
        <v>691</v>
      </c>
      <c r="AJ313" s="502">
        <f t="shared" si="540"/>
        <v>868</v>
      </c>
      <c r="AK313" s="502">
        <f t="shared" si="541"/>
        <v>1349</v>
      </c>
      <c r="AL313" s="502">
        <f t="shared" si="542"/>
        <v>1741</v>
      </c>
      <c r="AM313" s="502">
        <f t="shared" si="543"/>
        <v>1930</v>
      </c>
      <c r="AN313" s="502">
        <f t="shared" si="544"/>
        <v>2392</v>
      </c>
      <c r="AO313" s="502">
        <f t="shared" si="545"/>
        <v>2616</v>
      </c>
      <c r="AP313" s="502">
        <f t="shared" si="546"/>
        <v>3232</v>
      </c>
      <c r="AQ313" s="502">
        <f t="shared" si="547"/>
        <v>3310</v>
      </c>
      <c r="AR313" s="502">
        <f t="shared" si="548"/>
        <v>3862</v>
      </c>
      <c r="AS313" s="502">
        <f t="shared" si="549"/>
        <v>5465</v>
      </c>
      <c r="AT313" s="502">
        <f t="shared" si="550"/>
        <v>6011</v>
      </c>
      <c r="AU313" s="502">
        <f t="shared" si="551"/>
        <v>7530</v>
      </c>
      <c r="AV313" s="502">
        <f t="shared" si="552"/>
        <v>9084</v>
      </c>
      <c r="AW313" s="502">
        <f t="shared" si="553"/>
        <v>11779</v>
      </c>
      <c r="AX313" s="502">
        <f t="shared" si="554"/>
        <v>-219</v>
      </c>
      <c r="AY313" s="502">
        <f t="shared" si="555"/>
        <v>460</v>
      </c>
      <c r="AZ313" s="502">
        <f t="shared" si="556"/>
        <v>1223</v>
      </c>
      <c r="BA313" s="502">
        <f t="shared" si="557"/>
        <v>1867</v>
      </c>
      <c r="BB313" s="502">
        <f t="shared" si="558"/>
        <v>2660</v>
      </c>
      <c r="BC313" s="502">
        <f t="shared" si="559"/>
        <v>3400</v>
      </c>
      <c r="BD313" s="502">
        <f t="shared" si="560"/>
        <v>4093</v>
      </c>
      <c r="BE313" s="502">
        <f t="shared" si="561"/>
        <v>5577</v>
      </c>
      <c r="BF313" s="502">
        <f t="shared" si="562"/>
        <v>8587</v>
      </c>
      <c r="BG313" s="502">
        <f t="shared" si="563"/>
        <v>10750</v>
      </c>
      <c r="BH313" s="502">
        <f t="shared" si="564"/>
        <v>13200</v>
      </c>
      <c r="BI313" s="198">
        <f t="shared" si="565"/>
        <v>0</v>
      </c>
      <c r="BJ313" s="198">
        <f t="shared" si="566"/>
        <v>1</v>
      </c>
      <c r="BK313" s="198">
        <f t="shared" si="567"/>
        <v>0</v>
      </c>
      <c r="BL313" s="198">
        <f t="shared" si="568"/>
        <v>0</v>
      </c>
      <c r="BM313" s="198">
        <f t="shared" si="569"/>
        <v>0</v>
      </c>
      <c r="BN313" s="198">
        <f t="shared" si="570"/>
        <v>1</v>
      </c>
      <c r="BO313" s="198">
        <f t="shared" si="571"/>
        <v>0</v>
      </c>
      <c r="BP313" s="198">
        <f t="shared" si="572"/>
        <v>0</v>
      </c>
      <c r="BQ313" s="198">
        <f t="shared" si="573"/>
        <v>0</v>
      </c>
      <c r="BR313" s="198">
        <f t="shared" si="574"/>
        <v>0</v>
      </c>
      <c r="BS313" s="198">
        <f t="shared" si="575"/>
        <v>0</v>
      </c>
      <c r="BT313" s="198">
        <f t="shared" si="576"/>
        <v>0</v>
      </c>
      <c r="BU313" s="198">
        <f t="shared" si="577"/>
        <v>0</v>
      </c>
      <c r="BV313" s="198">
        <f t="shared" si="578"/>
        <v>0</v>
      </c>
      <c r="BW313" s="198">
        <f t="shared" si="579"/>
        <v>0</v>
      </c>
      <c r="BX313" s="198">
        <f t="shared" si="580"/>
        <v>0</v>
      </c>
      <c r="BY313" s="198">
        <f t="shared" si="581"/>
        <v>0</v>
      </c>
      <c r="BZ313" s="198">
        <f t="shared" si="582"/>
        <v>0</v>
      </c>
      <c r="CA313" s="198" t="str">
        <f t="shared" si="583"/>
        <v/>
      </c>
      <c r="CB313" s="198" t="str">
        <f t="shared" si="584"/>
        <v/>
      </c>
      <c r="CC313" s="198" t="str">
        <f t="shared" si="585"/>
        <v/>
      </c>
      <c r="CD313" s="198" t="str">
        <f t="shared" si="586"/>
        <v/>
      </c>
      <c r="CE313" s="198" t="str">
        <f t="shared" si="587"/>
        <v/>
      </c>
      <c r="CF313" s="198" t="str">
        <f t="shared" si="588"/>
        <v/>
      </c>
      <c r="CG313" s="198" t="str">
        <f t="shared" si="589"/>
        <v/>
      </c>
      <c r="CH313" s="198" t="str">
        <f t="shared" si="590"/>
        <v/>
      </c>
      <c r="CI313" s="198" t="str">
        <f t="shared" si="591"/>
        <v/>
      </c>
      <c r="CJ313" s="198" t="str">
        <f t="shared" si="592"/>
        <v/>
      </c>
      <c r="CK313" s="198" t="str">
        <f t="shared" si="593"/>
        <v/>
      </c>
      <c r="CL313" s="503">
        <f t="shared" si="594"/>
        <v>1349</v>
      </c>
      <c r="CM313" s="503">
        <f t="shared" si="527"/>
        <v>0</v>
      </c>
      <c r="CO313" s="265">
        <v>8.9499999999999996E-2</v>
      </c>
      <c r="CP313" s="265">
        <v>0.109</v>
      </c>
      <c r="CQ313" s="265">
        <v>0.11510999999999999</v>
      </c>
      <c r="CR313" s="265">
        <v>0.12279</v>
      </c>
      <c r="CS313" s="265">
        <v>0.12339</v>
      </c>
      <c r="CT313" s="265">
        <v>0.1235</v>
      </c>
      <c r="CU313" s="265">
        <v>0.1245</v>
      </c>
      <c r="CV313" s="265">
        <v>0.1246</v>
      </c>
      <c r="CW313" s="265">
        <v>0.12381</v>
      </c>
      <c r="CX313" s="265">
        <v>0.12709000000000001</v>
      </c>
      <c r="CY313" s="265">
        <v>0.12429999999999999</v>
      </c>
      <c r="CZ313" s="265">
        <v>0.127</v>
      </c>
      <c r="DA313" s="265">
        <v>0.1241</v>
      </c>
      <c r="DB313" s="265">
        <v>0.1273</v>
      </c>
      <c r="DC313" s="265">
        <v>0.124</v>
      </c>
      <c r="DD313" s="265">
        <v>0.12642</v>
      </c>
      <c r="DE313" s="265">
        <v>5.9470000000000002E-2</v>
      </c>
      <c r="DF313" s="265">
        <v>6.1500000000000006E-2</v>
      </c>
      <c r="DG313" s="265">
        <v>6.4500000000000002E-2</v>
      </c>
      <c r="DH313" s="265">
        <v>6.3500000000000001E-2</v>
      </c>
      <c r="DI313" s="265">
        <v>6.4000000000000001E-2</v>
      </c>
      <c r="DJ313" s="265">
        <v>6.4500000000000002E-2</v>
      </c>
      <c r="DK313" s="265">
        <v>6.3200000000000006E-2</v>
      </c>
      <c r="DL313" s="265">
        <v>6.1890000000000001E-2</v>
      </c>
      <c r="DM313" s="265">
        <v>6.3500000000000001E-2</v>
      </c>
      <c r="DN313" s="265">
        <v>6.3500000000000001E-2</v>
      </c>
      <c r="DO313" s="503">
        <f t="shared" si="595"/>
        <v>1349</v>
      </c>
      <c r="DP313" s="503" cm="1">
        <f t="array" ref="DP313">+INDEX(AH313:AW313,MATCH(DO313,AH313:AW313,1)+1)</f>
        <v>1741</v>
      </c>
      <c r="DQ313" s="504">
        <f t="shared" si="596"/>
        <v>0.12279</v>
      </c>
      <c r="DR313" s="205">
        <f t="shared" si="597"/>
        <v>0.12339</v>
      </c>
      <c r="DS313" s="205">
        <f t="shared" si="598"/>
        <v>0.12279</v>
      </c>
      <c r="DT313" s="505">
        <f t="shared" si="599"/>
        <v>-219</v>
      </c>
      <c r="DU313" s="505" t="e" cm="1">
        <f t="array" ref="DU313">+INDEX(AY313:BH313,MATCH(DT313,AY313:BH313,1)+1)</f>
        <v>#N/A</v>
      </c>
      <c r="DV313" s="205" t="e">
        <f t="shared" si="600"/>
        <v>#N/A</v>
      </c>
      <c r="DW313" s="205" t="e">
        <f t="shared" si="601"/>
        <v>#N/A</v>
      </c>
      <c r="DX313" s="205" t="e">
        <f t="shared" si="602"/>
        <v>#N/A</v>
      </c>
      <c r="DY313" s="205">
        <f t="shared" si="341"/>
        <v>5.28E-2</v>
      </c>
      <c r="DZ313" s="205" t="e">
        <f t="shared" si="603"/>
        <v>#N/A</v>
      </c>
      <c r="EA313" s="205">
        <f t="shared" si="604"/>
        <v>0.12279</v>
      </c>
    </row>
  </sheetData>
  <mergeCells count="3">
    <mergeCell ref="BK17:CG17"/>
    <mergeCell ref="EC53:EC54"/>
    <mergeCell ref="ED53:ED54"/>
  </mergeCells>
  <phoneticPr fontId="18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45B57-8EAE-4678-A17C-A4699B496F5F}">
  <sheetPr codeName="Hoja16">
    <tabColor rgb="FFFF0000"/>
  </sheetPr>
  <dimension ref="B2:G165"/>
  <sheetViews>
    <sheetView workbookViewId="0"/>
  </sheetViews>
  <sheetFormatPr baseColWidth="10" defaultColWidth="11.42578125" defaultRowHeight="15"/>
  <cols>
    <col min="2" max="2" width="12" customWidth="1"/>
    <col min="3" max="3" width="35.5703125" bestFit="1" customWidth="1"/>
    <col min="4" max="4" width="14.5703125" bestFit="1" customWidth="1"/>
    <col min="5" max="5" width="24.42578125" customWidth="1"/>
    <col min="6" max="6" width="39.28515625" bestFit="1" customWidth="1"/>
  </cols>
  <sheetData>
    <row r="2" spans="2:6">
      <c r="B2" s="5" t="s">
        <v>18</v>
      </c>
      <c r="C2" s="5" t="s">
        <v>214</v>
      </c>
      <c r="D2" s="5" t="s">
        <v>215</v>
      </c>
      <c r="E2" s="5" t="s">
        <v>216</v>
      </c>
      <c r="F2" s="5" t="s">
        <v>217</v>
      </c>
    </row>
    <row r="3" spans="2:6">
      <c r="B3" s="109">
        <v>45088</v>
      </c>
      <c r="C3" s="116">
        <v>18491554</v>
      </c>
      <c r="D3" s="116" cm="1">
        <f t="array" ref="D3">+_xlfn.XLOOKUP(Tabla5[[#This Row],[Fecha]],HISTORICO!D:D,HISTORICO!H:H/1000000,0,0,1)</f>
        <v>0</v>
      </c>
      <c r="E3" s="116">
        <v>18491554</v>
      </c>
      <c r="F3" s="118">
        <f>Tabla5[[#This Row],[Valor Nominal Estimado]]-12157000</f>
        <v>6334554</v>
      </c>
    </row>
    <row r="4" spans="2:6">
      <c r="B4" s="109">
        <v>45089</v>
      </c>
      <c r="C4" s="116"/>
      <c r="D4" s="116" cm="1">
        <f t="array" ref="D4">+_xlfn.XLOOKUP(Tabla5[[#This Row],[Fecha]],HISTORICO!D:D,HISTORICO!H:H/1000000,0,0,1)</f>
        <v>0</v>
      </c>
      <c r="E4" s="116">
        <f>+E3-Tabla5[[#This Row],[OMDs]]</f>
        <v>18491554</v>
      </c>
      <c r="F4" s="118">
        <f>Tabla5[[#This Row],[Valor Nominal Estimado]]-12157000</f>
        <v>6334554</v>
      </c>
    </row>
    <row r="5" spans="2:6">
      <c r="B5" s="109">
        <v>45090</v>
      </c>
      <c r="C5" s="116"/>
      <c r="D5" s="116" cm="1">
        <f t="array" ref="D5">+_xlfn.XLOOKUP(Tabla5[[#This Row],[Fecha]],HISTORICO!D:D,HISTORICO!H:H/1000000,0,0,1)</f>
        <v>0</v>
      </c>
      <c r="E5" s="116">
        <f>+E4-Tabla5[[#This Row],[OMDs]]</f>
        <v>18491554</v>
      </c>
      <c r="F5" s="118">
        <f>Tabla5[[#This Row],[Valor Nominal Estimado]]-12157000</f>
        <v>6334554</v>
      </c>
    </row>
    <row r="6" spans="2:6">
      <c r="B6" s="109">
        <v>45091</v>
      </c>
      <c r="C6" s="116">
        <v>18491554</v>
      </c>
      <c r="D6" s="116" cm="1">
        <f t="array" ref="D6">+_xlfn.XLOOKUP(Tabla5[[#This Row],[Fecha]],HISTORICO!D:D,HISTORICO!H:H/1000000,0,0,1)</f>
        <v>0</v>
      </c>
      <c r="E6" s="116">
        <f>+E5-Tabla5[[#This Row],[OMDs]]</f>
        <v>18491554</v>
      </c>
      <c r="F6" s="118">
        <f>Tabla5[[#This Row],[Valor Nominal Estimado]]-12157000</f>
        <v>6334554</v>
      </c>
    </row>
    <row r="7" spans="2:6">
      <c r="B7" s="109">
        <v>45092</v>
      </c>
      <c r="C7" s="116"/>
      <c r="D7" s="116" cm="1">
        <f t="array" ref="D7">+_xlfn.XLOOKUP(Tabla5[[#This Row],[Fecha]],HISTORICO!D:D,HISTORICO!H:H/1000000,0,0,1)</f>
        <v>0</v>
      </c>
      <c r="E7" s="116">
        <f>+E6-Tabla5[[#This Row],[OMDs]]</f>
        <v>18491554</v>
      </c>
      <c r="F7" s="118">
        <f>Tabla5[[#This Row],[Valor Nominal Estimado]]-12157000</f>
        <v>6334554</v>
      </c>
    </row>
    <row r="8" spans="2:6">
      <c r="B8" s="109">
        <v>45093</v>
      </c>
      <c r="C8" s="116">
        <v>18491554</v>
      </c>
      <c r="D8" s="116" cm="1">
        <f t="array" ref="D8">+_xlfn.XLOOKUP(Tabla5[[#This Row],[Fecha]],HISTORICO!D:D,HISTORICO!H:H/1000000,0,0,1)</f>
        <v>0</v>
      </c>
      <c r="E8" s="116">
        <f>+E7-Tabla5[[#This Row],[OMDs]]</f>
        <v>18491554</v>
      </c>
      <c r="F8" s="118">
        <f>Tabla5[[#This Row],[Valor Nominal Estimado]]-12157000</f>
        <v>6334554</v>
      </c>
    </row>
    <row r="9" spans="2:6">
      <c r="B9" s="109">
        <v>45094</v>
      </c>
      <c r="C9" s="116"/>
      <c r="D9" s="116" cm="1">
        <f t="array" ref="D9">+_xlfn.XLOOKUP(Tabla5[[#This Row],[Fecha]],HISTORICO!D:D,HISTORICO!H:H/1000000,0,0,1)</f>
        <v>0</v>
      </c>
      <c r="E9" s="116">
        <f>+E8-Tabla5[[#This Row],[OMDs]]</f>
        <v>18491554</v>
      </c>
      <c r="F9" s="118">
        <f>Tabla5[[#This Row],[Valor Nominal Estimado]]-12157000</f>
        <v>6334554</v>
      </c>
    </row>
    <row r="10" spans="2:6">
      <c r="B10" s="109">
        <v>45095</v>
      </c>
      <c r="C10" s="116"/>
      <c r="D10" s="116" cm="1">
        <f t="array" ref="D10">+_xlfn.XLOOKUP(Tabla5[[#This Row],[Fecha]],HISTORICO!D:D,HISTORICO!H:H/1000000,0,0,1)</f>
        <v>0</v>
      </c>
      <c r="E10" s="116">
        <f>+E9-Tabla5[[#This Row],[OMDs]]</f>
        <v>18491554</v>
      </c>
      <c r="F10" s="118">
        <f>Tabla5[[#This Row],[Valor Nominal Estimado]]-12157000</f>
        <v>6334554</v>
      </c>
    </row>
    <row r="11" spans="2:6">
      <c r="B11" s="109">
        <v>45096</v>
      </c>
      <c r="C11" s="116"/>
      <c r="D11" s="116" cm="1">
        <f t="array" ref="D11">+_xlfn.XLOOKUP(Tabla5[[#This Row],[Fecha]],HISTORICO!D:D,HISTORICO!H:H/1000000,0,0,1)</f>
        <v>0</v>
      </c>
      <c r="E11" s="116">
        <f>+E10-Tabla5[[#This Row],[OMDs]]</f>
        <v>18491554</v>
      </c>
      <c r="F11" s="118">
        <f>Tabla5[[#This Row],[Valor Nominal Estimado]]-12157000</f>
        <v>6334554</v>
      </c>
    </row>
    <row r="12" spans="2:6">
      <c r="B12" s="109">
        <v>45097</v>
      </c>
      <c r="C12" s="116"/>
      <c r="D12" s="116" cm="1">
        <f t="array" ref="D12">+_xlfn.XLOOKUP(Tabla5[[#This Row],[Fecha]],HISTORICO!D:D,HISTORICO!H:H/1000000,0,0,1)</f>
        <v>0</v>
      </c>
      <c r="E12" s="116">
        <f>+E11-Tabla5[[#This Row],[OMDs]]</f>
        <v>18491554</v>
      </c>
      <c r="F12" s="118">
        <f>Tabla5[[#This Row],[Valor Nominal Estimado]]-12157000</f>
        <v>6334554</v>
      </c>
    </row>
    <row r="13" spans="2:6">
      <c r="B13" s="109">
        <v>45098</v>
      </c>
      <c r="C13" s="116">
        <v>18491554</v>
      </c>
      <c r="D13" s="116" cm="1">
        <f t="array" ref="D13">+_xlfn.XLOOKUP(Tabla5[[#This Row],[Fecha]],HISTORICO!D:D,HISTORICO!H:H/1000000,0,0,1)</f>
        <v>0</v>
      </c>
      <c r="E13" s="116">
        <f>+E12-Tabla5[[#This Row],[OMDs]]</f>
        <v>18491554</v>
      </c>
      <c r="F13" s="118">
        <f>Tabla5[[#This Row],[Valor Nominal Estimado]]-12157000</f>
        <v>6334554</v>
      </c>
    </row>
    <row r="14" spans="2:6">
      <c r="B14" s="109">
        <v>45099</v>
      </c>
      <c r="C14" s="116"/>
      <c r="D14" s="116" cm="1">
        <f t="array" ref="D14">+_xlfn.XLOOKUP(Tabla5[[#This Row],[Fecha]],HISTORICO!D:D,HISTORICO!H:H/1000000,0,0,1)</f>
        <v>0</v>
      </c>
      <c r="E14" s="116">
        <f>+E13-Tabla5[[#This Row],[OMDs]]</f>
        <v>18491554</v>
      </c>
      <c r="F14" s="118">
        <f>Tabla5[[#This Row],[Valor Nominal Estimado]]-12157000</f>
        <v>6334554</v>
      </c>
    </row>
    <row r="15" spans="2:6">
      <c r="B15" s="109">
        <v>45100</v>
      </c>
      <c r="C15" s="116">
        <v>18491554</v>
      </c>
      <c r="D15" s="116" cm="1">
        <f t="array" ref="D15">+_xlfn.XLOOKUP(Tabla5[[#This Row],[Fecha]],HISTORICO!D:D,HISTORICO!H:H/1000000,0,0,1)</f>
        <v>0</v>
      </c>
      <c r="E15" s="116">
        <f>+E14-Tabla5[[#This Row],[OMDs]]</f>
        <v>18491554</v>
      </c>
      <c r="F15" s="118">
        <f>Tabla5[[#This Row],[Valor Nominal Estimado]]-12157000</f>
        <v>6334554</v>
      </c>
    </row>
    <row r="16" spans="2:6">
      <c r="B16" s="109">
        <v>45101</v>
      </c>
      <c r="C16" s="116"/>
      <c r="D16" s="116" cm="1">
        <f t="array" ref="D16">+_xlfn.XLOOKUP(Tabla5[[#This Row],[Fecha]],HISTORICO!D:D,HISTORICO!H:H/1000000,0,0,1)</f>
        <v>0</v>
      </c>
      <c r="E16" s="116">
        <f>+E15-Tabla5[[#This Row],[OMDs]]</f>
        <v>18491554</v>
      </c>
      <c r="F16" s="118">
        <f>Tabla5[[#This Row],[Valor Nominal Estimado]]-12157000</f>
        <v>6334554</v>
      </c>
    </row>
    <row r="17" spans="2:6">
      <c r="B17" s="109">
        <v>45102</v>
      </c>
      <c r="C17" s="116"/>
      <c r="D17" s="116" cm="1">
        <f t="array" ref="D17">+_xlfn.XLOOKUP(Tabla5[[#This Row],[Fecha]],HISTORICO!D:D,HISTORICO!H:H/1000000,0,0,1)</f>
        <v>0</v>
      </c>
      <c r="E17" s="116">
        <f>+E16-Tabla5[[#This Row],[OMDs]]</f>
        <v>18491554</v>
      </c>
      <c r="F17" s="118">
        <f>Tabla5[[#This Row],[Valor Nominal Estimado]]-12157000</f>
        <v>6334554</v>
      </c>
    </row>
    <row r="18" spans="2:6">
      <c r="B18" s="109">
        <v>45103</v>
      </c>
      <c r="C18" s="116"/>
      <c r="D18" s="116" cm="1">
        <f t="array" ref="D18">+_xlfn.XLOOKUP(Tabla5[[#This Row],[Fecha]],HISTORICO!D:D,HISTORICO!H:H/1000000,0,0,1)</f>
        <v>0</v>
      </c>
      <c r="E18" s="116">
        <f>+E17-Tabla5[[#This Row],[OMDs]]</f>
        <v>18491554</v>
      </c>
      <c r="F18" s="118">
        <f>Tabla5[[#This Row],[Valor Nominal Estimado]]-12157000</f>
        <v>6334554</v>
      </c>
    </row>
    <row r="19" spans="2:6">
      <c r="B19" s="109">
        <v>45104</v>
      </c>
      <c r="C19" s="116"/>
      <c r="D19" s="116" cm="1">
        <f t="array" ref="D19">+_xlfn.XLOOKUP(Tabla5[[#This Row],[Fecha]],HISTORICO!D:D,HISTORICO!H:H/1000000,0,0,1)</f>
        <v>0</v>
      </c>
      <c r="E19" s="116">
        <f>+E18-Tabla5[[#This Row],[OMDs]]</f>
        <v>18491554</v>
      </c>
      <c r="F19" s="118">
        <f>Tabla5[[#This Row],[Valor Nominal Estimado]]-12157000</f>
        <v>6334554</v>
      </c>
    </row>
    <row r="20" spans="2:6">
      <c r="B20" s="109">
        <v>45105</v>
      </c>
      <c r="C20" s="116"/>
      <c r="D20" s="116" cm="1">
        <f t="array" ref="D20">+_xlfn.XLOOKUP(Tabla5[[#This Row],[Fecha]],HISTORICO!D:D,HISTORICO!H:H/1000000,0,0,1)</f>
        <v>255000</v>
      </c>
      <c r="E20" s="116">
        <f>+E19-Tabla5[[#This Row],[OMDs]]</f>
        <v>18236554</v>
      </c>
      <c r="F20" s="118">
        <f>Tabla5[[#This Row],[Valor Nominal Estimado]]-12157000</f>
        <v>6079554</v>
      </c>
    </row>
    <row r="21" spans="2:6">
      <c r="B21" s="109">
        <v>45106</v>
      </c>
      <c r="C21" s="116"/>
      <c r="D21" s="116" cm="1">
        <f t="array" ref="D21">+_xlfn.XLOOKUP(Tabla5[[#This Row],[Fecha]],HISTORICO!D:D,HISTORICO!H:H/1000000,0,0,1)</f>
        <v>0</v>
      </c>
      <c r="E21" s="116">
        <f>+E20-Tabla5[[#This Row],[OMDs]]</f>
        <v>18236554</v>
      </c>
      <c r="F21" s="118">
        <f>Tabla5[[#This Row],[Valor Nominal Estimado]]-12157000</f>
        <v>6079554</v>
      </c>
    </row>
    <row r="22" spans="2:6">
      <c r="B22" s="109">
        <v>45107</v>
      </c>
      <c r="C22" s="116"/>
      <c r="D22" s="116" cm="1">
        <f t="array" ref="D22">+_xlfn.XLOOKUP(Tabla5[[#This Row],[Fecha]],HISTORICO!D:D,HISTORICO!H:H/1000000,0,0,1)</f>
        <v>159000</v>
      </c>
      <c r="E22" s="116">
        <f>+E21-Tabla5[[#This Row],[OMDs]]</f>
        <v>18077554</v>
      </c>
      <c r="F22" s="118">
        <f>Tabla5[[#This Row],[Valor Nominal Estimado]]-12157000</f>
        <v>5920554</v>
      </c>
    </row>
    <row r="23" spans="2:6">
      <c r="B23" s="109">
        <v>45108</v>
      </c>
      <c r="C23" s="116">
        <v>18077554</v>
      </c>
      <c r="D23" s="116" cm="1">
        <f t="array" ref="D23">+_xlfn.XLOOKUP(Tabla5[[#This Row],[Fecha]],HISTORICO!D:D,HISTORICO!H:H/1000000,0,0,1)</f>
        <v>0</v>
      </c>
      <c r="E23" s="116">
        <f>+E22-Tabla5[[#This Row],[OMDs]]</f>
        <v>18077554</v>
      </c>
      <c r="F23" s="118">
        <f>Tabla5[[#This Row],[Valor Nominal Estimado]]-12157000</f>
        <v>5920554</v>
      </c>
    </row>
    <row r="24" spans="2:6">
      <c r="B24" s="109">
        <v>45109</v>
      </c>
      <c r="C24" s="116"/>
      <c r="D24" s="116" cm="1">
        <f t="array" ref="D24">+_xlfn.XLOOKUP(Tabla5[[#This Row],[Fecha]],HISTORICO!D:D,HISTORICO!H:H/1000000,0,0,1)</f>
        <v>0</v>
      </c>
      <c r="E24" s="116">
        <f>+E23-Tabla5[[#This Row],[OMDs]]</f>
        <v>18077554</v>
      </c>
      <c r="F24" s="118">
        <f>Tabla5[[#This Row],[Valor Nominal Estimado]]-12157000</f>
        <v>5920554</v>
      </c>
    </row>
    <row r="25" spans="2:6">
      <c r="B25" s="109">
        <v>45110</v>
      </c>
      <c r="C25" s="116"/>
      <c r="D25" s="116" cm="1">
        <f t="array" ref="D25">+_xlfn.XLOOKUP(Tabla5[[#This Row],[Fecha]],HISTORICO!D:D,HISTORICO!H:H/1000000,0,0,1)</f>
        <v>0</v>
      </c>
      <c r="E25" s="116">
        <f>+E24-Tabla5[[#This Row],[OMDs]]</f>
        <v>18077554</v>
      </c>
      <c r="F25" s="118">
        <f>Tabla5[[#This Row],[Valor Nominal Estimado]]-12157000</f>
        <v>5920554</v>
      </c>
    </row>
    <row r="26" spans="2:6">
      <c r="B26" s="109">
        <v>45111</v>
      </c>
      <c r="C26" s="116"/>
      <c r="D26" s="116" cm="1">
        <f t="array" ref="D26">+_xlfn.XLOOKUP(Tabla5[[#This Row],[Fecha]],HISTORICO!D:D,HISTORICO!H:H/1000000,0,0,1)</f>
        <v>0</v>
      </c>
      <c r="E26" s="116">
        <f>+E25-Tabla5[[#This Row],[OMDs]]</f>
        <v>18077554</v>
      </c>
      <c r="F26" s="118">
        <f>Tabla5[[#This Row],[Valor Nominal Estimado]]-12157000</f>
        <v>5920554</v>
      </c>
    </row>
    <row r="27" spans="2:6">
      <c r="B27" s="109">
        <v>45112</v>
      </c>
      <c r="C27" s="116">
        <v>18077554</v>
      </c>
      <c r="D27" s="116" cm="1">
        <f t="array" ref="D27">+_xlfn.XLOOKUP(Tabla5[[#This Row],[Fecha]],HISTORICO!D:D,HISTORICO!H:H/1000000,0,0,1)</f>
        <v>0</v>
      </c>
      <c r="E27" s="116">
        <f>+E26-Tabla5[[#This Row],[OMDs]]</f>
        <v>18077554</v>
      </c>
      <c r="F27" s="118">
        <f>Tabla5[[#This Row],[Valor Nominal Estimado]]-12157000</f>
        <v>5920554</v>
      </c>
    </row>
    <row r="28" spans="2:6">
      <c r="B28" s="109">
        <v>45113</v>
      </c>
      <c r="C28" s="116"/>
      <c r="D28" s="116" cm="1">
        <f t="array" ref="D28">+_xlfn.XLOOKUP(Tabla5[[#This Row],[Fecha]],HISTORICO!D:D,HISTORICO!H:H/1000000,0,0,1)</f>
        <v>0</v>
      </c>
      <c r="E28" s="116">
        <f>+E27-Tabla5[[#This Row],[OMDs]]</f>
        <v>18077554</v>
      </c>
      <c r="F28" s="118">
        <f>Tabla5[[#This Row],[Valor Nominal Estimado]]-12157000</f>
        <v>5920554</v>
      </c>
    </row>
    <row r="29" spans="2:6">
      <c r="B29" s="109">
        <v>45114</v>
      </c>
      <c r="C29" s="117">
        <v>18077554</v>
      </c>
      <c r="D29" s="117" cm="1">
        <f t="array" ref="D29">+_xlfn.XLOOKUP(Tabla5[[#This Row],[Fecha]],HISTORICO!D:D,HISTORICO!H:H/1000000,0,0,1)</f>
        <v>0</v>
      </c>
      <c r="E29" s="117">
        <f>+E28-Tabla5[[#This Row],[OMDs]]</f>
        <v>18077554</v>
      </c>
      <c r="F29" s="118">
        <f>Tabla5[[#This Row],[Valor Nominal Estimado]]-12157000</f>
        <v>5920554</v>
      </c>
    </row>
    <row r="30" spans="2:6">
      <c r="B30" s="109">
        <v>45115</v>
      </c>
      <c r="C30" s="117"/>
      <c r="D30" s="117" cm="1">
        <f t="array" ref="D30">+_xlfn.XLOOKUP(Tabla5[[#This Row],[Fecha]],HISTORICO!D:D,HISTORICO!H:H/1000000,0,0,1)</f>
        <v>0</v>
      </c>
      <c r="E30" s="117">
        <f>+E29-Tabla5[[#This Row],[OMDs]]</f>
        <v>18077554</v>
      </c>
      <c r="F30" s="118">
        <f>Tabla5[[#This Row],[Valor Nominal Estimado]]-12157000</f>
        <v>5920554</v>
      </c>
    </row>
    <row r="31" spans="2:6">
      <c r="B31" s="109">
        <v>45116</v>
      </c>
      <c r="C31" s="117"/>
      <c r="D31" s="117" cm="1">
        <f t="array" ref="D31">+_xlfn.XLOOKUP(Tabla5[[#This Row],[Fecha]],HISTORICO!D:D,HISTORICO!H:H/1000000,0,0,1)</f>
        <v>0</v>
      </c>
      <c r="E31" s="117">
        <f>+E30-Tabla5[[#This Row],[OMDs]]</f>
        <v>18077554</v>
      </c>
      <c r="F31" s="118">
        <f>Tabla5[[#This Row],[Valor Nominal Estimado]]-12157000</f>
        <v>5920554</v>
      </c>
    </row>
    <row r="32" spans="2:6">
      <c r="B32" s="109">
        <v>45117</v>
      </c>
      <c r="C32" s="117"/>
      <c r="D32" s="117" cm="1">
        <f t="array" ref="D32">+_xlfn.XLOOKUP(Tabla5[[#This Row],[Fecha]],HISTORICO!D:D,HISTORICO!H:H/1000000,0,0,1)</f>
        <v>0</v>
      </c>
      <c r="E32" s="117">
        <f>+E31-Tabla5[[#This Row],[OMDs]]</f>
        <v>18077554</v>
      </c>
      <c r="F32" s="118">
        <f>Tabla5[[#This Row],[Valor Nominal Estimado]]-12157000</f>
        <v>5920554</v>
      </c>
    </row>
    <row r="33" spans="2:6">
      <c r="B33" s="109">
        <v>45118</v>
      </c>
      <c r="C33" s="117"/>
      <c r="D33" s="117" cm="1">
        <f t="array" ref="D33">+_xlfn.XLOOKUP(Tabla5[[#This Row],[Fecha]],HISTORICO!D:D,HISTORICO!H:H/1000000,0,0,1)</f>
        <v>0</v>
      </c>
      <c r="E33" s="117">
        <f>+E32-Tabla5[[#This Row],[OMDs]]</f>
        <v>18077554</v>
      </c>
      <c r="F33" s="118">
        <f>Tabla5[[#This Row],[Valor Nominal Estimado]]-12157000</f>
        <v>5920554</v>
      </c>
    </row>
    <row r="34" spans="2:6">
      <c r="B34" s="109">
        <v>45119</v>
      </c>
      <c r="C34" s="117">
        <v>18077554</v>
      </c>
      <c r="D34" s="117" cm="1">
        <f t="array" ref="D34">+_xlfn.XLOOKUP(Tabla5[[#This Row],[Fecha]],HISTORICO!D:D,HISTORICO!H:H/1000000,0,0,1)</f>
        <v>0</v>
      </c>
      <c r="E34" s="117">
        <f>+E33-Tabla5[[#This Row],[OMDs]]</f>
        <v>18077554</v>
      </c>
      <c r="F34" s="118">
        <f>Tabla5[[#This Row],[Valor Nominal Estimado]]-12157000</f>
        <v>5920554</v>
      </c>
    </row>
    <row r="35" spans="2:6">
      <c r="B35" s="109">
        <v>45120</v>
      </c>
      <c r="C35" s="117"/>
      <c r="D35" s="117" cm="1">
        <f t="array" ref="D35">+_xlfn.XLOOKUP(Tabla5[[#This Row],[Fecha]],HISTORICO!D:D,HISTORICO!H:H/1000000,0,0,1)</f>
        <v>0</v>
      </c>
      <c r="E35" s="117">
        <f>+E34-Tabla5[[#This Row],[OMDs]]</f>
        <v>18077554</v>
      </c>
      <c r="F35" s="118">
        <f>Tabla5[[#This Row],[Valor Nominal Estimado]]-12157000</f>
        <v>5920554</v>
      </c>
    </row>
    <row r="36" spans="2:6">
      <c r="B36" s="109">
        <v>45121</v>
      </c>
      <c r="C36" s="117">
        <v>18077554</v>
      </c>
      <c r="D36" s="117" cm="1">
        <f t="array" ref="D36">+_xlfn.XLOOKUP(Tabla5[[#This Row],[Fecha]],HISTORICO!D:D,HISTORICO!H:H/1000000,0,0,1)</f>
        <v>0</v>
      </c>
      <c r="E36" s="117">
        <f>+E35-Tabla5[[#This Row],[OMDs]]</f>
        <v>18077554</v>
      </c>
      <c r="F36" s="118">
        <f>Tabla5[[#This Row],[Valor Nominal Estimado]]-12157000</f>
        <v>5920554</v>
      </c>
    </row>
    <row r="37" spans="2:6">
      <c r="B37" s="109">
        <v>45122</v>
      </c>
      <c r="C37" s="117"/>
      <c r="D37" s="117" cm="1">
        <f t="array" ref="D37">+_xlfn.XLOOKUP(Tabla5[[#This Row],[Fecha]],HISTORICO!D:D,HISTORICO!H:H/1000000,0,0,1)</f>
        <v>0</v>
      </c>
      <c r="E37" s="117">
        <f>+E36-Tabla5[[#This Row],[OMDs]]</f>
        <v>18077554</v>
      </c>
      <c r="F37" s="118">
        <f>Tabla5[[#This Row],[Valor Nominal Estimado]]-12157000</f>
        <v>5920554</v>
      </c>
    </row>
    <row r="38" spans="2:6">
      <c r="B38" s="109">
        <v>45123</v>
      </c>
      <c r="C38" s="117"/>
      <c r="D38" s="117" cm="1">
        <f t="array" ref="D38">+_xlfn.XLOOKUP(Tabla5[[#This Row],[Fecha]],HISTORICO!D:D,HISTORICO!H:H/1000000,0,0,1)</f>
        <v>0</v>
      </c>
      <c r="E38" s="117">
        <f>+E37-Tabla5[[#This Row],[OMDs]]</f>
        <v>18077554</v>
      </c>
      <c r="F38" s="118">
        <f>Tabla5[[#This Row],[Valor Nominal Estimado]]-12157000</f>
        <v>5920554</v>
      </c>
    </row>
    <row r="39" spans="2:6">
      <c r="B39" s="109">
        <v>45124</v>
      </c>
      <c r="C39" s="117"/>
      <c r="D39" s="117" cm="1">
        <f t="array" ref="D39">+_xlfn.XLOOKUP(Tabla5[[#This Row],[Fecha]],HISTORICO!D:D,HISTORICO!H:H/1000000,0,0,1)</f>
        <v>0</v>
      </c>
      <c r="E39" s="117">
        <f>+E38-Tabla5[[#This Row],[OMDs]]</f>
        <v>18077554</v>
      </c>
      <c r="F39" s="118">
        <f>Tabla5[[#This Row],[Valor Nominal Estimado]]-12157000</f>
        <v>5920554</v>
      </c>
    </row>
    <row r="40" spans="2:6">
      <c r="B40" s="109">
        <v>45125</v>
      </c>
      <c r="C40" s="117"/>
      <c r="D40" s="117" cm="1">
        <f t="array" ref="D40">+_xlfn.XLOOKUP(Tabla5[[#This Row],[Fecha]],HISTORICO!D:D,HISTORICO!H:H/1000000,0,0,1)</f>
        <v>0</v>
      </c>
      <c r="E40" s="117">
        <f>+E39-Tabla5[[#This Row],[OMDs]]</f>
        <v>18077554</v>
      </c>
      <c r="F40" s="118">
        <f>Tabla5[[#This Row],[Valor Nominal Estimado]]-12157000</f>
        <v>5920554</v>
      </c>
    </row>
    <row r="41" spans="2:6">
      <c r="B41" s="109">
        <v>45126</v>
      </c>
      <c r="C41" s="117">
        <v>18077554</v>
      </c>
      <c r="D41" s="117" cm="1">
        <f t="array" ref="D41">+_xlfn.XLOOKUP(Tabla5[[#This Row],[Fecha]],HISTORICO!D:D,HISTORICO!H:H/1000000,0,0,1)</f>
        <v>0</v>
      </c>
      <c r="E41" s="117">
        <f>+E40-Tabla5[[#This Row],[OMDs]]</f>
        <v>18077554</v>
      </c>
      <c r="F41" s="118">
        <f>Tabla5[[#This Row],[Valor Nominal Estimado]]-12157000</f>
        <v>5920554</v>
      </c>
    </row>
    <row r="42" spans="2:6">
      <c r="B42" s="109">
        <v>45127</v>
      </c>
      <c r="C42" s="117"/>
      <c r="D42" s="117" cm="1">
        <f t="array" ref="D42">+_xlfn.XLOOKUP(Tabla5[[#This Row],[Fecha]],HISTORICO!D:D,HISTORICO!H:H/1000000,0,0,1)</f>
        <v>0</v>
      </c>
      <c r="E42" s="117">
        <f>+E41-Tabla5[[#This Row],[OMDs]]</f>
        <v>18077554</v>
      </c>
      <c r="F42" s="118">
        <f>Tabla5[[#This Row],[Valor Nominal Estimado]]-12157000</f>
        <v>5920554</v>
      </c>
    </row>
    <row r="43" spans="2:6">
      <c r="B43" s="109">
        <v>45128</v>
      </c>
      <c r="C43" s="117">
        <v>18077554</v>
      </c>
      <c r="D43" s="117" cm="1">
        <f t="array" ref="D43">+_xlfn.XLOOKUP(Tabla5[[#This Row],[Fecha]],HISTORICO!D:D,HISTORICO!H:H/1000000,0,0,1)</f>
        <v>0</v>
      </c>
      <c r="E43" s="117">
        <f>+E42-Tabla5[[#This Row],[OMDs]]</f>
        <v>18077554</v>
      </c>
      <c r="F43" s="118">
        <f>Tabla5[[#This Row],[Valor Nominal Estimado]]-12157000</f>
        <v>5920554</v>
      </c>
    </row>
    <row r="44" spans="2:6">
      <c r="B44" s="109">
        <v>45129</v>
      </c>
      <c r="C44" s="117"/>
      <c r="D44" s="117" cm="1">
        <f t="array" ref="D44">+_xlfn.XLOOKUP(Tabla5[[#This Row],[Fecha]],HISTORICO!D:D,HISTORICO!H:H/1000000,0,0,1)</f>
        <v>0</v>
      </c>
      <c r="E44" s="117">
        <f>+E43-Tabla5[[#This Row],[OMDs]]</f>
        <v>18077554</v>
      </c>
      <c r="F44" s="118">
        <f>Tabla5[[#This Row],[Valor Nominal Estimado]]-12157000</f>
        <v>5920554</v>
      </c>
    </row>
    <row r="45" spans="2:6">
      <c r="B45" s="109">
        <v>45130</v>
      </c>
      <c r="C45" s="117"/>
      <c r="D45" s="117" cm="1">
        <f t="array" ref="D45">+_xlfn.XLOOKUP(Tabla5[[#This Row],[Fecha]],HISTORICO!D:D,HISTORICO!H:H/1000000,0,0,1)</f>
        <v>0</v>
      </c>
      <c r="E45" s="117">
        <f>+E44-Tabla5[[#This Row],[OMDs]]</f>
        <v>18077554</v>
      </c>
      <c r="F45" s="118">
        <f>Tabla5[[#This Row],[Valor Nominal Estimado]]-12157000</f>
        <v>5920554</v>
      </c>
    </row>
    <row r="46" spans="2:6">
      <c r="B46" s="109">
        <v>45131</v>
      </c>
      <c r="C46" s="117"/>
      <c r="D46" s="117" cm="1">
        <f t="array" ref="D46">+_xlfn.XLOOKUP(Tabla5[[#This Row],[Fecha]],HISTORICO!D:D,HISTORICO!H:H/1000000,0,0,1)</f>
        <v>170000</v>
      </c>
      <c r="E46" s="117">
        <f>+E45-Tabla5[[#This Row],[OMDs]]</f>
        <v>17907554</v>
      </c>
      <c r="F46" s="118">
        <f>Tabla5[[#This Row],[Valor Nominal Estimado]]-12157000</f>
        <v>5750554</v>
      </c>
    </row>
    <row r="47" spans="2:6">
      <c r="B47" s="109">
        <v>45132</v>
      </c>
      <c r="C47" s="117"/>
      <c r="D47" s="117" cm="1">
        <f t="array" ref="D47">+_xlfn.XLOOKUP(Tabla5[[#This Row],[Fecha]],HISTORICO!D:D,HISTORICO!H:H/1000000,0,0,1)</f>
        <v>144000</v>
      </c>
      <c r="E47" s="117">
        <f>+E46-Tabla5[[#This Row],[OMDs]]</f>
        <v>17763554</v>
      </c>
      <c r="F47" s="118">
        <f>Tabla5[[#This Row],[Valor Nominal Estimado]]-12157000</f>
        <v>5606554</v>
      </c>
    </row>
    <row r="48" spans="2:6">
      <c r="B48" s="109">
        <v>45133</v>
      </c>
      <c r="C48" s="117">
        <v>18077554</v>
      </c>
      <c r="D48" s="117" cm="1">
        <f t="array" ref="D48">+_xlfn.XLOOKUP(Tabla5[[#This Row],[Fecha]],HISTORICO!D:D,HISTORICO!H:H/1000000,0,0,1)</f>
        <v>191000</v>
      </c>
      <c r="E48" s="117">
        <f>+E47-Tabla5[[#This Row],[OMDs]]</f>
        <v>17572554</v>
      </c>
      <c r="F48" s="118">
        <f>Tabla5[[#This Row],[Valor Nominal Estimado]]-12157000</f>
        <v>5415554</v>
      </c>
    </row>
    <row r="49" spans="2:6">
      <c r="B49" s="109">
        <v>45134</v>
      </c>
      <c r="C49" s="117"/>
      <c r="D49" s="117" cm="1">
        <f t="array" ref="D49">+_xlfn.XLOOKUP(Tabla5[[#This Row],[Fecha]],HISTORICO!D:D,HISTORICO!H:H/1000000,0,0,1)</f>
        <v>0</v>
      </c>
      <c r="E49" s="117">
        <f>+E48-Tabla5[[#This Row],[OMDs]]</f>
        <v>17572554</v>
      </c>
      <c r="F49" s="118">
        <f>Tabla5[[#This Row],[Valor Nominal Estimado]]-12157000</f>
        <v>5415554</v>
      </c>
    </row>
    <row r="50" spans="2:6">
      <c r="B50" s="109">
        <v>45135</v>
      </c>
      <c r="C50" s="117"/>
      <c r="D50" s="117" cm="1">
        <f t="array" ref="D50">+_xlfn.XLOOKUP(Tabla5[[#This Row],[Fecha]],HISTORICO!D:D,HISTORICO!H:H/1000000,0,0,1)</f>
        <v>195000</v>
      </c>
      <c r="E50" s="117">
        <f>+E49-Tabla5[[#This Row],[OMDs]]</f>
        <v>17377554</v>
      </c>
      <c r="F50" s="118">
        <f>Tabla5[[#This Row],[Valor Nominal Estimado]]-12157000</f>
        <v>5220554</v>
      </c>
    </row>
    <row r="51" spans="2:6">
      <c r="B51" s="109">
        <v>45136</v>
      </c>
      <c r="C51" s="117">
        <v>17377554</v>
      </c>
      <c r="D51" s="117" cm="1">
        <f t="array" ref="D51">+_xlfn.XLOOKUP(Tabla5[[#This Row],[Fecha]],HISTORICO!D:D,HISTORICO!H:H/1000000,0,0,1)</f>
        <v>0</v>
      </c>
      <c r="E51" s="117">
        <f>+E50-Tabla5[[#This Row],[OMDs]]</f>
        <v>17377554</v>
      </c>
      <c r="F51" s="118">
        <f>Tabla5[[#This Row],[Valor Nominal Estimado]]-12157000</f>
        <v>5220554</v>
      </c>
    </row>
    <row r="52" spans="2:6">
      <c r="B52" s="109">
        <v>45137</v>
      </c>
      <c r="C52" s="117"/>
      <c r="D52" s="117" cm="1">
        <f t="array" ref="D52">+_xlfn.XLOOKUP(Tabla5[[#This Row],[Fecha]],HISTORICO!D:D,HISTORICO!H:H/1000000,0,0,1)</f>
        <v>0</v>
      </c>
      <c r="E52" s="117">
        <f>+E51-Tabla5[[#This Row],[OMDs]]</f>
        <v>17377554</v>
      </c>
      <c r="F52" s="118">
        <f>Tabla5[[#This Row],[Valor Nominal Estimado]]-12157000</f>
        <v>5220554</v>
      </c>
    </row>
    <row r="53" spans="2:6">
      <c r="B53" s="109">
        <v>45138</v>
      </c>
      <c r="C53" s="117"/>
      <c r="D53" s="117" cm="1">
        <f t="array" ref="D53">+_xlfn.XLOOKUP(Tabla5[[#This Row],[Fecha]],HISTORICO!D:D,HISTORICO!H:H/1000000,0,0,1)</f>
        <v>0</v>
      </c>
      <c r="E53" s="117">
        <f>+E52-Tabla5[[#This Row],[OMDs]]</f>
        <v>17377554</v>
      </c>
      <c r="F53" s="118">
        <f>Tabla5[[#This Row],[Valor Nominal Estimado]]-12157000</f>
        <v>5220554</v>
      </c>
    </row>
    <row r="54" spans="2:6">
      <c r="B54" s="109">
        <v>45139</v>
      </c>
      <c r="C54" s="117"/>
      <c r="D54" s="117" cm="1">
        <f t="array" ref="D54">+_xlfn.XLOOKUP(Tabla5[[#This Row],[Fecha]],HISTORICO!D:D,HISTORICO!H:H/1000000,0,0,1)</f>
        <v>0</v>
      </c>
      <c r="E54" s="117">
        <f>+E53-Tabla5[[#This Row],[OMDs]]</f>
        <v>17377554</v>
      </c>
      <c r="F54" s="118">
        <f>Tabla5[[#This Row],[Valor Nominal Estimado]]-12157000</f>
        <v>5220554</v>
      </c>
    </row>
    <row r="55" spans="2:6">
      <c r="B55" s="109">
        <v>45140</v>
      </c>
      <c r="C55" s="117"/>
      <c r="D55" s="117" cm="1">
        <f t="array" ref="D55">+_xlfn.XLOOKUP(Tabla5[[#This Row],[Fecha]],HISTORICO!D:D,HISTORICO!H:H/1000000,0,0,1)</f>
        <v>0</v>
      </c>
      <c r="E55" s="117">
        <f>+E54-Tabla5[[#This Row],[OMDs]]</f>
        <v>17377554</v>
      </c>
      <c r="F55" s="118">
        <f>Tabla5[[#This Row],[Valor Nominal Estimado]]-12157000</f>
        <v>5220554</v>
      </c>
    </row>
    <row r="56" spans="2:6">
      <c r="B56" s="109">
        <v>45141</v>
      </c>
      <c r="C56" s="117"/>
      <c r="D56" s="117" cm="1">
        <f t="array" ref="D56">+_xlfn.XLOOKUP(Tabla5[[#This Row],[Fecha]],HISTORICO!D:D,HISTORICO!H:H/1000000,0,0,1)</f>
        <v>0</v>
      </c>
      <c r="E56" s="117">
        <f>+E55-Tabla5[[#This Row],[OMDs]]</f>
        <v>17377554</v>
      </c>
      <c r="F56" s="118">
        <f>Tabla5[[#This Row],[Valor Nominal Estimado]]-12157000</f>
        <v>5220554</v>
      </c>
    </row>
    <row r="57" spans="2:6">
      <c r="B57" s="109">
        <v>45142</v>
      </c>
      <c r="C57" s="117">
        <v>17377554</v>
      </c>
      <c r="D57" s="117" cm="1">
        <f t="array" ref="D57">+_xlfn.XLOOKUP(Tabla5[[#This Row],[Fecha]],HISTORICO!D:D,HISTORICO!H:H/1000000,0,0,1)</f>
        <v>0</v>
      </c>
      <c r="E57" s="117">
        <f>+E56-Tabla5[[#This Row],[OMDs]]</f>
        <v>17377554</v>
      </c>
      <c r="F57" s="118">
        <f>Tabla5[[#This Row],[Valor Nominal Estimado]]-12157000</f>
        <v>5220554</v>
      </c>
    </row>
    <row r="58" spans="2:6">
      <c r="B58" s="109">
        <v>45143</v>
      </c>
      <c r="C58" s="117"/>
      <c r="D58" s="117" cm="1">
        <f t="array" ref="D58">+_xlfn.XLOOKUP(Tabla5[[#This Row],[Fecha]],HISTORICO!D:D,HISTORICO!H:H/1000000,0,0,1)</f>
        <v>0</v>
      </c>
      <c r="E58" s="117">
        <f>+E57-Tabla5[[#This Row],[OMDs]]</f>
        <v>17377554</v>
      </c>
      <c r="F58" s="118">
        <f>Tabla5[[#This Row],[Valor Nominal Estimado]]-12157000</f>
        <v>5220554</v>
      </c>
    </row>
    <row r="59" spans="2:6">
      <c r="B59" s="109">
        <v>45144</v>
      </c>
      <c r="C59" s="117"/>
      <c r="D59" s="117" cm="1">
        <f t="array" ref="D59">+_xlfn.XLOOKUP(Tabla5[[#This Row],[Fecha]],HISTORICO!D:D,HISTORICO!H:H/1000000,0,0,1)</f>
        <v>0</v>
      </c>
      <c r="E59" s="117">
        <f>+E58-Tabla5[[#This Row],[OMDs]]</f>
        <v>17377554</v>
      </c>
      <c r="F59" s="118">
        <f>Tabla5[[#This Row],[Valor Nominal Estimado]]-12157000</f>
        <v>5220554</v>
      </c>
    </row>
    <row r="60" spans="2:6">
      <c r="B60" s="109">
        <v>45145</v>
      </c>
      <c r="C60" s="117"/>
      <c r="D60" s="117" cm="1">
        <f t="array" ref="D60">+_xlfn.XLOOKUP(Tabla5[[#This Row],[Fecha]],HISTORICO!D:D,HISTORICO!H:H/1000000,0,0,1)</f>
        <v>0</v>
      </c>
      <c r="E60" s="117">
        <f>+E59-Tabla5[[#This Row],[OMDs]]</f>
        <v>17377554</v>
      </c>
      <c r="F60" s="118">
        <f>Tabla5[[#This Row],[Valor Nominal Estimado]]-12157000</f>
        <v>5220554</v>
      </c>
    </row>
    <row r="61" spans="2:6">
      <c r="B61" s="109">
        <v>45146</v>
      </c>
      <c r="C61" s="117"/>
      <c r="D61" s="117" cm="1">
        <f t="array" ref="D61">+_xlfn.XLOOKUP(Tabla5[[#This Row],[Fecha]],HISTORICO!D:D,HISTORICO!H:H/1000000,0,0,1)</f>
        <v>0</v>
      </c>
      <c r="E61" s="117">
        <f>+E60-Tabla5[[#This Row],[OMDs]]</f>
        <v>17377554</v>
      </c>
      <c r="F61" s="118">
        <f>Tabla5[[#This Row],[Valor Nominal Estimado]]-12157000</f>
        <v>5220554</v>
      </c>
    </row>
    <row r="62" spans="2:6">
      <c r="B62" s="109">
        <v>45147</v>
      </c>
      <c r="C62" s="117">
        <v>17377554</v>
      </c>
      <c r="D62" s="117" cm="1">
        <f t="array" ref="D62">+_xlfn.XLOOKUP(Tabla5[[#This Row],[Fecha]],HISTORICO!D:D,HISTORICO!H:H/1000000,0,0,1)</f>
        <v>0</v>
      </c>
      <c r="E62" s="117">
        <f>+E61-Tabla5[[#This Row],[OMDs]]</f>
        <v>17377554</v>
      </c>
      <c r="F62" s="118">
        <f>Tabla5[[#This Row],[Valor Nominal Estimado]]-12157000</f>
        <v>5220554</v>
      </c>
    </row>
    <row r="63" spans="2:6">
      <c r="B63" s="109">
        <v>45148</v>
      </c>
      <c r="C63" s="117"/>
      <c r="D63" s="117" cm="1">
        <f t="array" ref="D63">+_xlfn.XLOOKUP(Tabla5[[#This Row],[Fecha]],HISTORICO!D:D,HISTORICO!H:H/1000000,0,0,1)</f>
        <v>0</v>
      </c>
      <c r="E63" s="117">
        <f>+E62-Tabla5[[#This Row],[OMDs]]</f>
        <v>17377554</v>
      </c>
      <c r="F63" s="118">
        <f>Tabla5[[#This Row],[Valor Nominal Estimado]]-12157000</f>
        <v>5220554</v>
      </c>
    </row>
    <row r="64" spans="2:6">
      <c r="B64" s="109">
        <v>45149</v>
      </c>
      <c r="C64" s="117">
        <v>17377554</v>
      </c>
      <c r="D64" s="117" cm="1">
        <f t="array" ref="D64">+_xlfn.XLOOKUP(Tabla5[[#This Row],[Fecha]],HISTORICO!D:D,HISTORICO!H:H/1000000,0,0,1)</f>
        <v>0</v>
      </c>
      <c r="E64" s="117">
        <f>+E63-Tabla5[[#This Row],[OMDs]]</f>
        <v>17377554</v>
      </c>
      <c r="F64" s="118">
        <f>Tabla5[[#This Row],[Valor Nominal Estimado]]-12157000</f>
        <v>5220554</v>
      </c>
    </row>
    <row r="65" spans="2:6">
      <c r="B65" s="109">
        <v>45150</v>
      </c>
      <c r="C65" s="117"/>
      <c r="D65" s="117" cm="1">
        <f t="array" ref="D65">+_xlfn.XLOOKUP(Tabla5[[#This Row],[Fecha]],HISTORICO!D:D,HISTORICO!H:H/1000000,0,0,1)</f>
        <v>0</v>
      </c>
      <c r="E65" s="117">
        <f>+E64-Tabla5[[#This Row],[OMDs]]</f>
        <v>17377554</v>
      </c>
      <c r="F65" s="118">
        <f>Tabla5[[#This Row],[Valor Nominal Estimado]]-12157000</f>
        <v>5220554</v>
      </c>
    </row>
    <row r="66" spans="2:6">
      <c r="B66" s="109">
        <v>45151</v>
      </c>
      <c r="C66" s="117"/>
      <c r="D66" s="117" cm="1">
        <f t="array" ref="D66">+_xlfn.XLOOKUP(Tabla5[[#This Row],[Fecha]],HISTORICO!D:D,HISTORICO!H:H/1000000,0,0,1)</f>
        <v>0</v>
      </c>
      <c r="E66" s="117">
        <f>+E65-Tabla5[[#This Row],[OMDs]]</f>
        <v>17377554</v>
      </c>
      <c r="F66" s="118">
        <f>Tabla5[[#This Row],[Valor Nominal Estimado]]-12157000</f>
        <v>5220554</v>
      </c>
    </row>
    <row r="67" spans="2:6">
      <c r="B67" s="109">
        <v>45152</v>
      </c>
      <c r="C67" s="117"/>
      <c r="D67" s="117" cm="1">
        <f t="array" ref="D67">+_xlfn.XLOOKUP(Tabla5[[#This Row],[Fecha]],HISTORICO!D:D,HISTORICO!H:H/1000000,0,0,1)</f>
        <v>0</v>
      </c>
      <c r="E67" s="117">
        <f>+E66-Tabla5[[#This Row],[OMDs]]</f>
        <v>17377554</v>
      </c>
      <c r="F67" s="118">
        <f>Tabla5[[#This Row],[Valor Nominal Estimado]]-12157000</f>
        <v>5220554</v>
      </c>
    </row>
    <row r="68" spans="2:6">
      <c r="B68" s="109">
        <v>45153</v>
      </c>
      <c r="C68" s="117"/>
      <c r="D68" s="117" cm="1">
        <f t="array" ref="D68">+_xlfn.XLOOKUP(Tabla5[[#This Row],[Fecha]],HISTORICO!D:D,HISTORICO!H:H/1000000,0,0,1)</f>
        <v>103508.6</v>
      </c>
      <c r="E68" s="117">
        <f>+E67-Tabla5[[#This Row],[OMDs]]</f>
        <v>17274045.399999999</v>
      </c>
      <c r="F68" s="118">
        <f>Tabla5[[#This Row],[Valor Nominal Estimado]]-12157000</f>
        <v>5117045.3999999985</v>
      </c>
    </row>
    <row r="69" spans="2:6">
      <c r="B69" s="109">
        <v>45154</v>
      </c>
      <c r="C69" s="117"/>
      <c r="D69" s="117" cm="1">
        <f t="array" ref="D69">+_xlfn.XLOOKUP(Tabla5[[#This Row],[Fecha]],HISTORICO!D:D,HISTORICO!H:H/1000000,0,0,1)</f>
        <v>103000</v>
      </c>
      <c r="E69" s="117">
        <f>+E68-Tabla5[[#This Row],[OMDs]]</f>
        <v>17171045.399999999</v>
      </c>
      <c r="F69" s="118">
        <f>Tabla5[[#This Row],[Valor Nominal Estimado]]-12157000</f>
        <v>5014045.3999999985</v>
      </c>
    </row>
    <row r="70" spans="2:6">
      <c r="B70" s="109">
        <v>45155</v>
      </c>
      <c r="C70" s="117"/>
      <c r="D70" s="117" cm="1">
        <f t="array" ref="D70">+_xlfn.XLOOKUP(Tabla5[[#This Row],[Fecha]],HISTORICO!D:D,HISTORICO!H:H/1000000,0,0,1)</f>
        <v>106449.1</v>
      </c>
      <c r="E70" s="117">
        <f>+E69-Tabla5[[#This Row],[OMDs]]</f>
        <v>17064596.299999997</v>
      </c>
      <c r="F70" s="118">
        <f>Tabla5[[#This Row],[Valor Nominal Estimado]]-12157000</f>
        <v>4907596.299999997</v>
      </c>
    </row>
    <row r="71" spans="2:6">
      <c r="B71" s="109">
        <v>45156</v>
      </c>
      <c r="C71" s="117"/>
      <c r="D71" s="117" cm="1">
        <f t="array" ref="D71">+_xlfn.XLOOKUP(Tabla5[[#This Row],[Fecha]],HISTORICO!D:D,HISTORICO!H:H/1000000,0,0,1)</f>
        <v>115047.2</v>
      </c>
      <c r="E71" s="117">
        <f>+E70-Tabla5[[#This Row],[OMDs]]</f>
        <v>16949549.099999998</v>
      </c>
      <c r="F71" s="118">
        <f>Tabla5[[#This Row],[Valor Nominal Estimado]]-12157000</f>
        <v>4792549.0999999978</v>
      </c>
    </row>
    <row r="72" spans="2:6">
      <c r="B72" s="109">
        <v>45157</v>
      </c>
      <c r="C72" s="117"/>
      <c r="D72" s="117" cm="1">
        <f t="array" ref="D72">+_xlfn.XLOOKUP(Tabla5[[#This Row],[Fecha]],HISTORICO!D:D,HISTORICO!H:H/1000000,0,0,1)</f>
        <v>0</v>
      </c>
      <c r="E72" s="117">
        <f>+E71-Tabla5[[#This Row],[OMDs]]</f>
        <v>16949549.099999998</v>
      </c>
      <c r="F72" s="118">
        <f>Tabla5[[#This Row],[Valor Nominal Estimado]]-12157000</f>
        <v>4792549.0999999978</v>
      </c>
    </row>
    <row r="73" spans="2:6">
      <c r="B73" s="109">
        <v>45158</v>
      </c>
      <c r="C73" s="117"/>
      <c r="D73" s="117" cm="1">
        <f t="array" ref="D73">+_xlfn.XLOOKUP(Tabla5[[#This Row],[Fecha]],HISTORICO!D:D,HISTORICO!H:H/1000000,0,0,1)</f>
        <v>0</v>
      </c>
      <c r="E73" s="117">
        <f>+E72-Tabla5[[#This Row],[OMDs]]</f>
        <v>16949549.099999998</v>
      </c>
      <c r="F73" s="118">
        <f>Tabla5[[#This Row],[Valor Nominal Estimado]]-12157000</f>
        <v>4792549.0999999978</v>
      </c>
    </row>
    <row r="74" spans="2:6">
      <c r="B74" s="109">
        <v>45159</v>
      </c>
      <c r="C74" s="117"/>
      <c r="D74" s="117" cm="1">
        <f t="array" ref="D74">+_xlfn.XLOOKUP(Tabla5[[#This Row],[Fecha]],HISTORICO!D:D,HISTORICO!H:H/1000000,0,0,1)</f>
        <v>0</v>
      </c>
      <c r="E74" s="117">
        <f>+E73-Tabla5[[#This Row],[OMDs]]</f>
        <v>16949549.099999998</v>
      </c>
      <c r="F74" s="118">
        <f>Tabla5[[#This Row],[Valor Nominal Estimado]]-12157000</f>
        <v>4792549.0999999978</v>
      </c>
    </row>
    <row r="75" spans="2:6">
      <c r="B75" s="109">
        <v>45160</v>
      </c>
      <c r="C75" s="117"/>
      <c r="D75" s="117" cm="1">
        <f t="array" ref="D75">+_xlfn.XLOOKUP(Tabla5[[#This Row],[Fecha]],HISTORICO!D:D,HISTORICO!H:H/1000000,0,0,1)</f>
        <v>149000</v>
      </c>
      <c r="E75" s="117">
        <f>+E74-Tabla5[[#This Row],[OMDs]]</f>
        <v>16800549.099999998</v>
      </c>
      <c r="F75" s="118">
        <f>Tabla5[[#This Row],[Valor Nominal Estimado]]-12157000</f>
        <v>4643549.0999999978</v>
      </c>
    </row>
    <row r="76" spans="2:6">
      <c r="B76" s="109">
        <v>45161</v>
      </c>
      <c r="C76" s="117"/>
      <c r="D76" s="117" cm="1">
        <f t="array" ref="D76">+_xlfn.XLOOKUP(Tabla5[[#This Row],[Fecha]],HISTORICO!D:D,HISTORICO!H:H/1000000,0,0,1)</f>
        <v>320000</v>
      </c>
      <c r="E76" s="117">
        <f>+E75-Tabla5[[#This Row],[OMDs]]</f>
        <v>16480549.099999998</v>
      </c>
      <c r="F76" s="118">
        <f>Tabla5[[#This Row],[Valor Nominal Estimado]]-12157000</f>
        <v>4323549.0999999978</v>
      </c>
    </row>
    <row r="77" spans="2:6">
      <c r="B77" s="109">
        <v>45162</v>
      </c>
      <c r="C77" s="117"/>
      <c r="D77" s="117" cm="1">
        <f t="array" ref="D77">+_xlfn.XLOOKUP(Tabla5[[#This Row],[Fecha]],HISTORICO!D:D,HISTORICO!H:H/1000000,0,0,1)</f>
        <v>299500</v>
      </c>
      <c r="E77" s="117">
        <f>+E76-Tabla5[[#This Row],[OMDs]]</f>
        <v>16181049.099999998</v>
      </c>
      <c r="F77" s="118">
        <f>Tabla5[[#This Row],[Valor Nominal Estimado]]-12157000</f>
        <v>4024049.0999999978</v>
      </c>
    </row>
    <row r="78" spans="2:6">
      <c r="B78" s="109">
        <v>45163</v>
      </c>
      <c r="C78" s="117">
        <v>16181049</v>
      </c>
      <c r="D78" s="117" cm="1">
        <f t="array" ref="D78">+_xlfn.XLOOKUP(Tabla5[[#This Row],[Fecha]],HISTORICO!D:D,HISTORICO!H:H/1000000,0,0,1)</f>
        <v>0</v>
      </c>
      <c r="E78" s="117">
        <f>+E77-Tabla5[[#This Row],[OMDs]]</f>
        <v>16181049.099999998</v>
      </c>
      <c r="F78" s="118">
        <f>Tabla5[[#This Row],[Valor Nominal Estimado]]-12157000</f>
        <v>4024049.0999999978</v>
      </c>
    </row>
    <row r="79" spans="2:6">
      <c r="B79" s="109">
        <v>45164</v>
      </c>
      <c r="C79" s="117"/>
      <c r="D79" s="117" cm="1">
        <f t="array" ref="D79">+_xlfn.XLOOKUP(Tabla5[[#This Row],[Fecha]],HISTORICO!D:D,HISTORICO!H:H/1000000,0,0,1)</f>
        <v>0</v>
      </c>
      <c r="E79" s="117">
        <f>+E78-Tabla5[[#This Row],[OMDs]]</f>
        <v>16181049.099999998</v>
      </c>
      <c r="F79" s="118">
        <f>Tabla5[[#This Row],[Valor Nominal Estimado]]-12157000</f>
        <v>4024049.0999999978</v>
      </c>
    </row>
    <row r="80" spans="2:6">
      <c r="B80" s="109">
        <v>45165</v>
      </c>
      <c r="C80" s="117"/>
      <c r="D80" s="117" cm="1">
        <f t="array" ref="D80">+_xlfn.XLOOKUP(Tabla5[[#This Row],[Fecha]],HISTORICO!D:D,HISTORICO!H:H/1000000,0,0,1)</f>
        <v>0</v>
      </c>
      <c r="E80" s="117">
        <f>+E79-Tabla5[[#This Row],[OMDs]]</f>
        <v>16181049.099999998</v>
      </c>
      <c r="F80" s="118">
        <f>Tabla5[[#This Row],[Valor Nominal Estimado]]-12157000</f>
        <v>4024049.0999999978</v>
      </c>
    </row>
    <row r="81" spans="2:6">
      <c r="B81" s="109">
        <v>45166</v>
      </c>
      <c r="C81" s="117"/>
      <c r="D81" s="117" cm="1">
        <f t="array" ref="D81">+_xlfn.XLOOKUP(Tabla5[[#This Row],[Fecha]],HISTORICO!D:D,HISTORICO!H:H/1000000,0,0,1)</f>
        <v>300500</v>
      </c>
      <c r="E81" s="117">
        <f>+E80-Tabla5[[#This Row],[OMDs]]</f>
        <v>15880549.099999998</v>
      </c>
      <c r="F81" s="118">
        <f>Tabla5[[#This Row],[Valor Nominal Estimado]]-12157000</f>
        <v>3723549.0999999978</v>
      </c>
    </row>
    <row r="82" spans="2:6">
      <c r="B82" s="109">
        <v>45167</v>
      </c>
      <c r="C82" s="117"/>
      <c r="D82" s="117" cm="1">
        <f t="array" ref="D82">+_xlfn.XLOOKUP(Tabla5[[#This Row],[Fecha]],HISTORICO!D:D,HISTORICO!H:H/1000000,0,0,1)</f>
        <v>370000</v>
      </c>
      <c r="E82" s="117">
        <f>+E81-Tabla5[[#This Row],[OMDs]]</f>
        <v>15510549.099999998</v>
      </c>
      <c r="F82" s="118">
        <f>Tabla5[[#This Row],[Valor Nominal Estimado]]-12157000</f>
        <v>3353549.0999999978</v>
      </c>
    </row>
    <row r="83" spans="2:6">
      <c r="B83" s="109">
        <v>45168</v>
      </c>
      <c r="C83" s="117"/>
      <c r="D83" s="117" cm="1">
        <f t="array" ref="D83">+_xlfn.XLOOKUP(Tabla5[[#This Row],[Fecha]],HISTORICO!D:D,HISTORICO!H:H/1000000,0,0,1)</f>
        <v>107501.9</v>
      </c>
      <c r="E83" s="117">
        <f>+E82-Tabla5[[#This Row],[OMDs]]</f>
        <v>15403047.199999997</v>
      </c>
      <c r="F83" s="118">
        <f>Tabla5[[#This Row],[Valor Nominal Estimado]]-12157000</f>
        <v>3246047.1999999974</v>
      </c>
    </row>
    <row r="84" spans="2:6">
      <c r="B84" s="109">
        <v>45169</v>
      </c>
      <c r="C84" s="117">
        <v>15403047</v>
      </c>
      <c r="D84" s="117" cm="1">
        <f t="array" ref="D84">+_xlfn.XLOOKUP(Tabla5[[#This Row],[Fecha]],HISTORICO!D:D,HISTORICO!H:H/1000000,0,0,1)</f>
        <v>300000</v>
      </c>
      <c r="E84" s="117">
        <f>+E83-Tabla5[[#This Row],[OMDs]]</f>
        <v>15103047.199999997</v>
      </c>
      <c r="F84" s="118">
        <f>Tabla5[[#This Row],[Valor Nominal Estimado]]-12157000</f>
        <v>2946047.1999999974</v>
      </c>
    </row>
    <row r="85" spans="2:6">
      <c r="B85" s="109">
        <v>45170</v>
      </c>
      <c r="C85" s="117">
        <v>15103047</v>
      </c>
      <c r="D85" s="117" cm="1">
        <f t="array" ref="D85">+_xlfn.XLOOKUP(Tabla5[[#This Row],[Fecha]],HISTORICO!D:D,HISTORICO!H:H/1000000,0,0,1)</f>
        <v>0</v>
      </c>
      <c r="E85" s="117">
        <f>+E84-Tabla5[[#This Row],[OMDs]]</f>
        <v>15103047.199999997</v>
      </c>
      <c r="F85" s="118">
        <f>Tabla5[[#This Row],[Valor Nominal Estimado]]-12157000</f>
        <v>2946047.1999999974</v>
      </c>
    </row>
    <row r="86" spans="2:6">
      <c r="B86" s="109">
        <v>45171</v>
      </c>
      <c r="C86" s="117"/>
      <c r="D86" s="117" cm="1">
        <f t="array" ref="D86">+_xlfn.XLOOKUP(Tabla5[[#This Row],[Fecha]],HISTORICO!D:D,HISTORICO!H:H/1000000,0,0,1)</f>
        <v>0</v>
      </c>
      <c r="E86" s="117">
        <f>+E85-Tabla5[[#This Row],[OMDs]]</f>
        <v>15103047.199999997</v>
      </c>
      <c r="F86" s="118">
        <f>Tabla5[[#This Row],[Valor Nominal Estimado]]-12157000</f>
        <v>2946047.1999999974</v>
      </c>
    </row>
    <row r="87" spans="2:6">
      <c r="B87" s="109">
        <v>45172</v>
      </c>
      <c r="C87" s="117"/>
      <c r="D87" s="117" cm="1">
        <f t="array" ref="D87">+_xlfn.XLOOKUP(Tabla5[[#This Row],[Fecha]],HISTORICO!D:D,HISTORICO!H:H/1000000,0,0,1)</f>
        <v>0</v>
      </c>
      <c r="E87" s="117">
        <f>+E86-Tabla5[[#This Row],[OMDs]]</f>
        <v>15103047.199999997</v>
      </c>
      <c r="F87" s="118">
        <f>Tabla5[[#This Row],[Valor Nominal Estimado]]-12157000</f>
        <v>2946047.1999999974</v>
      </c>
    </row>
    <row r="88" spans="2:6">
      <c r="B88" s="109">
        <v>45173</v>
      </c>
      <c r="C88" s="117"/>
      <c r="D88" s="117" cm="1">
        <f t="array" ref="D88">+_xlfn.XLOOKUP(Tabla5[[#This Row],[Fecha]],HISTORICO!D:D,HISTORICO!H:H/1000000,0,0,1)</f>
        <v>129000</v>
      </c>
      <c r="E88" s="117">
        <f>+E87-Tabla5[[#This Row],[OMDs]]</f>
        <v>14974047.199999997</v>
      </c>
      <c r="F88" s="118">
        <f>Tabla5[[#This Row],[Valor Nominal Estimado]]-12157000</f>
        <v>2817047.1999999974</v>
      </c>
    </row>
    <row r="89" spans="2:6">
      <c r="B89" s="109">
        <v>45174</v>
      </c>
      <c r="C89" s="117"/>
      <c r="D89" s="117" cm="1">
        <f t="array" ref="D89">+_xlfn.XLOOKUP(Tabla5[[#This Row],[Fecha]],HISTORICO!D:D,HISTORICO!H:H/1000000,0,0,1)</f>
        <v>194000</v>
      </c>
      <c r="E89" s="117">
        <f>+E88-Tabla5[[#This Row],[OMDs]]</f>
        <v>14780047.199999997</v>
      </c>
      <c r="F89" s="118">
        <f>Tabla5[[#This Row],[Valor Nominal Estimado]]-12157000</f>
        <v>2623047.1999999974</v>
      </c>
    </row>
    <row r="90" spans="2:6">
      <c r="B90" s="109">
        <v>45175</v>
      </c>
      <c r="C90" s="117">
        <v>14780047.199999997</v>
      </c>
      <c r="D90" s="117" cm="1">
        <f t="array" ref="D90">+_xlfn.XLOOKUP(Tabla5[[#This Row],[Fecha]],HISTORICO!D:D,HISTORICO!H:H/1000000,0,0,1)</f>
        <v>0</v>
      </c>
      <c r="E90" s="117">
        <f>+E89-Tabla5[[#This Row],[OMDs]]</f>
        <v>14780047.199999997</v>
      </c>
      <c r="F90" s="118">
        <f>Tabla5[[#This Row],[Valor Nominal Estimado]]-12157000</f>
        <v>2623047.1999999974</v>
      </c>
    </row>
    <row r="91" spans="2:6">
      <c r="B91" s="109">
        <v>45176</v>
      </c>
      <c r="C91" s="117"/>
      <c r="D91" s="117" cm="1">
        <f t="array" ref="D91">+_xlfn.XLOOKUP(Tabla5[[#This Row],[Fecha]],HISTORICO!D:D,HISTORICO!H:H/1000000,0,0,1)</f>
        <v>150500</v>
      </c>
      <c r="E91" s="117">
        <f>+E90-Tabla5[[#This Row],[OMDs]]</f>
        <v>14629547.199999997</v>
      </c>
      <c r="F91" s="118">
        <f>Tabla5[[#This Row],[Valor Nominal Estimado]]-12157000</f>
        <v>2472547.1999999974</v>
      </c>
    </row>
    <row r="92" spans="2:6">
      <c r="B92" s="109">
        <v>45177</v>
      </c>
      <c r="C92" s="117">
        <v>14629547.199999997</v>
      </c>
      <c r="D92" s="117" cm="1">
        <f t="array" ref="D92">+_xlfn.XLOOKUP(Tabla5[[#This Row],[Fecha]],HISTORICO!D:D,HISTORICO!H:H/1000000,0,0,1)</f>
        <v>0</v>
      </c>
      <c r="E92" s="117">
        <f>+E91-Tabla5[[#This Row],[OMDs]]</f>
        <v>14629547.199999997</v>
      </c>
      <c r="F92" s="118">
        <f>Tabla5[[#This Row],[Valor Nominal Estimado]]-12157000</f>
        <v>2472547.1999999974</v>
      </c>
    </row>
    <row r="93" spans="2:6">
      <c r="B93" s="109">
        <v>45178</v>
      </c>
      <c r="C93" s="117"/>
      <c r="D93" s="117" cm="1">
        <f t="array" ref="D93">+_xlfn.XLOOKUP(Tabla5[[#This Row],[Fecha]],HISTORICO!D:D,HISTORICO!H:H/1000000,0,0,1)</f>
        <v>0</v>
      </c>
      <c r="E93" s="117">
        <f>+E92-Tabla5[[#This Row],[OMDs]]</f>
        <v>14629547.199999997</v>
      </c>
      <c r="F93" s="118">
        <f>Tabla5[[#This Row],[Valor Nominal Estimado]]-12157000</f>
        <v>2472547.1999999974</v>
      </c>
    </row>
    <row r="94" spans="2:6">
      <c r="B94" s="109">
        <v>45179</v>
      </c>
      <c r="C94" s="117"/>
      <c r="D94" s="117" cm="1">
        <f t="array" ref="D94">+_xlfn.XLOOKUP(Tabla5[[#This Row],[Fecha]],HISTORICO!D:D,HISTORICO!H:H/1000000,0,0,1)</f>
        <v>0</v>
      </c>
      <c r="E94" s="117">
        <f>+E93-Tabla5[[#This Row],[OMDs]]</f>
        <v>14629547.199999997</v>
      </c>
      <c r="F94" s="118">
        <f>Tabla5[[#This Row],[Valor Nominal Estimado]]-12157000</f>
        <v>2472547.1999999974</v>
      </c>
    </row>
    <row r="95" spans="2:6">
      <c r="B95" s="109">
        <v>45180</v>
      </c>
      <c r="C95" s="117"/>
      <c r="D95" s="117" cm="1">
        <f t="array" ref="D95">+_xlfn.XLOOKUP(Tabla5[[#This Row],[Fecha]],HISTORICO!D:D,HISTORICO!H:H/1000000,0,0,1)</f>
        <v>145000</v>
      </c>
      <c r="E95" s="117">
        <f>+E94-Tabla5[[#This Row],[OMDs]]</f>
        <v>14484547.199999997</v>
      </c>
      <c r="F95" s="118">
        <f>Tabla5[[#This Row],[Valor Nominal Estimado]]-12157000</f>
        <v>2327547.1999999974</v>
      </c>
    </row>
    <row r="96" spans="2:6">
      <c r="B96" s="109">
        <v>45181</v>
      </c>
      <c r="C96" s="117"/>
      <c r="D96" s="117" cm="1">
        <f t="array" ref="D96">+_xlfn.XLOOKUP(Tabla5[[#This Row],[Fecha]],HISTORICO!D:D,HISTORICO!H:H/1000000,0,0,1)</f>
        <v>100019.2</v>
      </c>
      <c r="E96" s="117">
        <f>+E95-Tabla5[[#This Row],[OMDs]]</f>
        <v>14384527.999999998</v>
      </c>
      <c r="F96" s="118">
        <f>Tabla5[[#This Row],[Valor Nominal Estimado]]-12157000</f>
        <v>2227527.9999999981</v>
      </c>
    </row>
    <row r="97" spans="2:6">
      <c r="B97" s="109">
        <v>45182</v>
      </c>
      <c r="C97" s="117">
        <v>14167027.999999998</v>
      </c>
      <c r="D97" s="117" cm="1">
        <f t="array" ref="D97">+_xlfn.XLOOKUP(Tabla5[[#This Row],[Fecha]],HISTORICO!D:D,HISTORICO!H:H/1000000,0,0,1)</f>
        <v>217500</v>
      </c>
      <c r="E97" s="117">
        <f>+E96-Tabla5[[#This Row],[OMDs]]</f>
        <v>14167027.999999998</v>
      </c>
      <c r="F97" s="118">
        <f>Tabla5[[#This Row],[Valor Nominal Estimado]]-12157000</f>
        <v>2010027.9999999981</v>
      </c>
    </row>
    <row r="98" spans="2:6">
      <c r="B98" s="109">
        <v>45183</v>
      </c>
      <c r="C98" s="117"/>
      <c r="D98" s="117" cm="1">
        <f t="array" ref="D98">+_xlfn.XLOOKUP(Tabla5[[#This Row],[Fecha]],HISTORICO!D:D,HISTORICO!H:H/1000000,0,0,1)</f>
        <v>0</v>
      </c>
      <c r="E98" s="117">
        <f>+E97-Tabla5[[#This Row],[OMDs]]</f>
        <v>14167027.999999998</v>
      </c>
      <c r="F98" s="118">
        <f>Tabla5[[#This Row],[Valor Nominal Estimado]]-12157000</f>
        <v>2010027.9999999981</v>
      </c>
    </row>
    <row r="99" spans="2:6">
      <c r="B99" s="109">
        <v>45184</v>
      </c>
      <c r="C99" s="117">
        <v>14036027.999999998</v>
      </c>
      <c r="D99" s="117" cm="1">
        <f t="array" ref="D99">+_xlfn.XLOOKUP(Tabla5[[#This Row],[Fecha]],HISTORICO!D:D,HISTORICO!H:H/1000000,0,0,1)</f>
        <v>131000</v>
      </c>
      <c r="E99" s="117">
        <f>+E98-Tabla5[[#This Row],[OMDs]]</f>
        <v>14036027.999999998</v>
      </c>
      <c r="F99" s="118">
        <f>Tabla5[[#This Row],[Valor Nominal Estimado]]-12157000</f>
        <v>1879027.9999999981</v>
      </c>
    </row>
    <row r="100" spans="2:6">
      <c r="B100" s="109">
        <v>45187</v>
      </c>
      <c r="C100" s="117"/>
      <c r="D100" s="117" cm="1">
        <f t="array" ref="D100">+_xlfn.XLOOKUP(Tabla5[[#This Row],[Fecha]],HISTORICO!D:D,HISTORICO!H:H/1000000,0,0,1)</f>
        <v>0</v>
      </c>
      <c r="E100" s="117">
        <f>+E99-Tabla5[[#This Row],[OMDs]]</f>
        <v>14036027.999999998</v>
      </c>
      <c r="F100" s="118">
        <f>Tabla5[[#This Row],[Valor Nominal Estimado]]-12157000</f>
        <v>1879027.9999999981</v>
      </c>
    </row>
    <row r="101" spans="2:6">
      <c r="B101" s="109">
        <v>45188</v>
      </c>
      <c r="C101" s="117"/>
      <c r="D101" s="117" cm="1">
        <f t="array" ref="D101">+_xlfn.XLOOKUP(Tabla5[[#This Row],[Fecha]],HISTORICO!D:D,HISTORICO!H:H/1000000,0,0,1)</f>
        <v>134500</v>
      </c>
      <c r="E101" s="117">
        <f>+E100-Tabla5[[#This Row],[OMDs]]</f>
        <v>13901527.999999998</v>
      </c>
      <c r="F101" s="118">
        <f>Tabla5[[#This Row],[Valor Nominal Estimado]]-12157000</f>
        <v>1744527.9999999981</v>
      </c>
    </row>
    <row r="102" spans="2:6">
      <c r="B102" s="109">
        <v>45189</v>
      </c>
      <c r="C102" s="117">
        <v>13761027.999999998</v>
      </c>
      <c r="D102" s="117" cm="1">
        <f t="array" ref="D102">+_xlfn.XLOOKUP(Tabla5[[#This Row],[Fecha]],HISTORICO!D:D,HISTORICO!H:H/1000000,0,0,1)</f>
        <v>140500</v>
      </c>
      <c r="E102" s="117">
        <f>+E101-Tabla5[[#This Row],[OMDs]]</f>
        <v>13761027.999999998</v>
      </c>
      <c r="F102" s="118">
        <f>Tabla5[[#This Row],[Valor Nominal Estimado]]-12157000</f>
        <v>1604027.9999999981</v>
      </c>
    </row>
    <row r="103" spans="2:6">
      <c r="B103" s="109">
        <v>45190</v>
      </c>
      <c r="C103" s="117"/>
      <c r="D103" s="117" cm="1">
        <f t="array" ref="D103">+_xlfn.XLOOKUP(Tabla5[[#This Row],[Fecha]],HISTORICO!D:D,HISTORICO!H:H/1000000,0,0,1)</f>
        <v>123000</v>
      </c>
      <c r="E103" s="117">
        <f>+E102-Tabla5[[#This Row],[OMDs]]</f>
        <v>13638027.999999998</v>
      </c>
      <c r="F103" s="118">
        <f>Tabla5[[#This Row],[Valor Nominal Estimado]]-12157000</f>
        <v>1481027.9999999981</v>
      </c>
    </row>
    <row r="104" spans="2:6">
      <c r="B104" s="109">
        <v>45191</v>
      </c>
      <c r="C104" s="117">
        <v>13638027.999999998</v>
      </c>
      <c r="D104" s="117" cm="1">
        <f t="array" ref="D104">+_xlfn.XLOOKUP(Tabla5[[#This Row],[Fecha]],HISTORICO!D:D,HISTORICO!H:H/1000000,0,0,1)</f>
        <v>0</v>
      </c>
      <c r="E104" s="117">
        <f>+E103-Tabla5[[#This Row],[OMDs]]</f>
        <v>13638027.999999998</v>
      </c>
      <c r="F104" s="118">
        <f>Tabla5[[#This Row],[Valor Nominal Estimado]]-12157000</f>
        <v>1481027.9999999981</v>
      </c>
    </row>
    <row r="105" spans="2:6">
      <c r="B105" s="109">
        <v>45194</v>
      </c>
      <c r="C105" s="117"/>
      <c r="D105" s="117" cm="1">
        <f t="array" ref="D105">+_xlfn.XLOOKUP(Tabla5[[#This Row],[Fecha]],HISTORICO!D:D,HISTORICO!H:H/1000000,0,0,1)</f>
        <v>160500</v>
      </c>
      <c r="E105" s="117">
        <f>+E104-Tabla5[[#This Row],[OMDs]]</f>
        <v>13477527.999999998</v>
      </c>
      <c r="F105" s="118">
        <f>Tabla5[[#This Row],[Valor Nominal Estimado]]-12157000</f>
        <v>1320527.9999999981</v>
      </c>
    </row>
    <row r="106" spans="2:6">
      <c r="B106" s="109">
        <v>45195</v>
      </c>
      <c r="C106" s="117"/>
      <c r="D106" s="117" cm="1">
        <f t="array" ref="D106">+_xlfn.XLOOKUP(Tabla5[[#This Row],[Fecha]],HISTORICO!D:D,HISTORICO!H:H/1000000,0,0,1)</f>
        <v>58000</v>
      </c>
      <c r="E106" s="117">
        <f>+E105-Tabla5[[#This Row],[OMDs]]</f>
        <v>13419527.999999998</v>
      </c>
      <c r="F106" s="118">
        <f>Tabla5[[#This Row],[Valor Nominal Estimado]]-12157000</f>
        <v>1262527.9999999981</v>
      </c>
    </row>
    <row r="107" spans="2:6">
      <c r="B107" s="109">
        <v>45196</v>
      </c>
      <c r="C107" s="117">
        <v>13419527.999999998</v>
      </c>
      <c r="D107" s="117" cm="1">
        <f t="array" ref="D107">+_xlfn.XLOOKUP(Tabla5[[#This Row],[Fecha]],HISTORICO!D:D,HISTORICO!H:H/1000000,0,0,1)</f>
        <v>0</v>
      </c>
      <c r="E107" s="117">
        <f>+E106-Tabla5[[#This Row],[OMDs]]</f>
        <v>13419527.999999998</v>
      </c>
      <c r="F107" s="118">
        <f>Tabla5[[#This Row],[Valor Nominal Estimado]]-12157000</f>
        <v>1262527.9999999981</v>
      </c>
    </row>
    <row r="108" spans="2:6">
      <c r="B108" s="109">
        <v>45197</v>
      </c>
      <c r="C108" s="117"/>
      <c r="D108" s="117" cm="1">
        <f t="array" ref="D108">+_xlfn.XLOOKUP(Tabla5[[#This Row],[Fecha]],HISTORICO!D:D,HISTORICO!H:H/1000000,0,0,1)</f>
        <v>205000</v>
      </c>
      <c r="E108" s="117">
        <f>+E107-Tabla5[[#This Row],[OMDs]]</f>
        <v>13214527.999999998</v>
      </c>
      <c r="F108" s="118">
        <f>Tabla5[[#This Row],[Valor Nominal Estimado]]-12157000</f>
        <v>1057527.9999999981</v>
      </c>
    </row>
    <row r="109" spans="2:6">
      <c r="B109" s="109">
        <v>45198</v>
      </c>
      <c r="C109" s="117">
        <v>13214527.999999998</v>
      </c>
      <c r="D109" s="117" cm="1">
        <f t="array" ref="D109">+_xlfn.XLOOKUP(Tabla5[[#This Row],[Fecha]],HISTORICO!D:D,HISTORICO!H:H/1000000,0,0,1)</f>
        <v>0</v>
      </c>
      <c r="E109" s="117">
        <f>+E108-Tabla5[[#This Row],[OMDs]]</f>
        <v>13214527.999999998</v>
      </c>
      <c r="F109" s="118">
        <f>Tabla5[[#This Row],[Valor Nominal Estimado]]-12157000</f>
        <v>1057527.9999999981</v>
      </c>
    </row>
    <row r="110" spans="2:6">
      <c r="B110" s="109">
        <v>45201</v>
      </c>
      <c r="C110" s="117"/>
      <c r="D110" s="117" cm="1">
        <f t="array" ref="D110">+_xlfn.XLOOKUP(Tabla5[[#This Row],[Fecha]],HISTORICO!D:D,HISTORICO!H:H/1000000,0,0,1)</f>
        <v>79500</v>
      </c>
      <c r="E110" s="117">
        <f>+E109-Tabla5[[#This Row],[OMDs]]</f>
        <v>13135027.999999998</v>
      </c>
      <c r="F110" s="118">
        <f>Tabla5[[#This Row],[Valor Nominal Estimado]]-12157000</f>
        <v>978027.99999999814</v>
      </c>
    </row>
    <row r="111" spans="2:6">
      <c r="B111" s="109">
        <v>45202</v>
      </c>
      <c r="C111" s="117"/>
      <c r="D111" s="117" cm="1">
        <f t="array" ref="D111">+_xlfn.XLOOKUP(Tabla5[[#This Row],[Fecha]],HISTORICO!D:D,HISTORICO!H:H/1000000,0,0,1)</f>
        <v>0</v>
      </c>
      <c r="E111" s="117">
        <f>+E110-Tabla5[[#This Row],[OMDs]]</f>
        <v>13135027.999999998</v>
      </c>
      <c r="F111" s="118">
        <f>Tabla5[[#This Row],[Valor Nominal Estimado]]-12157000</f>
        <v>978027.99999999814</v>
      </c>
    </row>
    <row r="112" spans="2:6">
      <c r="B112" s="109">
        <v>45203</v>
      </c>
      <c r="C112" s="117">
        <v>12984027.999999998</v>
      </c>
      <c r="D112" s="117" cm="1">
        <f t="array" ref="D112">+_xlfn.XLOOKUP(Tabla5[[#This Row],[Fecha]],HISTORICO!D:D,HISTORICO!H:H/1000000,0,0,1)</f>
        <v>151000</v>
      </c>
      <c r="E112" s="117">
        <f>+E111-Tabla5[[#This Row],[OMDs]]</f>
        <v>12984027.999999998</v>
      </c>
      <c r="F112" s="118">
        <f>Tabla5[[#This Row],[Valor Nominal Estimado]]-12157000</f>
        <v>827027.99999999814</v>
      </c>
    </row>
    <row r="113" spans="2:7">
      <c r="B113" s="109">
        <v>45204</v>
      </c>
      <c r="C113" s="117"/>
      <c r="D113" s="117" cm="1">
        <f t="array" ref="D113">+_xlfn.XLOOKUP(Tabla5[[#This Row],[Fecha]],HISTORICO!D:D,HISTORICO!H:H/1000000,0,0,1)</f>
        <v>0</v>
      </c>
      <c r="E113" s="117">
        <f>+E112-Tabla5[[#This Row],[OMDs]]</f>
        <v>12984027.999999998</v>
      </c>
      <c r="F113" s="118">
        <f>Tabla5[[#This Row],[Valor Nominal Estimado]]-12157000</f>
        <v>827027.99999999814</v>
      </c>
      <c r="G113" s="123"/>
    </row>
    <row r="114" spans="2:7">
      <c r="B114" s="109">
        <v>45205</v>
      </c>
      <c r="C114" s="117">
        <v>12984027.999999998</v>
      </c>
      <c r="D114" s="117" cm="1">
        <f t="array" ref="D114">+_xlfn.XLOOKUP(Tabla5[[#This Row],[Fecha]],HISTORICO!D:D,HISTORICO!H:H/1000000,0,0,1)</f>
        <v>0</v>
      </c>
      <c r="E114" s="117">
        <f>+E113-Tabla5[[#This Row],[OMDs]]</f>
        <v>12984027.999999998</v>
      </c>
      <c r="F114" s="118">
        <f>Tabla5[[#This Row],[Valor Nominal Estimado]]-12157000</f>
        <v>827027.99999999814</v>
      </c>
    </row>
    <row r="115" spans="2:7">
      <c r="B115" s="109">
        <v>45208</v>
      </c>
      <c r="C115" s="117"/>
      <c r="D115" s="117" cm="1">
        <f t="array" ref="D115">+_xlfn.XLOOKUP(Tabla5[[#This Row],[Fecha]],HISTORICO!D:D,HISTORICO!H:H/1000000,0,0,1)</f>
        <v>0</v>
      </c>
      <c r="E115" s="117">
        <f>+E114-Tabla5[[#This Row],[OMDs]]</f>
        <v>12984027.999999998</v>
      </c>
      <c r="F115" s="118">
        <f>Tabla5[[#This Row],[Valor Nominal Estimado]]-12157000</f>
        <v>827027.99999999814</v>
      </c>
    </row>
    <row r="116" spans="2:7">
      <c r="B116" s="109">
        <v>45209</v>
      </c>
      <c r="C116" s="117"/>
      <c r="D116" s="117" cm="1">
        <f t="array" ref="D116">+_xlfn.XLOOKUP(Tabla5[[#This Row],[Fecha]],HISTORICO!D:D,HISTORICO!H:H/1000000,0,0,1)</f>
        <v>0</v>
      </c>
      <c r="E116" s="117">
        <f>+E115-Tabla5[[#This Row],[OMDs]]</f>
        <v>12984027.999999998</v>
      </c>
      <c r="F116" s="118">
        <f>Tabla5[[#This Row],[Valor Nominal Estimado]]-12157000</f>
        <v>827027.99999999814</v>
      </c>
    </row>
    <row r="117" spans="2:7">
      <c r="B117" s="109">
        <v>45210</v>
      </c>
      <c r="C117" s="117">
        <v>12984027.999999998</v>
      </c>
      <c r="D117" s="117" cm="1">
        <f t="array" ref="D117">+_xlfn.XLOOKUP(Tabla5[[#This Row],[Fecha]],HISTORICO!D:D,HISTORICO!H:H/1000000,0,0,1)</f>
        <v>0</v>
      </c>
      <c r="E117" s="117">
        <f>+E116-Tabla5[[#This Row],[OMDs]]</f>
        <v>12984027.999999998</v>
      </c>
      <c r="F117" s="118">
        <f>Tabla5[[#This Row],[Valor Nominal Estimado]]-12157000</f>
        <v>827027.99999999814</v>
      </c>
    </row>
    <row r="118" spans="2:7">
      <c r="B118" s="109">
        <v>45211</v>
      </c>
      <c r="C118" s="117"/>
      <c r="D118" s="117" cm="1">
        <f t="array" ref="D118">+_xlfn.XLOOKUP(Tabla5[[#This Row],[Fecha]],HISTORICO!D:D,HISTORICO!H:H/1000000,0,0,1)</f>
        <v>0</v>
      </c>
      <c r="E118" s="117">
        <f>+E117-Tabla5[[#This Row],[OMDs]]</f>
        <v>12984027.999999998</v>
      </c>
      <c r="F118" s="118">
        <f>Tabla5[[#This Row],[Valor Nominal Estimado]]-12157000</f>
        <v>827027.99999999814</v>
      </c>
    </row>
    <row r="119" spans="2:7">
      <c r="B119" s="109">
        <v>45212</v>
      </c>
      <c r="C119" s="117">
        <v>12984027.999999998</v>
      </c>
      <c r="D119" s="117" cm="1">
        <f t="array" ref="D119">+_xlfn.XLOOKUP(Tabla5[[#This Row],[Fecha]],HISTORICO!D:D,HISTORICO!H:H/1000000,0,0,1)</f>
        <v>0</v>
      </c>
      <c r="E119" s="117">
        <f>+E118-Tabla5[[#This Row],[OMDs]]</f>
        <v>12984027.999999998</v>
      </c>
      <c r="F119" s="118">
        <f>Tabla5[[#This Row],[Valor Nominal Estimado]]-12157000</f>
        <v>827027.99999999814</v>
      </c>
    </row>
    <row r="120" spans="2:7">
      <c r="B120" s="109">
        <v>45216</v>
      </c>
      <c r="C120" s="117"/>
      <c r="D120" s="117" cm="1">
        <f t="array" ref="D120">+_xlfn.XLOOKUP(Tabla5[[#This Row],[Fecha]],HISTORICO!D:D,HISTORICO!H:H/1000000,0,0,1)</f>
        <v>0</v>
      </c>
      <c r="E120" s="117">
        <f>+E119-Tabla5[[#This Row],[OMDs]]</f>
        <v>12984027.999999998</v>
      </c>
      <c r="F120" s="118">
        <f>Tabla5[[#This Row],[Valor Nominal Estimado]]-12157000</f>
        <v>827027.99999999814</v>
      </c>
    </row>
    <row r="121" spans="2:7">
      <c r="B121" s="109">
        <v>45217</v>
      </c>
      <c r="C121" s="117"/>
      <c r="D121" s="117" cm="1">
        <f t="array" ref="D121">+_xlfn.XLOOKUP(Tabla5[[#This Row],[Fecha]],HISTORICO!D:D,HISTORICO!H:H/1000000,0,0,1)</f>
        <v>50000</v>
      </c>
      <c r="E121" s="117">
        <f>+E120-Tabla5[[#This Row],[OMDs]]</f>
        <v>12934027.999999998</v>
      </c>
      <c r="F121" s="118">
        <f>Tabla5[[#This Row],[Valor Nominal Estimado]]-12157000</f>
        <v>777027.99999999814</v>
      </c>
      <c r="G121" s="49"/>
    </row>
    <row r="122" spans="2:7">
      <c r="B122" s="109">
        <v>45218</v>
      </c>
      <c r="C122" s="117"/>
      <c r="D122" s="117" cm="1">
        <f t="array" ref="D122">+_xlfn.XLOOKUP(Tabla5[[#This Row],[Fecha]],HISTORICO!D:D,HISTORICO!H:H/1000000,0,0,1)</f>
        <v>202000</v>
      </c>
      <c r="E122" s="117">
        <f>+E121-Tabla5[[#This Row],[OMDs]]</f>
        <v>12732027.999999998</v>
      </c>
      <c r="F122" s="118">
        <f>Tabla5[[#This Row],[Valor Nominal Estimado]]-12157000</f>
        <v>575027.99999999814</v>
      </c>
    </row>
    <row r="123" spans="2:7">
      <c r="B123" s="109">
        <v>45219</v>
      </c>
      <c r="C123" s="117"/>
      <c r="D123" s="117" cm="1">
        <f t="array" ref="D123">+_xlfn.XLOOKUP(Tabla5[[#This Row],[Fecha]],HISTORICO!D:D,HISTORICO!H:H/1000000,0,0,1)</f>
        <v>110000</v>
      </c>
      <c r="E123" s="117">
        <f>+E122-Tabla5[[#This Row],[OMDs]]</f>
        <v>12622027.999999998</v>
      </c>
      <c r="F123" s="118">
        <f>Tabla5[[#This Row],[Valor Nominal Estimado]]-12157000</f>
        <v>465027.99999999814</v>
      </c>
    </row>
    <row r="124" spans="2:7">
      <c r="B124" s="109">
        <v>45222</v>
      </c>
      <c r="C124" s="117"/>
      <c r="D124" s="117" cm="1">
        <f t="array" ref="D124">+_xlfn.XLOOKUP(Tabla5[[#This Row],[Fecha]],HISTORICO!D:D,HISTORICO!H:H/1000000,0,0,1)</f>
        <v>179000</v>
      </c>
      <c r="E124" s="117">
        <f>+E123-Tabla5[[#This Row],[OMDs]]</f>
        <v>12443027.999999998</v>
      </c>
      <c r="F124" s="118">
        <f>Tabla5[[#This Row],[Valor Nominal Estimado]]-12157000</f>
        <v>286027.99999999814</v>
      </c>
    </row>
    <row r="125" spans="2:7">
      <c r="B125" s="109">
        <v>45223</v>
      </c>
      <c r="C125" s="117"/>
      <c r="D125" s="117" cm="1">
        <f t="array" ref="D125">+_xlfn.XLOOKUP(Tabla5[[#This Row],[Fecha]],HISTORICO!D:D,HISTORICO!H:H/1000000,0,0,1)</f>
        <v>0</v>
      </c>
      <c r="E125" s="117">
        <f>+E124-Tabla5[[#This Row],[OMDs]]</f>
        <v>12443027.999999998</v>
      </c>
      <c r="F125" s="118">
        <f>Tabla5[[#This Row],[Valor Nominal Estimado]]-12157000</f>
        <v>286027.99999999814</v>
      </c>
    </row>
    <row r="126" spans="2:7">
      <c r="B126" s="109">
        <v>45224</v>
      </c>
      <c r="C126" s="117"/>
      <c r="D126" s="117" cm="1">
        <f t="array" ref="D126">+_xlfn.XLOOKUP(Tabla5[[#This Row],[Fecha]],HISTORICO!D:D,HISTORICO!H:H/1000000,0,0,1)</f>
        <v>209000</v>
      </c>
      <c r="E126" s="117">
        <f>+E125-Tabla5[[#This Row],[OMDs]]</f>
        <v>12234027.999999998</v>
      </c>
      <c r="F126" s="118">
        <f>Tabla5[[#This Row],[Valor Nominal Estimado]]-12157000</f>
        <v>77027.999999998137</v>
      </c>
    </row>
    <row r="127" spans="2:7">
      <c r="B127" s="109">
        <v>45225</v>
      </c>
      <c r="C127" s="117"/>
      <c r="D127" s="117" cm="1">
        <f t="array" ref="D127">+_xlfn.XLOOKUP(Tabla5[[#This Row],[Fecha]],HISTORICO!D:D,HISTORICO!H:H/1000000,0,0,1)</f>
        <v>0</v>
      </c>
      <c r="E127" s="117">
        <f>+E126-Tabla5[[#This Row],[OMDs]]</f>
        <v>12234027.999999998</v>
      </c>
      <c r="F127" s="118">
        <f>Tabla5[[#This Row],[Valor Nominal Estimado]]-12157000</f>
        <v>77027.999999998137</v>
      </c>
    </row>
    <row r="128" spans="2:7">
      <c r="B128" s="109">
        <v>45226</v>
      </c>
      <c r="C128" s="117"/>
      <c r="D128" s="117" cm="1">
        <f t="array" ref="D128">+_xlfn.XLOOKUP(Tabla5[[#This Row],[Fecha]],HISTORICO!D:D,HISTORICO!H:H/1000000,0,0,1)</f>
        <v>120000</v>
      </c>
      <c r="E128" s="117">
        <f>+E127-Tabla5[[#This Row],[OMDs]]</f>
        <v>12114027.999999998</v>
      </c>
      <c r="F128" s="118">
        <f>Tabla5[[#This Row],[Valor Nominal Estimado]]-12157000</f>
        <v>-42972.000000001863</v>
      </c>
    </row>
    <row r="129" spans="2:6">
      <c r="B129" s="109">
        <v>45229</v>
      </c>
      <c r="C129" s="117"/>
      <c r="D129" s="117" cm="1">
        <f t="array" ref="D129">+_xlfn.XLOOKUP(Tabla5[[#This Row],[Fecha]],HISTORICO!D:D,HISTORICO!H:H/1000000,0,0,1)</f>
        <v>70500</v>
      </c>
      <c r="E129" s="117">
        <f>+E128-Tabla5[[#This Row],[OMDs]]</f>
        <v>12043527.999999998</v>
      </c>
      <c r="F129" s="118">
        <f>Tabla5[[#This Row],[Valor Nominal Estimado]]-12157000</f>
        <v>-113472.00000000186</v>
      </c>
    </row>
    <row r="130" spans="2:6">
      <c r="B130" s="109">
        <v>45230</v>
      </c>
      <c r="C130" s="117"/>
      <c r="D130" s="117" cm="1">
        <f t="array" ref="D130">+_xlfn.XLOOKUP(Tabla5[[#This Row],[Fecha]],HISTORICO!D:D,HISTORICO!H:H/1000000,0,0,1)</f>
        <v>203551.6</v>
      </c>
      <c r="E130" s="117">
        <f>+E129-Tabla5[[#This Row],[OMDs]]</f>
        <v>11839976.399999999</v>
      </c>
      <c r="F130" s="118">
        <f>Tabla5[[#This Row],[Valor Nominal Estimado]]-12157000</f>
        <v>-317023.60000000149</v>
      </c>
    </row>
    <row r="131" spans="2:6">
      <c r="B131" s="109"/>
      <c r="C131" s="115" t="s">
        <v>218</v>
      </c>
      <c r="D131" s="115">
        <f>+SUM(Tabla5[OMDs])</f>
        <v>6651577.5999999996</v>
      </c>
      <c r="E131" s="115"/>
    </row>
    <row r="132" spans="2:6">
      <c r="C132" s="119" t="s">
        <v>219</v>
      </c>
      <c r="D132" s="114" t="s">
        <v>220</v>
      </c>
      <c r="E132" s="114" t="s">
        <v>221</v>
      </c>
      <c r="F132" s="114" t="s">
        <v>222</v>
      </c>
    </row>
    <row r="133" spans="2:6">
      <c r="C133" s="119" t="s">
        <v>223</v>
      </c>
      <c r="D133" s="120">
        <f>F94/COUNTA($C$133:$C$139)</f>
        <v>353221.02857142821</v>
      </c>
      <c r="E133" s="121">
        <f>+SUM(D95:D99)</f>
        <v>593519.19999999995</v>
      </c>
      <c r="F133" s="122">
        <f>+E133-D133</f>
        <v>240298.17142857175</v>
      </c>
    </row>
    <row r="134" spans="2:6">
      <c r="C134" s="119" t="s">
        <v>224</v>
      </c>
      <c r="D134" s="120">
        <f>+D133</f>
        <v>353221.02857142821</v>
      </c>
      <c r="E134" s="121">
        <f>+SUM(D100:D104)</f>
        <v>398000</v>
      </c>
      <c r="F134" s="122">
        <f t="shared" ref="F134:F139" si="0">+E134-D134</f>
        <v>44778.971428571793</v>
      </c>
    </row>
    <row r="135" spans="2:6">
      <c r="C135" s="119" t="s">
        <v>225</v>
      </c>
      <c r="D135" s="120">
        <f t="shared" ref="D135:D139" si="1">+D134</f>
        <v>353221.02857142821</v>
      </c>
      <c r="E135" s="121">
        <f>+SUM(D105:D109)</f>
        <v>423500</v>
      </c>
      <c r="F135" s="122">
        <f t="shared" si="0"/>
        <v>70278.971428571793</v>
      </c>
    </row>
    <row r="136" spans="2:6">
      <c r="C136" s="119" t="s">
        <v>226</v>
      </c>
      <c r="D136" s="120">
        <f t="shared" si="1"/>
        <v>353221.02857142821</v>
      </c>
      <c r="E136" s="121">
        <f>+SUM(D110:D114)</f>
        <v>230500</v>
      </c>
      <c r="F136" s="122">
        <f t="shared" si="0"/>
        <v>-122721.02857142821</v>
      </c>
    </row>
    <row r="137" spans="2:6">
      <c r="C137" s="119" t="s">
        <v>227</v>
      </c>
      <c r="D137" s="120">
        <f t="shared" si="1"/>
        <v>353221.02857142821</v>
      </c>
      <c r="E137" s="121">
        <f>+SUM(D115:D119)</f>
        <v>0</v>
      </c>
      <c r="F137" s="122">
        <f t="shared" si="0"/>
        <v>-353221.02857142821</v>
      </c>
    </row>
    <row r="138" spans="2:6">
      <c r="C138" s="119" t="s">
        <v>228</v>
      </c>
      <c r="D138" s="120">
        <f t="shared" si="1"/>
        <v>353221.02857142821</v>
      </c>
      <c r="E138" s="121">
        <f>+SUM(D120:D123)</f>
        <v>362000</v>
      </c>
      <c r="F138" s="122">
        <f t="shared" si="0"/>
        <v>8778.9714285717928</v>
      </c>
    </row>
    <row r="139" spans="2:6">
      <c r="C139" s="119" t="s">
        <v>229</v>
      </c>
      <c r="D139" s="120">
        <f t="shared" si="1"/>
        <v>353221.02857142821</v>
      </c>
      <c r="E139" s="121">
        <f>+SUM(D124:D128)</f>
        <v>508000</v>
      </c>
      <c r="F139" s="122">
        <f t="shared" si="0"/>
        <v>154778.97142857179</v>
      </c>
    </row>
    <row r="140" spans="2:6">
      <c r="C140" s="119" t="s">
        <v>230</v>
      </c>
      <c r="D140" s="120">
        <f>+SUM(D133:D139)</f>
        <v>2472547.1999999974</v>
      </c>
      <c r="E140" s="121">
        <f>+SUM(E133:E139)</f>
        <v>2515519.2000000002</v>
      </c>
      <c r="F140" s="122">
        <f>+SUM(F133:F139)</f>
        <v>42972.000000002503</v>
      </c>
    </row>
    <row r="141" spans="2:6">
      <c r="C141" s="124"/>
      <c r="D141" s="124"/>
      <c r="E141" s="124"/>
      <c r="F141" s="124"/>
    </row>
    <row r="142" spans="2:6">
      <c r="C142" s="124"/>
      <c r="D142" s="125" t="s">
        <v>231</v>
      </c>
      <c r="E142" s="126">
        <f>+E140/D140</f>
        <v>1.0173796480002497</v>
      </c>
      <c r="F142" s="124"/>
    </row>
    <row r="143" spans="2:6">
      <c r="C143" s="124"/>
      <c r="D143" s="125" t="s">
        <v>232</v>
      </c>
      <c r="E143" s="127">
        <f>100%-E142</f>
        <v>-1.7379648000249714E-2</v>
      </c>
      <c r="F143" s="124"/>
    </row>
    <row r="144" spans="2:6">
      <c r="C144" s="124"/>
      <c r="D144" s="124"/>
      <c r="E144" s="124"/>
      <c r="F144" s="124"/>
    </row>
    <row r="147" spans="2:6">
      <c r="B147" s="124"/>
      <c r="C147" s="124"/>
      <c r="D147" s="124"/>
      <c r="E147" s="124"/>
    </row>
    <row r="148" spans="2:6">
      <c r="B148" s="124"/>
      <c r="C148" s="128" t="s">
        <v>219</v>
      </c>
      <c r="D148" s="129" t="s">
        <v>221</v>
      </c>
      <c r="E148" s="124"/>
    </row>
    <row r="149" spans="2:6">
      <c r="B149" s="124"/>
      <c r="C149" s="128" t="s">
        <v>223</v>
      </c>
      <c r="D149" s="130">
        <f>+SUM(D95:D99)</f>
        <v>593519.19999999995</v>
      </c>
      <c r="E149" s="124"/>
    </row>
    <row r="150" spans="2:6">
      <c r="B150" s="124"/>
      <c r="C150" s="128" t="s">
        <v>224</v>
      </c>
      <c r="D150" s="130">
        <f>+SUM(D100:D104)</f>
        <v>398000</v>
      </c>
      <c r="E150" s="124"/>
    </row>
    <row r="151" spans="2:6">
      <c r="B151" s="124"/>
      <c r="C151" s="128" t="s">
        <v>225</v>
      </c>
      <c r="D151" s="130">
        <f>+SUM(D105:D109)</f>
        <v>423500</v>
      </c>
      <c r="E151" s="124"/>
    </row>
    <row r="152" spans="2:6">
      <c r="B152" s="124"/>
      <c r="C152" s="128" t="s">
        <v>226</v>
      </c>
      <c r="D152" s="130">
        <f>+SUM(D110:D114)</f>
        <v>230500</v>
      </c>
      <c r="E152" s="124"/>
    </row>
    <row r="153" spans="2:6">
      <c r="B153" s="124"/>
      <c r="C153" s="128" t="s">
        <v>227</v>
      </c>
      <c r="D153" s="130">
        <f>+SUM(D115:D119)</f>
        <v>0</v>
      </c>
      <c r="E153" s="124"/>
    </row>
    <row r="154" spans="2:6">
      <c r="B154" s="124"/>
      <c r="C154" s="128" t="s">
        <v>353</v>
      </c>
      <c r="D154" s="130">
        <f>+SUM(D120:D123)</f>
        <v>362000</v>
      </c>
      <c r="E154" s="124"/>
    </row>
    <row r="155" spans="2:6">
      <c r="B155" s="124"/>
      <c r="C155" s="128" t="s">
        <v>229</v>
      </c>
      <c r="D155" s="130">
        <f>+SUM(D124:D128)</f>
        <v>508000</v>
      </c>
      <c r="E155" s="124"/>
    </row>
    <row r="156" spans="2:6" hidden="1">
      <c r="B156" s="124"/>
      <c r="C156" s="128" t="s">
        <v>233</v>
      </c>
      <c r="D156" s="130"/>
      <c r="E156" s="124"/>
    </row>
    <row r="157" spans="2:6">
      <c r="B157" s="124"/>
      <c r="C157" s="128" t="s">
        <v>234</v>
      </c>
      <c r="D157" s="130">
        <f>+SUM(D149:D156)</f>
        <v>2515519.2000000002</v>
      </c>
      <c r="E157" s="124"/>
    </row>
    <row r="158" spans="2:6">
      <c r="B158" s="124"/>
      <c r="C158" s="124"/>
      <c r="D158" s="124"/>
      <c r="E158" s="124"/>
    </row>
    <row r="159" spans="2:6">
      <c r="B159" s="124"/>
      <c r="C159" s="128" t="s">
        <v>230</v>
      </c>
      <c r="D159" s="130">
        <v>2472547.1999999974</v>
      </c>
      <c r="E159" s="124"/>
      <c r="F159" s="132">
        <f>+D159-D157</f>
        <v>-42972.000000002794</v>
      </c>
    </row>
    <row r="160" spans="2:6">
      <c r="B160" s="124"/>
      <c r="C160" s="124"/>
      <c r="D160" s="124"/>
      <c r="E160" s="124"/>
    </row>
    <row r="161" spans="2:5">
      <c r="B161" s="124"/>
      <c r="C161" s="125" t="s">
        <v>231</v>
      </c>
      <c r="D161" s="126">
        <f>+D157/D159</f>
        <v>1.0173796480002497</v>
      </c>
      <c r="E161" s="124"/>
    </row>
    <row r="162" spans="2:5">
      <c r="B162" s="124"/>
      <c r="C162" s="125" t="s">
        <v>232</v>
      </c>
      <c r="D162" s="127">
        <f>100%-D161</f>
        <v>-1.7379648000249714E-2</v>
      </c>
      <c r="E162" s="124"/>
    </row>
    <row r="163" spans="2:5">
      <c r="B163" s="124"/>
      <c r="C163" s="124"/>
      <c r="D163" s="124"/>
      <c r="E163" s="124"/>
    </row>
    <row r="164" spans="2:5">
      <c r="B164" s="124"/>
      <c r="C164" s="124"/>
      <c r="D164" s="131" t="s">
        <v>354</v>
      </c>
      <c r="E164" s="124"/>
    </row>
    <row r="165" spans="2:5">
      <c r="C165" s="124"/>
      <c r="D165" s="124"/>
      <c r="E165" s="124"/>
    </row>
  </sheetData>
  <conditionalFormatting sqref="F133:F139">
    <cfRule type="iconSet" priority="1">
      <iconSet>
        <cfvo type="percent" val="0"/>
        <cfvo type="num" val="-70644"/>
        <cfvo type="num" val="0"/>
      </iconSet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FFD6-E198-4CEC-B1A1-EAF49CC95264}">
  <sheetPr codeName="Hoja6"/>
  <dimension ref="A1:X25"/>
  <sheetViews>
    <sheetView workbookViewId="0"/>
  </sheetViews>
  <sheetFormatPr baseColWidth="10" defaultColWidth="11.42578125" defaultRowHeight="15"/>
  <cols>
    <col min="1" max="1" width="10" bestFit="1" customWidth="1"/>
    <col min="2" max="2" width="21.28515625" bestFit="1" customWidth="1"/>
    <col min="3" max="3" width="12.42578125" bestFit="1" customWidth="1"/>
    <col min="4" max="4" width="39" hidden="1" customWidth="1"/>
    <col min="5" max="5" width="18.42578125" hidden="1" customWidth="1"/>
    <col min="6" max="6" width="11.5703125" hidden="1" customWidth="1"/>
    <col min="7" max="7" width="9.28515625" hidden="1" customWidth="1"/>
    <col min="8" max="8" width="12.7109375" hidden="1" customWidth="1"/>
    <col min="9" max="9" width="15.7109375" hidden="1" customWidth="1"/>
    <col min="10" max="10" width="15.7109375" customWidth="1"/>
    <col min="11" max="11" width="10.7109375" bestFit="1" customWidth="1"/>
    <col min="12" max="12" width="10.7109375" customWidth="1"/>
    <col min="13" max="13" width="14.42578125" bestFit="1" customWidth="1"/>
    <col min="14" max="14" width="11.42578125" bestFit="1" customWidth="1"/>
    <col min="15" max="15" width="11" bestFit="1" customWidth="1"/>
    <col min="16" max="16" width="22.5703125" bestFit="1" customWidth="1"/>
    <col min="17" max="17" width="20.7109375" bestFit="1" customWidth="1"/>
    <col min="18" max="19" width="22.5703125" bestFit="1" customWidth="1"/>
    <col min="20" max="20" width="7.28515625" bestFit="1" customWidth="1"/>
    <col min="21" max="21" width="12.28515625" bestFit="1" customWidth="1"/>
    <col min="22" max="22" width="11.5703125" bestFit="1" customWidth="1"/>
    <col min="23" max="23" width="13.28515625" bestFit="1" customWidth="1"/>
    <col min="24" max="24" width="10.7109375" bestFit="1" customWidth="1"/>
  </cols>
  <sheetData>
    <row r="1" spans="1:24" ht="67.5" customHeight="1">
      <c r="A1" s="94" t="s">
        <v>14</v>
      </c>
      <c r="B1" s="94" t="s">
        <v>161</v>
      </c>
      <c r="C1" s="94" t="s">
        <v>15</v>
      </c>
      <c r="D1" s="94" t="s">
        <v>162</v>
      </c>
      <c r="E1" s="94" t="s">
        <v>163</v>
      </c>
      <c r="F1" s="94" t="s">
        <v>164</v>
      </c>
      <c r="G1" s="94" t="s">
        <v>165</v>
      </c>
      <c r="H1" s="94" t="s">
        <v>166</v>
      </c>
      <c r="I1" s="94" t="s">
        <v>167</v>
      </c>
      <c r="J1" s="94"/>
      <c r="K1" s="94" t="s">
        <v>168</v>
      </c>
      <c r="L1" s="94"/>
      <c r="M1" s="94" t="s">
        <v>169</v>
      </c>
      <c r="N1" s="94" t="s">
        <v>237</v>
      </c>
      <c r="O1" s="94" t="s">
        <v>171</v>
      </c>
      <c r="P1" s="94" t="s">
        <v>174</v>
      </c>
      <c r="Q1" s="94" t="s">
        <v>175</v>
      </c>
      <c r="R1" s="94" t="s">
        <v>176</v>
      </c>
      <c r="S1" s="94" t="s">
        <v>178</v>
      </c>
      <c r="T1" s="94" t="s">
        <v>6</v>
      </c>
      <c r="U1" s="94" t="s">
        <v>179</v>
      </c>
      <c r="V1" s="94" t="s">
        <v>180</v>
      </c>
      <c r="W1" s="95" t="s">
        <v>184</v>
      </c>
      <c r="X1" s="95" t="s">
        <v>3</v>
      </c>
    </row>
    <row r="2" spans="1:24" ht="21">
      <c r="A2" s="96">
        <v>1</v>
      </c>
      <c r="B2" s="97">
        <v>45009</v>
      </c>
      <c r="C2" s="96" t="s">
        <v>238</v>
      </c>
      <c r="D2" s="111" t="s">
        <v>194</v>
      </c>
      <c r="E2" s="96"/>
      <c r="F2" s="96" t="s">
        <v>4</v>
      </c>
      <c r="G2" s="96"/>
      <c r="H2" s="96"/>
      <c r="I2" s="98">
        <v>45497</v>
      </c>
      <c r="J2" s="104">
        <f>+K2*100</f>
        <v>10</v>
      </c>
      <c r="K2" s="104">
        <v>0.1</v>
      </c>
      <c r="L2" s="104">
        <f>+M2*100</f>
        <v>10.38</v>
      </c>
      <c r="M2" s="96">
        <v>0.1038</v>
      </c>
      <c r="N2" s="103">
        <v>106.095</v>
      </c>
      <c r="O2" s="96"/>
      <c r="P2" s="96" t="s">
        <v>239</v>
      </c>
      <c r="Q2" s="112" t="s">
        <v>240</v>
      </c>
      <c r="R2" s="99" t="s">
        <v>239</v>
      </c>
      <c r="S2" s="100" t="s">
        <v>240</v>
      </c>
      <c r="T2" s="96"/>
      <c r="U2" s="96"/>
      <c r="V2" s="96"/>
      <c r="W2" s="96"/>
      <c r="X2" s="96"/>
    </row>
    <row r="3" spans="1:24" ht="21">
      <c r="A3" s="96">
        <v>1</v>
      </c>
      <c r="B3" s="97">
        <v>45009</v>
      </c>
      <c r="C3" s="96" t="s">
        <v>238</v>
      </c>
      <c r="D3" s="113" t="s">
        <v>195</v>
      </c>
      <c r="E3" s="96"/>
      <c r="F3" s="96" t="s">
        <v>4</v>
      </c>
      <c r="G3" s="96"/>
      <c r="H3" s="96"/>
      <c r="I3" s="98">
        <v>46871</v>
      </c>
      <c r="J3" s="104">
        <f t="shared" ref="J3:J25" si="0">+K3*100</f>
        <v>6</v>
      </c>
      <c r="K3" s="104">
        <v>0.06</v>
      </c>
      <c r="L3" s="104">
        <f t="shared" ref="L3:L25" si="1">+M3*100</f>
        <v>11.35</v>
      </c>
      <c r="M3" s="96">
        <v>0.1135</v>
      </c>
      <c r="N3" s="103">
        <v>85.513999999999996</v>
      </c>
      <c r="O3" s="96"/>
      <c r="P3" s="96" t="s">
        <v>241</v>
      </c>
      <c r="Q3" s="112" t="s">
        <v>242</v>
      </c>
      <c r="R3" s="101" t="s">
        <v>241</v>
      </c>
      <c r="S3" s="102" t="s">
        <v>242</v>
      </c>
      <c r="T3" s="96"/>
      <c r="U3" s="96"/>
      <c r="V3" s="96"/>
      <c r="W3" s="96"/>
      <c r="X3" s="96"/>
    </row>
    <row r="4" spans="1:24" ht="21">
      <c r="A4" s="96">
        <v>1</v>
      </c>
      <c r="B4" s="97">
        <v>45009</v>
      </c>
      <c r="C4" s="96" t="s">
        <v>238</v>
      </c>
      <c r="D4" s="113" t="s">
        <v>195</v>
      </c>
      <c r="E4" s="96"/>
      <c r="F4" s="96" t="s">
        <v>4</v>
      </c>
      <c r="G4" s="96"/>
      <c r="H4" s="96"/>
      <c r="I4" s="98">
        <v>12094</v>
      </c>
      <c r="J4" s="104">
        <f t="shared" si="0"/>
        <v>13.25</v>
      </c>
      <c r="K4" s="104">
        <v>0.13250000000000001</v>
      </c>
      <c r="L4" s="104">
        <f t="shared" si="1"/>
        <v>12</v>
      </c>
      <c r="M4" s="96">
        <v>0.12</v>
      </c>
      <c r="N4" s="103">
        <v>108.508</v>
      </c>
      <c r="O4" s="96"/>
      <c r="P4" s="96" t="s">
        <v>243</v>
      </c>
      <c r="Q4" s="112" t="s">
        <v>244</v>
      </c>
      <c r="R4" s="101" t="s">
        <v>243</v>
      </c>
      <c r="S4" s="102" t="s">
        <v>244</v>
      </c>
      <c r="T4" s="96"/>
      <c r="U4" s="96"/>
      <c r="V4" s="96"/>
      <c r="W4" s="96"/>
      <c r="X4" s="96"/>
    </row>
    <row r="5" spans="1:24" ht="21">
      <c r="A5" s="96">
        <v>1</v>
      </c>
      <c r="B5" s="97">
        <v>45009</v>
      </c>
      <c r="C5" s="96" t="s">
        <v>238</v>
      </c>
      <c r="D5" s="113" t="s">
        <v>195</v>
      </c>
      <c r="E5" s="96"/>
      <c r="F5" s="96" t="s">
        <v>4</v>
      </c>
      <c r="G5" s="96"/>
      <c r="H5" s="96"/>
      <c r="I5" s="98">
        <v>15490</v>
      </c>
      <c r="J5" s="104">
        <f t="shared" si="0"/>
        <v>9.25</v>
      </c>
      <c r="K5" s="104">
        <v>9.2499999999999999E-2</v>
      </c>
      <c r="L5" s="104">
        <f t="shared" si="1"/>
        <v>12.43</v>
      </c>
      <c r="M5" s="96">
        <v>0.12429999999999999</v>
      </c>
      <c r="N5" s="103">
        <v>84.632999999999996</v>
      </c>
      <c r="O5" s="96"/>
      <c r="P5" s="96" t="s">
        <v>241</v>
      </c>
      <c r="Q5" s="112" t="s">
        <v>245</v>
      </c>
      <c r="R5" s="101" t="s">
        <v>241</v>
      </c>
      <c r="S5" s="102" t="s">
        <v>245</v>
      </c>
      <c r="T5" s="96"/>
      <c r="U5" s="96"/>
      <c r="V5" s="96"/>
      <c r="W5" s="96"/>
      <c r="X5" s="96"/>
    </row>
    <row r="6" spans="1:24" ht="21">
      <c r="A6" s="96">
        <v>2</v>
      </c>
      <c r="B6" s="97">
        <v>45012</v>
      </c>
      <c r="C6" s="96" t="s">
        <v>238</v>
      </c>
      <c r="D6" s="111" t="s">
        <v>194</v>
      </c>
      <c r="E6" s="96"/>
      <c r="F6" s="96" t="s">
        <v>4</v>
      </c>
      <c r="G6" s="96"/>
      <c r="H6" s="96"/>
      <c r="I6" s="98">
        <v>45497</v>
      </c>
      <c r="J6" s="104">
        <f t="shared" si="0"/>
        <v>10</v>
      </c>
      <c r="K6" s="104">
        <v>0.1</v>
      </c>
      <c r="L6" s="104">
        <f t="shared" si="1"/>
        <v>10.5</v>
      </c>
      <c r="M6" s="96">
        <v>0.105</v>
      </c>
      <c r="N6" s="103">
        <v>106.039</v>
      </c>
      <c r="O6" s="96"/>
      <c r="P6" s="96" t="s">
        <v>246</v>
      </c>
      <c r="Q6" s="112" t="s">
        <v>247</v>
      </c>
      <c r="R6" s="101" t="s">
        <v>246</v>
      </c>
      <c r="S6" s="102" t="s">
        <v>247</v>
      </c>
      <c r="T6" s="96"/>
      <c r="U6" s="96"/>
      <c r="V6" s="96"/>
      <c r="W6" s="96"/>
      <c r="X6" s="96"/>
    </row>
    <row r="7" spans="1:24" ht="21">
      <c r="A7" s="96">
        <v>2</v>
      </c>
      <c r="B7" s="97">
        <v>45012</v>
      </c>
      <c r="C7" s="96" t="s">
        <v>238</v>
      </c>
      <c r="D7" s="113" t="s">
        <v>195</v>
      </c>
      <c r="E7" s="96"/>
      <c r="F7" s="96" t="s">
        <v>4</v>
      </c>
      <c r="G7" s="96"/>
      <c r="H7" s="96"/>
      <c r="I7" s="98">
        <v>46871</v>
      </c>
      <c r="J7" s="104">
        <f t="shared" si="0"/>
        <v>6</v>
      </c>
      <c r="K7" s="104">
        <v>0.06</v>
      </c>
      <c r="L7" s="104">
        <f t="shared" si="1"/>
        <v>11.459999999999999</v>
      </c>
      <c r="M7" s="96">
        <v>0.11459999999999999</v>
      </c>
      <c r="N7" s="103">
        <v>85.230999999999995</v>
      </c>
      <c r="O7" s="96"/>
      <c r="P7" s="96" t="s">
        <v>241</v>
      </c>
      <c r="Q7" s="112" t="s">
        <v>248</v>
      </c>
      <c r="R7" s="101" t="s">
        <v>241</v>
      </c>
      <c r="S7" s="102" t="s">
        <v>249</v>
      </c>
      <c r="T7" s="96"/>
      <c r="U7" s="96"/>
      <c r="V7" s="96"/>
      <c r="W7" s="96"/>
      <c r="X7" s="96"/>
    </row>
    <row r="8" spans="1:24" ht="21">
      <c r="A8" s="96">
        <v>2</v>
      </c>
      <c r="B8" s="97">
        <v>45012</v>
      </c>
      <c r="C8" s="96" t="s">
        <v>238</v>
      </c>
      <c r="D8" s="113" t="s">
        <v>195</v>
      </c>
      <c r="E8" s="96"/>
      <c r="F8" s="96" t="s">
        <v>4</v>
      </c>
      <c r="G8" s="96"/>
      <c r="H8" s="96"/>
      <c r="I8" s="98">
        <v>12094</v>
      </c>
      <c r="J8" s="104">
        <f t="shared" si="0"/>
        <v>13.25</v>
      </c>
      <c r="K8" s="104">
        <v>0.13250000000000001</v>
      </c>
      <c r="L8" s="104">
        <f t="shared" si="1"/>
        <v>12.02</v>
      </c>
      <c r="M8" s="96">
        <v>0.1202</v>
      </c>
      <c r="N8" s="103">
        <v>108.479</v>
      </c>
      <c r="O8" s="96"/>
      <c r="P8" s="96" t="s">
        <v>243</v>
      </c>
      <c r="Q8" s="112" t="s">
        <v>250</v>
      </c>
      <c r="R8" s="101" t="s">
        <v>243</v>
      </c>
      <c r="S8" s="102" t="s">
        <v>251</v>
      </c>
      <c r="T8" s="96"/>
      <c r="U8" s="96"/>
      <c r="V8" s="96"/>
      <c r="W8" s="96"/>
      <c r="X8" s="96"/>
    </row>
    <row r="9" spans="1:24" ht="21">
      <c r="A9" s="96">
        <v>2</v>
      </c>
      <c r="B9" s="97">
        <v>45012</v>
      </c>
      <c r="C9" s="96" t="s">
        <v>238</v>
      </c>
      <c r="D9" s="113" t="s">
        <v>195</v>
      </c>
      <c r="E9" s="96"/>
      <c r="F9" s="96" t="s">
        <v>4</v>
      </c>
      <c r="G9" s="96"/>
      <c r="H9" s="96"/>
      <c r="I9" s="98">
        <v>15489</v>
      </c>
      <c r="J9" s="104">
        <f t="shared" si="0"/>
        <v>9.25</v>
      </c>
      <c r="K9" s="104">
        <v>9.2499999999999999E-2</v>
      </c>
      <c r="L9" s="104">
        <f t="shared" si="1"/>
        <v>12.389999999999999</v>
      </c>
      <c r="M9" s="96">
        <v>0.1239</v>
      </c>
      <c r="N9" s="103">
        <v>84.988</v>
      </c>
      <c r="O9" s="96"/>
      <c r="P9" s="96" t="s">
        <v>241</v>
      </c>
      <c r="Q9" s="112" t="s">
        <v>252</v>
      </c>
      <c r="R9" s="101" t="s">
        <v>241</v>
      </c>
      <c r="S9" s="102" t="s">
        <v>253</v>
      </c>
      <c r="T9" s="96"/>
      <c r="U9" s="96"/>
      <c r="V9" s="96"/>
      <c r="W9" s="96"/>
      <c r="X9" s="96"/>
    </row>
    <row r="10" spans="1:24" ht="21">
      <c r="A10" s="96">
        <v>3</v>
      </c>
      <c r="B10" s="97">
        <v>45013</v>
      </c>
      <c r="C10" s="96" t="s">
        <v>238</v>
      </c>
      <c r="D10" s="111" t="s">
        <v>194</v>
      </c>
      <c r="E10" s="96"/>
      <c r="F10" s="96" t="s">
        <v>4</v>
      </c>
      <c r="G10" s="96"/>
      <c r="H10" s="96"/>
      <c r="I10" s="98">
        <v>45497</v>
      </c>
      <c r="J10" s="104">
        <f t="shared" si="0"/>
        <v>10</v>
      </c>
      <c r="K10" s="104">
        <v>0.1</v>
      </c>
      <c r="L10" s="104">
        <f t="shared" si="1"/>
        <v>10.440000000000001</v>
      </c>
      <c r="M10" s="96">
        <v>0.10440000000000001</v>
      </c>
      <c r="N10" s="103">
        <v>106.13800000000001</v>
      </c>
      <c r="O10" s="96"/>
      <c r="P10" s="96" t="s">
        <v>254</v>
      </c>
      <c r="Q10" s="112" t="s">
        <v>255</v>
      </c>
      <c r="R10" s="101" t="s">
        <v>254</v>
      </c>
      <c r="S10" s="102" t="s">
        <v>255</v>
      </c>
      <c r="T10" s="96"/>
      <c r="U10" s="96"/>
      <c r="V10" s="96"/>
      <c r="W10" s="96"/>
      <c r="X10" s="96"/>
    </row>
    <row r="11" spans="1:24" ht="21">
      <c r="A11" s="96">
        <v>3</v>
      </c>
      <c r="B11" s="97">
        <v>45013</v>
      </c>
      <c r="C11" s="96" t="s">
        <v>238</v>
      </c>
      <c r="D11" s="113" t="s">
        <v>195</v>
      </c>
      <c r="E11" s="96"/>
      <c r="F11" s="96" t="s">
        <v>4</v>
      </c>
      <c r="G11" s="96"/>
      <c r="H11" s="96"/>
      <c r="I11" s="98">
        <v>46871</v>
      </c>
      <c r="J11" s="104">
        <f t="shared" si="0"/>
        <v>6</v>
      </c>
      <c r="K11" s="104">
        <v>0.06</v>
      </c>
      <c r="L11" s="104">
        <f t="shared" si="1"/>
        <v>11.469999999999999</v>
      </c>
      <c r="M11" s="96">
        <v>0.1147</v>
      </c>
      <c r="N11" s="103">
        <v>85.242999999999995</v>
      </c>
      <c r="O11" s="96"/>
      <c r="P11" s="96" t="s">
        <v>241</v>
      </c>
      <c r="Q11" s="112" t="s">
        <v>256</v>
      </c>
      <c r="R11" s="101" t="s">
        <v>241</v>
      </c>
      <c r="S11" s="102" t="s">
        <v>257</v>
      </c>
      <c r="T11" s="96"/>
      <c r="U11" s="96"/>
      <c r="V11" s="96"/>
      <c r="W11" s="96"/>
      <c r="X11" s="96"/>
    </row>
    <row r="12" spans="1:24" ht="21">
      <c r="A12" s="96">
        <v>3</v>
      </c>
      <c r="B12" s="97">
        <v>45013</v>
      </c>
      <c r="C12" s="96" t="s">
        <v>238</v>
      </c>
      <c r="D12" s="113" t="s">
        <v>195</v>
      </c>
      <c r="E12" s="96"/>
      <c r="F12" s="96" t="s">
        <v>4</v>
      </c>
      <c r="G12" s="96"/>
      <c r="H12" s="96"/>
      <c r="I12" s="98">
        <v>12094</v>
      </c>
      <c r="J12" s="104">
        <f t="shared" si="0"/>
        <v>13.25</v>
      </c>
      <c r="K12" s="104">
        <v>0.13250000000000001</v>
      </c>
      <c r="L12" s="104">
        <f t="shared" si="1"/>
        <v>12.049999999999999</v>
      </c>
      <c r="M12" s="96">
        <v>0.1205</v>
      </c>
      <c r="N12" s="103">
        <v>108.33</v>
      </c>
      <c r="O12" s="96"/>
      <c r="P12" s="96" t="s">
        <v>243</v>
      </c>
      <c r="Q12" s="112" t="s">
        <v>258</v>
      </c>
      <c r="R12" s="101" t="s">
        <v>243</v>
      </c>
      <c r="S12" s="102" t="s">
        <v>259</v>
      </c>
      <c r="T12" s="96"/>
      <c r="U12" s="96"/>
      <c r="V12" s="96"/>
      <c r="W12" s="96"/>
      <c r="X12" s="96"/>
    </row>
    <row r="13" spans="1:24" ht="21">
      <c r="A13" s="96">
        <v>3</v>
      </c>
      <c r="B13" s="97">
        <v>45013</v>
      </c>
      <c r="C13" s="96" t="s">
        <v>238</v>
      </c>
      <c r="D13" s="113" t="s">
        <v>195</v>
      </c>
      <c r="E13" s="96"/>
      <c r="F13" s="96" t="s">
        <v>4</v>
      </c>
      <c r="G13" s="96"/>
      <c r="H13" s="96"/>
      <c r="I13" s="98">
        <v>15489</v>
      </c>
      <c r="J13" s="104">
        <f t="shared" si="0"/>
        <v>9.25</v>
      </c>
      <c r="K13" s="104">
        <v>9.2499999999999999E-2</v>
      </c>
      <c r="L13" s="104">
        <f t="shared" si="1"/>
        <v>12.379999999999999</v>
      </c>
      <c r="M13" s="96">
        <v>0.12379999999999999</v>
      </c>
      <c r="N13" s="103">
        <v>85.051000000000002</v>
      </c>
      <c r="O13" s="96"/>
      <c r="P13" s="96" t="s">
        <v>241</v>
      </c>
      <c r="Q13" s="112" t="s">
        <v>260</v>
      </c>
      <c r="R13" s="101" t="s">
        <v>241</v>
      </c>
      <c r="S13" s="102" t="s">
        <v>261</v>
      </c>
      <c r="T13" s="96"/>
      <c r="U13" s="96"/>
      <c r="V13" s="96"/>
      <c r="W13" s="96"/>
      <c r="X13" s="96"/>
    </row>
    <row r="14" spans="1:24" ht="21">
      <c r="A14" s="96">
        <v>4</v>
      </c>
      <c r="B14" s="97">
        <v>45014</v>
      </c>
      <c r="C14" s="96" t="s">
        <v>238</v>
      </c>
      <c r="D14" s="111" t="s">
        <v>194</v>
      </c>
      <c r="E14" s="96"/>
      <c r="F14" s="96" t="s">
        <v>4</v>
      </c>
      <c r="G14" s="96"/>
      <c r="H14" s="96"/>
      <c r="I14" s="98">
        <v>45497</v>
      </c>
      <c r="J14" s="104">
        <f t="shared" si="0"/>
        <v>10</v>
      </c>
      <c r="K14" s="104">
        <v>0.1</v>
      </c>
      <c r="L14" s="104">
        <f t="shared" si="1"/>
        <v>10.36</v>
      </c>
      <c r="M14" s="96">
        <v>0.1036</v>
      </c>
      <c r="N14" s="103">
        <v>106.261</v>
      </c>
      <c r="O14" s="96"/>
      <c r="P14" s="96" t="s">
        <v>262</v>
      </c>
      <c r="Q14" s="112" t="s">
        <v>263</v>
      </c>
      <c r="R14" s="101" t="s">
        <v>262</v>
      </c>
      <c r="S14" s="102" t="s">
        <v>263</v>
      </c>
      <c r="T14" s="96"/>
      <c r="U14" s="96"/>
      <c r="V14" s="96"/>
      <c r="W14" s="96"/>
      <c r="X14" s="96"/>
    </row>
    <row r="15" spans="1:24" ht="21">
      <c r="A15" s="96">
        <v>4</v>
      </c>
      <c r="B15" s="97">
        <v>45014</v>
      </c>
      <c r="C15" s="96" t="s">
        <v>238</v>
      </c>
      <c r="D15" s="113" t="s">
        <v>195</v>
      </c>
      <c r="E15" s="96"/>
      <c r="F15" s="96" t="s">
        <v>4</v>
      </c>
      <c r="G15" s="96"/>
      <c r="H15" s="96"/>
      <c r="I15" s="98">
        <v>46871</v>
      </c>
      <c r="J15" s="104">
        <f t="shared" si="0"/>
        <v>6</v>
      </c>
      <c r="K15" s="104">
        <v>0.06</v>
      </c>
      <c r="L15" s="104">
        <f t="shared" si="1"/>
        <v>11.450000000000001</v>
      </c>
      <c r="M15" s="96">
        <v>0.1145</v>
      </c>
      <c r="N15" s="103">
        <v>85.32</v>
      </c>
      <c r="O15" s="96"/>
      <c r="P15" s="96" t="s">
        <v>241</v>
      </c>
      <c r="Q15" s="112" t="s">
        <v>264</v>
      </c>
      <c r="R15" s="101" t="s">
        <v>241</v>
      </c>
      <c r="S15" s="102" t="s">
        <v>265</v>
      </c>
      <c r="T15" s="96"/>
      <c r="U15" s="96"/>
      <c r="V15" s="96"/>
      <c r="W15" s="96"/>
      <c r="X15" s="96"/>
    </row>
    <row r="16" spans="1:24" ht="21">
      <c r="A16" s="96">
        <v>4</v>
      </c>
      <c r="B16" s="97">
        <v>45014</v>
      </c>
      <c r="C16" s="96" t="s">
        <v>238</v>
      </c>
      <c r="D16" s="113" t="s">
        <v>195</v>
      </c>
      <c r="E16" s="96"/>
      <c r="F16" s="96" t="s">
        <v>4</v>
      </c>
      <c r="G16" s="96"/>
      <c r="H16" s="96"/>
      <c r="I16" s="98">
        <v>12094</v>
      </c>
      <c r="J16" s="104">
        <f t="shared" si="0"/>
        <v>13.25</v>
      </c>
      <c r="K16" s="104">
        <v>0.13250000000000001</v>
      </c>
      <c r="L16" s="104">
        <f t="shared" si="1"/>
        <v>12</v>
      </c>
      <c r="M16" s="96">
        <v>0.12</v>
      </c>
      <c r="N16" s="103">
        <v>108.7</v>
      </c>
      <c r="O16" s="96"/>
      <c r="P16" s="96" t="s">
        <v>243</v>
      </c>
      <c r="Q16" s="112" t="s">
        <v>266</v>
      </c>
      <c r="R16" s="101" t="s">
        <v>243</v>
      </c>
      <c r="S16" s="102" t="s">
        <v>267</v>
      </c>
      <c r="T16" s="96"/>
      <c r="U16" s="96"/>
      <c r="V16" s="96"/>
      <c r="W16" s="96"/>
      <c r="X16" s="96"/>
    </row>
    <row r="17" spans="1:24" ht="21">
      <c r="A17" s="96">
        <v>4</v>
      </c>
      <c r="B17" s="97">
        <v>45014</v>
      </c>
      <c r="C17" s="96" t="s">
        <v>238</v>
      </c>
      <c r="D17" s="113" t="s">
        <v>195</v>
      </c>
      <c r="E17" s="96"/>
      <c r="F17" s="96" t="s">
        <v>4</v>
      </c>
      <c r="G17" s="96"/>
      <c r="H17" s="96"/>
      <c r="I17" s="98">
        <v>15489</v>
      </c>
      <c r="J17" s="104">
        <f t="shared" si="0"/>
        <v>9.25</v>
      </c>
      <c r="K17" s="104">
        <v>9.2499999999999999E-2</v>
      </c>
      <c r="L17" s="104">
        <f t="shared" si="1"/>
        <v>12.33</v>
      </c>
      <c r="M17" s="96">
        <v>0.12330000000000001</v>
      </c>
      <c r="N17" s="103">
        <v>85.366</v>
      </c>
      <c r="O17" s="96"/>
      <c r="P17" s="96" t="s">
        <v>241</v>
      </c>
      <c r="Q17" s="112" t="s">
        <v>268</v>
      </c>
      <c r="R17" s="101" t="s">
        <v>241</v>
      </c>
      <c r="S17" s="102" t="s">
        <v>269</v>
      </c>
      <c r="T17" s="96"/>
      <c r="U17" s="96"/>
      <c r="V17" s="96"/>
      <c r="W17" s="96"/>
      <c r="X17" s="96"/>
    </row>
    <row r="18" spans="1:24" ht="21">
      <c r="A18" s="96">
        <v>5</v>
      </c>
      <c r="B18" s="97">
        <v>45015</v>
      </c>
      <c r="C18" s="96" t="s">
        <v>238</v>
      </c>
      <c r="D18" s="111" t="s">
        <v>194</v>
      </c>
      <c r="E18" s="96"/>
      <c r="F18" s="96" t="s">
        <v>4</v>
      </c>
      <c r="G18" s="96"/>
      <c r="H18" s="96"/>
      <c r="I18" s="98">
        <v>45497</v>
      </c>
      <c r="J18" s="104">
        <f t="shared" si="0"/>
        <v>10</v>
      </c>
      <c r="K18" s="104">
        <v>0.1</v>
      </c>
      <c r="L18" s="104">
        <f t="shared" si="1"/>
        <v>10.48</v>
      </c>
      <c r="M18" s="96">
        <v>0.1048</v>
      </c>
      <c r="N18" s="103">
        <v>106.14700000000001</v>
      </c>
      <c r="O18" s="96"/>
      <c r="P18" s="96" t="s">
        <v>270</v>
      </c>
      <c r="Q18" s="112" t="s">
        <v>271</v>
      </c>
      <c r="R18" s="101" t="s">
        <v>270</v>
      </c>
      <c r="S18" s="102" t="s">
        <v>271</v>
      </c>
      <c r="T18" s="96"/>
      <c r="U18" s="96"/>
      <c r="V18" s="96"/>
      <c r="W18" s="96"/>
      <c r="X18" s="96"/>
    </row>
    <row r="19" spans="1:24" ht="21">
      <c r="A19" s="96">
        <v>5</v>
      </c>
      <c r="B19" s="97">
        <v>45015</v>
      </c>
      <c r="C19" s="96" t="s">
        <v>238</v>
      </c>
      <c r="D19" s="113" t="s">
        <v>195</v>
      </c>
      <c r="E19" s="96"/>
      <c r="F19" s="96" t="s">
        <v>4</v>
      </c>
      <c r="G19" s="96"/>
      <c r="H19" s="96"/>
      <c r="I19" s="98">
        <v>46871</v>
      </c>
      <c r="J19" s="104">
        <f t="shared" si="0"/>
        <v>6</v>
      </c>
      <c r="K19" s="104">
        <v>0.06</v>
      </c>
      <c r="L19" s="104">
        <f t="shared" si="1"/>
        <v>11.44</v>
      </c>
      <c r="M19" s="96">
        <v>0.1144</v>
      </c>
      <c r="N19" s="103">
        <v>85.376999999999995</v>
      </c>
      <c r="O19" s="96"/>
      <c r="P19" s="96" t="s">
        <v>241</v>
      </c>
      <c r="Q19" s="112" t="s">
        <v>272</v>
      </c>
      <c r="R19" s="101" t="s">
        <v>241</v>
      </c>
      <c r="S19" s="102" t="s">
        <v>272</v>
      </c>
      <c r="T19" s="96"/>
      <c r="U19" s="96"/>
      <c r="V19" s="96"/>
      <c r="W19" s="96"/>
      <c r="X19" s="96"/>
    </row>
    <row r="20" spans="1:24" ht="21">
      <c r="A20" s="96">
        <v>5</v>
      </c>
      <c r="B20" s="97">
        <v>45015</v>
      </c>
      <c r="C20" s="96" t="s">
        <v>238</v>
      </c>
      <c r="D20" s="113" t="s">
        <v>195</v>
      </c>
      <c r="E20" s="96"/>
      <c r="F20" s="96" t="s">
        <v>4</v>
      </c>
      <c r="G20" s="96"/>
      <c r="H20" s="96"/>
      <c r="I20" s="98">
        <v>12094</v>
      </c>
      <c r="J20" s="104">
        <f t="shared" si="0"/>
        <v>13.25</v>
      </c>
      <c r="K20" s="104">
        <v>0.13250000000000001</v>
      </c>
      <c r="L20" s="104">
        <f t="shared" si="1"/>
        <v>12</v>
      </c>
      <c r="M20" s="96">
        <v>0.12</v>
      </c>
      <c r="N20" s="103">
        <v>108.71599999999999</v>
      </c>
      <c r="O20" s="96"/>
      <c r="P20" s="96" t="s">
        <v>243</v>
      </c>
      <c r="Q20" s="112" t="s">
        <v>273</v>
      </c>
      <c r="R20" s="101" t="s">
        <v>243</v>
      </c>
      <c r="S20" s="102" t="s">
        <v>274</v>
      </c>
      <c r="T20" s="96"/>
      <c r="U20" s="96"/>
      <c r="V20" s="96"/>
      <c r="W20" s="96"/>
      <c r="X20" s="96"/>
    </row>
    <row r="21" spans="1:24" ht="21">
      <c r="A21" s="96">
        <v>5</v>
      </c>
      <c r="B21" s="97">
        <v>45015</v>
      </c>
      <c r="C21" s="96" t="s">
        <v>238</v>
      </c>
      <c r="D21" s="113" t="s">
        <v>195</v>
      </c>
      <c r="E21" s="96"/>
      <c r="F21" s="96" t="s">
        <v>4</v>
      </c>
      <c r="G21" s="96"/>
      <c r="H21" s="96"/>
      <c r="I21" s="98">
        <v>15489</v>
      </c>
      <c r="J21" s="104">
        <f t="shared" si="0"/>
        <v>9.25</v>
      </c>
      <c r="K21" s="104">
        <v>9.2499999999999999E-2</v>
      </c>
      <c r="L21" s="104">
        <f t="shared" si="1"/>
        <v>12.3</v>
      </c>
      <c r="M21" s="96">
        <v>0.123</v>
      </c>
      <c r="N21" s="103">
        <v>85.575999999999993</v>
      </c>
      <c r="O21" s="96"/>
      <c r="P21" s="96" t="s">
        <v>241</v>
      </c>
      <c r="Q21" s="112" t="s">
        <v>275</v>
      </c>
      <c r="R21" s="101" t="s">
        <v>241</v>
      </c>
      <c r="S21" s="102" t="s">
        <v>275</v>
      </c>
      <c r="T21" s="96"/>
      <c r="U21" s="96"/>
      <c r="V21" s="96"/>
      <c r="W21" s="96"/>
      <c r="X21" s="96"/>
    </row>
    <row r="22" spans="1:24" ht="21">
      <c r="A22" s="96">
        <v>6</v>
      </c>
      <c r="B22" s="97">
        <v>45016</v>
      </c>
      <c r="C22" s="96" t="s">
        <v>238</v>
      </c>
      <c r="D22" s="111" t="s">
        <v>194</v>
      </c>
      <c r="E22" s="96"/>
      <c r="F22" s="96" t="s">
        <v>4</v>
      </c>
      <c r="G22" s="96"/>
      <c r="H22" s="96"/>
      <c r="I22" s="98">
        <v>45497</v>
      </c>
      <c r="J22" s="104">
        <f t="shared" si="0"/>
        <v>10</v>
      </c>
      <c r="K22" s="104">
        <v>0.1</v>
      </c>
      <c r="L22" s="104">
        <f t="shared" si="1"/>
        <v>10.4</v>
      </c>
      <c r="M22" s="96">
        <v>0.104</v>
      </c>
      <c r="N22" s="103">
        <v>106.273</v>
      </c>
      <c r="O22" s="96"/>
      <c r="P22" s="96" t="s">
        <v>276</v>
      </c>
      <c r="Q22" s="112" t="s">
        <v>277</v>
      </c>
      <c r="R22" s="101" t="s">
        <v>276</v>
      </c>
      <c r="S22" s="102" t="s">
        <v>277</v>
      </c>
      <c r="T22" s="96"/>
      <c r="U22" s="96"/>
      <c r="V22" s="96"/>
      <c r="W22" s="96"/>
      <c r="X22" s="96"/>
    </row>
    <row r="23" spans="1:24" ht="21">
      <c r="A23" s="96">
        <v>6</v>
      </c>
      <c r="B23" s="97">
        <v>45016</v>
      </c>
      <c r="C23" s="96" t="s">
        <v>238</v>
      </c>
      <c r="D23" s="113" t="s">
        <v>195</v>
      </c>
      <c r="E23" s="96"/>
      <c r="F23" s="96" t="s">
        <v>4</v>
      </c>
      <c r="G23" s="96"/>
      <c r="H23" s="96"/>
      <c r="I23" s="98">
        <v>46871</v>
      </c>
      <c r="J23" s="104">
        <f t="shared" si="0"/>
        <v>6</v>
      </c>
      <c r="K23" s="104">
        <v>0.06</v>
      </c>
      <c r="L23" s="104">
        <f t="shared" si="1"/>
        <v>11.34</v>
      </c>
      <c r="M23" s="96">
        <v>0.1134</v>
      </c>
      <c r="N23" s="103">
        <v>85.724999999999994</v>
      </c>
      <c r="O23" s="96"/>
      <c r="P23" s="96" t="s">
        <v>278</v>
      </c>
      <c r="Q23" s="112" t="s">
        <v>279</v>
      </c>
      <c r="R23" s="101" t="s">
        <v>278</v>
      </c>
      <c r="S23" s="102" t="s">
        <v>279</v>
      </c>
      <c r="T23" s="96"/>
      <c r="U23" s="96"/>
      <c r="V23" s="96"/>
      <c r="W23" s="96"/>
      <c r="X23" s="96"/>
    </row>
    <row r="24" spans="1:24" ht="21">
      <c r="A24" s="96">
        <v>6</v>
      </c>
      <c r="B24" s="97">
        <v>45016</v>
      </c>
      <c r="C24" s="96" t="s">
        <v>238</v>
      </c>
      <c r="D24" s="113" t="s">
        <v>195</v>
      </c>
      <c r="E24" s="96"/>
      <c r="F24" s="96" t="s">
        <v>4</v>
      </c>
      <c r="G24" s="96"/>
      <c r="H24" s="96"/>
      <c r="I24" s="98">
        <v>12094</v>
      </c>
      <c r="J24" s="104">
        <f t="shared" si="0"/>
        <v>13.25</v>
      </c>
      <c r="K24" s="104">
        <v>0.13250000000000001</v>
      </c>
      <c r="L24" s="104">
        <f t="shared" si="1"/>
        <v>11.99</v>
      </c>
      <c r="M24" s="96">
        <v>0.11990000000000001</v>
      </c>
      <c r="N24" s="103">
        <v>108.815</v>
      </c>
      <c r="O24" s="96"/>
      <c r="P24" s="96" t="s">
        <v>280</v>
      </c>
      <c r="Q24" s="112" t="s">
        <v>281</v>
      </c>
      <c r="R24" s="101" t="s">
        <v>280</v>
      </c>
      <c r="S24" s="102" t="s">
        <v>281</v>
      </c>
      <c r="T24" s="96"/>
      <c r="U24" s="96"/>
      <c r="V24" s="96"/>
      <c r="W24" s="96"/>
      <c r="X24" s="96"/>
    </row>
    <row r="25" spans="1:24" ht="21">
      <c r="A25" s="96">
        <v>6</v>
      </c>
      <c r="B25" s="97">
        <v>45016</v>
      </c>
      <c r="C25" s="96" t="s">
        <v>238</v>
      </c>
      <c r="D25" s="113" t="s">
        <v>195</v>
      </c>
      <c r="E25" s="96"/>
      <c r="F25" s="96" t="s">
        <v>4</v>
      </c>
      <c r="G25" s="96"/>
      <c r="H25" s="96"/>
      <c r="I25" s="98">
        <v>15489</v>
      </c>
      <c r="J25" s="104">
        <f t="shared" si="0"/>
        <v>9.25</v>
      </c>
      <c r="K25" s="104">
        <v>9.2499999999999999E-2</v>
      </c>
      <c r="L25" s="104">
        <f t="shared" si="1"/>
        <v>12.139999999999999</v>
      </c>
      <c r="M25" s="96">
        <v>0.12139999999999999</v>
      </c>
      <c r="N25" s="103">
        <v>86.558999999999997</v>
      </c>
      <c r="O25" s="96"/>
      <c r="P25" s="96" t="s">
        <v>278</v>
      </c>
      <c r="Q25" s="112" t="s">
        <v>282</v>
      </c>
      <c r="R25" s="101" t="s">
        <v>278</v>
      </c>
      <c r="S25" s="102" t="s">
        <v>282</v>
      </c>
      <c r="T25" s="96"/>
      <c r="U25" s="96"/>
      <c r="V25" s="96"/>
      <c r="W25" s="96"/>
      <c r="X25" s="9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C54B4-58DE-4189-A9FA-14C72E153634}">
  <sheetPr codeName="Hoja12">
    <tabColor theme="0"/>
  </sheetPr>
  <dimension ref="B2:D1082"/>
  <sheetViews>
    <sheetView topLeftCell="A1046" workbookViewId="0">
      <selection activeCell="K1064" sqref="K1064"/>
    </sheetView>
  </sheetViews>
  <sheetFormatPr baseColWidth="10" defaultColWidth="11.42578125" defaultRowHeight="15"/>
  <cols>
    <col min="2" max="2" width="21.5703125" customWidth="1"/>
    <col min="3" max="3" width="27.7109375" customWidth="1"/>
    <col min="4" max="4" width="28.7109375" customWidth="1"/>
  </cols>
  <sheetData>
    <row r="2" spans="2:4">
      <c r="B2" s="445" t="s">
        <v>335</v>
      </c>
      <c r="C2" s="445" t="s">
        <v>336</v>
      </c>
      <c r="D2" s="445" t="s">
        <v>337</v>
      </c>
    </row>
    <row r="3" spans="2:4">
      <c r="B3" s="109">
        <v>44927</v>
      </c>
      <c r="C3">
        <v>324.47359999999998</v>
      </c>
      <c r="D3">
        <v>12.4</v>
      </c>
    </row>
    <row r="4" spans="2:4">
      <c r="B4" s="109">
        <v>44928</v>
      </c>
      <c r="C4">
        <v>324.5539</v>
      </c>
      <c r="D4">
        <v>12.41</v>
      </c>
    </row>
    <row r="5" spans="2:4">
      <c r="B5" s="109">
        <v>44929</v>
      </c>
      <c r="C5">
        <v>324.63420000000002</v>
      </c>
      <c r="D5">
        <v>12.42</v>
      </c>
    </row>
    <row r="6" spans="2:4">
      <c r="B6" s="109">
        <v>44930</v>
      </c>
      <c r="C6">
        <v>324.71449999999999</v>
      </c>
      <c r="D6">
        <v>12.43</v>
      </c>
    </row>
    <row r="7" spans="2:4">
      <c r="B7" s="109">
        <v>44931</v>
      </c>
      <c r="C7">
        <v>324.79489999999998</v>
      </c>
      <c r="D7">
        <v>12.44</v>
      </c>
    </row>
    <row r="8" spans="2:4">
      <c r="B8" s="109">
        <v>44932</v>
      </c>
      <c r="C8">
        <v>324.87529999999998</v>
      </c>
      <c r="D8">
        <v>12.45</v>
      </c>
    </row>
    <row r="9" spans="2:4">
      <c r="B9" s="109">
        <v>44933</v>
      </c>
      <c r="C9">
        <v>324.95569999999998</v>
      </c>
      <c r="D9">
        <v>12.46</v>
      </c>
    </row>
    <row r="10" spans="2:4">
      <c r="B10" s="109">
        <v>44934</v>
      </c>
      <c r="C10">
        <v>325.03609999999998</v>
      </c>
      <c r="D10">
        <v>12.47</v>
      </c>
    </row>
    <row r="11" spans="2:4">
      <c r="B11" s="109">
        <v>44935</v>
      </c>
      <c r="C11">
        <v>325.11649999999997</v>
      </c>
      <c r="D11">
        <v>12.48</v>
      </c>
    </row>
    <row r="12" spans="2:4">
      <c r="B12" s="109">
        <v>44936</v>
      </c>
      <c r="C12">
        <v>325.197</v>
      </c>
      <c r="D12">
        <v>12.49</v>
      </c>
    </row>
    <row r="13" spans="2:4">
      <c r="B13" s="109">
        <v>44937</v>
      </c>
      <c r="C13">
        <v>325.27749999999997</v>
      </c>
      <c r="D13">
        <v>12.5</v>
      </c>
    </row>
    <row r="14" spans="2:4">
      <c r="B14" s="109">
        <v>44938</v>
      </c>
      <c r="C14">
        <v>325.358</v>
      </c>
      <c r="D14">
        <v>12.51</v>
      </c>
    </row>
    <row r="15" spans="2:4">
      <c r="B15" s="109">
        <v>44939</v>
      </c>
      <c r="C15">
        <v>325.43849999999998</v>
      </c>
      <c r="D15">
        <v>12.52</v>
      </c>
    </row>
    <row r="16" spans="2:4">
      <c r="B16" s="109">
        <v>44940</v>
      </c>
      <c r="C16">
        <v>325.51900000000001</v>
      </c>
      <c r="D16">
        <v>12.53</v>
      </c>
    </row>
    <row r="17" spans="2:4">
      <c r="B17" s="109">
        <v>44941</v>
      </c>
      <c r="C17">
        <v>325.59960000000001</v>
      </c>
      <c r="D17">
        <v>12.54</v>
      </c>
    </row>
    <row r="18" spans="2:4">
      <c r="B18" s="109">
        <v>44942</v>
      </c>
      <c r="C18">
        <v>325.73110000000003</v>
      </c>
      <c r="D18">
        <v>12.56</v>
      </c>
    </row>
    <row r="19" spans="2:4">
      <c r="B19" s="109">
        <v>44943</v>
      </c>
      <c r="C19">
        <v>325.86270000000002</v>
      </c>
      <c r="D19">
        <v>12.58</v>
      </c>
    </row>
    <row r="20" spans="2:4">
      <c r="B20" s="109">
        <v>44944</v>
      </c>
      <c r="C20">
        <v>325.99439999999998</v>
      </c>
      <c r="D20">
        <v>12.6</v>
      </c>
    </row>
    <row r="21" spans="2:4">
      <c r="B21" s="109">
        <v>44945</v>
      </c>
      <c r="C21">
        <v>326.12610000000001</v>
      </c>
      <c r="D21">
        <v>12.62</v>
      </c>
    </row>
    <row r="22" spans="2:4">
      <c r="B22" s="109">
        <v>44946</v>
      </c>
      <c r="C22">
        <v>326.25779999999997</v>
      </c>
      <c r="D22">
        <v>12.64</v>
      </c>
    </row>
    <row r="23" spans="2:4">
      <c r="B23" s="109">
        <v>44947</v>
      </c>
      <c r="C23">
        <v>326.38959999999997</v>
      </c>
      <c r="D23">
        <v>12.66</v>
      </c>
    </row>
    <row r="24" spans="2:4">
      <c r="B24" s="109">
        <v>44948</v>
      </c>
      <c r="C24">
        <v>326.5215</v>
      </c>
      <c r="D24">
        <v>12.67</v>
      </c>
    </row>
    <row r="25" spans="2:4">
      <c r="B25" s="109">
        <v>44949</v>
      </c>
      <c r="C25">
        <v>326.65339999999998</v>
      </c>
      <c r="D25">
        <v>12.69</v>
      </c>
    </row>
    <row r="26" spans="2:4">
      <c r="B26" s="109">
        <v>44950</v>
      </c>
      <c r="C26">
        <v>326.78539999999998</v>
      </c>
      <c r="D26">
        <v>12.71</v>
      </c>
    </row>
    <row r="27" spans="2:4">
      <c r="B27" s="109">
        <v>44951</v>
      </c>
      <c r="C27">
        <v>326.91739999999999</v>
      </c>
      <c r="D27">
        <v>12.73</v>
      </c>
    </row>
    <row r="28" spans="2:4">
      <c r="B28" s="109">
        <v>44952</v>
      </c>
      <c r="C28">
        <v>327.04950000000002</v>
      </c>
      <c r="D28">
        <v>12.75</v>
      </c>
    </row>
    <row r="29" spans="2:4">
      <c r="B29" s="109">
        <v>44953</v>
      </c>
      <c r="C29">
        <v>327.1816</v>
      </c>
      <c r="D29">
        <v>12.77</v>
      </c>
    </row>
    <row r="30" spans="2:4">
      <c r="B30" s="109">
        <v>44954</v>
      </c>
      <c r="C30">
        <v>327.31380000000001</v>
      </c>
      <c r="D30">
        <v>12.79</v>
      </c>
    </row>
    <row r="31" spans="2:4">
      <c r="B31" s="109">
        <v>44955</v>
      </c>
      <c r="C31">
        <v>327.44600000000003</v>
      </c>
      <c r="D31">
        <v>12.81</v>
      </c>
    </row>
    <row r="32" spans="2:4">
      <c r="B32" s="109">
        <v>44956</v>
      </c>
      <c r="C32">
        <v>327.57830000000001</v>
      </c>
      <c r="D32">
        <v>12.83</v>
      </c>
    </row>
    <row r="33" spans="2:4">
      <c r="B33" s="109">
        <v>44957</v>
      </c>
      <c r="C33">
        <v>327.7106</v>
      </c>
      <c r="D33">
        <v>12.85</v>
      </c>
    </row>
    <row r="34" spans="2:4">
      <c r="B34" s="109">
        <v>44958</v>
      </c>
      <c r="C34">
        <v>327.84300000000002</v>
      </c>
      <c r="D34">
        <v>12.87</v>
      </c>
    </row>
    <row r="35" spans="2:4">
      <c r="B35" s="109">
        <v>44959</v>
      </c>
      <c r="C35">
        <v>327.97550000000001</v>
      </c>
      <c r="D35">
        <v>12.88</v>
      </c>
    </row>
    <row r="36" spans="2:4">
      <c r="B36" s="109">
        <v>44960</v>
      </c>
      <c r="C36">
        <v>328.108</v>
      </c>
      <c r="D36">
        <v>12.9</v>
      </c>
    </row>
    <row r="37" spans="2:4">
      <c r="B37" s="109">
        <v>44961</v>
      </c>
      <c r="C37">
        <v>328.2405</v>
      </c>
      <c r="D37">
        <v>12.92</v>
      </c>
    </row>
    <row r="38" spans="2:4">
      <c r="B38" s="109">
        <v>44962</v>
      </c>
      <c r="C38">
        <v>328.37310000000002</v>
      </c>
      <c r="D38">
        <v>12.94</v>
      </c>
    </row>
    <row r="39" spans="2:4">
      <c r="B39" s="109">
        <v>44963</v>
      </c>
      <c r="C39">
        <v>328.50580000000002</v>
      </c>
      <c r="D39">
        <v>12.96</v>
      </c>
    </row>
    <row r="40" spans="2:4">
      <c r="B40" s="109">
        <v>44964</v>
      </c>
      <c r="C40">
        <v>328.63850000000002</v>
      </c>
      <c r="D40">
        <v>12.98</v>
      </c>
    </row>
    <row r="41" spans="2:4">
      <c r="B41" s="109">
        <v>44965</v>
      </c>
      <c r="C41">
        <v>328.7713</v>
      </c>
      <c r="D41">
        <v>13</v>
      </c>
    </row>
    <row r="42" spans="2:4">
      <c r="B42" s="109">
        <v>44966</v>
      </c>
      <c r="C42">
        <v>328.90410000000003</v>
      </c>
      <c r="D42">
        <v>13.02</v>
      </c>
    </row>
    <row r="43" spans="2:4">
      <c r="B43" s="109">
        <v>44967</v>
      </c>
      <c r="C43">
        <v>329.03699999999998</v>
      </c>
      <c r="D43">
        <v>13.04</v>
      </c>
    </row>
    <row r="44" spans="2:4">
      <c r="B44" s="109">
        <v>44968</v>
      </c>
      <c r="C44">
        <v>329.16989999999998</v>
      </c>
      <c r="D44">
        <v>13.06</v>
      </c>
    </row>
    <row r="45" spans="2:4">
      <c r="B45" s="109">
        <v>44969</v>
      </c>
      <c r="C45">
        <v>329.30290000000002</v>
      </c>
      <c r="D45">
        <v>13.08</v>
      </c>
    </row>
    <row r="46" spans="2:4">
      <c r="B46" s="109">
        <v>44970</v>
      </c>
      <c r="C46">
        <v>329.4359</v>
      </c>
      <c r="D46">
        <v>13.09</v>
      </c>
    </row>
    <row r="47" spans="2:4">
      <c r="B47" s="109">
        <v>44971</v>
      </c>
      <c r="C47">
        <v>329.56900000000002</v>
      </c>
      <c r="D47">
        <v>13.11</v>
      </c>
    </row>
    <row r="48" spans="2:4">
      <c r="B48" s="109">
        <v>44972</v>
      </c>
      <c r="C48">
        <v>329.7022</v>
      </c>
      <c r="D48">
        <v>13.13</v>
      </c>
    </row>
    <row r="49" spans="2:4">
      <c r="B49" s="109">
        <v>44973</v>
      </c>
      <c r="C49">
        <v>329.91</v>
      </c>
      <c r="D49">
        <v>13.14</v>
      </c>
    </row>
    <row r="50" spans="2:4">
      <c r="B50" s="109">
        <v>44974</v>
      </c>
      <c r="C50">
        <v>330.11799999999999</v>
      </c>
      <c r="D50">
        <v>13.14</v>
      </c>
    </row>
    <row r="51" spans="2:4">
      <c r="B51" s="109">
        <v>44975</v>
      </c>
      <c r="C51">
        <v>330.32600000000002</v>
      </c>
      <c r="D51">
        <v>13.15</v>
      </c>
    </row>
    <row r="52" spans="2:4">
      <c r="B52" s="109">
        <v>44976</v>
      </c>
      <c r="C52">
        <v>330.53429999999997</v>
      </c>
      <c r="D52">
        <v>13.15</v>
      </c>
    </row>
    <row r="53" spans="2:4">
      <c r="B53" s="109">
        <v>44977</v>
      </c>
      <c r="C53">
        <v>330.74259999999998</v>
      </c>
      <c r="D53">
        <v>13.15</v>
      </c>
    </row>
    <row r="54" spans="2:4">
      <c r="B54" s="109">
        <v>44978</v>
      </c>
      <c r="C54">
        <v>330.9511</v>
      </c>
      <c r="D54">
        <v>13.16</v>
      </c>
    </row>
    <row r="55" spans="2:4">
      <c r="B55" s="109">
        <v>44979</v>
      </c>
      <c r="C55">
        <v>331.15969999999999</v>
      </c>
      <c r="D55">
        <v>13.16</v>
      </c>
    </row>
    <row r="56" spans="2:4">
      <c r="B56" s="109">
        <v>44980</v>
      </c>
      <c r="C56">
        <v>331.36840000000001</v>
      </c>
      <c r="D56">
        <v>13.17</v>
      </c>
    </row>
    <row r="57" spans="2:4">
      <c r="B57" s="109">
        <v>44981</v>
      </c>
      <c r="C57">
        <v>331.57729999999998</v>
      </c>
      <c r="D57">
        <v>13.17</v>
      </c>
    </row>
    <row r="58" spans="2:4">
      <c r="B58" s="109">
        <v>44982</v>
      </c>
      <c r="C58">
        <v>331.78629999999998</v>
      </c>
      <c r="D58">
        <v>13.18</v>
      </c>
    </row>
    <row r="59" spans="2:4">
      <c r="B59" s="109">
        <v>44983</v>
      </c>
      <c r="C59">
        <v>331.99540000000002</v>
      </c>
      <c r="D59">
        <v>13.18</v>
      </c>
    </row>
    <row r="60" spans="2:4">
      <c r="B60" s="109">
        <v>44984</v>
      </c>
      <c r="C60">
        <v>332.2047</v>
      </c>
      <c r="D60">
        <v>13.19</v>
      </c>
    </row>
    <row r="61" spans="2:4">
      <c r="B61" s="109">
        <v>44985</v>
      </c>
      <c r="C61">
        <v>332.41410000000002</v>
      </c>
      <c r="D61">
        <v>13.19</v>
      </c>
    </row>
    <row r="62" spans="2:4">
      <c r="B62" s="109">
        <v>44986</v>
      </c>
      <c r="C62">
        <v>332.62360000000001</v>
      </c>
      <c r="D62">
        <v>13.19</v>
      </c>
    </row>
    <row r="63" spans="2:4">
      <c r="B63" s="109">
        <v>44987</v>
      </c>
      <c r="C63">
        <v>332.83330000000001</v>
      </c>
      <c r="D63">
        <v>13.2</v>
      </c>
    </row>
    <row r="64" spans="2:4">
      <c r="B64" s="109">
        <v>44988</v>
      </c>
      <c r="C64">
        <v>333.04309999999998</v>
      </c>
      <c r="D64">
        <v>13.2</v>
      </c>
    </row>
    <row r="65" spans="2:4">
      <c r="B65" s="109">
        <v>44989</v>
      </c>
      <c r="C65">
        <v>333.25299999999999</v>
      </c>
      <c r="D65">
        <v>13.21</v>
      </c>
    </row>
    <row r="66" spans="2:4">
      <c r="B66" s="109">
        <v>44990</v>
      </c>
      <c r="C66">
        <v>333.46300000000002</v>
      </c>
      <c r="D66">
        <v>13.21</v>
      </c>
    </row>
    <row r="67" spans="2:4">
      <c r="B67" s="109">
        <v>44991</v>
      </c>
      <c r="C67">
        <v>333.67320000000001</v>
      </c>
      <c r="D67">
        <v>13.22</v>
      </c>
    </row>
    <row r="68" spans="2:4">
      <c r="B68" s="109">
        <v>44992</v>
      </c>
      <c r="C68">
        <v>333.88350000000003</v>
      </c>
      <c r="D68">
        <v>13.22</v>
      </c>
    </row>
    <row r="69" spans="2:4">
      <c r="B69" s="109">
        <v>44993</v>
      </c>
      <c r="C69">
        <v>334.09399999999999</v>
      </c>
      <c r="D69">
        <v>13.22</v>
      </c>
    </row>
    <row r="70" spans="2:4">
      <c r="B70" s="109">
        <v>44994</v>
      </c>
      <c r="C70">
        <v>334.30459999999999</v>
      </c>
      <c r="D70">
        <v>13.23</v>
      </c>
    </row>
    <row r="71" spans="2:4">
      <c r="B71" s="109">
        <v>44995</v>
      </c>
      <c r="C71">
        <v>334.51530000000002</v>
      </c>
      <c r="D71">
        <v>13.23</v>
      </c>
    </row>
    <row r="72" spans="2:4">
      <c r="B72" s="109">
        <v>44996</v>
      </c>
      <c r="C72">
        <v>334.72620000000001</v>
      </c>
      <c r="D72">
        <v>13.24</v>
      </c>
    </row>
    <row r="73" spans="2:4">
      <c r="B73" s="109">
        <v>44997</v>
      </c>
      <c r="C73">
        <v>334.93709999999999</v>
      </c>
      <c r="D73">
        <v>13.24</v>
      </c>
    </row>
    <row r="74" spans="2:4">
      <c r="B74" s="109">
        <v>44998</v>
      </c>
      <c r="C74">
        <v>335.14830000000001</v>
      </c>
      <c r="D74">
        <v>13.25</v>
      </c>
    </row>
    <row r="75" spans="2:4">
      <c r="B75" s="109">
        <v>44999</v>
      </c>
      <c r="C75">
        <v>335.35950000000003</v>
      </c>
      <c r="D75">
        <v>13.25</v>
      </c>
    </row>
    <row r="76" spans="2:4">
      <c r="B76" s="109">
        <v>45000</v>
      </c>
      <c r="C76">
        <v>335.57089999999999</v>
      </c>
      <c r="D76">
        <v>13.26</v>
      </c>
    </row>
    <row r="77" spans="2:4">
      <c r="B77" s="109">
        <v>45001</v>
      </c>
      <c r="C77">
        <v>335.74919999999997</v>
      </c>
      <c r="D77">
        <v>13.26</v>
      </c>
    </row>
    <row r="78" spans="2:4">
      <c r="B78" s="109">
        <v>45002</v>
      </c>
      <c r="C78">
        <v>335.92750000000001</v>
      </c>
      <c r="D78">
        <v>13.26</v>
      </c>
    </row>
    <row r="79" spans="2:4">
      <c r="B79" s="109">
        <v>45003</v>
      </c>
      <c r="C79">
        <v>336.10599999999999</v>
      </c>
      <c r="D79">
        <v>13.26</v>
      </c>
    </row>
    <row r="80" spans="2:4">
      <c r="B80" s="109">
        <v>45004</v>
      </c>
      <c r="C80">
        <v>336.28449999999998</v>
      </c>
      <c r="D80">
        <v>13.26</v>
      </c>
    </row>
    <row r="81" spans="2:4">
      <c r="B81" s="109">
        <v>45005</v>
      </c>
      <c r="C81">
        <v>336.46319999999997</v>
      </c>
      <c r="D81">
        <v>13.26</v>
      </c>
    </row>
    <row r="82" spans="2:4">
      <c r="B82" s="109">
        <v>45006</v>
      </c>
      <c r="C82">
        <v>336.64190000000002</v>
      </c>
      <c r="D82">
        <v>13.26</v>
      </c>
    </row>
    <row r="83" spans="2:4">
      <c r="B83" s="109">
        <v>45007</v>
      </c>
      <c r="C83">
        <v>336.82069999999999</v>
      </c>
      <c r="D83">
        <v>13.26</v>
      </c>
    </row>
    <row r="84" spans="2:4">
      <c r="B84" s="109">
        <v>45008</v>
      </c>
      <c r="C84">
        <v>336.99970000000002</v>
      </c>
      <c r="D84">
        <v>13.26</v>
      </c>
    </row>
    <row r="85" spans="2:4">
      <c r="B85" s="109">
        <v>45009</v>
      </c>
      <c r="C85">
        <v>337.17869999999999</v>
      </c>
      <c r="D85">
        <v>13.27</v>
      </c>
    </row>
    <row r="86" spans="2:4">
      <c r="B86" s="109">
        <v>45010</v>
      </c>
      <c r="C86">
        <v>337.3578</v>
      </c>
      <c r="D86">
        <v>13.27</v>
      </c>
    </row>
    <row r="87" spans="2:4">
      <c r="B87" s="109">
        <v>45011</v>
      </c>
      <c r="C87">
        <v>337.53699999999998</v>
      </c>
      <c r="D87">
        <v>13.27</v>
      </c>
    </row>
    <row r="88" spans="2:4">
      <c r="B88" s="109">
        <v>45012</v>
      </c>
      <c r="C88">
        <v>337.71629999999999</v>
      </c>
      <c r="D88">
        <v>13.27</v>
      </c>
    </row>
    <row r="89" spans="2:4">
      <c r="B89" s="109">
        <v>45013</v>
      </c>
      <c r="C89">
        <v>337.89569999999998</v>
      </c>
      <c r="D89">
        <v>13.27</v>
      </c>
    </row>
    <row r="90" spans="2:4">
      <c r="B90" s="109">
        <v>45014</v>
      </c>
      <c r="C90">
        <v>338.0752</v>
      </c>
      <c r="D90">
        <v>13.27</v>
      </c>
    </row>
    <row r="91" spans="2:4">
      <c r="B91" s="109">
        <v>45015</v>
      </c>
      <c r="C91">
        <v>338.25479999999999</v>
      </c>
      <c r="D91">
        <v>13.27</v>
      </c>
    </row>
    <row r="92" spans="2:4">
      <c r="B92" s="109">
        <v>45016</v>
      </c>
      <c r="C92">
        <v>338.43450000000001</v>
      </c>
      <c r="D92">
        <v>13.27</v>
      </c>
    </row>
    <row r="93" spans="2:4">
      <c r="B93" s="109">
        <v>45017</v>
      </c>
      <c r="C93">
        <v>338.61430000000001</v>
      </c>
      <c r="D93">
        <v>13.27</v>
      </c>
    </row>
    <row r="94" spans="2:4">
      <c r="B94" s="109">
        <v>45018</v>
      </c>
      <c r="C94">
        <v>338.79419999999999</v>
      </c>
      <c r="D94">
        <v>13.27</v>
      </c>
    </row>
    <row r="95" spans="2:4">
      <c r="B95" s="109">
        <v>45019</v>
      </c>
      <c r="C95">
        <v>338.9742</v>
      </c>
      <c r="D95">
        <v>13.28</v>
      </c>
    </row>
    <row r="96" spans="2:4">
      <c r="B96" s="109">
        <v>45020</v>
      </c>
      <c r="C96">
        <v>339.15429999999998</v>
      </c>
      <c r="D96">
        <v>13.28</v>
      </c>
    </row>
    <row r="97" spans="2:4">
      <c r="B97" s="109">
        <v>45021</v>
      </c>
      <c r="C97">
        <v>339.33440000000002</v>
      </c>
      <c r="D97">
        <v>13.28</v>
      </c>
    </row>
    <row r="98" spans="2:4">
      <c r="B98" s="109">
        <v>45022</v>
      </c>
      <c r="C98">
        <v>339.5147</v>
      </c>
      <c r="D98">
        <v>13.28</v>
      </c>
    </row>
    <row r="99" spans="2:4">
      <c r="B99" s="109">
        <v>45023</v>
      </c>
      <c r="C99">
        <v>339.69499999999999</v>
      </c>
      <c r="D99">
        <v>13.28</v>
      </c>
    </row>
    <row r="100" spans="2:4">
      <c r="B100" s="109">
        <v>45024</v>
      </c>
      <c r="C100">
        <v>339.87549999999999</v>
      </c>
      <c r="D100">
        <v>13.28</v>
      </c>
    </row>
    <row r="101" spans="2:4">
      <c r="B101" s="109">
        <v>45025</v>
      </c>
      <c r="C101">
        <v>340.05610000000001</v>
      </c>
      <c r="D101">
        <v>13.28</v>
      </c>
    </row>
    <row r="102" spans="2:4">
      <c r="B102" s="109">
        <v>45026</v>
      </c>
      <c r="C102">
        <v>340.23669999999998</v>
      </c>
      <c r="D102">
        <v>13.28</v>
      </c>
    </row>
    <row r="103" spans="2:4">
      <c r="B103" s="109">
        <v>45027</v>
      </c>
      <c r="C103">
        <v>340.41739999999999</v>
      </c>
      <c r="D103">
        <v>13.28</v>
      </c>
    </row>
    <row r="104" spans="2:4">
      <c r="B104" s="109">
        <v>45028</v>
      </c>
      <c r="C104">
        <v>340.59829999999999</v>
      </c>
      <c r="D104">
        <v>13.29</v>
      </c>
    </row>
    <row r="105" spans="2:4">
      <c r="B105" s="109">
        <v>45029</v>
      </c>
      <c r="C105">
        <v>340.7792</v>
      </c>
      <c r="D105">
        <v>13.29</v>
      </c>
    </row>
    <row r="106" spans="2:4">
      <c r="B106" s="109">
        <v>45030</v>
      </c>
      <c r="C106">
        <v>340.96019999999999</v>
      </c>
      <c r="D106">
        <v>13.29</v>
      </c>
    </row>
    <row r="107" spans="2:4">
      <c r="B107" s="109">
        <v>45031</v>
      </c>
      <c r="C107">
        <v>341.14139999999998</v>
      </c>
      <c r="D107">
        <v>13.29</v>
      </c>
    </row>
    <row r="108" spans="2:4">
      <c r="B108" s="109">
        <v>45032</v>
      </c>
      <c r="C108">
        <v>341.2602</v>
      </c>
      <c r="D108">
        <v>13.29</v>
      </c>
    </row>
    <row r="109" spans="2:4">
      <c r="B109" s="109">
        <v>45033</v>
      </c>
      <c r="C109">
        <v>341.37900000000002</v>
      </c>
      <c r="D109">
        <v>13.29</v>
      </c>
    </row>
    <row r="110" spans="2:4">
      <c r="B110" s="109">
        <v>45034</v>
      </c>
      <c r="C110">
        <v>341.49790000000002</v>
      </c>
      <c r="D110">
        <v>13.29</v>
      </c>
    </row>
    <row r="111" spans="2:4">
      <c r="B111" s="109">
        <v>45035</v>
      </c>
      <c r="C111">
        <v>341.61680000000001</v>
      </c>
      <c r="D111">
        <v>13.3</v>
      </c>
    </row>
    <row r="112" spans="2:4">
      <c r="B112" s="109">
        <v>45036</v>
      </c>
      <c r="C112">
        <v>341.73579999999998</v>
      </c>
      <c r="D112">
        <v>13.3</v>
      </c>
    </row>
    <row r="113" spans="2:4">
      <c r="B113" s="109">
        <v>45037</v>
      </c>
      <c r="C113">
        <v>341.85480000000001</v>
      </c>
      <c r="D113">
        <v>13.3</v>
      </c>
    </row>
    <row r="114" spans="2:4">
      <c r="B114" s="109">
        <v>45038</v>
      </c>
      <c r="C114">
        <v>341.97390000000001</v>
      </c>
      <c r="D114">
        <v>13.3</v>
      </c>
    </row>
    <row r="115" spans="2:4">
      <c r="B115" s="109">
        <v>45039</v>
      </c>
      <c r="C115">
        <v>342.09289999999999</v>
      </c>
      <c r="D115">
        <v>13.3</v>
      </c>
    </row>
    <row r="116" spans="2:4">
      <c r="B116" s="109">
        <v>45040</v>
      </c>
      <c r="C116">
        <v>342.21210000000002</v>
      </c>
      <c r="D116">
        <v>13.31</v>
      </c>
    </row>
    <row r="117" spans="2:4">
      <c r="B117" s="109">
        <v>45041</v>
      </c>
      <c r="C117">
        <v>342.33120000000002</v>
      </c>
      <c r="D117">
        <v>13.31</v>
      </c>
    </row>
    <row r="118" spans="2:4">
      <c r="B118" s="109">
        <v>45042</v>
      </c>
      <c r="C118">
        <v>342.45049999999998</v>
      </c>
      <c r="D118">
        <v>13.31</v>
      </c>
    </row>
    <row r="119" spans="2:4">
      <c r="B119" s="109">
        <v>45043</v>
      </c>
      <c r="C119">
        <v>342.56970000000001</v>
      </c>
      <c r="D119">
        <v>13.31</v>
      </c>
    </row>
    <row r="120" spans="2:4">
      <c r="B120" s="109">
        <v>45044</v>
      </c>
      <c r="C120">
        <v>342.68900000000002</v>
      </c>
      <c r="D120">
        <v>13.31</v>
      </c>
    </row>
    <row r="121" spans="2:4">
      <c r="B121" s="109">
        <v>45045</v>
      </c>
      <c r="C121">
        <v>342.80829999999997</v>
      </c>
      <c r="D121">
        <v>13.32</v>
      </c>
    </row>
    <row r="122" spans="2:4">
      <c r="B122" s="109">
        <v>45046</v>
      </c>
      <c r="C122">
        <v>342.92770000000002</v>
      </c>
      <c r="D122">
        <v>13.32</v>
      </c>
    </row>
    <row r="123" spans="2:4">
      <c r="B123" s="109">
        <v>45047</v>
      </c>
      <c r="C123">
        <v>343.0471</v>
      </c>
      <c r="D123">
        <v>13.32</v>
      </c>
    </row>
    <row r="124" spans="2:4">
      <c r="B124" s="109">
        <v>45048</v>
      </c>
      <c r="C124">
        <v>343.16660000000002</v>
      </c>
      <c r="D124">
        <v>13.32</v>
      </c>
    </row>
    <row r="125" spans="2:4">
      <c r="B125" s="109">
        <v>45049</v>
      </c>
      <c r="C125">
        <v>343.28609999999998</v>
      </c>
      <c r="D125">
        <v>13.32</v>
      </c>
    </row>
    <row r="126" spans="2:4">
      <c r="B126" s="109">
        <v>45050</v>
      </c>
      <c r="C126">
        <v>343.40559999999999</v>
      </c>
      <c r="D126">
        <v>13.32</v>
      </c>
    </row>
    <row r="127" spans="2:4">
      <c r="B127" s="109">
        <v>45051</v>
      </c>
      <c r="C127">
        <v>343.52519999999998</v>
      </c>
      <c r="D127">
        <v>13.33</v>
      </c>
    </row>
    <row r="128" spans="2:4">
      <c r="B128" s="109">
        <v>45052</v>
      </c>
      <c r="C128">
        <v>343.64490000000001</v>
      </c>
      <c r="D128">
        <v>13.33</v>
      </c>
    </row>
    <row r="129" spans="2:4">
      <c r="B129" s="109">
        <v>45053</v>
      </c>
      <c r="C129">
        <v>343.7645</v>
      </c>
      <c r="D129">
        <v>13.33</v>
      </c>
    </row>
    <row r="130" spans="2:4">
      <c r="B130" s="109">
        <v>45054</v>
      </c>
      <c r="C130">
        <v>343.88420000000002</v>
      </c>
      <c r="D130">
        <v>13.33</v>
      </c>
    </row>
    <row r="131" spans="2:4">
      <c r="B131" s="109">
        <v>45055</v>
      </c>
      <c r="C131">
        <v>344.00400000000002</v>
      </c>
      <c r="D131">
        <v>13.33</v>
      </c>
    </row>
    <row r="132" spans="2:4">
      <c r="B132" s="109">
        <v>45056</v>
      </c>
      <c r="C132">
        <v>344.12380000000002</v>
      </c>
      <c r="D132">
        <v>13.34</v>
      </c>
    </row>
    <row r="133" spans="2:4">
      <c r="B133" s="109">
        <v>45057</v>
      </c>
      <c r="C133">
        <v>344.24360000000001</v>
      </c>
      <c r="D133">
        <v>13.34</v>
      </c>
    </row>
    <row r="134" spans="2:4">
      <c r="B134" s="109">
        <v>45058</v>
      </c>
      <c r="C134">
        <v>344.36349999999999</v>
      </c>
      <c r="D134">
        <v>13.34</v>
      </c>
    </row>
    <row r="135" spans="2:4">
      <c r="B135" s="109">
        <v>45059</v>
      </c>
      <c r="C135">
        <v>344.48340000000002</v>
      </c>
      <c r="D135">
        <v>13.34</v>
      </c>
    </row>
    <row r="136" spans="2:4">
      <c r="B136" s="109">
        <v>45060</v>
      </c>
      <c r="C136">
        <v>344.60340000000002</v>
      </c>
      <c r="D136">
        <v>13.34</v>
      </c>
    </row>
    <row r="137" spans="2:4">
      <c r="B137" s="109">
        <v>45061</v>
      </c>
      <c r="C137">
        <v>344.72340000000003</v>
      </c>
      <c r="D137">
        <v>13.35</v>
      </c>
    </row>
    <row r="138" spans="2:4">
      <c r="B138" s="109">
        <v>45062</v>
      </c>
      <c r="C138">
        <v>344.8098</v>
      </c>
      <c r="D138">
        <v>13.33</v>
      </c>
    </row>
    <row r="139" spans="2:4">
      <c r="B139" s="109">
        <v>45063</v>
      </c>
      <c r="C139">
        <v>344.89620000000002</v>
      </c>
      <c r="D139">
        <v>13.31</v>
      </c>
    </row>
    <row r="140" spans="2:4">
      <c r="B140" s="109">
        <v>45064</v>
      </c>
      <c r="C140">
        <v>344.98270000000002</v>
      </c>
      <c r="D140">
        <v>13.29</v>
      </c>
    </row>
    <row r="141" spans="2:4">
      <c r="B141" s="109">
        <v>45065</v>
      </c>
      <c r="C141">
        <v>345.06920000000002</v>
      </c>
      <c r="D141">
        <v>13.28</v>
      </c>
    </row>
    <row r="142" spans="2:4">
      <c r="B142" s="109">
        <v>45066</v>
      </c>
      <c r="C142">
        <v>345.15570000000002</v>
      </c>
      <c r="D142">
        <v>13.26</v>
      </c>
    </row>
    <row r="143" spans="2:4">
      <c r="B143" s="109">
        <v>45067</v>
      </c>
      <c r="C143">
        <v>345.24220000000003</v>
      </c>
      <c r="D143">
        <v>13.24</v>
      </c>
    </row>
    <row r="144" spans="2:4">
      <c r="B144" s="109">
        <v>45068</v>
      </c>
      <c r="C144">
        <v>345.32870000000003</v>
      </c>
      <c r="D144">
        <v>13.23</v>
      </c>
    </row>
    <row r="145" spans="2:4">
      <c r="B145" s="109">
        <v>45069</v>
      </c>
      <c r="C145">
        <v>345.4153</v>
      </c>
      <c r="D145">
        <v>13.21</v>
      </c>
    </row>
    <row r="146" spans="2:4">
      <c r="B146" s="109">
        <v>45070</v>
      </c>
      <c r="C146">
        <v>345.50189999999998</v>
      </c>
      <c r="D146">
        <v>13.19</v>
      </c>
    </row>
    <row r="147" spans="2:4">
      <c r="B147" s="109">
        <v>45071</v>
      </c>
      <c r="C147">
        <v>345.58850000000001</v>
      </c>
      <c r="D147">
        <v>13.18</v>
      </c>
    </row>
    <row r="148" spans="2:4">
      <c r="B148" s="109">
        <v>45072</v>
      </c>
      <c r="C148">
        <v>345.67509999999999</v>
      </c>
      <c r="D148">
        <v>13.16</v>
      </c>
    </row>
    <row r="149" spans="2:4">
      <c r="B149" s="109">
        <v>45073</v>
      </c>
      <c r="C149">
        <v>345.76179999999999</v>
      </c>
      <c r="D149">
        <v>13.14</v>
      </c>
    </row>
    <row r="150" spans="2:4">
      <c r="B150" s="109">
        <v>45074</v>
      </c>
      <c r="C150">
        <v>345.84840000000003</v>
      </c>
      <c r="D150">
        <v>13.12</v>
      </c>
    </row>
    <row r="151" spans="2:4">
      <c r="B151" s="109">
        <v>45075</v>
      </c>
      <c r="C151">
        <v>345.93509999999998</v>
      </c>
      <c r="D151">
        <v>13.11</v>
      </c>
    </row>
    <row r="152" spans="2:4">
      <c r="B152" s="109">
        <v>45076</v>
      </c>
      <c r="C152">
        <v>346.02179999999998</v>
      </c>
      <c r="D152">
        <v>13.09</v>
      </c>
    </row>
    <row r="153" spans="2:4">
      <c r="B153" s="109">
        <v>45077</v>
      </c>
      <c r="C153">
        <v>346.10860000000002</v>
      </c>
      <c r="D153">
        <v>13.07</v>
      </c>
    </row>
    <row r="154" spans="2:4">
      <c r="B154" s="109">
        <v>45078</v>
      </c>
      <c r="C154">
        <v>346.19529999999997</v>
      </c>
      <c r="D154">
        <v>13.06</v>
      </c>
    </row>
    <row r="155" spans="2:4">
      <c r="B155" s="109">
        <v>45079</v>
      </c>
      <c r="C155">
        <v>346.28210000000001</v>
      </c>
      <c r="D155">
        <v>13.04</v>
      </c>
    </row>
    <row r="156" spans="2:4">
      <c r="B156" s="109">
        <v>45080</v>
      </c>
      <c r="C156">
        <v>346.3689</v>
      </c>
      <c r="D156">
        <v>13.02</v>
      </c>
    </row>
    <row r="157" spans="2:4">
      <c r="B157" s="109">
        <v>45081</v>
      </c>
      <c r="C157">
        <v>346.45569999999998</v>
      </c>
      <c r="D157">
        <v>13.01</v>
      </c>
    </row>
    <row r="158" spans="2:4">
      <c r="B158" s="109">
        <v>45082</v>
      </c>
      <c r="C158">
        <v>346.54259999999999</v>
      </c>
      <c r="D158">
        <v>12.99</v>
      </c>
    </row>
    <row r="159" spans="2:4">
      <c r="B159" s="109">
        <v>45083</v>
      </c>
      <c r="C159">
        <v>346.62950000000001</v>
      </c>
      <c r="D159">
        <v>12.97</v>
      </c>
    </row>
    <row r="160" spans="2:4">
      <c r="B160" s="109">
        <v>45084</v>
      </c>
      <c r="C160">
        <v>346.71629999999999</v>
      </c>
      <c r="D160">
        <v>12.95</v>
      </c>
    </row>
    <row r="161" spans="2:4">
      <c r="B161" s="109">
        <v>45085</v>
      </c>
      <c r="C161">
        <v>346.80329999999998</v>
      </c>
      <c r="D161">
        <v>12.94</v>
      </c>
    </row>
    <row r="162" spans="2:4">
      <c r="B162" s="109">
        <v>45086</v>
      </c>
      <c r="C162">
        <v>346.89019999999999</v>
      </c>
      <c r="D162">
        <v>12.92</v>
      </c>
    </row>
    <row r="163" spans="2:4">
      <c r="B163" s="109">
        <v>45087</v>
      </c>
      <c r="C163">
        <v>346.97710000000001</v>
      </c>
      <c r="D163">
        <v>12.9</v>
      </c>
    </row>
    <row r="164" spans="2:4">
      <c r="B164" s="109">
        <v>45088</v>
      </c>
      <c r="C164">
        <v>347.0641</v>
      </c>
      <c r="D164">
        <v>12.89</v>
      </c>
    </row>
    <row r="165" spans="2:4">
      <c r="B165" s="109">
        <v>45089</v>
      </c>
      <c r="C165">
        <v>347.15109999999999</v>
      </c>
      <c r="D165">
        <v>12.87</v>
      </c>
    </row>
    <row r="166" spans="2:4">
      <c r="B166" s="109">
        <v>45090</v>
      </c>
      <c r="C166">
        <v>347.23809999999997</v>
      </c>
      <c r="D166">
        <v>12.85</v>
      </c>
    </row>
    <row r="167" spans="2:4">
      <c r="B167" s="109">
        <v>45091</v>
      </c>
      <c r="C167">
        <v>347.3252</v>
      </c>
      <c r="D167">
        <v>12.84</v>
      </c>
    </row>
    <row r="168" spans="2:4">
      <c r="B168" s="109">
        <v>45092</v>
      </c>
      <c r="C168">
        <v>347.41219999999998</v>
      </c>
      <c r="D168">
        <v>12.82</v>
      </c>
    </row>
    <row r="169" spans="2:4">
      <c r="B169" s="109">
        <v>45093</v>
      </c>
      <c r="C169">
        <v>347.46190000000001</v>
      </c>
      <c r="D169">
        <v>12.8</v>
      </c>
    </row>
    <row r="170" spans="2:4">
      <c r="B170" s="109">
        <v>45094</v>
      </c>
      <c r="C170">
        <v>347.51159999999999</v>
      </c>
      <c r="D170">
        <v>12.79</v>
      </c>
    </row>
    <row r="171" spans="2:4">
      <c r="B171" s="109">
        <v>45095</v>
      </c>
      <c r="C171">
        <v>347.56130000000002</v>
      </c>
      <c r="D171">
        <v>12.77</v>
      </c>
    </row>
    <row r="172" spans="2:4">
      <c r="B172" s="109">
        <v>45096</v>
      </c>
      <c r="C172">
        <v>347.61099999999999</v>
      </c>
      <c r="D172">
        <v>12.76</v>
      </c>
    </row>
    <row r="173" spans="2:4">
      <c r="B173" s="109">
        <v>45097</v>
      </c>
      <c r="C173">
        <v>347.66070000000002</v>
      </c>
      <c r="D173">
        <v>12.74</v>
      </c>
    </row>
    <row r="174" spans="2:4">
      <c r="B174" s="109">
        <v>45098</v>
      </c>
      <c r="C174">
        <v>347.71050000000002</v>
      </c>
      <c r="D174">
        <v>12.73</v>
      </c>
    </row>
    <row r="175" spans="2:4">
      <c r="B175" s="109">
        <v>45099</v>
      </c>
      <c r="C175">
        <v>347.7602</v>
      </c>
      <c r="D175">
        <v>12.71</v>
      </c>
    </row>
    <row r="176" spans="2:4">
      <c r="B176" s="109">
        <v>45100</v>
      </c>
      <c r="C176">
        <v>347.80990000000003</v>
      </c>
      <c r="D176">
        <v>12.7</v>
      </c>
    </row>
    <row r="177" spans="2:4">
      <c r="B177" s="109">
        <v>45101</v>
      </c>
      <c r="C177">
        <v>347.85969999999998</v>
      </c>
      <c r="D177">
        <v>12.68</v>
      </c>
    </row>
    <row r="178" spans="2:4">
      <c r="B178" s="109">
        <v>45102</v>
      </c>
      <c r="C178">
        <v>347.90940000000001</v>
      </c>
      <c r="D178">
        <v>12.67</v>
      </c>
    </row>
    <row r="179" spans="2:4">
      <c r="B179" s="109">
        <v>45103</v>
      </c>
      <c r="C179">
        <v>347.95920000000001</v>
      </c>
      <c r="D179">
        <v>12.65</v>
      </c>
    </row>
    <row r="180" spans="2:4">
      <c r="B180" s="109">
        <v>45104</v>
      </c>
      <c r="C180">
        <v>348.00900000000001</v>
      </c>
      <c r="D180">
        <v>12.64</v>
      </c>
    </row>
    <row r="181" spans="2:4">
      <c r="B181" s="109">
        <v>45105</v>
      </c>
      <c r="C181">
        <v>348.05880000000002</v>
      </c>
      <c r="D181">
        <v>12.62</v>
      </c>
    </row>
    <row r="182" spans="2:4">
      <c r="B182" s="109">
        <v>45106</v>
      </c>
      <c r="C182">
        <v>348.10849999999999</v>
      </c>
      <c r="D182">
        <v>12.6</v>
      </c>
    </row>
    <row r="183" spans="2:4">
      <c r="B183" s="109">
        <v>45107</v>
      </c>
      <c r="C183">
        <v>348.1583</v>
      </c>
      <c r="D183">
        <v>12.59</v>
      </c>
    </row>
    <row r="184" spans="2:4">
      <c r="B184" s="109">
        <v>45108</v>
      </c>
      <c r="C184">
        <v>348.2081</v>
      </c>
      <c r="D184">
        <v>12.57</v>
      </c>
    </row>
    <row r="185" spans="2:4">
      <c r="B185" s="109">
        <v>45109</v>
      </c>
      <c r="C185">
        <v>348.25790000000001</v>
      </c>
      <c r="D185">
        <v>12.56</v>
      </c>
    </row>
    <row r="186" spans="2:4">
      <c r="B186" s="109">
        <v>45110</v>
      </c>
      <c r="C186">
        <v>348.30779999999999</v>
      </c>
      <c r="D186">
        <v>12.54</v>
      </c>
    </row>
    <row r="187" spans="2:4">
      <c r="B187" s="109">
        <v>45111</v>
      </c>
      <c r="C187">
        <v>348.35759999999999</v>
      </c>
      <c r="D187">
        <v>12.53</v>
      </c>
    </row>
    <row r="188" spans="2:4">
      <c r="B188" s="109">
        <v>45112</v>
      </c>
      <c r="C188">
        <v>348.4074</v>
      </c>
      <c r="D188">
        <v>12.51</v>
      </c>
    </row>
    <row r="189" spans="2:4">
      <c r="B189" s="109">
        <v>45113</v>
      </c>
      <c r="C189">
        <v>348.4572</v>
      </c>
      <c r="D189">
        <v>12.5</v>
      </c>
    </row>
    <row r="190" spans="2:4">
      <c r="B190" s="109">
        <v>45114</v>
      </c>
      <c r="C190">
        <v>348.50709999999998</v>
      </c>
      <c r="D190">
        <v>12.48</v>
      </c>
    </row>
    <row r="191" spans="2:4">
      <c r="B191" s="109">
        <v>45115</v>
      </c>
      <c r="C191">
        <v>348.55689999999998</v>
      </c>
      <c r="D191">
        <v>12.47</v>
      </c>
    </row>
    <row r="192" spans="2:4">
      <c r="B192" s="109">
        <v>45116</v>
      </c>
      <c r="C192">
        <v>348.60680000000002</v>
      </c>
      <c r="D192">
        <v>12.45</v>
      </c>
    </row>
    <row r="193" spans="2:4">
      <c r="B193" s="109">
        <v>45117</v>
      </c>
      <c r="C193">
        <v>348.65660000000003</v>
      </c>
      <c r="D193">
        <v>12.44</v>
      </c>
    </row>
    <row r="194" spans="2:4">
      <c r="B194" s="109">
        <v>45118</v>
      </c>
      <c r="C194">
        <v>348.70650000000001</v>
      </c>
      <c r="D194">
        <v>12.42</v>
      </c>
    </row>
    <row r="195" spans="2:4">
      <c r="B195" s="109">
        <v>45119</v>
      </c>
      <c r="C195">
        <v>348.75639999999999</v>
      </c>
      <c r="D195">
        <v>12.41</v>
      </c>
    </row>
    <row r="196" spans="2:4">
      <c r="B196" s="109">
        <v>45120</v>
      </c>
      <c r="C196">
        <v>348.80630000000002</v>
      </c>
      <c r="D196">
        <v>12.39</v>
      </c>
    </row>
    <row r="197" spans="2:4">
      <c r="B197" s="109">
        <v>45121</v>
      </c>
      <c r="C197">
        <v>348.8562</v>
      </c>
      <c r="D197">
        <v>12.38</v>
      </c>
    </row>
    <row r="198" spans="2:4">
      <c r="B198" s="109">
        <v>45122</v>
      </c>
      <c r="C198">
        <v>348.90609999999998</v>
      </c>
      <c r="D198">
        <v>12.36</v>
      </c>
    </row>
    <row r="199" spans="2:4">
      <c r="B199" s="109">
        <v>45123</v>
      </c>
      <c r="C199">
        <v>348.93979999999999</v>
      </c>
      <c r="D199">
        <v>12.35</v>
      </c>
    </row>
    <row r="200" spans="2:4">
      <c r="B200" s="109">
        <v>45124</v>
      </c>
      <c r="C200">
        <v>348.9735</v>
      </c>
      <c r="D200">
        <v>12.35</v>
      </c>
    </row>
    <row r="201" spans="2:4">
      <c r="B201" s="109">
        <v>45125</v>
      </c>
      <c r="C201">
        <v>349.00729999999999</v>
      </c>
      <c r="D201">
        <v>12.34</v>
      </c>
    </row>
    <row r="202" spans="2:4">
      <c r="B202" s="109">
        <v>45126</v>
      </c>
      <c r="C202">
        <v>349.041</v>
      </c>
      <c r="D202">
        <v>12.33</v>
      </c>
    </row>
    <row r="203" spans="2:4">
      <c r="B203" s="109">
        <v>45127</v>
      </c>
      <c r="C203">
        <v>349.07470000000001</v>
      </c>
      <c r="D203">
        <v>12.32</v>
      </c>
    </row>
    <row r="204" spans="2:4">
      <c r="B204" s="109">
        <v>45128</v>
      </c>
      <c r="C204">
        <v>349.10840000000002</v>
      </c>
      <c r="D204">
        <v>12.31</v>
      </c>
    </row>
    <row r="205" spans="2:4">
      <c r="B205" s="109">
        <v>45129</v>
      </c>
      <c r="C205">
        <v>349.1422</v>
      </c>
      <c r="D205">
        <v>12.31</v>
      </c>
    </row>
    <row r="206" spans="2:4">
      <c r="B206" s="109">
        <v>45130</v>
      </c>
      <c r="C206">
        <v>349.17590000000001</v>
      </c>
      <c r="D206">
        <v>12.3</v>
      </c>
    </row>
    <row r="207" spans="2:4">
      <c r="B207" s="109">
        <v>45131</v>
      </c>
      <c r="C207">
        <v>349.2097</v>
      </c>
      <c r="D207">
        <v>12.29</v>
      </c>
    </row>
    <row r="208" spans="2:4">
      <c r="B208" s="109">
        <v>45132</v>
      </c>
      <c r="C208">
        <v>349.24340000000001</v>
      </c>
      <c r="D208">
        <v>12.28</v>
      </c>
    </row>
    <row r="209" spans="2:4">
      <c r="B209" s="109">
        <v>45133</v>
      </c>
      <c r="C209">
        <v>349.27719999999999</v>
      </c>
      <c r="D209">
        <v>12.28</v>
      </c>
    </row>
    <row r="210" spans="2:4">
      <c r="B210" s="109">
        <v>45134</v>
      </c>
      <c r="C210">
        <v>349.3109</v>
      </c>
      <c r="D210">
        <v>12.27</v>
      </c>
    </row>
    <row r="211" spans="2:4">
      <c r="B211" s="109">
        <v>45135</v>
      </c>
      <c r="C211">
        <v>349.34469999999999</v>
      </c>
      <c r="D211">
        <v>12.26</v>
      </c>
    </row>
    <row r="212" spans="2:4">
      <c r="B212" s="109">
        <v>45136</v>
      </c>
      <c r="C212">
        <v>349.3784</v>
      </c>
      <c r="D212">
        <v>12.25</v>
      </c>
    </row>
    <row r="213" spans="2:4">
      <c r="B213" s="109">
        <v>45137</v>
      </c>
      <c r="C213">
        <v>349.41219999999998</v>
      </c>
      <c r="D213">
        <v>12.25</v>
      </c>
    </row>
    <row r="214" spans="2:4">
      <c r="B214" s="109">
        <v>45138</v>
      </c>
      <c r="C214">
        <v>349.44600000000003</v>
      </c>
      <c r="D214">
        <v>12.24</v>
      </c>
    </row>
    <row r="215" spans="2:4">
      <c r="B215" s="109">
        <v>45139</v>
      </c>
      <c r="C215">
        <v>349.47969999999998</v>
      </c>
      <c r="D215">
        <v>12.23</v>
      </c>
    </row>
    <row r="216" spans="2:4">
      <c r="B216" s="109">
        <v>45140</v>
      </c>
      <c r="C216">
        <v>349.51350000000002</v>
      </c>
      <c r="D216">
        <v>12.22</v>
      </c>
    </row>
    <row r="217" spans="2:4">
      <c r="B217" s="109">
        <v>45141</v>
      </c>
      <c r="C217">
        <v>349.54730000000001</v>
      </c>
      <c r="D217">
        <v>12.22</v>
      </c>
    </row>
    <row r="218" spans="2:4">
      <c r="B218" s="109">
        <v>45142</v>
      </c>
      <c r="C218">
        <v>349.58100000000002</v>
      </c>
      <c r="D218">
        <v>12.21</v>
      </c>
    </row>
    <row r="219" spans="2:4">
      <c r="B219" s="109">
        <v>45143</v>
      </c>
      <c r="C219">
        <v>349.6148</v>
      </c>
      <c r="D219">
        <v>12.2</v>
      </c>
    </row>
    <row r="220" spans="2:4">
      <c r="B220" s="109">
        <v>45144</v>
      </c>
      <c r="C220">
        <v>349.64859999999999</v>
      </c>
      <c r="D220">
        <v>12.19</v>
      </c>
    </row>
    <row r="221" spans="2:4">
      <c r="B221" s="109">
        <v>45145</v>
      </c>
      <c r="C221">
        <v>349.68239999999997</v>
      </c>
      <c r="D221">
        <v>12.19</v>
      </c>
    </row>
    <row r="222" spans="2:4">
      <c r="B222" s="109">
        <v>45146</v>
      </c>
      <c r="C222">
        <v>349.71620000000001</v>
      </c>
      <c r="D222">
        <v>12.18</v>
      </c>
    </row>
    <row r="223" spans="2:4">
      <c r="B223" s="109">
        <v>45147</v>
      </c>
      <c r="C223">
        <v>349.75</v>
      </c>
      <c r="D223">
        <v>12.17</v>
      </c>
    </row>
    <row r="224" spans="2:4">
      <c r="B224" s="109">
        <v>45148</v>
      </c>
      <c r="C224">
        <v>349.78379999999999</v>
      </c>
      <c r="D224">
        <v>12.16</v>
      </c>
    </row>
    <row r="225" spans="2:4">
      <c r="B225" s="109">
        <v>45149</v>
      </c>
      <c r="C225">
        <v>349.81760000000003</v>
      </c>
      <c r="D225">
        <v>12.16</v>
      </c>
    </row>
    <row r="226" spans="2:4">
      <c r="B226" s="109">
        <v>45150</v>
      </c>
      <c r="C226">
        <v>349.85140000000001</v>
      </c>
      <c r="D226">
        <v>12.15</v>
      </c>
    </row>
    <row r="227" spans="2:4">
      <c r="B227" s="109">
        <v>45151</v>
      </c>
      <c r="C227">
        <v>349.8852</v>
      </c>
      <c r="D227">
        <v>12.14</v>
      </c>
    </row>
    <row r="228" spans="2:4">
      <c r="B228" s="109">
        <v>45152</v>
      </c>
      <c r="C228">
        <v>349.91899999999998</v>
      </c>
      <c r="D228">
        <v>12.13</v>
      </c>
    </row>
    <row r="229" spans="2:4">
      <c r="B229" s="109">
        <v>45153</v>
      </c>
      <c r="C229">
        <v>349.95280000000002</v>
      </c>
      <c r="D229">
        <v>12.13</v>
      </c>
    </row>
    <row r="230" spans="2:4">
      <c r="B230" s="109">
        <v>45154</v>
      </c>
      <c r="C230">
        <v>350.00909999999999</v>
      </c>
      <c r="D230">
        <v>12.11</v>
      </c>
    </row>
    <row r="231" spans="2:4">
      <c r="B231" s="109">
        <v>45155</v>
      </c>
      <c r="C231">
        <v>350.06540000000001</v>
      </c>
      <c r="D231">
        <v>12.1</v>
      </c>
    </row>
    <row r="232" spans="2:4">
      <c r="B232" s="109">
        <v>45156</v>
      </c>
      <c r="C232">
        <v>350.12180000000001</v>
      </c>
      <c r="D232">
        <v>12.09</v>
      </c>
    </row>
    <row r="233" spans="2:4">
      <c r="B233" s="109">
        <v>45157</v>
      </c>
      <c r="C233">
        <v>350.17809999999997</v>
      </c>
      <c r="D233">
        <v>12.08</v>
      </c>
    </row>
    <row r="234" spans="2:4">
      <c r="B234" s="109">
        <v>45158</v>
      </c>
      <c r="C234">
        <v>350.23439999999999</v>
      </c>
      <c r="D234">
        <v>12.07</v>
      </c>
    </row>
    <row r="235" spans="2:4">
      <c r="B235" s="109">
        <v>45159</v>
      </c>
      <c r="C235">
        <v>350.29079999999999</v>
      </c>
      <c r="D235">
        <v>12.06</v>
      </c>
    </row>
    <row r="236" spans="2:4">
      <c r="B236" s="109">
        <v>45160</v>
      </c>
      <c r="C236">
        <v>350.34710000000001</v>
      </c>
      <c r="D236">
        <v>12.05</v>
      </c>
    </row>
    <row r="237" spans="2:4">
      <c r="B237" s="109">
        <v>45161</v>
      </c>
      <c r="C237">
        <v>350.40350000000001</v>
      </c>
      <c r="D237">
        <v>12.04</v>
      </c>
    </row>
    <row r="238" spans="2:4">
      <c r="B238" s="109">
        <v>45162</v>
      </c>
      <c r="C238">
        <v>350.4599</v>
      </c>
      <c r="D238">
        <v>12.03</v>
      </c>
    </row>
    <row r="239" spans="2:4">
      <c r="B239" s="109">
        <v>45163</v>
      </c>
      <c r="C239">
        <v>350.5163</v>
      </c>
      <c r="D239">
        <v>12.01</v>
      </c>
    </row>
    <row r="240" spans="2:4">
      <c r="B240" s="109">
        <v>45164</v>
      </c>
      <c r="C240">
        <v>350.5727</v>
      </c>
      <c r="D240">
        <v>12</v>
      </c>
    </row>
    <row r="241" spans="2:4">
      <c r="B241" s="109">
        <v>45165</v>
      </c>
      <c r="C241">
        <v>350.62909999999999</v>
      </c>
      <c r="D241">
        <v>11.99</v>
      </c>
    </row>
    <row r="242" spans="2:4">
      <c r="B242" s="109">
        <v>45166</v>
      </c>
      <c r="C242">
        <v>350.68549999999999</v>
      </c>
      <c r="D242">
        <v>11.98</v>
      </c>
    </row>
    <row r="243" spans="2:4">
      <c r="B243" s="109">
        <v>45167</v>
      </c>
      <c r="C243">
        <v>350.74189999999999</v>
      </c>
      <c r="D243">
        <v>11.97</v>
      </c>
    </row>
    <row r="244" spans="2:4">
      <c r="B244" s="109">
        <v>45168</v>
      </c>
      <c r="C244">
        <v>350.79840000000002</v>
      </c>
      <c r="D244">
        <v>11.96</v>
      </c>
    </row>
    <row r="245" spans="2:4">
      <c r="B245" s="109">
        <v>45169</v>
      </c>
      <c r="C245">
        <v>350.85480000000001</v>
      </c>
      <c r="D245">
        <v>11.95</v>
      </c>
    </row>
    <row r="246" spans="2:4">
      <c r="B246" s="109">
        <v>45170</v>
      </c>
      <c r="C246">
        <v>350.91129999999998</v>
      </c>
      <c r="D246">
        <v>11.94</v>
      </c>
    </row>
    <row r="247" spans="2:4">
      <c r="B247" s="109">
        <v>45171</v>
      </c>
      <c r="C247">
        <v>350.96769999999998</v>
      </c>
      <c r="D247">
        <v>11.93</v>
      </c>
    </row>
    <row r="248" spans="2:4">
      <c r="B248" s="109">
        <v>45172</v>
      </c>
      <c r="C248">
        <v>351.02420000000001</v>
      </c>
      <c r="D248">
        <v>11.91</v>
      </c>
    </row>
    <row r="249" spans="2:4">
      <c r="B249" s="109">
        <v>45173</v>
      </c>
      <c r="C249">
        <v>351.08069999999998</v>
      </c>
      <c r="D249">
        <v>11.9</v>
      </c>
    </row>
    <row r="250" spans="2:4">
      <c r="B250" s="109">
        <v>45174</v>
      </c>
      <c r="C250">
        <v>351.13720000000001</v>
      </c>
      <c r="D250">
        <v>11.89</v>
      </c>
    </row>
    <row r="251" spans="2:4">
      <c r="B251" s="109">
        <v>45175</v>
      </c>
      <c r="C251">
        <v>351.19369999999998</v>
      </c>
      <c r="D251">
        <v>11.88</v>
      </c>
    </row>
    <row r="252" spans="2:4">
      <c r="B252" s="109">
        <v>45176</v>
      </c>
      <c r="C252">
        <v>351.25020000000001</v>
      </c>
      <c r="D252">
        <v>11.87</v>
      </c>
    </row>
    <row r="253" spans="2:4">
      <c r="B253" s="109">
        <v>45177</v>
      </c>
      <c r="C253">
        <v>351.30669999999998</v>
      </c>
      <c r="D253">
        <v>11.86</v>
      </c>
    </row>
    <row r="254" spans="2:4">
      <c r="B254" s="109">
        <v>45178</v>
      </c>
      <c r="C254">
        <v>351.36320000000001</v>
      </c>
      <c r="D254">
        <v>11.85</v>
      </c>
    </row>
    <row r="255" spans="2:4">
      <c r="B255" s="109">
        <v>45179</v>
      </c>
      <c r="C255">
        <v>351.41980000000001</v>
      </c>
      <c r="D255">
        <v>11.84</v>
      </c>
    </row>
    <row r="256" spans="2:4">
      <c r="B256" s="109">
        <v>45180</v>
      </c>
      <c r="C256">
        <v>351.47629999999998</v>
      </c>
      <c r="D256">
        <v>11.83</v>
      </c>
    </row>
    <row r="257" spans="2:4">
      <c r="B257" s="109">
        <v>45181</v>
      </c>
      <c r="C257">
        <v>351.53289999999998</v>
      </c>
      <c r="D257">
        <v>11.81</v>
      </c>
    </row>
    <row r="258" spans="2:4">
      <c r="B258" s="109">
        <v>45182</v>
      </c>
      <c r="C258">
        <v>351.58940000000001</v>
      </c>
      <c r="D258">
        <v>11.8</v>
      </c>
    </row>
    <row r="259" spans="2:4">
      <c r="B259" s="109">
        <v>45183</v>
      </c>
      <c r="C259">
        <v>351.64600000000002</v>
      </c>
      <c r="D259">
        <v>11.79</v>
      </c>
    </row>
    <row r="260" spans="2:4">
      <c r="B260" s="109">
        <v>45184</v>
      </c>
      <c r="C260">
        <v>351.70260000000002</v>
      </c>
      <c r="D260">
        <v>11.78</v>
      </c>
    </row>
    <row r="261" spans="2:4">
      <c r="B261" s="109">
        <v>45185</v>
      </c>
      <c r="C261">
        <v>351.78440000000001</v>
      </c>
      <c r="D261">
        <v>11.77</v>
      </c>
    </row>
    <row r="262" spans="2:4">
      <c r="B262" s="109">
        <v>45186</v>
      </c>
      <c r="C262">
        <v>351.86619999999999</v>
      </c>
      <c r="D262">
        <v>11.76</v>
      </c>
    </row>
    <row r="263" spans="2:4">
      <c r="B263" s="109">
        <v>45187</v>
      </c>
      <c r="C263">
        <v>351.94799999999998</v>
      </c>
      <c r="D263">
        <v>11.75</v>
      </c>
    </row>
    <row r="264" spans="2:4">
      <c r="B264" s="109">
        <v>45188</v>
      </c>
      <c r="C264">
        <v>352.0299</v>
      </c>
      <c r="D264">
        <v>11.73</v>
      </c>
    </row>
    <row r="265" spans="2:4">
      <c r="B265" s="109">
        <v>45189</v>
      </c>
      <c r="C265">
        <v>352.11169999999998</v>
      </c>
      <c r="D265">
        <v>11.72</v>
      </c>
    </row>
    <row r="266" spans="2:4">
      <c r="B266" s="109">
        <v>45190</v>
      </c>
      <c r="C266">
        <v>352.1936</v>
      </c>
      <c r="D266">
        <v>11.71</v>
      </c>
    </row>
    <row r="267" spans="2:4">
      <c r="B267" s="109">
        <v>45191</v>
      </c>
      <c r="C267">
        <v>352.27550000000002</v>
      </c>
      <c r="D267">
        <v>11.7</v>
      </c>
    </row>
    <row r="268" spans="2:4">
      <c r="B268" s="109">
        <v>45192</v>
      </c>
      <c r="C268">
        <v>352.35739999999998</v>
      </c>
      <c r="D268">
        <v>11.69</v>
      </c>
    </row>
    <row r="269" spans="2:4">
      <c r="B269" s="109">
        <v>45193</v>
      </c>
      <c r="C269">
        <v>352.43939999999998</v>
      </c>
      <c r="D269">
        <v>11.67</v>
      </c>
    </row>
    <row r="270" spans="2:4">
      <c r="B270" s="109">
        <v>45194</v>
      </c>
      <c r="C270">
        <v>352.5213</v>
      </c>
      <c r="D270">
        <v>11.66</v>
      </c>
    </row>
    <row r="271" spans="2:4">
      <c r="B271" s="109">
        <v>45195</v>
      </c>
      <c r="C271">
        <v>352.60329999999999</v>
      </c>
      <c r="D271">
        <v>11.65</v>
      </c>
    </row>
    <row r="272" spans="2:4">
      <c r="B272" s="109">
        <v>45196</v>
      </c>
      <c r="C272">
        <v>352.68529999999998</v>
      </c>
      <c r="D272">
        <v>11.64</v>
      </c>
    </row>
    <row r="273" spans="2:4">
      <c r="B273" s="109">
        <v>45197</v>
      </c>
      <c r="C273">
        <v>352.76729999999998</v>
      </c>
      <c r="D273">
        <v>11.63</v>
      </c>
    </row>
    <row r="274" spans="2:4">
      <c r="B274" s="109">
        <v>45198</v>
      </c>
      <c r="C274">
        <v>352.8494</v>
      </c>
      <c r="D274">
        <v>11.62</v>
      </c>
    </row>
    <row r="275" spans="2:4">
      <c r="B275" s="109">
        <v>45199</v>
      </c>
      <c r="C275">
        <v>352.9314</v>
      </c>
      <c r="D275">
        <v>11.6</v>
      </c>
    </row>
    <row r="276" spans="2:4">
      <c r="B276" s="109">
        <v>45200</v>
      </c>
      <c r="C276">
        <v>353.01350000000002</v>
      </c>
      <c r="D276">
        <v>11.59</v>
      </c>
    </row>
    <row r="277" spans="2:4">
      <c r="B277" s="109">
        <v>45201</v>
      </c>
      <c r="C277">
        <v>353.09559999999999</v>
      </c>
      <c r="D277">
        <v>11.58</v>
      </c>
    </row>
    <row r="278" spans="2:4">
      <c r="B278" s="109">
        <v>45202</v>
      </c>
      <c r="C278">
        <v>353.17770000000002</v>
      </c>
      <c r="D278">
        <v>11.57</v>
      </c>
    </row>
    <row r="279" spans="2:4">
      <c r="B279" s="109">
        <v>45203</v>
      </c>
      <c r="C279">
        <v>353.25979999999998</v>
      </c>
      <c r="D279">
        <v>11.56</v>
      </c>
    </row>
    <row r="280" spans="2:4">
      <c r="B280" s="109">
        <v>45204</v>
      </c>
      <c r="C280">
        <v>353.34199999999998</v>
      </c>
      <c r="D280">
        <v>11.54</v>
      </c>
    </row>
    <row r="281" spans="2:4">
      <c r="B281" s="109">
        <v>45205</v>
      </c>
      <c r="C281">
        <v>353.42410000000001</v>
      </c>
      <c r="D281">
        <v>11.53</v>
      </c>
    </row>
    <row r="282" spans="2:4">
      <c r="B282" s="109">
        <v>45206</v>
      </c>
      <c r="C282">
        <v>353.50630000000001</v>
      </c>
      <c r="D282">
        <v>11.52</v>
      </c>
    </row>
    <row r="283" spans="2:4">
      <c r="B283" s="109">
        <v>45207</v>
      </c>
      <c r="C283">
        <v>353.58850000000001</v>
      </c>
      <c r="D283">
        <v>11.51</v>
      </c>
    </row>
    <row r="284" spans="2:4">
      <c r="B284" s="109">
        <v>45208</v>
      </c>
      <c r="C284">
        <v>353.67079999999999</v>
      </c>
      <c r="D284">
        <v>11.5</v>
      </c>
    </row>
    <row r="285" spans="2:4">
      <c r="B285" s="109">
        <v>45209</v>
      </c>
      <c r="C285">
        <v>353.75299999999999</v>
      </c>
      <c r="D285">
        <v>11.49</v>
      </c>
    </row>
    <row r="286" spans="2:4">
      <c r="B286" s="109">
        <v>45210</v>
      </c>
      <c r="C286">
        <v>353.83530000000002</v>
      </c>
      <c r="D286">
        <v>11.47</v>
      </c>
    </row>
    <row r="287" spans="2:4">
      <c r="B287" s="109">
        <v>45211</v>
      </c>
      <c r="C287">
        <v>353.91759999999999</v>
      </c>
      <c r="D287">
        <v>11.46</v>
      </c>
    </row>
    <row r="288" spans="2:4">
      <c r="B288" s="109">
        <v>45212</v>
      </c>
      <c r="C288">
        <v>353.99990000000003</v>
      </c>
      <c r="D288">
        <v>11.45</v>
      </c>
    </row>
    <row r="289" spans="2:4">
      <c r="B289" s="109">
        <v>45213</v>
      </c>
      <c r="C289">
        <v>354.0822</v>
      </c>
      <c r="D289">
        <v>11.44</v>
      </c>
    </row>
    <row r="290" spans="2:4">
      <c r="B290" s="109">
        <v>45214</v>
      </c>
      <c r="C290">
        <v>354.16449999999998</v>
      </c>
      <c r="D290">
        <v>11.43</v>
      </c>
    </row>
    <row r="291" spans="2:4">
      <c r="B291" s="109">
        <v>45215</v>
      </c>
      <c r="C291">
        <v>354.226</v>
      </c>
      <c r="D291">
        <v>11.41</v>
      </c>
    </row>
    <row r="292" spans="2:4">
      <c r="B292" s="109">
        <v>45216</v>
      </c>
      <c r="C292">
        <v>354.2876</v>
      </c>
      <c r="D292">
        <v>11.4</v>
      </c>
    </row>
    <row r="293" spans="2:4">
      <c r="B293" s="109">
        <v>45217</v>
      </c>
      <c r="C293">
        <v>354.34910000000002</v>
      </c>
      <c r="D293">
        <v>11.38</v>
      </c>
    </row>
    <row r="294" spans="2:4">
      <c r="B294" s="109">
        <v>45218</v>
      </c>
      <c r="C294">
        <v>354.41070000000002</v>
      </c>
      <c r="D294">
        <v>11.37</v>
      </c>
    </row>
    <row r="295" spans="2:4">
      <c r="B295" s="109">
        <v>45219</v>
      </c>
      <c r="C295">
        <v>354.47230000000002</v>
      </c>
      <c r="D295">
        <v>11.36</v>
      </c>
    </row>
    <row r="296" spans="2:4">
      <c r="B296" s="109">
        <v>45220</v>
      </c>
      <c r="C296">
        <v>354.53390000000002</v>
      </c>
      <c r="D296">
        <v>11.34</v>
      </c>
    </row>
    <row r="297" spans="2:4">
      <c r="B297" s="109">
        <v>45221</v>
      </c>
      <c r="C297">
        <v>354.59550000000002</v>
      </c>
      <c r="D297">
        <v>11.33</v>
      </c>
    </row>
    <row r="298" spans="2:4">
      <c r="B298" s="109">
        <v>45222</v>
      </c>
      <c r="C298">
        <v>354.65710000000001</v>
      </c>
      <c r="D298">
        <v>11.32</v>
      </c>
    </row>
    <row r="299" spans="2:4">
      <c r="B299" s="109">
        <v>45223</v>
      </c>
      <c r="C299">
        <v>354.71870000000001</v>
      </c>
      <c r="D299">
        <v>11.3</v>
      </c>
    </row>
    <row r="300" spans="2:4">
      <c r="B300" s="109">
        <v>45224</v>
      </c>
      <c r="C300">
        <v>354.78030000000001</v>
      </c>
      <c r="D300">
        <v>11.29</v>
      </c>
    </row>
    <row r="301" spans="2:4">
      <c r="B301" s="109">
        <v>45225</v>
      </c>
      <c r="C301">
        <v>354.84190000000001</v>
      </c>
      <c r="D301">
        <v>11.27</v>
      </c>
    </row>
    <row r="302" spans="2:4">
      <c r="B302" s="109">
        <v>45226</v>
      </c>
      <c r="C302">
        <v>354.90359999999998</v>
      </c>
      <c r="D302">
        <v>11.26</v>
      </c>
    </row>
    <row r="303" spans="2:4">
      <c r="B303" s="109">
        <v>45227</v>
      </c>
      <c r="C303">
        <v>354.96530000000001</v>
      </c>
      <c r="D303">
        <v>11.25</v>
      </c>
    </row>
    <row r="304" spans="2:4">
      <c r="B304" s="109">
        <v>45228</v>
      </c>
      <c r="C304">
        <v>355.02690000000001</v>
      </c>
      <c r="D304">
        <v>11.23</v>
      </c>
    </row>
    <row r="305" spans="2:4">
      <c r="B305" s="109">
        <v>45229</v>
      </c>
      <c r="C305">
        <v>355.08859999999999</v>
      </c>
      <c r="D305">
        <v>11.22</v>
      </c>
    </row>
    <row r="306" spans="2:4">
      <c r="B306" s="109">
        <v>45230</v>
      </c>
      <c r="C306">
        <v>355.15030000000002</v>
      </c>
      <c r="D306">
        <v>11.2</v>
      </c>
    </row>
    <row r="307" spans="2:4">
      <c r="B307" s="109">
        <v>45231</v>
      </c>
      <c r="C307">
        <v>355.21199999999999</v>
      </c>
      <c r="D307">
        <v>11.19</v>
      </c>
    </row>
    <row r="308" spans="2:4">
      <c r="B308" s="109">
        <v>45232</v>
      </c>
      <c r="C308">
        <v>355.27370000000002</v>
      </c>
      <c r="D308">
        <v>11.18</v>
      </c>
    </row>
    <row r="309" spans="2:4">
      <c r="B309" s="109">
        <v>45233</v>
      </c>
      <c r="C309">
        <v>355.33539999999999</v>
      </c>
      <c r="D309">
        <v>11.16</v>
      </c>
    </row>
    <row r="310" spans="2:4">
      <c r="B310" s="109">
        <v>45234</v>
      </c>
      <c r="C310">
        <v>355.3972</v>
      </c>
      <c r="D310">
        <v>11.15</v>
      </c>
    </row>
    <row r="311" spans="2:4">
      <c r="B311" s="109">
        <v>45235</v>
      </c>
      <c r="C311">
        <v>355.45890000000003</v>
      </c>
      <c r="D311">
        <v>11.13</v>
      </c>
    </row>
    <row r="312" spans="2:4">
      <c r="B312" s="109">
        <v>45236</v>
      </c>
      <c r="C312">
        <v>355.52069999999998</v>
      </c>
      <c r="D312">
        <v>11.12</v>
      </c>
    </row>
    <row r="313" spans="2:4">
      <c r="B313" s="109">
        <v>45237</v>
      </c>
      <c r="C313">
        <v>355.58249999999998</v>
      </c>
      <c r="D313">
        <v>11.11</v>
      </c>
    </row>
    <row r="314" spans="2:4">
      <c r="B314" s="109">
        <v>45238</v>
      </c>
      <c r="C314">
        <v>355.64420000000001</v>
      </c>
      <c r="D314">
        <v>11.09</v>
      </c>
    </row>
    <row r="315" spans="2:4">
      <c r="B315" s="109">
        <v>45239</v>
      </c>
      <c r="C315">
        <v>355.70600000000002</v>
      </c>
      <c r="D315">
        <v>11.08</v>
      </c>
    </row>
    <row r="316" spans="2:4">
      <c r="B316" s="109">
        <v>45240</v>
      </c>
      <c r="C316">
        <v>355.76780000000002</v>
      </c>
      <c r="D316">
        <v>11.07</v>
      </c>
    </row>
    <row r="317" spans="2:4">
      <c r="B317" s="109">
        <v>45241</v>
      </c>
      <c r="C317">
        <v>355.82960000000003</v>
      </c>
      <c r="D317">
        <v>11.05</v>
      </c>
    </row>
    <row r="318" spans="2:4">
      <c r="B318" s="109">
        <v>45242</v>
      </c>
      <c r="C318">
        <v>355.89150000000001</v>
      </c>
      <c r="D318">
        <v>11.04</v>
      </c>
    </row>
    <row r="319" spans="2:4">
      <c r="B319" s="109">
        <v>45243</v>
      </c>
      <c r="C319">
        <v>355.95330000000001</v>
      </c>
      <c r="D319">
        <v>11.02</v>
      </c>
    </row>
    <row r="320" spans="2:4">
      <c r="B320" s="109">
        <v>45244</v>
      </c>
      <c r="C320">
        <v>356.01510000000002</v>
      </c>
      <c r="D320">
        <v>11.01</v>
      </c>
    </row>
    <row r="321" spans="2:4">
      <c r="B321" s="109">
        <v>45245</v>
      </c>
      <c r="C321">
        <v>356.077</v>
      </c>
      <c r="D321">
        <v>11</v>
      </c>
    </row>
    <row r="322" spans="2:4">
      <c r="B322" s="109">
        <v>45246</v>
      </c>
      <c r="C322">
        <v>356.10660000000001</v>
      </c>
      <c r="D322">
        <v>10.98</v>
      </c>
    </row>
    <row r="323" spans="2:4">
      <c r="B323" s="109">
        <v>45247</v>
      </c>
      <c r="C323">
        <v>356.13630000000001</v>
      </c>
      <c r="D323">
        <v>10.96</v>
      </c>
    </row>
    <row r="324" spans="2:4">
      <c r="B324" s="109">
        <v>45248</v>
      </c>
      <c r="C324">
        <v>356.16590000000002</v>
      </c>
      <c r="D324">
        <v>10.94</v>
      </c>
    </row>
    <row r="325" spans="2:4">
      <c r="B325" s="109">
        <v>45249</v>
      </c>
      <c r="C325">
        <v>356.19560000000001</v>
      </c>
      <c r="D325">
        <v>10.93</v>
      </c>
    </row>
    <row r="326" spans="2:4">
      <c r="B326" s="109">
        <v>45250</v>
      </c>
      <c r="C326">
        <v>356.22519999999997</v>
      </c>
      <c r="D326">
        <v>10.91</v>
      </c>
    </row>
    <row r="327" spans="2:4">
      <c r="B327" s="109">
        <v>45251</v>
      </c>
      <c r="C327">
        <v>356.25490000000002</v>
      </c>
      <c r="D327">
        <v>10.89</v>
      </c>
    </row>
    <row r="328" spans="2:4">
      <c r="B328" s="109">
        <v>45252</v>
      </c>
      <c r="C328">
        <v>356.28449999999998</v>
      </c>
      <c r="D328">
        <v>10.87</v>
      </c>
    </row>
    <row r="329" spans="2:4">
      <c r="B329" s="109">
        <v>45253</v>
      </c>
      <c r="C329">
        <v>356.31420000000003</v>
      </c>
      <c r="D329">
        <v>10.86</v>
      </c>
    </row>
    <row r="330" spans="2:4">
      <c r="B330" s="109">
        <v>45254</v>
      </c>
      <c r="C330">
        <v>356.34379999999999</v>
      </c>
      <c r="D330">
        <v>10.84</v>
      </c>
    </row>
    <row r="331" spans="2:4">
      <c r="B331" s="109">
        <v>45255</v>
      </c>
      <c r="C331">
        <v>356.37349999999998</v>
      </c>
      <c r="D331">
        <v>10.82</v>
      </c>
    </row>
    <row r="332" spans="2:4">
      <c r="B332" s="109">
        <v>45256</v>
      </c>
      <c r="C332">
        <v>356.40309999999999</v>
      </c>
      <c r="D332">
        <v>10.81</v>
      </c>
    </row>
    <row r="333" spans="2:4">
      <c r="B333" s="109">
        <v>45257</v>
      </c>
      <c r="C333">
        <v>356.43279999999999</v>
      </c>
      <c r="D333">
        <v>10.79</v>
      </c>
    </row>
    <row r="334" spans="2:4">
      <c r="B334" s="109">
        <v>45258</v>
      </c>
      <c r="C334">
        <v>356.46249999999998</v>
      </c>
      <c r="D334">
        <v>10.77</v>
      </c>
    </row>
    <row r="335" spans="2:4">
      <c r="B335" s="109">
        <v>45259</v>
      </c>
      <c r="C335">
        <v>356.49209999999999</v>
      </c>
      <c r="D335">
        <v>10.75</v>
      </c>
    </row>
    <row r="336" spans="2:4">
      <c r="B336" s="109">
        <v>45260</v>
      </c>
      <c r="C336">
        <v>356.52179999999998</v>
      </c>
      <c r="D336">
        <v>10.74</v>
      </c>
    </row>
    <row r="337" spans="2:4">
      <c r="B337" s="109">
        <v>45261</v>
      </c>
      <c r="C337">
        <v>356.55149999999998</v>
      </c>
      <c r="D337">
        <v>10.72</v>
      </c>
    </row>
    <row r="338" spans="2:4">
      <c r="B338" s="109">
        <v>45262</v>
      </c>
      <c r="C338">
        <v>356.58120000000002</v>
      </c>
      <c r="D338">
        <v>10.7</v>
      </c>
    </row>
    <row r="339" spans="2:4">
      <c r="B339" s="109">
        <v>45263</v>
      </c>
      <c r="C339">
        <v>356.61079999999998</v>
      </c>
      <c r="D339">
        <v>10.68</v>
      </c>
    </row>
    <row r="340" spans="2:4">
      <c r="B340" s="109">
        <v>45264</v>
      </c>
      <c r="C340">
        <v>356.64049999999997</v>
      </c>
      <c r="D340">
        <v>10.67</v>
      </c>
    </row>
    <row r="341" spans="2:4">
      <c r="B341" s="109">
        <v>45265</v>
      </c>
      <c r="C341">
        <v>356.67020000000002</v>
      </c>
      <c r="D341">
        <v>10.65</v>
      </c>
    </row>
    <row r="342" spans="2:4">
      <c r="B342" s="109">
        <v>45266</v>
      </c>
      <c r="C342">
        <v>356.69990000000001</v>
      </c>
      <c r="D342">
        <v>10.63</v>
      </c>
    </row>
    <row r="343" spans="2:4">
      <c r="B343" s="109">
        <v>45267</v>
      </c>
      <c r="C343">
        <v>356.7296</v>
      </c>
      <c r="D343">
        <v>10.62</v>
      </c>
    </row>
    <row r="344" spans="2:4">
      <c r="B344" s="109">
        <v>45268</v>
      </c>
      <c r="C344">
        <v>356.7593</v>
      </c>
      <c r="D344">
        <v>10.6</v>
      </c>
    </row>
    <row r="345" spans="2:4">
      <c r="B345" s="109">
        <v>45269</v>
      </c>
      <c r="C345">
        <v>356.78899999999999</v>
      </c>
      <c r="D345">
        <v>10.58</v>
      </c>
    </row>
    <row r="346" spans="2:4">
      <c r="B346" s="109">
        <v>45270</v>
      </c>
      <c r="C346">
        <v>356.81869999999998</v>
      </c>
      <c r="D346">
        <v>10.56</v>
      </c>
    </row>
    <row r="347" spans="2:4">
      <c r="B347" s="109">
        <v>45271</v>
      </c>
      <c r="C347">
        <v>356.84840000000003</v>
      </c>
      <c r="D347">
        <v>10.55</v>
      </c>
    </row>
    <row r="348" spans="2:4">
      <c r="B348" s="109">
        <v>45272</v>
      </c>
      <c r="C348">
        <v>356.87810000000002</v>
      </c>
      <c r="D348">
        <v>10.53</v>
      </c>
    </row>
    <row r="349" spans="2:4">
      <c r="B349" s="109">
        <v>45273</v>
      </c>
      <c r="C349">
        <v>356.90780000000001</v>
      </c>
      <c r="D349">
        <v>10.51</v>
      </c>
    </row>
    <row r="350" spans="2:4">
      <c r="B350" s="109">
        <v>45274</v>
      </c>
      <c r="C350">
        <v>356.9375</v>
      </c>
      <c r="D350">
        <v>10.5</v>
      </c>
    </row>
    <row r="351" spans="2:4">
      <c r="B351" s="109">
        <v>45275</v>
      </c>
      <c r="C351">
        <v>356.96719999999999</v>
      </c>
      <c r="D351">
        <v>10.48</v>
      </c>
    </row>
    <row r="352" spans="2:4">
      <c r="B352" s="109">
        <v>45276</v>
      </c>
      <c r="C352">
        <v>357.02120000000002</v>
      </c>
      <c r="D352">
        <v>10.47</v>
      </c>
    </row>
    <row r="353" spans="2:4">
      <c r="B353" s="109">
        <v>45277</v>
      </c>
      <c r="C353">
        <v>357.0752</v>
      </c>
      <c r="D353">
        <v>10.46</v>
      </c>
    </row>
    <row r="354" spans="2:4">
      <c r="B354" s="109">
        <v>45278</v>
      </c>
      <c r="C354">
        <v>357.12920000000003</v>
      </c>
      <c r="D354">
        <v>10.45</v>
      </c>
    </row>
    <row r="355" spans="2:4">
      <c r="B355" s="109">
        <v>45279</v>
      </c>
      <c r="C355">
        <v>357.1832</v>
      </c>
      <c r="D355">
        <v>10.44</v>
      </c>
    </row>
    <row r="356" spans="2:4">
      <c r="B356" s="109">
        <v>45280</v>
      </c>
      <c r="C356">
        <v>357.2373</v>
      </c>
      <c r="D356">
        <v>10.42</v>
      </c>
    </row>
    <row r="357" spans="2:4">
      <c r="B357" s="109">
        <v>45281</v>
      </c>
      <c r="C357">
        <v>357.29129999999998</v>
      </c>
      <c r="D357">
        <v>10.41</v>
      </c>
    </row>
    <row r="358" spans="2:4">
      <c r="B358" s="109">
        <v>45282</v>
      </c>
      <c r="C358">
        <v>357.34539999999998</v>
      </c>
      <c r="D358">
        <v>10.4</v>
      </c>
    </row>
    <row r="359" spans="2:4">
      <c r="B359" s="109">
        <v>45283</v>
      </c>
      <c r="C359">
        <v>357.39940000000001</v>
      </c>
      <c r="D359">
        <v>10.39</v>
      </c>
    </row>
    <row r="360" spans="2:4">
      <c r="B360" s="109">
        <v>45284</v>
      </c>
      <c r="C360">
        <v>357.45350000000002</v>
      </c>
      <c r="D360">
        <v>10.38</v>
      </c>
    </row>
    <row r="361" spans="2:4">
      <c r="B361" s="109">
        <v>45285</v>
      </c>
      <c r="C361">
        <v>357.50749999999999</v>
      </c>
      <c r="D361">
        <v>10.37</v>
      </c>
    </row>
    <row r="362" spans="2:4">
      <c r="B362" s="109">
        <v>45286</v>
      </c>
      <c r="C362">
        <v>357.5616</v>
      </c>
      <c r="D362">
        <v>10.36</v>
      </c>
    </row>
    <row r="363" spans="2:4">
      <c r="B363" s="109">
        <v>45287</v>
      </c>
      <c r="C363">
        <v>357.6157</v>
      </c>
      <c r="D363">
        <v>10.35</v>
      </c>
    </row>
    <row r="364" spans="2:4">
      <c r="B364" s="109">
        <v>45288</v>
      </c>
      <c r="C364">
        <v>357.66980000000001</v>
      </c>
      <c r="D364">
        <v>10.34</v>
      </c>
    </row>
    <row r="365" spans="2:4">
      <c r="B365" s="109">
        <v>45289</v>
      </c>
      <c r="C365">
        <v>357.72390000000001</v>
      </c>
      <c r="D365">
        <v>10.33</v>
      </c>
    </row>
    <row r="366" spans="2:4">
      <c r="B366" s="109">
        <v>45290</v>
      </c>
      <c r="C366">
        <v>357.77800000000002</v>
      </c>
      <c r="D366">
        <v>10.32</v>
      </c>
    </row>
    <row r="367" spans="2:4">
      <c r="B367" s="109">
        <v>45291</v>
      </c>
      <c r="C367">
        <v>357.8322</v>
      </c>
      <c r="D367">
        <v>10.31</v>
      </c>
    </row>
    <row r="368" spans="2:4">
      <c r="B368" s="109">
        <v>45292</v>
      </c>
      <c r="C368">
        <v>357.88630000000001</v>
      </c>
      <c r="D368">
        <v>10.3</v>
      </c>
    </row>
    <row r="369" spans="2:4">
      <c r="B369" s="109">
        <v>45293</v>
      </c>
      <c r="C369">
        <v>357.94040000000001</v>
      </c>
      <c r="D369">
        <v>10.29</v>
      </c>
    </row>
    <row r="370" spans="2:4">
      <c r="B370" s="109">
        <v>45294</v>
      </c>
      <c r="C370">
        <v>357.99459999999999</v>
      </c>
      <c r="D370">
        <v>10.28</v>
      </c>
    </row>
    <row r="371" spans="2:4">
      <c r="B371" s="109">
        <v>45295</v>
      </c>
      <c r="C371">
        <v>358.0487</v>
      </c>
      <c r="D371">
        <v>10.27</v>
      </c>
    </row>
    <row r="372" spans="2:4">
      <c r="B372" s="109">
        <v>45296</v>
      </c>
      <c r="C372">
        <v>358.10289999999998</v>
      </c>
      <c r="D372">
        <v>10.26</v>
      </c>
    </row>
    <row r="373" spans="2:4">
      <c r="B373" s="109">
        <v>45297</v>
      </c>
      <c r="C373">
        <v>358.15699999999998</v>
      </c>
      <c r="D373">
        <v>10.24</v>
      </c>
    </row>
    <row r="374" spans="2:4">
      <c r="B374" s="109">
        <v>45298</v>
      </c>
      <c r="C374">
        <v>358.21120000000002</v>
      </c>
      <c r="D374">
        <v>10.23</v>
      </c>
    </row>
    <row r="375" spans="2:4">
      <c r="B375" s="109">
        <v>45299</v>
      </c>
      <c r="C375">
        <v>358.2654</v>
      </c>
      <c r="D375">
        <v>10.220000000000001</v>
      </c>
    </row>
    <row r="376" spans="2:4">
      <c r="B376" s="109">
        <v>45300</v>
      </c>
      <c r="C376">
        <v>358.31959999999998</v>
      </c>
      <c r="D376">
        <v>10.210000000000001</v>
      </c>
    </row>
    <row r="377" spans="2:4">
      <c r="B377" s="109">
        <v>45301</v>
      </c>
      <c r="C377">
        <v>358.37380000000002</v>
      </c>
      <c r="D377">
        <v>10.199999999999999</v>
      </c>
    </row>
    <row r="378" spans="2:4">
      <c r="B378" s="109">
        <v>45302</v>
      </c>
      <c r="C378">
        <v>358.428</v>
      </c>
      <c r="D378">
        <v>10.19</v>
      </c>
    </row>
    <row r="379" spans="2:4">
      <c r="B379" s="109">
        <v>45303</v>
      </c>
      <c r="C379">
        <v>358.48219999999998</v>
      </c>
      <c r="D379">
        <v>10.18</v>
      </c>
    </row>
    <row r="380" spans="2:4">
      <c r="B380" s="109">
        <v>45304</v>
      </c>
      <c r="C380">
        <v>358.53649999999999</v>
      </c>
      <c r="D380">
        <v>10.17</v>
      </c>
    </row>
    <row r="381" spans="2:4">
      <c r="B381" s="109">
        <v>45305</v>
      </c>
      <c r="C381">
        <v>358.59070000000003</v>
      </c>
      <c r="D381">
        <v>10.16</v>
      </c>
    </row>
    <row r="382" spans="2:4">
      <c r="B382" s="109">
        <v>45306</v>
      </c>
      <c r="C382">
        <v>358.64490000000001</v>
      </c>
      <c r="D382">
        <v>10.15</v>
      </c>
    </row>
    <row r="383" spans="2:4">
      <c r="B383" s="109">
        <v>45307</v>
      </c>
      <c r="C383">
        <v>358.6968</v>
      </c>
      <c r="D383">
        <v>10.119999999999999</v>
      </c>
    </row>
    <row r="384" spans="2:4">
      <c r="B384" s="109">
        <v>45308</v>
      </c>
      <c r="C384">
        <v>358.74880000000002</v>
      </c>
      <c r="D384">
        <v>10.09</v>
      </c>
    </row>
    <row r="385" spans="2:4">
      <c r="B385" s="109">
        <v>45309</v>
      </c>
      <c r="C385">
        <v>358.80079999999998</v>
      </c>
      <c r="D385">
        <v>10.06</v>
      </c>
    </row>
    <row r="386" spans="2:4">
      <c r="B386" s="109">
        <v>45310</v>
      </c>
      <c r="C386">
        <v>358.85270000000003</v>
      </c>
      <c r="D386">
        <v>10.029999999999999</v>
      </c>
    </row>
    <row r="387" spans="2:4">
      <c r="B387" s="109">
        <v>45311</v>
      </c>
      <c r="C387">
        <v>358.90469999999999</v>
      </c>
      <c r="D387">
        <v>10.01</v>
      </c>
    </row>
    <row r="388" spans="2:4">
      <c r="B388" s="109">
        <v>45312</v>
      </c>
      <c r="C388">
        <v>358.95670000000001</v>
      </c>
      <c r="D388">
        <v>9.98</v>
      </c>
    </row>
    <row r="389" spans="2:4">
      <c r="B389" s="109">
        <v>45313</v>
      </c>
      <c r="C389">
        <v>359.00869999999998</v>
      </c>
      <c r="D389">
        <v>9.9499999999999993</v>
      </c>
    </row>
    <row r="390" spans="2:4">
      <c r="B390" s="109">
        <v>45314</v>
      </c>
      <c r="C390">
        <v>359.0607</v>
      </c>
      <c r="D390">
        <v>9.92</v>
      </c>
    </row>
    <row r="391" spans="2:4">
      <c r="B391" s="109">
        <v>45315</v>
      </c>
      <c r="C391">
        <v>359.11270000000002</v>
      </c>
      <c r="D391">
        <v>9.89</v>
      </c>
    </row>
    <row r="392" spans="2:4">
      <c r="B392" s="109">
        <v>45316</v>
      </c>
      <c r="C392">
        <v>359.16469999999998</v>
      </c>
      <c r="D392">
        <v>9.86</v>
      </c>
    </row>
    <row r="393" spans="2:4">
      <c r="B393" s="109">
        <v>45317</v>
      </c>
      <c r="C393">
        <v>359.2167</v>
      </c>
      <c r="D393">
        <v>9.84</v>
      </c>
    </row>
    <row r="394" spans="2:4">
      <c r="B394" s="109">
        <v>45318</v>
      </c>
      <c r="C394">
        <v>359.2688</v>
      </c>
      <c r="D394">
        <v>9.81</v>
      </c>
    </row>
    <row r="395" spans="2:4">
      <c r="B395" s="109">
        <v>45319</v>
      </c>
      <c r="C395">
        <v>359.32080000000002</v>
      </c>
      <c r="D395">
        <v>9.7799999999999994</v>
      </c>
    </row>
    <row r="396" spans="2:4">
      <c r="B396" s="109">
        <v>45320</v>
      </c>
      <c r="C396">
        <v>359.37290000000002</v>
      </c>
      <c r="D396">
        <v>9.75</v>
      </c>
    </row>
    <row r="397" spans="2:4">
      <c r="B397" s="109">
        <v>45321</v>
      </c>
      <c r="C397">
        <v>359.42489999999998</v>
      </c>
      <c r="D397">
        <v>9.7200000000000006</v>
      </c>
    </row>
    <row r="398" spans="2:4">
      <c r="B398" s="109">
        <v>45322</v>
      </c>
      <c r="C398">
        <v>359.47699999999998</v>
      </c>
      <c r="D398">
        <v>9.69</v>
      </c>
    </row>
    <row r="399" spans="2:4">
      <c r="B399" s="109">
        <v>45323</v>
      </c>
      <c r="C399">
        <v>359.529</v>
      </c>
      <c r="D399">
        <v>9.66</v>
      </c>
    </row>
    <row r="400" spans="2:4">
      <c r="B400" s="109">
        <v>45324</v>
      </c>
      <c r="C400">
        <v>359.58109999999999</v>
      </c>
      <c r="D400">
        <v>9.64</v>
      </c>
    </row>
    <row r="401" spans="2:4">
      <c r="B401" s="109">
        <v>45325</v>
      </c>
      <c r="C401">
        <v>359.63319999999999</v>
      </c>
      <c r="D401">
        <v>9.61</v>
      </c>
    </row>
    <row r="402" spans="2:4">
      <c r="B402" s="109">
        <v>45326</v>
      </c>
      <c r="C402">
        <v>359.68529999999998</v>
      </c>
      <c r="D402">
        <v>9.58</v>
      </c>
    </row>
    <row r="403" spans="2:4">
      <c r="B403" s="109">
        <v>45327</v>
      </c>
      <c r="C403">
        <v>359.73739999999998</v>
      </c>
      <c r="D403">
        <v>9.5500000000000007</v>
      </c>
    </row>
    <row r="404" spans="2:4">
      <c r="B404" s="109">
        <v>45328</v>
      </c>
      <c r="C404">
        <v>359.78949999999998</v>
      </c>
      <c r="D404">
        <v>9.52</v>
      </c>
    </row>
    <row r="405" spans="2:4">
      <c r="B405" s="109">
        <v>45329</v>
      </c>
      <c r="C405">
        <v>359.84160000000003</v>
      </c>
      <c r="D405">
        <v>9.49</v>
      </c>
    </row>
    <row r="406" spans="2:4">
      <c r="B406" s="109">
        <v>45330</v>
      </c>
      <c r="C406">
        <v>359.89370000000002</v>
      </c>
      <c r="D406">
        <v>9.4700000000000006</v>
      </c>
    </row>
    <row r="407" spans="2:4">
      <c r="B407" s="109">
        <v>45331</v>
      </c>
      <c r="C407">
        <v>359.94589999999999</v>
      </c>
      <c r="D407">
        <v>9.44</v>
      </c>
    </row>
    <row r="408" spans="2:4">
      <c r="B408" s="109">
        <v>45332</v>
      </c>
      <c r="C408">
        <v>359.99799999999999</v>
      </c>
      <c r="D408">
        <v>9.41</v>
      </c>
    </row>
    <row r="409" spans="2:4">
      <c r="B409" s="109">
        <v>45333</v>
      </c>
      <c r="C409">
        <v>360.05009999999999</v>
      </c>
      <c r="D409">
        <v>9.3800000000000008</v>
      </c>
    </row>
    <row r="410" spans="2:4">
      <c r="B410" s="109">
        <v>45334</v>
      </c>
      <c r="C410">
        <v>360.10230000000001</v>
      </c>
      <c r="D410">
        <v>9.35</v>
      </c>
    </row>
    <row r="411" spans="2:4">
      <c r="B411" s="109">
        <v>45335</v>
      </c>
      <c r="C411">
        <v>360.15449999999998</v>
      </c>
      <c r="D411">
        <v>9.32</v>
      </c>
    </row>
    <row r="412" spans="2:4">
      <c r="B412" s="109">
        <v>45336</v>
      </c>
      <c r="C412">
        <v>360.20659999999998</v>
      </c>
      <c r="D412">
        <v>9.3000000000000007</v>
      </c>
    </row>
    <row r="413" spans="2:4">
      <c r="B413" s="109">
        <v>45337</v>
      </c>
      <c r="C413">
        <v>360.25880000000001</v>
      </c>
      <c r="D413">
        <v>9.27</v>
      </c>
    </row>
    <row r="414" spans="2:4">
      <c r="B414" s="109">
        <v>45338</v>
      </c>
      <c r="C414">
        <v>360.37259999999998</v>
      </c>
      <c r="D414">
        <v>9.23</v>
      </c>
    </row>
    <row r="415" spans="2:4">
      <c r="B415" s="109">
        <v>45339</v>
      </c>
      <c r="C415">
        <v>360.4864</v>
      </c>
      <c r="D415">
        <v>9.1999999999999993</v>
      </c>
    </row>
    <row r="416" spans="2:4">
      <c r="B416" s="109">
        <v>45340</v>
      </c>
      <c r="C416">
        <v>360.6003</v>
      </c>
      <c r="D416">
        <v>9.16</v>
      </c>
    </row>
    <row r="417" spans="2:4">
      <c r="B417" s="109">
        <v>45341</v>
      </c>
      <c r="C417">
        <v>360.71420000000001</v>
      </c>
      <c r="D417">
        <v>9.1300000000000008</v>
      </c>
    </row>
    <row r="418" spans="2:4">
      <c r="B418" s="109">
        <v>45342</v>
      </c>
      <c r="C418">
        <v>360.82810000000001</v>
      </c>
      <c r="D418">
        <v>9.1</v>
      </c>
    </row>
    <row r="419" spans="2:4">
      <c r="B419" s="109">
        <v>45343</v>
      </c>
      <c r="C419">
        <v>360.94200000000001</v>
      </c>
      <c r="D419">
        <v>9.06</v>
      </c>
    </row>
    <row r="420" spans="2:4">
      <c r="B420" s="109">
        <v>45344</v>
      </c>
      <c r="C420">
        <v>361.05599999999998</v>
      </c>
      <c r="D420">
        <v>9.0299999999999994</v>
      </c>
    </row>
    <row r="421" spans="2:4">
      <c r="B421" s="109">
        <v>45345</v>
      </c>
      <c r="C421">
        <v>361.17009999999999</v>
      </c>
      <c r="D421">
        <v>8.99</v>
      </c>
    </row>
    <row r="422" spans="2:4">
      <c r="B422" s="109">
        <v>45346</v>
      </c>
      <c r="C422">
        <v>361.2842</v>
      </c>
      <c r="D422">
        <v>8.9600000000000009</v>
      </c>
    </row>
    <row r="423" spans="2:4">
      <c r="B423" s="109">
        <v>45347</v>
      </c>
      <c r="C423">
        <v>361.39830000000001</v>
      </c>
      <c r="D423">
        <v>8.93</v>
      </c>
    </row>
    <row r="424" spans="2:4">
      <c r="B424" s="109">
        <v>45348</v>
      </c>
      <c r="C424">
        <v>361.51240000000001</v>
      </c>
      <c r="D424">
        <v>8.89</v>
      </c>
    </row>
    <row r="425" spans="2:4">
      <c r="B425" s="109">
        <v>45349</v>
      </c>
      <c r="C425">
        <v>361.6266</v>
      </c>
      <c r="D425">
        <v>8.86</v>
      </c>
    </row>
    <row r="426" spans="2:4">
      <c r="B426" s="109">
        <v>45350</v>
      </c>
      <c r="C426">
        <v>361.74079999999998</v>
      </c>
      <c r="D426">
        <v>8.82</v>
      </c>
    </row>
    <row r="427" spans="2:4">
      <c r="B427" s="109">
        <v>45351</v>
      </c>
      <c r="C427">
        <v>361.85509999999999</v>
      </c>
      <c r="D427">
        <v>8.86</v>
      </c>
    </row>
    <row r="428" spans="2:4">
      <c r="B428" s="109">
        <v>45352</v>
      </c>
      <c r="C428">
        <v>361.96929999999998</v>
      </c>
      <c r="D428">
        <v>8.82</v>
      </c>
    </row>
    <row r="429" spans="2:4">
      <c r="B429" s="109">
        <v>45353</v>
      </c>
      <c r="C429">
        <v>362.08370000000002</v>
      </c>
      <c r="D429">
        <v>8.7899999999999991</v>
      </c>
    </row>
    <row r="430" spans="2:4">
      <c r="B430" s="109">
        <v>45354</v>
      </c>
      <c r="C430">
        <v>362.19799999999998</v>
      </c>
      <c r="D430">
        <v>8.75</v>
      </c>
    </row>
    <row r="431" spans="2:4">
      <c r="B431" s="109">
        <v>45355</v>
      </c>
      <c r="C431">
        <v>362.31240000000003</v>
      </c>
      <c r="D431">
        <v>8.7200000000000006</v>
      </c>
    </row>
    <row r="432" spans="2:4">
      <c r="B432" s="109">
        <v>45356</v>
      </c>
      <c r="C432">
        <v>362.42689999999999</v>
      </c>
      <c r="D432">
        <v>8.69</v>
      </c>
    </row>
    <row r="433" spans="2:4">
      <c r="B433" s="109">
        <v>45357</v>
      </c>
      <c r="C433">
        <v>362.54129999999998</v>
      </c>
      <c r="D433">
        <v>8.65</v>
      </c>
    </row>
    <row r="434" spans="2:4">
      <c r="B434" s="109">
        <v>45358</v>
      </c>
      <c r="C434">
        <v>362.6558</v>
      </c>
      <c r="D434">
        <v>8.6199999999999992</v>
      </c>
    </row>
    <row r="435" spans="2:4">
      <c r="B435" s="109">
        <v>45359</v>
      </c>
      <c r="C435">
        <v>362.7704</v>
      </c>
      <c r="D435">
        <v>8.58</v>
      </c>
    </row>
    <row r="436" spans="2:4">
      <c r="B436" s="109">
        <v>45360</v>
      </c>
      <c r="C436">
        <v>362.88499999999999</v>
      </c>
      <c r="D436">
        <v>8.5500000000000007</v>
      </c>
    </row>
    <row r="437" spans="2:4">
      <c r="B437" s="109">
        <v>45361</v>
      </c>
      <c r="C437">
        <v>362.99959999999999</v>
      </c>
      <c r="D437">
        <v>8.52</v>
      </c>
    </row>
    <row r="438" spans="2:4">
      <c r="B438" s="109">
        <v>45362</v>
      </c>
      <c r="C438">
        <v>363.11419999999998</v>
      </c>
      <c r="D438">
        <v>8.48</v>
      </c>
    </row>
    <row r="439" spans="2:4">
      <c r="B439" s="109">
        <v>45363</v>
      </c>
      <c r="C439">
        <v>363.22890000000001</v>
      </c>
      <c r="D439">
        <v>8.4499999999999993</v>
      </c>
    </row>
    <row r="440" spans="2:4">
      <c r="B440" s="109">
        <v>45364</v>
      </c>
      <c r="C440">
        <v>363.34359999999998</v>
      </c>
      <c r="D440">
        <v>8.41</v>
      </c>
    </row>
    <row r="441" spans="2:4">
      <c r="B441" s="109">
        <v>45365</v>
      </c>
      <c r="C441">
        <v>363.45839999999998</v>
      </c>
      <c r="D441">
        <v>8.3800000000000008</v>
      </c>
    </row>
    <row r="442" spans="2:4">
      <c r="B442" s="109">
        <v>45366</v>
      </c>
      <c r="C442">
        <v>363.57319999999999</v>
      </c>
      <c r="D442">
        <v>8.34</v>
      </c>
    </row>
    <row r="443" spans="2:4">
      <c r="B443" s="109">
        <v>45367</v>
      </c>
      <c r="C443">
        <v>363.7004</v>
      </c>
      <c r="D443">
        <v>8.33</v>
      </c>
    </row>
    <row r="444" spans="2:4">
      <c r="B444" s="109">
        <v>45368</v>
      </c>
      <c r="C444">
        <v>363.82760000000002</v>
      </c>
      <c r="D444">
        <v>8.31</v>
      </c>
    </row>
    <row r="445" spans="2:4">
      <c r="B445" s="109">
        <v>45369</v>
      </c>
      <c r="C445">
        <v>363.95479999999998</v>
      </c>
      <c r="D445">
        <v>8.2899999999999991</v>
      </c>
    </row>
    <row r="446" spans="2:4">
      <c r="B446" s="109">
        <v>45370</v>
      </c>
      <c r="C446">
        <v>364.08210000000003</v>
      </c>
      <c r="D446">
        <v>8.27</v>
      </c>
    </row>
    <row r="447" spans="2:4">
      <c r="B447" s="109">
        <v>45371</v>
      </c>
      <c r="C447">
        <v>364.20949999999999</v>
      </c>
      <c r="D447">
        <v>8.25</v>
      </c>
    </row>
    <row r="448" spans="2:4">
      <c r="B448" s="109">
        <v>45372</v>
      </c>
      <c r="C448">
        <v>364.33690000000001</v>
      </c>
      <c r="D448">
        <v>8.23</v>
      </c>
    </row>
    <row r="449" spans="2:4">
      <c r="B449" s="109">
        <v>45373</v>
      </c>
      <c r="C449">
        <v>364.46429999999998</v>
      </c>
      <c r="D449">
        <v>8.2100000000000009</v>
      </c>
    </row>
    <row r="450" spans="2:4">
      <c r="B450" s="109">
        <v>45374</v>
      </c>
      <c r="C450">
        <v>364.59179999999998</v>
      </c>
      <c r="D450">
        <v>8.19</v>
      </c>
    </row>
    <row r="451" spans="2:4">
      <c r="B451" s="109">
        <v>45375</v>
      </c>
      <c r="C451">
        <v>364.71929999999998</v>
      </c>
      <c r="D451">
        <v>8.17</v>
      </c>
    </row>
    <row r="452" spans="2:4">
      <c r="B452" s="109">
        <v>45376</v>
      </c>
      <c r="C452">
        <v>364.84690000000001</v>
      </c>
      <c r="D452">
        <v>8.15</v>
      </c>
    </row>
    <row r="453" spans="2:4">
      <c r="B453" s="109">
        <v>45377</v>
      </c>
      <c r="C453">
        <v>364.97449999999998</v>
      </c>
      <c r="D453">
        <v>8.1300000000000008</v>
      </c>
    </row>
    <row r="454" spans="2:4">
      <c r="B454" s="109">
        <v>45378</v>
      </c>
      <c r="C454">
        <v>365.10210000000001</v>
      </c>
      <c r="D454">
        <v>8.11</v>
      </c>
    </row>
    <row r="455" spans="2:4">
      <c r="B455" s="109">
        <v>45379</v>
      </c>
      <c r="C455">
        <v>365.22989999999999</v>
      </c>
      <c r="D455">
        <v>8.09</v>
      </c>
    </row>
    <row r="456" spans="2:4">
      <c r="B456" s="109">
        <v>45380</v>
      </c>
      <c r="C456">
        <v>365.35759999999999</v>
      </c>
      <c r="D456">
        <v>8.07</v>
      </c>
    </row>
    <row r="457" spans="2:4">
      <c r="B457" s="109">
        <v>45381</v>
      </c>
      <c r="C457">
        <v>365.48540000000003</v>
      </c>
      <c r="D457">
        <v>8.0500000000000007</v>
      </c>
    </row>
    <row r="458" spans="2:4">
      <c r="B458" s="109">
        <v>45382</v>
      </c>
      <c r="C458">
        <v>365.61320000000001</v>
      </c>
      <c r="D458">
        <v>8.0299999999999994</v>
      </c>
    </row>
    <row r="459" spans="2:4">
      <c r="B459" s="109">
        <v>45383</v>
      </c>
      <c r="C459">
        <v>365.74110000000002</v>
      </c>
      <c r="D459">
        <v>8.01</v>
      </c>
    </row>
    <row r="460" spans="2:4">
      <c r="B460" s="109">
        <v>45384</v>
      </c>
      <c r="C460">
        <v>365.86900000000003</v>
      </c>
      <c r="D460">
        <v>7.99</v>
      </c>
    </row>
    <row r="461" spans="2:4">
      <c r="B461" s="109">
        <v>45385</v>
      </c>
      <c r="C461">
        <v>365.99700000000001</v>
      </c>
      <c r="D461">
        <v>7.97</v>
      </c>
    </row>
    <row r="462" spans="2:4">
      <c r="B462" s="109">
        <v>45386</v>
      </c>
      <c r="C462">
        <v>366.125</v>
      </c>
      <c r="D462">
        <v>7.95</v>
      </c>
    </row>
    <row r="463" spans="2:4">
      <c r="B463" s="109">
        <v>45387</v>
      </c>
      <c r="C463">
        <v>366.25310000000002</v>
      </c>
      <c r="D463">
        <v>7.93</v>
      </c>
    </row>
    <row r="464" spans="2:4">
      <c r="B464" s="109">
        <v>45388</v>
      </c>
      <c r="C464">
        <v>366.38119999999998</v>
      </c>
      <c r="D464">
        <v>7.91</v>
      </c>
    </row>
    <row r="465" spans="2:4">
      <c r="B465" s="109">
        <v>45389</v>
      </c>
      <c r="C465">
        <v>366.5093</v>
      </c>
      <c r="D465">
        <v>7.89</v>
      </c>
    </row>
    <row r="466" spans="2:4">
      <c r="B466" s="109">
        <v>45390</v>
      </c>
      <c r="C466">
        <v>366.63749999999999</v>
      </c>
      <c r="D466">
        <v>7.87</v>
      </c>
    </row>
    <row r="467" spans="2:4">
      <c r="B467" s="109">
        <v>45391</v>
      </c>
      <c r="C467">
        <v>366.76580000000001</v>
      </c>
      <c r="D467">
        <v>7.85</v>
      </c>
    </row>
    <row r="468" spans="2:4">
      <c r="B468" s="109">
        <v>45392</v>
      </c>
      <c r="C468">
        <v>366.89409999999998</v>
      </c>
      <c r="D468">
        <v>7.83</v>
      </c>
    </row>
    <row r="469" spans="2:4">
      <c r="B469" s="109">
        <v>45393</v>
      </c>
      <c r="C469">
        <v>367.0224</v>
      </c>
      <c r="D469">
        <v>7.82</v>
      </c>
    </row>
    <row r="470" spans="2:4">
      <c r="B470" s="109">
        <v>45394</v>
      </c>
      <c r="C470">
        <v>367.1508</v>
      </c>
      <c r="D470">
        <v>7.8</v>
      </c>
    </row>
    <row r="471" spans="2:4">
      <c r="B471" s="109">
        <v>45395</v>
      </c>
      <c r="C471">
        <v>367.2792</v>
      </c>
      <c r="D471">
        <v>7.78</v>
      </c>
    </row>
    <row r="472" spans="2:4">
      <c r="B472" s="109">
        <v>45396</v>
      </c>
      <c r="C472">
        <v>367.4076</v>
      </c>
      <c r="D472">
        <v>7.76</v>
      </c>
    </row>
    <row r="473" spans="2:4">
      <c r="B473" s="109">
        <v>45397</v>
      </c>
      <c r="C473">
        <v>367.53609999999998</v>
      </c>
      <c r="D473">
        <v>7.74</v>
      </c>
    </row>
    <row r="474" spans="2:4">
      <c r="B474" s="109">
        <v>45398</v>
      </c>
      <c r="C474">
        <v>367.6216</v>
      </c>
      <c r="D474">
        <v>7.72</v>
      </c>
    </row>
    <row r="475" spans="2:4">
      <c r="B475" s="109">
        <v>45399</v>
      </c>
      <c r="C475">
        <v>367.70710000000003</v>
      </c>
      <c r="D475">
        <v>7.71</v>
      </c>
    </row>
    <row r="476" spans="2:4">
      <c r="B476" s="109">
        <v>45400</v>
      </c>
      <c r="C476">
        <v>367.79259999999999</v>
      </c>
      <c r="D476">
        <v>7.7</v>
      </c>
    </row>
    <row r="477" spans="2:4">
      <c r="B477" s="109">
        <v>45401</v>
      </c>
      <c r="C477">
        <v>367.87810000000002</v>
      </c>
      <c r="D477">
        <v>7.69</v>
      </c>
    </row>
    <row r="478" spans="2:4">
      <c r="B478" s="109">
        <v>45402</v>
      </c>
      <c r="C478">
        <v>367.96359999999999</v>
      </c>
      <c r="D478">
        <v>7.67</v>
      </c>
    </row>
    <row r="479" spans="2:4">
      <c r="B479" s="109">
        <v>45403</v>
      </c>
      <c r="C479">
        <v>368.04919999999998</v>
      </c>
      <c r="D479">
        <v>7.66</v>
      </c>
    </row>
    <row r="480" spans="2:4">
      <c r="B480" s="109">
        <v>45404</v>
      </c>
      <c r="C480">
        <v>368.13479999999998</v>
      </c>
      <c r="D480">
        <v>7.65</v>
      </c>
    </row>
    <row r="481" spans="2:4">
      <c r="B481" s="109">
        <v>45405</v>
      </c>
      <c r="C481">
        <v>368.22039999999998</v>
      </c>
      <c r="D481">
        <v>7.64</v>
      </c>
    </row>
    <row r="482" spans="2:4">
      <c r="B482" s="109">
        <v>45406</v>
      </c>
      <c r="C482">
        <v>368.30599999999998</v>
      </c>
      <c r="D482">
        <v>7.63</v>
      </c>
    </row>
    <row r="483" spans="2:4">
      <c r="B483" s="109">
        <v>45407</v>
      </c>
      <c r="C483">
        <v>368.39170000000001</v>
      </c>
      <c r="D483">
        <v>7.61</v>
      </c>
    </row>
    <row r="484" spans="2:4">
      <c r="B484" s="109">
        <v>45408</v>
      </c>
      <c r="C484">
        <v>368.47739999999999</v>
      </c>
      <c r="D484">
        <v>7.6</v>
      </c>
    </row>
    <row r="485" spans="2:4">
      <c r="B485" s="109">
        <v>45409</v>
      </c>
      <c r="C485">
        <v>368.56299999999999</v>
      </c>
      <c r="D485">
        <v>7.59</v>
      </c>
    </row>
    <row r="486" spans="2:4">
      <c r="B486" s="109">
        <v>45410</v>
      </c>
      <c r="C486">
        <v>368.64879999999999</v>
      </c>
      <c r="D486">
        <v>7.58</v>
      </c>
    </row>
    <row r="487" spans="2:4">
      <c r="B487" s="109">
        <v>45411</v>
      </c>
      <c r="C487">
        <v>368.73450000000003</v>
      </c>
      <c r="D487">
        <v>7.56</v>
      </c>
    </row>
    <row r="488" spans="2:4">
      <c r="B488" s="109">
        <v>45412</v>
      </c>
      <c r="C488">
        <v>368.8202</v>
      </c>
      <c r="D488">
        <v>7.55</v>
      </c>
    </row>
    <row r="489" spans="2:4">
      <c r="B489" s="109">
        <v>45413</v>
      </c>
      <c r="C489">
        <v>368.90600000000001</v>
      </c>
      <c r="D489">
        <v>7.54</v>
      </c>
    </row>
    <row r="490" spans="2:4">
      <c r="B490" s="109">
        <v>45414</v>
      </c>
      <c r="C490">
        <v>368.99180000000001</v>
      </c>
      <c r="D490">
        <v>7.53</v>
      </c>
    </row>
    <row r="491" spans="2:4">
      <c r="B491" s="109">
        <v>45415</v>
      </c>
      <c r="C491">
        <v>369.07760000000002</v>
      </c>
      <c r="D491">
        <v>7.51</v>
      </c>
    </row>
    <row r="492" spans="2:4">
      <c r="B492" s="109">
        <v>45416</v>
      </c>
      <c r="C492">
        <v>369.16340000000002</v>
      </c>
      <c r="D492">
        <v>7.5</v>
      </c>
    </row>
    <row r="493" spans="2:4">
      <c r="B493" s="109">
        <v>45417</v>
      </c>
      <c r="C493">
        <v>369.24930000000001</v>
      </c>
      <c r="D493">
        <v>7.49</v>
      </c>
    </row>
    <row r="494" spans="2:4">
      <c r="B494" s="109">
        <v>45418</v>
      </c>
      <c r="C494">
        <v>369.33510000000001</v>
      </c>
      <c r="D494">
        <v>7.48</v>
      </c>
    </row>
    <row r="495" spans="2:4">
      <c r="B495" s="109">
        <v>45419</v>
      </c>
      <c r="C495">
        <v>369.42099999999999</v>
      </c>
      <c r="D495">
        <v>7.46</v>
      </c>
    </row>
    <row r="496" spans="2:4">
      <c r="B496" s="109">
        <v>45420</v>
      </c>
      <c r="C496">
        <v>369.50689999999997</v>
      </c>
      <c r="D496">
        <v>7.45</v>
      </c>
    </row>
    <row r="497" spans="2:4">
      <c r="B497" s="109">
        <v>45421</v>
      </c>
      <c r="C497">
        <v>369.59289999999999</v>
      </c>
      <c r="D497">
        <v>7.44</v>
      </c>
    </row>
    <row r="498" spans="2:4">
      <c r="B498" s="109">
        <v>45422</v>
      </c>
      <c r="C498">
        <v>369.67880000000002</v>
      </c>
      <c r="D498">
        <v>7.43</v>
      </c>
    </row>
    <row r="499" spans="2:4">
      <c r="B499" s="109">
        <v>45423</v>
      </c>
      <c r="C499">
        <v>369.76479999999998</v>
      </c>
      <c r="D499">
        <v>7.41</v>
      </c>
    </row>
    <row r="500" spans="2:4">
      <c r="B500" s="109">
        <v>45424</v>
      </c>
      <c r="C500">
        <v>369.85079999999999</v>
      </c>
      <c r="D500">
        <v>7.4</v>
      </c>
    </row>
    <row r="501" spans="2:4">
      <c r="B501" s="109">
        <v>45425</v>
      </c>
      <c r="C501">
        <v>369.93680000000001</v>
      </c>
      <c r="D501">
        <v>7.39</v>
      </c>
    </row>
    <row r="502" spans="2:4">
      <c r="B502" s="109">
        <v>45426</v>
      </c>
      <c r="C502">
        <v>370.02280000000002</v>
      </c>
      <c r="D502">
        <v>7.38</v>
      </c>
    </row>
    <row r="503" spans="2:4">
      <c r="B503" s="109">
        <v>45427</v>
      </c>
      <c r="C503">
        <v>370.10890000000001</v>
      </c>
      <c r="D503">
        <v>7.36</v>
      </c>
    </row>
    <row r="504" spans="2:4">
      <c r="B504" s="109">
        <v>45428</v>
      </c>
      <c r="C504">
        <v>370.17910000000001</v>
      </c>
      <c r="D504">
        <v>7.36</v>
      </c>
    </row>
    <row r="505" spans="2:4">
      <c r="B505" s="109">
        <v>45429</v>
      </c>
      <c r="C505">
        <v>370.24939999999998</v>
      </c>
      <c r="D505">
        <v>7.35</v>
      </c>
    </row>
    <row r="506" spans="2:4">
      <c r="B506" s="109">
        <v>45430</v>
      </c>
      <c r="C506">
        <v>370.31970000000001</v>
      </c>
      <c r="D506">
        <v>7.34</v>
      </c>
    </row>
    <row r="507" spans="2:4">
      <c r="B507" s="109">
        <v>45431</v>
      </c>
      <c r="C507">
        <v>370.38990000000001</v>
      </c>
      <c r="D507">
        <v>7.34</v>
      </c>
    </row>
    <row r="508" spans="2:4">
      <c r="B508" s="109">
        <v>45432</v>
      </c>
      <c r="C508">
        <v>370.46019999999999</v>
      </c>
      <c r="D508">
        <v>7.33</v>
      </c>
    </row>
    <row r="509" spans="2:4">
      <c r="B509" s="109">
        <v>45433</v>
      </c>
      <c r="C509">
        <v>370.53050000000002</v>
      </c>
      <c r="D509">
        <v>7.32</v>
      </c>
    </row>
    <row r="510" spans="2:4">
      <c r="B510" s="109">
        <v>45434</v>
      </c>
      <c r="C510">
        <v>370.60090000000002</v>
      </c>
      <c r="D510">
        <v>7.32</v>
      </c>
    </row>
    <row r="511" spans="2:4">
      <c r="B511" s="109">
        <v>45435</v>
      </c>
      <c r="C511">
        <v>370.6712</v>
      </c>
      <c r="D511">
        <v>7.31</v>
      </c>
    </row>
    <row r="512" spans="2:4">
      <c r="B512" s="109">
        <v>45436</v>
      </c>
      <c r="C512">
        <v>370.74149999999997</v>
      </c>
      <c r="D512">
        <v>7.31</v>
      </c>
    </row>
    <row r="513" spans="2:4">
      <c r="B513" s="109">
        <v>45437</v>
      </c>
      <c r="C513">
        <v>370.81189999999998</v>
      </c>
      <c r="D513">
        <v>7.3</v>
      </c>
    </row>
    <row r="514" spans="2:4">
      <c r="B514" s="109">
        <v>45438</v>
      </c>
      <c r="C514">
        <v>370.88229999999999</v>
      </c>
      <c r="D514">
        <v>7.29</v>
      </c>
    </row>
    <row r="515" spans="2:4">
      <c r="B515" s="109">
        <v>45439</v>
      </c>
      <c r="C515">
        <v>370.95269999999999</v>
      </c>
      <c r="D515">
        <v>7.29</v>
      </c>
    </row>
    <row r="516" spans="2:4">
      <c r="B516" s="109">
        <v>45440</v>
      </c>
      <c r="C516">
        <v>371.0231</v>
      </c>
      <c r="D516">
        <v>7.28</v>
      </c>
    </row>
    <row r="517" spans="2:4">
      <c r="B517" s="109">
        <v>45441</v>
      </c>
      <c r="C517">
        <v>371.09350000000001</v>
      </c>
      <c r="D517">
        <v>7.27</v>
      </c>
    </row>
    <row r="518" spans="2:4">
      <c r="B518" s="109">
        <v>45442</v>
      </c>
      <c r="C518">
        <v>371.16390000000001</v>
      </c>
      <c r="D518">
        <v>7.27</v>
      </c>
    </row>
    <row r="519" spans="2:4">
      <c r="B519" s="109">
        <v>45443</v>
      </c>
      <c r="C519">
        <v>371.23430000000002</v>
      </c>
      <c r="D519">
        <v>7.26</v>
      </c>
    </row>
    <row r="520" spans="2:4">
      <c r="B520" s="109">
        <v>45444</v>
      </c>
      <c r="C520">
        <v>371.3048</v>
      </c>
      <c r="D520">
        <v>7.25</v>
      </c>
    </row>
    <row r="521" spans="2:4">
      <c r="B521" s="109">
        <v>45445</v>
      </c>
      <c r="C521">
        <v>371.37529999999998</v>
      </c>
      <c r="D521">
        <v>7.25</v>
      </c>
    </row>
    <row r="522" spans="2:4">
      <c r="B522" s="109">
        <v>45446</v>
      </c>
      <c r="C522">
        <v>371.44569999999999</v>
      </c>
      <c r="D522">
        <v>7.24</v>
      </c>
    </row>
    <row r="523" spans="2:4">
      <c r="B523" s="109">
        <v>45447</v>
      </c>
      <c r="C523">
        <v>371.51620000000003</v>
      </c>
      <c r="D523">
        <v>7.23</v>
      </c>
    </row>
    <row r="524" spans="2:4">
      <c r="B524" s="109">
        <v>45448</v>
      </c>
      <c r="C524">
        <v>371.58670000000001</v>
      </c>
      <c r="D524">
        <v>7.23</v>
      </c>
    </row>
    <row r="525" spans="2:4">
      <c r="B525" s="109">
        <v>45449</v>
      </c>
      <c r="C525">
        <v>371.65730000000002</v>
      </c>
      <c r="D525">
        <v>7.22</v>
      </c>
    </row>
    <row r="526" spans="2:4">
      <c r="B526" s="109">
        <v>45450</v>
      </c>
      <c r="C526">
        <v>371.7278</v>
      </c>
      <c r="D526">
        <v>7.21</v>
      </c>
    </row>
    <row r="527" spans="2:4">
      <c r="B527" s="109">
        <v>45451</v>
      </c>
      <c r="C527">
        <v>371.79829999999998</v>
      </c>
      <c r="D527">
        <v>7.21</v>
      </c>
    </row>
    <row r="528" spans="2:4">
      <c r="B528" s="109">
        <v>45452</v>
      </c>
      <c r="C528">
        <v>371.8689</v>
      </c>
      <c r="D528">
        <v>7.2</v>
      </c>
    </row>
    <row r="529" spans="2:4">
      <c r="B529" s="109">
        <v>45453</v>
      </c>
      <c r="C529">
        <v>371.93950000000001</v>
      </c>
      <c r="D529">
        <v>7.19</v>
      </c>
    </row>
    <row r="530" spans="2:4">
      <c r="B530" s="109">
        <v>45454</v>
      </c>
      <c r="C530">
        <v>372.01010000000002</v>
      </c>
      <c r="D530">
        <v>7.19</v>
      </c>
    </row>
    <row r="531" spans="2:4">
      <c r="B531" s="109">
        <v>45455</v>
      </c>
      <c r="C531">
        <v>372.08069999999998</v>
      </c>
      <c r="D531">
        <v>7.18</v>
      </c>
    </row>
    <row r="532" spans="2:4">
      <c r="B532" s="109">
        <v>45456</v>
      </c>
      <c r="C532">
        <v>372.15129999999999</v>
      </c>
      <c r="D532">
        <v>7.17</v>
      </c>
    </row>
    <row r="533" spans="2:4">
      <c r="B533" s="109">
        <v>45457</v>
      </c>
      <c r="C533">
        <v>372.22190000000001</v>
      </c>
      <c r="D533">
        <v>7.17</v>
      </c>
    </row>
    <row r="534" spans="2:4">
      <c r="B534" s="109">
        <v>45458</v>
      </c>
      <c r="C534">
        <v>372.29250000000002</v>
      </c>
      <c r="D534">
        <v>7.16</v>
      </c>
    </row>
    <row r="535" spans="2:4">
      <c r="B535" s="109">
        <v>45459</v>
      </c>
      <c r="C535">
        <v>372.3458</v>
      </c>
      <c r="D535">
        <v>7.16</v>
      </c>
    </row>
    <row r="536" spans="2:4">
      <c r="B536" s="109">
        <v>45460</v>
      </c>
      <c r="C536">
        <v>372.399</v>
      </c>
      <c r="D536">
        <v>7.16</v>
      </c>
    </row>
    <row r="537" spans="2:4">
      <c r="B537" s="109">
        <v>45461</v>
      </c>
      <c r="C537">
        <v>372.45229999999998</v>
      </c>
      <c r="D537">
        <v>7.16</v>
      </c>
    </row>
    <row r="538" spans="2:4">
      <c r="B538" s="109">
        <v>45462</v>
      </c>
      <c r="C538">
        <v>372.50560000000002</v>
      </c>
      <c r="D538">
        <v>7.16</v>
      </c>
    </row>
    <row r="539" spans="2:4">
      <c r="B539" s="109">
        <v>45463</v>
      </c>
      <c r="C539">
        <v>372.55880000000002</v>
      </c>
      <c r="D539">
        <v>7.16</v>
      </c>
    </row>
    <row r="540" spans="2:4">
      <c r="B540" s="109">
        <v>45464</v>
      </c>
      <c r="C540">
        <v>372.6121</v>
      </c>
      <c r="D540">
        <v>7.16</v>
      </c>
    </row>
    <row r="541" spans="2:4">
      <c r="B541" s="109">
        <v>45465</v>
      </c>
      <c r="C541">
        <v>372.66539999999998</v>
      </c>
      <c r="D541">
        <v>7.16</v>
      </c>
    </row>
    <row r="542" spans="2:4">
      <c r="B542" s="109">
        <v>45466</v>
      </c>
      <c r="C542">
        <v>372.71870000000001</v>
      </c>
      <c r="D542">
        <v>7.16</v>
      </c>
    </row>
    <row r="543" spans="2:4">
      <c r="B543" s="109">
        <v>45467</v>
      </c>
      <c r="C543">
        <v>372.77199999999999</v>
      </c>
      <c r="D543">
        <v>7.16</v>
      </c>
    </row>
    <row r="544" spans="2:4">
      <c r="B544" s="109">
        <v>45468</v>
      </c>
      <c r="C544">
        <v>372.8254</v>
      </c>
      <c r="D544">
        <v>7.16</v>
      </c>
    </row>
    <row r="545" spans="2:4">
      <c r="B545" s="109">
        <v>45469</v>
      </c>
      <c r="C545">
        <v>372.87869999999998</v>
      </c>
      <c r="D545">
        <v>7.16</v>
      </c>
    </row>
    <row r="546" spans="2:4">
      <c r="B546" s="109">
        <v>45470</v>
      </c>
      <c r="C546">
        <v>372.93200000000002</v>
      </c>
      <c r="D546">
        <v>7.16</v>
      </c>
    </row>
    <row r="547" spans="2:4">
      <c r="B547" s="109">
        <v>45471</v>
      </c>
      <c r="C547">
        <v>372.98540000000003</v>
      </c>
      <c r="D547">
        <v>7.16</v>
      </c>
    </row>
    <row r="548" spans="2:4">
      <c r="B548" s="109">
        <v>45472</v>
      </c>
      <c r="C548">
        <v>373.03870000000001</v>
      </c>
      <c r="D548">
        <v>7.16</v>
      </c>
    </row>
    <row r="549" spans="2:4">
      <c r="B549" s="109">
        <v>45473</v>
      </c>
      <c r="C549">
        <v>373.09210000000002</v>
      </c>
      <c r="D549">
        <v>7.16</v>
      </c>
    </row>
    <row r="550" spans="2:4">
      <c r="B550" s="109">
        <v>45474</v>
      </c>
      <c r="C550">
        <v>373.1454</v>
      </c>
      <c r="D550">
        <v>7.16</v>
      </c>
    </row>
    <row r="551" spans="2:4">
      <c r="B551" s="109">
        <v>45475</v>
      </c>
      <c r="C551">
        <v>373.19880000000001</v>
      </c>
      <c r="D551">
        <v>7.16</v>
      </c>
    </row>
    <row r="552" spans="2:4">
      <c r="B552" s="109">
        <v>45476</v>
      </c>
      <c r="C552">
        <v>373.25220000000002</v>
      </c>
      <c r="D552">
        <v>7.16</v>
      </c>
    </row>
    <row r="553" spans="2:4">
      <c r="B553" s="109">
        <v>45477</v>
      </c>
      <c r="C553">
        <v>373.30560000000003</v>
      </c>
      <c r="D553">
        <v>7.16</v>
      </c>
    </row>
    <row r="554" spans="2:4">
      <c r="B554" s="109">
        <v>45478</v>
      </c>
      <c r="C554">
        <v>373.35899999999998</v>
      </c>
      <c r="D554">
        <v>7.16</v>
      </c>
    </row>
    <row r="555" spans="2:4">
      <c r="B555" s="109">
        <v>45479</v>
      </c>
      <c r="C555">
        <v>373.41239999999999</v>
      </c>
      <c r="D555">
        <v>7.16</v>
      </c>
    </row>
    <row r="556" spans="2:4">
      <c r="B556" s="109">
        <v>45480</v>
      </c>
      <c r="C556">
        <v>373.4658</v>
      </c>
      <c r="D556">
        <v>7.16</v>
      </c>
    </row>
    <row r="557" spans="2:4">
      <c r="B557" s="109">
        <v>45481</v>
      </c>
      <c r="C557">
        <v>373.51920000000001</v>
      </c>
      <c r="D557">
        <v>7.16</v>
      </c>
    </row>
    <row r="558" spans="2:4">
      <c r="B558" s="109">
        <v>45482</v>
      </c>
      <c r="C558">
        <v>373.57260000000002</v>
      </c>
      <c r="D558">
        <v>7.16</v>
      </c>
    </row>
    <row r="559" spans="2:4">
      <c r="B559" s="109">
        <v>45483</v>
      </c>
      <c r="C559">
        <v>373.62610000000001</v>
      </c>
      <c r="D559">
        <v>7.16</v>
      </c>
    </row>
    <row r="560" spans="2:4">
      <c r="B560" s="109">
        <v>45484</v>
      </c>
      <c r="C560">
        <v>373.67950000000002</v>
      </c>
      <c r="D560">
        <v>7.16</v>
      </c>
    </row>
    <row r="561" spans="2:4">
      <c r="B561" s="109">
        <v>45485</v>
      </c>
      <c r="C561">
        <v>373.733</v>
      </c>
      <c r="D561">
        <v>7.16</v>
      </c>
    </row>
    <row r="562" spans="2:4">
      <c r="B562" s="109">
        <v>45486</v>
      </c>
      <c r="C562">
        <v>373.78640000000001</v>
      </c>
      <c r="D562">
        <v>7.16</v>
      </c>
    </row>
    <row r="563" spans="2:4">
      <c r="B563" s="109">
        <v>45487</v>
      </c>
      <c r="C563">
        <v>373.8399</v>
      </c>
      <c r="D563">
        <v>7.16</v>
      </c>
    </row>
    <row r="564" spans="2:4">
      <c r="B564" s="109">
        <v>45488</v>
      </c>
      <c r="C564">
        <v>373.89339999999999</v>
      </c>
      <c r="D564">
        <v>7.16</v>
      </c>
    </row>
    <row r="565" spans="2:4">
      <c r="B565" s="109">
        <v>45489</v>
      </c>
      <c r="C565">
        <v>373.93189999999998</v>
      </c>
      <c r="D565">
        <v>7.16</v>
      </c>
    </row>
    <row r="566" spans="2:4">
      <c r="B566" s="109">
        <v>45490</v>
      </c>
      <c r="C566">
        <v>373.97050000000002</v>
      </c>
      <c r="D566">
        <v>7.16</v>
      </c>
    </row>
    <row r="567" spans="2:4">
      <c r="B567" s="109">
        <v>45491</v>
      </c>
      <c r="C567">
        <v>374.00900000000001</v>
      </c>
      <c r="D567">
        <v>7.16</v>
      </c>
    </row>
    <row r="568" spans="2:4">
      <c r="B568" s="109">
        <v>45492</v>
      </c>
      <c r="C568">
        <v>374.04759999999999</v>
      </c>
      <c r="D568">
        <v>7.16</v>
      </c>
    </row>
    <row r="569" spans="2:4">
      <c r="B569" s="109">
        <v>45493</v>
      </c>
      <c r="C569">
        <v>374.08609999999999</v>
      </c>
      <c r="D569">
        <v>7.17</v>
      </c>
    </row>
    <row r="570" spans="2:4">
      <c r="B570" s="109">
        <v>45494</v>
      </c>
      <c r="C570">
        <v>374.12470000000002</v>
      </c>
      <c r="D570">
        <v>7.17</v>
      </c>
    </row>
    <row r="571" spans="2:4">
      <c r="B571" s="109">
        <v>45495</v>
      </c>
      <c r="C571">
        <v>374.16320000000002</v>
      </c>
      <c r="D571">
        <v>7.17</v>
      </c>
    </row>
    <row r="572" spans="2:4">
      <c r="B572" s="109">
        <v>45496</v>
      </c>
      <c r="C572">
        <v>374.20179999999999</v>
      </c>
      <c r="D572">
        <v>7.17</v>
      </c>
    </row>
    <row r="573" spans="2:4">
      <c r="B573" s="109">
        <v>45497</v>
      </c>
      <c r="C573">
        <v>374.24040000000002</v>
      </c>
      <c r="D573">
        <v>7.17</v>
      </c>
    </row>
    <row r="574" spans="2:4">
      <c r="B574" s="109">
        <v>45498</v>
      </c>
      <c r="C574">
        <v>374.27890000000002</v>
      </c>
      <c r="D574">
        <v>7.17</v>
      </c>
    </row>
    <row r="575" spans="2:4">
      <c r="B575" s="109">
        <v>45499</v>
      </c>
      <c r="C575">
        <v>374.3175</v>
      </c>
      <c r="D575">
        <v>7.17</v>
      </c>
    </row>
    <row r="576" spans="2:4">
      <c r="B576" s="109">
        <v>45500</v>
      </c>
      <c r="C576">
        <v>374.35610000000003</v>
      </c>
      <c r="D576">
        <v>7.17</v>
      </c>
    </row>
    <row r="577" spans="2:4">
      <c r="B577" s="109">
        <v>45501</v>
      </c>
      <c r="C577">
        <v>374.3947</v>
      </c>
      <c r="D577">
        <v>7.17</v>
      </c>
    </row>
    <row r="578" spans="2:4">
      <c r="B578" s="109">
        <v>45502</v>
      </c>
      <c r="C578">
        <v>374.43329999999997</v>
      </c>
      <c r="D578">
        <v>7.17</v>
      </c>
    </row>
    <row r="579" spans="2:4">
      <c r="B579" s="109">
        <v>45503</v>
      </c>
      <c r="C579">
        <v>374.47190000000001</v>
      </c>
      <c r="D579">
        <v>7.17</v>
      </c>
    </row>
    <row r="580" spans="2:4">
      <c r="B580" s="109">
        <v>45504</v>
      </c>
      <c r="C580">
        <v>374.5104</v>
      </c>
      <c r="D580">
        <v>7.17</v>
      </c>
    </row>
    <row r="581" spans="2:4">
      <c r="B581" s="109">
        <v>45505</v>
      </c>
      <c r="C581">
        <v>374.54899999999998</v>
      </c>
      <c r="D581">
        <v>7.17</v>
      </c>
    </row>
    <row r="582" spans="2:4">
      <c r="B582" s="109">
        <v>45506</v>
      </c>
      <c r="C582">
        <v>374.58769999999998</v>
      </c>
      <c r="D582">
        <v>7.17</v>
      </c>
    </row>
    <row r="583" spans="2:4">
      <c r="B583" s="109">
        <v>45507</v>
      </c>
      <c r="C583">
        <v>374.62630000000001</v>
      </c>
      <c r="D583">
        <v>7.17</v>
      </c>
    </row>
    <row r="584" spans="2:4">
      <c r="B584" s="109">
        <v>45508</v>
      </c>
      <c r="C584">
        <v>374.66489999999999</v>
      </c>
      <c r="D584">
        <v>7.18</v>
      </c>
    </row>
    <row r="585" spans="2:4">
      <c r="B585" s="109">
        <v>45509</v>
      </c>
      <c r="C585">
        <v>374.70350000000002</v>
      </c>
      <c r="D585">
        <v>7.18</v>
      </c>
    </row>
    <row r="586" spans="2:4">
      <c r="B586" s="109">
        <v>45510</v>
      </c>
      <c r="C586">
        <v>374.74209999999999</v>
      </c>
      <c r="D586">
        <v>7.18</v>
      </c>
    </row>
    <row r="587" spans="2:4">
      <c r="B587" s="109">
        <v>45511</v>
      </c>
      <c r="C587">
        <v>374.78070000000002</v>
      </c>
      <c r="D587">
        <v>7.18</v>
      </c>
    </row>
    <row r="588" spans="2:4">
      <c r="B588" s="109">
        <v>45512</v>
      </c>
      <c r="C588">
        <v>374.81939999999997</v>
      </c>
      <c r="D588">
        <v>7.18</v>
      </c>
    </row>
    <row r="589" spans="2:4">
      <c r="B589" s="109">
        <v>45513</v>
      </c>
      <c r="C589">
        <v>374.858</v>
      </c>
      <c r="D589">
        <v>7.18</v>
      </c>
    </row>
    <row r="590" spans="2:4">
      <c r="B590" s="109">
        <v>45514</v>
      </c>
      <c r="C590">
        <v>374.89659999999998</v>
      </c>
      <c r="D590">
        <v>7.18</v>
      </c>
    </row>
    <row r="591" spans="2:4">
      <c r="B591" s="109">
        <v>45515</v>
      </c>
      <c r="C591">
        <v>374.93529999999998</v>
      </c>
      <c r="D591">
        <v>7.18</v>
      </c>
    </row>
    <row r="592" spans="2:4">
      <c r="B592" s="109">
        <v>45516</v>
      </c>
      <c r="C592">
        <v>374.97390000000001</v>
      </c>
      <c r="D592">
        <v>7.18</v>
      </c>
    </row>
    <row r="593" spans="2:4">
      <c r="B593" s="109">
        <v>45517</v>
      </c>
      <c r="C593">
        <v>375.01260000000002</v>
      </c>
      <c r="D593">
        <v>7.18</v>
      </c>
    </row>
    <row r="594" spans="2:4">
      <c r="B594" s="109">
        <v>45518</v>
      </c>
      <c r="C594">
        <v>375.05119999999999</v>
      </c>
      <c r="D594">
        <v>7.18</v>
      </c>
    </row>
    <row r="595" spans="2:4">
      <c r="B595" s="109">
        <v>45519</v>
      </c>
      <c r="C595">
        <v>375.0899</v>
      </c>
      <c r="D595">
        <v>7.18</v>
      </c>
    </row>
    <row r="596" spans="2:4">
      <c r="B596" s="109">
        <v>45520</v>
      </c>
      <c r="C596">
        <v>375.11410000000001</v>
      </c>
      <c r="D596">
        <v>7.17</v>
      </c>
    </row>
    <row r="597" spans="2:4">
      <c r="B597" s="109">
        <v>45521</v>
      </c>
      <c r="C597">
        <v>375.13830000000002</v>
      </c>
      <c r="D597">
        <v>7.16</v>
      </c>
    </row>
    <row r="598" spans="2:4">
      <c r="B598" s="109">
        <v>45522</v>
      </c>
      <c r="C598">
        <v>375.16239999999999</v>
      </c>
      <c r="D598">
        <v>7.15</v>
      </c>
    </row>
    <row r="599" spans="2:4">
      <c r="B599" s="109">
        <v>45523</v>
      </c>
      <c r="C599">
        <v>375.1866</v>
      </c>
      <c r="D599">
        <v>7.14</v>
      </c>
    </row>
    <row r="600" spans="2:4">
      <c r="B600" s="109">
        <v>45524</v>
      </c>
      <c r="C600">
        <v>375.21080000000001</v>
      </c>
      <c r="D600">
        <v>7.13</v>
      </c>
    </row>
    <row r="601" spans="2:4">
      <c r="B601" s="109">
        <v>45525</v>
      </c>
      <c r="C601">
        <v>375.23500000000001</v>
      </c>
      <c r="D601">
        <v>7.12</v>
      </c>
    </row>
    <row r="602" spans="2:4">
      <c r="B602" s="109">
        <v>45526</v>
      </c>
      <c r="C602">
        <v>375.25920000000002</v>
      </c>
      <c r="D602">
        <v>7.11</v>
      </c>
    </row>
    <row r="603" spans="2:4">
      <c r="B603" s="109">
        <v>45527</v>
      </c>
      <c r="C603">
        <v>375.28339999999997</v>
      </c>
      <c r="D603">
        <v>7.1</v>
      </c>
    </row>
    <row r="604" spans="2:4">
      <c r="B604" s="109">
        <v>45528</v>
      </c>
      <c r="C604">
        <v>375.3075</v>
      </c>
      <c r="D604">
        <v>7.09</v>
      </c>
    </row>
    <row r="605" spans="2:4">
      <c r="B605" s="109">
        <v>45529</v>
      </c>
      <c r="C605">
        <v>375.33170000000001</v>
      </c>
      <c r="D605">
        <v>7.08</v>
      </c>
    </row>
    <row r="606" spans="2:4">
      <c r="B606" s="109">
        <v>45530</v>
      </c>
      <c r="C606">
        <v>375.35590000000002</v>
      </c>
      <c r="D606">
        <v>7.07</v>
      </c>
    </row>
    <row r="607" spans="2:4">
      <c r="B607" s="109">
        <v>45531</v>
      </c>
      <c r="C607">
        <v>375.38010000000003</v>
      </c>
      <c r="D607">
        <v>7.06</v>
      </c>
    </row>
    <row r="608" spans="2:4">
      <c r="B608" s="109">
        <v>45532</v>
      </c>
      <c r="C608">
        <v>375.40429999999998</v>
      </c>
      <c r="D608">
        <v>7.05</v>
      </c>
    </row>
    <row r="609" spans="2:4">
      <c r="B609" s="109">
        <v>45533</v>
      </c>
      <c r="C609">
        <v>375.42849999999999</v>
      </c>
      <c r="D609">
        <v>7.04</v>
      </c>
    </row>
    <row r="610" spans="2:4">
      <c r="B610" s="109">
        <v>45534</v>
      </c>
      <c r="C610">
        <v>375.45269999999999</v>
      </c>
      <c r="D610">
        <v>7.03</v>
      </c>
    </row>
    <row r="611" spans="2:4">
      <c r="B611" s="109">
        <v>45535</v>
      </c>
      <c r="C611">
        <v>375.4769</v>
      </c>
      <c r="D611">
        <v>7.02</v>
      </c>
    </row>
    <row r="612" spans="2:4">
      <c r="B612" s="109">
        <v>45536</v>
      </c>
      <c r="C612">
        <v>375.50110000000001</v>
      </c>
      <c r="D612">
        <v>7.01</v>
      </c>
    </row>
    <row r="613" spans="2:4">
      <c r="B613" s="109">
        <v>45537</v>
      </c>
      <c r="C613">
        <v>375.52530000000002</v>
      </c>
      <c r="D613">
        <v>7</v>
      </c>
    </row>
    <row r="614" spans="2:4">
      <c r="B614" s="109">
        <v>45538</v>
      </c>
      <c r="C614">
        <v>375.54950000000002</v>
      </c>
      <c r="D614">
        <v>6.99</v>
      </c>
    </row>
    <row r="615" spans="2:4">
      <c r="B615" s="109">
        <v>45539</v>
      </c>
      <c r="C615">
        <v>375.57369999999997</v>
      </c>
      <c r="D615">
        <v>6.98</v>
      </c>
    </row>
    <row r="616" spans="2:4">
      <c r="B616" s="109">
        <v>45540</v>
      </c>
      <c r="C616">
        <v>375.59789999999998</v>
      </c>
      <c r="D616">
        <v>6.97</v>
      </c>
    </row>
    <row r="617" spans="2:4">
      <c r="B617" s="109">
        <v>45541</v>
      </c>
      <c r="C617">
        <v>375.62209999999999</v>
      </c>
      <c r="D617">
        <v>6.96</v>
      </c>
    </row>
    <row r="618" spans="2:4">
      <c r="B618" s="109">
        <v>45542</v>
      </c>
      <c r="C618">
        <v>375.6463</v>
      </c>
      <c r="D618">
        <v>6.95</v>
      </c>
    </row>
    <row r="619" spans="2:4">
      <c r="B619" s="109">
        <v>45543</v>
      </c>
      <c r="C619">
        <v>375.67059999999998</v>
      </c>
      <c r="D619">
        <v>6.94</v>
      </c>
    </row>
    <row r="620" spans="2:4">
      <c r="B620" s="109">
        <v>45544</v>
      </c>
      <c r="C620">
        <v>375.69479999999999</v>
      </c>
      <c r="D620">
        <v>6.92</v>
      </c>
    </row>
    <row r="621" spans="2:4">
      <c r="B621" s="109">
        <v>45545</v>
      </c>
      <c r="C621">
        <v>375.71899999999999</v>
      </c>
      <c r="D621">
        <v>6.91</v>
      </c>
    </row>
    <row r="622" spans="2:4">
      <c r="B622" s="109">
        <v>45546</v>
      </c>
      <c r="C622">
        <v>375.7432</v>
      </c>
      <c r="D622">
        <v>6.9</v>
      </c>
    </row>
    <row r="623" spans="2:4">
      <c r="B623" s="109">
        <v>45547</v>
      </c>
      <c r="C623">
        <v>375.76740000000001</v>
      </c>
      <c r="D623">
        <v>6.89</v>
      </c>
    </row>
    <row r="624" spans="2:4">
      <c r="B624" s="109">
        <v>45548</v>
      </c>
      <c r="C624">
        <v>375.79160000000002</v>
      </c>
      <c r="D624">
        <v>6.88</v>
      </c>
    </row>
    <row r="625" spans="2:4">
      <c r="B625" s="109">
        <v>45549</v>
      </c>
      <c r="C625">
        <v>375.8159</v>
      </c>
      <c r="D625">
        <v>6.87</v>
      </c>
    </row>
    <row r="626" spans="2:4">
      <c r="B626" s="109">
        <v>45550</v>
      </c>
      <c r="C626">
        <v>375.84010000000001</v>
      </c>
      <c r="D626">
        <v>6.86</v>
      </c>
    </row>
    <row r="627" spans="2:4">
      <c r="B627" s="109">
        <v>45551</v>
      </c>
      <c r="C627">
        <v>375.84010000000001</v>
      </c>
      <c r="D627">
        <v>6.84</v>
      </c>
    </row>
    <row r="628" spans="2:4">
      <c r="B628" s="109">
        <v>45552</v>
      </c>
      <c r="C628">
        <v>375.84010000000001</v>
      </c>
      <c r="D628">
        <v>6.81</v>
      </c>
    </row>
    <row r="629" spans="2:4">
      <c r="B629" s="109">
        <v>45553</v>
      </c>
      <c r="C629">
        <v>375.84010000000001</v>
      </c>
      <c r="D629">
        <v>6.79</v>
      </c>
    </row>
    <row r="630" spans="2:4">
      <c r="B630" s="109">
        <v>45554</v>
      </c>
      <c r="C630">
        <v>375.84010000000001</v>
      </c>
      <c r="D630">
        <v>6.76</v>
      </c>
    </row>
    <row r="631" spans="2:4">
      <c r="B631" s="109">
        <v>45555</v>
      </c>
      <c r="C631">
        <v>375.84010000000001</v>
      </c>
      <c r="D631">
        <v>6.74</v>
      </c>
    </row>
    <row r="632" spans="2:4">
      <c r="B632" s="109">
        <v>45556</v>
      </c>
      <c r="C632">
        <v>375.84010000000001</v>
      </c>
      <c r="D632">
        <v>6.71</v>
      </c>
    </row>
    <row r="633" spans="2:4">
      <c r="B633" s="109">
        <v>45557</v>
      </c>
      <c r="C633">
        <v>375.84010000000001</v>
      </c>
      <c r="D633">
        <v>6.69</v>
      </c>
    </row>
    <row r="634" spans="2:4">
      <c r="B634" s="109">
        <v>45558</v>
      </c>
      <c r="C634">
        <v>375.84010000000001</v>
      </c>
      <c r="D634">
        <v>6.66</v>
      </c>
    </row>
    <row r="635" spans="2:4">
      <c r="B635" s="109">
        <v>45559</v>
      </c>
      <c r="C635">
        <v>375.84010000000001</v>
      </c>
      <c r="D635">
        <v>6.64</v>
      </c>
    </row>
    <row r="636" spans="2:4">
      <c r="B636" s="109">
        <v>45560</v>
      </c>
      <c r="C636">
        <v>375.84010000000001</v>
      </c>
      <c r="D636">
        <v>6.61</v>
      </c>
    </row>
    <row r="637" spans="2:4">
      <c r="B637" s="109">
        <v>45561</v>
      </c>
      <c r="C637">
        <v>375.84010000000001</v>
      </c>
      <c r="D637">
        <v>6.59</v>
      </c>
    </row>
    <row r="638" spans="2:4">
      <c r="B638" s="109">
        <v>45562</v>
      </c>
      <c r="C638">
        <v>375.84010000000001</v>
      </c>
      <c r="D638">
        <v>6.57</v>
      </c>
    </row>
    <row r="639" spans="2:4">
      <c r="B639" s="109">
        <v>45563</v>
      </c>
      <c r="C639">
        <v>375.84010000000001</v>
      </c>
      <c r="D639">
        <v>6.54</v>
      </c>
    </row>
    <row r="640" spans="2:4">
      <c r="B640" s="109">
        <v>45564</v>
      </c>
      <c r="C640">
        <v>375.84010000000001</v>
      </c>
      <c r="D640">
        <v>6.52</v>
      </c>
    </row>
    <row r="641" spans="2:4">
      <c r="B641" s="109">
        <v>45565</v>
      </c>
      <c r="C641">
        <v>375.84010000000001</v>
      </c>
      <c r="D641">
        <v>6.49</v>
      </c>
    </row>
    <row r="642" spans="2:4">
      <c r="B642" s="109">
        <v>45566</v>
      </c>
      <c r="C642">
        <v>375.84010000000001</v>
      </c>
      <c r="D642">
        <v>6.47</v>
      </c>
    </row>
    <row r="643" spans="2:4">
      <c r="B643" s="109">
        <v>45567</v>
      </c>
      <c r="C643">
        <v>375.84010000000001</v>
      </c>
      <c r="D643">
        <v>6.44</v>
      </c>
    </row>
    <row r="644" spans="2:4">
      <c r="B644" s="109">
        <v>45568</v>
      </c>
      <c r="C644">
        <v>375.84010000000001</v>
      </c>
      <c r="D644">
        <v>6.42</v>
      </c>
    </row>
    <row r="645" spans="2:4">
      <c r="B645" s="109">
        <v>45569</v>
      </c>
      <c r="C645">
        <v>375.84010000000001</v>
      </c>
      <c r="D645">
        <v>6.39</v>
      </c>
    </row>
    <row r="646" spans="2:4">
      <c r="B646" s="109">
        <v>45570</v>
      </c>
      <c r="C646">
        <v>375.84010000000001</v>
      </c>
      <c r="D646">
        <v>6.37</v>
      </c>
    </row>
    <row r="647" spans="2:4">
      <c r="B647" s="109">
        <v>45571</v>
      </c>
      <c r="C647">
        <v>375.84010000000001</v>
      </c>
      <c r="D647">
        <v>6.34</v>
      </c>
    </row>
    <row r="648" spans="2:4">
      <c r="B648" s="109">
        <v>45572</v>
      </c>
      <c r="C648">
        <v>375.84010000000001</v>
      </c>
      <c r="D648">
        <v>6.32</v>
      </c>
    </row>
    <row r="649" spans="2:4">
      <c r="B649" s="109">
        <v>45573</v>
      </c>
      <c r="C649">
        <v>375.84010000000001</v>
      </c>
      <c r="D649">
        <v>6.29</v>
      </c>
    </row>
    <row r="650" spans="2:4">
      <c r="B650" s="109">
        <v>45574</v>
      </c>
      <c r="C650">
        <v>375.84010000000001</v>
      </c>
      <c r="D650">
        <v>6.27</v>
      </c>
    </row>
    <row r="651" spans="2:4">
      <c r="B651" s="109">
        <v>45575</v>
      </c>
      <c r="C651">
        <v>375.84010000000001</v>
      </c>
      <c r="D651">
        <v>6.24</v>
      </c>
    </row>
    <row r="652" spans="2:4">
      <c r="B652" s="109">
        <v>45576</v>
      </c>
      <c r="C652">
        <v>375.84010000000001</v>
      </c>
      <c r="D652">
        <v>6.22</v>
      </c>
    </row>
    <row r="653" spans="2:4">
      <c r="B653" s="109">
        <v>45577</v>
      </c>
      <c r="C653">
        <v>375.84010000000001</v>
      </c>
      <c r="D653">
        <v>6.19</v>
      </c>
    </row>
    <row r="654" spans="2:4">
      <c r="B654" s="109">
        <v>45578</v>
      </c>
      <c r="C654">
        <v>375.84010000000001</v>
      </c>
      <c r="D654">
        <v>6.17</v>
      </c>
    </row>
    <row r="655" spans="2:4">
      <c r="B655" s="109">
        <v>45579</v>
      </c>
      <c r="C655">
        <v>375.84010000000001</v>
      </c>
      <c r="D655">
        <v>6.14</v>
      </c>
    </row>
    <row r="656" spans="2:4">
      <c r="B656" s="109">
        <v>45580</v>
      </c>
      <c r="C656">
        <v>375.84010000000001</v>
      </c>
      <c r="D656">
        <v>6.12</v>
      </c>
    </row>
    <row r="657" spans="2:4">
      <c r="B657" s="109">
        <v>45581</v>
      </c>
      <c r="C657">
        <v>375.86919999999998</v>
      </c>
      <c r="D657">
        <v>6.11</v>
      </c>
    </row>
    <row r="658" spans="2:4">
      <c r="B658" s="109">
        <v>45582</v>
      </c>
      <c r="C658">
        <v>375.89819999999997</v>
      </c>
      <c r="D658">
        <v>6.1</v>
      </c>
    </row>
    <row r="659" spans="2:4">
      <c r="B659" s="109">
        <v>45583</v>
      </c>
      <c r="C659">
        <v>375.9273</v>
      </c>
      <c r="D659">
        <v>6.09</v>
      </c>
    </row>
    <row r="660" spans="2:4">
      <c r="B660" s="109">
        <v>45584</v>
      </c>
      <c r="C660">
        <v>375.95639999999997</v>
      </c>
      <c r="D660">
        <v>6.08</v>
      </c>
    </row>
    <row r="661" spans="2:4">
      <c r="B661" s="109">
        <v>45585</v>
      </c>
      <c r="C661">
        <v>375.98540000000003</v>
      </c>
      <c r="D661">
        <v>6.07</v>
      </c>
    </row>
    <row r="662" spans="2:4">
      <c r="B662" s="109">
        <v>45586</v>
      </c>
      <c r="C662">
        <v>376.0145</v>
      </c>
      <c r="D662">
        <v>6.06</v>
      </c>
    </row>
    <row r="663" spans="2:4">
      <c r="B663" s="109">
        <v>45587</v>
      </c>
      <c r="C663">
        <v>376.04360000000003</v>
      </c>
      <c r="D663">
        <v>6.05</v>
      </c>
    </row>
    <row r="664" spans="2:4">
      <c r="B664" s="109">
        <v>45588</v>
      </c>
      <c r="C664">
        <v>376.0727</v>
      </c>
      <c r="D664">
        <v>6.04</v>
      </c>
    </row>
    <row r="665" spans="2:4">
      <c r="B665" s="109">
        <v>45589</v>
      </c>
      <c r="C665">
        <v>376.10180000000003</v>
      </c>
      <c r="D665">
        <v>6.03</v>
      </c>
    </row>
    <row r="666" spans="2:4">
      <c r="B666" s="109">
        <v>45590</v>
      </c>
      <c r="C666">
        <v>376.13080000000002</v>
      </c>
      <c r="D666">
        <v>6.02</v>
      </c>
    </row>
    <row r="667" spans="2:4">
      <c r="B667" s="109">
        <v>45591</v>
      </c>
      <c r="C667">
        <v>376.15989999999999</v>
      </c>
      <c r="D667">
        <v>6.01</v>
      </c>
    </row>
    <row r="668" spans="2:4">
      <c r="B668" s="109">
        <v>45592</v>
      </c>
      <c r="C668">
        <v>376.18900000000002</v>
      </c>
      <c r="D668">
        <v>6</v>
      </c>
    </row>
    <row r="669" spans="2:4">
      <c r="B669" s="109">
        <v>45593</v>
      </c>
      <c r="C669">
        <v>376.21809999999999</v>
      </c>
      <c r="D669">
        <v>5.99</v>
      </c>
    </row>
    <row r="670" spans="2:4">
      <c r="B670" s="109">
        <v>45594</v>
      </c>
      <c r="C670">
        <v>376.24720000000002</v>
      </c>
      <c r="D670">
        <v>5.98</v>
      </c>
    </row>
    <row r="671" spans="2:4">
      <c r="B671" s="109">
        <v>45595</v>
      </c>
      <c r="C671">
        <v>376.27629999999999</v>
      </c>
      <c r="D671">
        <v>5.97</v>
      </c>
    </row>
    <row r="672" spans="2:4">
      <c r="B672" s="109">
        <v>45596</v>
      </c>
      <c r="C672">
        <v>376.30540000000002</v>
      </c>
      <c r="D672">
        <v>5.96</v>
      </c>
    </row>
    <row r="673" spans="2:4">
      <c r="B673" s="109">
        <v>45597</v>
      </c>
      <c r="C673">
        <v>376.33449999999999</v>
      </c>
      <c r="D673">
        <v>5.95</v>
      </c>
    </row>
    <row r="674" spans="2:4">
      <c r="B674" s="109">
        <v>45598</v>
      </c>
      <c r="C674">
        <v>376.36360000000002</v>
      </c>
      <c r="D674">
        <v>5.94</v>
      </c>
    </row>
    <row r="675" spans="2:4">
      <c r="B675" s="109">
        <v>45599</v>
      </c>
      <c r="C675">
        <v>376.39269999999999</v>
      </c>
      <c r="D675">
        <v>5.93</v>
      </c>
    </row>
    <row r="676" spans="2:4">
      <c r="B676" s="109">
        <v>45600</v>
      </c>
      <c r="C676">
        <v>376.42180000000002</v>
      </c>
      <c r="D676">
        <v>5.92</v>
      </c>
    </row>
    <row r="677" spans="2:4">
      <c r="B677" s="109">
        <v>45601</v>
      </c>
      <c r="C677">
        <v>376.45089999999999</v>
      </c>
      <c r="D677">
        <v>5.91</v>
      </c>
    </row>
    <row r="678" spans="2:4">
      <c r="B678" s="109">
        <v>45602</v>
      </c>
      <c r="C678">
        <v>376.48</v>
      </c>
      <c r="D678">
        <v>5.9</v>
      </c>
    </row>
    <row r="679" spans="2:4">
      <c r="B679" s="109">
        <v>45603</v>
      </c>
      <c r="C679">
        <v>376.50909999999999</v>
      </c>
      <c r="D679">
        <v>5.89</v>
      </c>
    </row>
    <row r="680" spans="2:4">
      <c r="B680" s="109">
        <v>45604</v>
      </c>
      <c r="C680">
        <v>376.53820000000002</v>
      </c>
      <c r="D680">
        <v>5.87</v>
      </c>
    </row>
    <row r="681" spans="2:4">
      <c r="B681" s="109">
        <v>45605</v>
      </c>
      <c r="C681">
        <v>376.56740000000002</v>
      </c>
      <c r="D681">
        <v>5.86</v>
      </c>
    </row>
    <row r="682" spans="2:4">
      <c r="B682" s="109">
        <v>45606</v>
      </c>
      <c r="C682">
        <v>376.59649999999999</v>
      </c>
      <c r="D682">
        <v>5.85</v>
      </c>
    </row>
    <row r="683" spans="2:4">
      <c r="B683" s="109">
        <v>45607</v>
      </c>
      <c r="C683">
        <v>376.62560000000002</v>
      </c>
      <c r="D683">
        <v>5.84</v>
      </c>
    </row>
    <row r="684" spans="2:4">
      <c r="B684" s="109">
        <v>45608</v>
      </c>
      <c r="C684">
        <v>376.65469999999999</v>
      </c>
      <c r="D684">
        <v>5.83</v>
      </c>
    </row>
    <row r="685" spans="2:4">
      <c r="B685" s="109">
        <v>45609</v>
      </c>
      <c r="C685">
        <v>376.68389999999999</v>
      </c>
      <c r="D685">
        <v>5.82</v>
      </c>
    </row>
    <row r="686" spans="2:4">
      <c r="B686" s="109">
        <v>45610</v>
      </c>
      <c r="C686">
        <v>376.71300000000002</v>
      </c>
      <c r="D686">
        <v>5.81</v>
      </c>
    </row>
    <row r="687" spans="2:4">
      <c r="B687" s="109">
        <v>45611</v>
      </c>
      <c r="C687">
        <v>376.74209999999999</v>
      </c>
      <c r="D687">
        <v>5.8</v>
      </c>
    </row>
    <row r="688" spans="2:4">
      <c r="B688" s="134">
        <v>45612</v>
      </c>
      <c r="C688">
        <v>376.72579999999999</v>
      </c>
    </row>
    <row r="689" spans="2:3">
      <c r="B689" s="134">
        <v>45613</v>
      </c>
      <c r="C689">
        <v>376.70940000000002</v>
      </c>
    </row>
    <row r="690" spans="2:3">
      <c r="B690" s="134">
        <v>45614</v>
      </c>
      <c r="C690">
        <v>376.69310000000002</v>
      </c>
    </row>
    <row r="691" spans="2:3">
      <c r="B691" s="134">
        <v>45615</v>
      </c>
      <c r="C691">
        <v>376.67680000000001</v>
      </c>
    </row>
    <row r="692" spans="2:3">
      <c r="B692" s="134">
        <v>45616</v>
      </c>
      <c r="C692">
        <v>376.66039999999998</v>
      </c>
    </row>
    <row r="693" spans="2:3">
      <c r="B693" s="134">
        <v>45617</v>
      </c>
      <c r="C693">
        <v>376.64409999999998</v>
      </c>
    </row>
    <row r="694" spans="2:3">
      <c r="B694" s="134">
        <v>45618</v>
      </c>
      <c r="C694">
        <v>376.62779999999998</v>
      </c>
    </row>
    <row r="695" spans="2:3">
      <c r="B695" s="134">
        <v>45619</v>
      </c>
      <c r="C695">
        <v>376.6114</v>
      </c>
    </row>
    <row r="696" spans="2:3">
      <c r="B696" s="134">
        <v>45620</v>
      </c>
      <c r="C696">
        <v>376.5951</v>
      </c>
    </row>
    <row r="697" spans="2:3">
      <c r="B697" s="134">
        <v>45621</v>
      </c>
      <c r="C697">
        <v>376.5788</v>
      </c>
    </row>
    <row r="698" spans="2:3">
      <c r="B698" s="134">
        <v>45622</v>
      </c>
      <c r="C698">
        <v>376.56240000000003</v>
      </c>
    </row>
    <row r="699" spans="2:3">
      <c r="B699" s="134">
        <v>45623</v>
      </c>
      <c r="C699">
        <v>376.54610000000002</v>
      </c>
    </row>
    <row r="700" spans="2:3">
      <c r="B700" s="134">
        <v>45624</v>
      </c>
      <c r="C700">
        <v>376.52980000000002</v>
      </c>
    </row>
    <row r="701" spans="2:3">
      <c r="B701" s="134">
        <v>45625</v>
      </c>
      <c r="C701">
        <v>376.51350000000002</v>
      </c>
    </row>
    <row r="702" spans="2:3">
      <c r="B702" s="134">
        <v>45626</v>
      </c>
      <c r="C702">
        <v>376.49709999999999</v>
      </c>
    </row>
    <row r="703" spans="2:3">
      <c r="B703" s="134">
        <v>45627</v>
      </c>
      <c r="C703">
        <v>376.48079999999999</v>
      </c>
    </row>
    <row r="704" spans="2:3">
      <c r="B704" s="134">
        <v>45628</v>
      </c>
      <c r="C704">
        <v>376.46449999999999</v>
      </c>
    </row>
    <row r="705" spans="2:3">
      <c r="B705" s="134">
        <v>45629</v>
      </c>
      <c r="C705">
        <v>376.44819999999999</v>
      </c>
    </row>
    <row r="706" spans="2:3">
      <c r="B706" s="134">
        <v>45630</v>
      </c>
      <c r="C706">
        <v>376.43180000000001</v>
      </c>
    </row>
    <row r="707" spans="2:3">
      <c r="B707" s="134">
        <v>45631</v>
      </c>
      <c r="C707">
        <v>376.41550000000001</v>
      </c>
    </row>
    <row r="708" spans="2:3">
      <c r="B708" s="134">
        <v>45632</v>
      </c>
      <c r="C708">
        <v>376.39920000000001</v>
      </c>
    </row>
    <row r="709" spans="2:3">
      <c r="B709" s="134">
        <v>45633</v>
      </c>
      <c r="C709">
        <v>376.38290000000001</v>
      </c>
    </row>
    <row r="710" spans="2:3">
      <c r="B710" s="134">
        <v>45634</v>
      </c>
      <c r="C710">
        <v>376.36660000000001</v>
      </c>
    </row>
    <row r="711" spans="2:3">
      <c r="B711" s="134">
        <v>45635</v>
      </c>
      <c r="C711">
        <v>376.35019999999997</v>
      </c>
    </row>
    <row r="712" spans="2:3">
      <c r="B712" s="134">
        <v>45636</v>
      </c>
      <c r="C712">
        <v>376.33390000000003</v>
      </c>
    </row>
    <row r="713" spans="2:3">
      <c r="B713" s="134">
        <v>45637</v>
      </c>
      <c r="C713">
        <v>376.31760000000003</v>
      </c>
    </row>
    <row r="714" spans="2:3">
      <c r="B714" s="134">
        <v>45638</v>
      </c>
      <c r="C714">
        <v>376.30130000000003</v>
      </c>
    </row>
    <row r="715" spans="2:3">
      <c r="B715" s="134">
        <v>45639</v>
      </c>
      <c r="C715">
        <v>376.28500000000003</v>
      </c>
    </row>
    <row r="716" spans="2:3">
      <c r="B716" s="134">
        <v>45640</v>
      </c>
      <c r="C716">
        <v>376.26870000000002</v>
      </c>
    </row>
    <row r="717" spans="2:3">
      <c r="B717" s="134">
        <v>45641</v>
      </c>
      <c r="C717">
        <v>376.25229999999999</v>
      </c>
    </row>
    <row r="718" spans="2:3">
      <c r="B718" s="134">
        <v>45642</v>
      </c>
      <c r="C718">
        <v>376.28500000000003</v>
      </c>
    </row>
    <row r="719" spans="2:3">
      <c r="B719" s="134">
        <v>45643</v>
      </c>
      <c r="C719">
        <v>376.31779999999998</v>
      </c>
    </row>
    <row r="720" spans="2:3">
      <c r="B720" s="134">
        <v>45644</v>
      </c>
      <c r="C720">
        <v>376.35050000000001</v>
      </c>
    </row>
    <row r="721" spans="2:3">
      <c r="B721" s="134">
        <v>45645</v>
      </c>
      <c r="C721">
        <v>376.38319999999999</v>
      </c>
    </row>
    <row r="722" spans="2:3">
      <c r="B722" s="134">
        <v>45646</v>
      </c>
      <c r="C722">
        <v>376.416</v>
      </c>
    </row>
    <row r="723" spans="2:3">
      <c r="B723" s="134">
        <v>45647</v>
      </c>
      <c r="C723">
        <v>376.44869999999997</v>
      </c>
    </row>
    <row r="724" spans="2:3">
      <c r="B724" s="134">
        <v>45648</v>
      </c>
      <c r="C724">
        <v>376.48149999999998</v>
      </c>
    </row>
    <row r="725" spans="2:3">
      <c r="B725" s="134">
        <v>45649</v>
      </c>
      <c r="C725">
        <v>376.51420000000002</v>
      </c>
    </row>
    <row r="726" spans="2:3">
      <c r="B726" s="134">
        <v>45650</v>
      </c>
      <c r="C726">
        <v>376.54700000000003</v>
      </c>
    </row>
    <row r="727" spans="2:3">
      <c r="B727" s="134">
        <v>45651</v>
      </c>
      <c r="C727">
        <v>376.5797</v>
      </c>
    </row>
    <row r="728" spans="2:3">
      <c r="B728" s="134">
        <v>45652</v>
      </c>
      <c r="C728">
        <v>376.61250000000001</v>
      </c>
    </row>
    <row r="729" spans="2:3">
      <c r="B729" s="134">
        <v>45653</v>
      </c>
      <c r="C729">
        <v>376.64519999999999</v>
      </c>
    </row>
    <row r="730" spans="2:3">
      <c r="B730" s="134">
        <v>45654</v>
      </c>
      <c r="C730">
        <v>376.678</v>
      </c>
    </row>
    <row r="731" spans="2:3">
      <c r="B731" s="134">
        <v>45655</v>
      </c>
      <c r="C731">
        <v>376.71069999999997</v>
      </c>
    </row>
    <row r="732" spans="2:3">
      <c r="B732" s="134">
        <v>45656</v>
      </c>
      <c r="C732">
        <v>376.74349999999998</v>
      </c>
    </row>
    <row r="733" spans="2:3">
      <c r="B733" s="134">
        <v>45657</v>
      </c>
      <c r="C733">
        <v>376.77629999999999</v>
      </c>
    </row>
    <row r="734" spans="2:3">
      <c r="B734" s="134">
        <v>45658</v>
      </c>
      <c r="C734">
        <v>376.8091</v>
      </c>
    </row>
    <row r="735" spans="2:3">
      <c r="B735" s="134">
        <v>45659</v>
      </c>
      <c r="C735">
        <v>376.84179999999998</v>
      </c>
    </row>
    <row r="736" spans="2:3">
      <c r="B736" s="134">
        <v>45660</v>
      </c>
      <c r="C736">
        <v>376.87459999999999</v>
      </c>
    </row>
    <row r="737" spans="2:3">
      <c r="B737" s="134">
        <v>45661</v>
      </c>
      <c r="C737">
        <v>376.9074</v>
      </c>
    </row>
    <row r="738" spans="2:3">
      <c r="B738" s="134">
        <v>45662</v>
      </c>
      <c r="C738">
        <v>376.9402</v>
      </c>
    </row>
    <row r="739" spans="2:3">
      <c r="B739" s="134">
        <v>45663</v>
      </c>
      <c r="C739">
        <v>376.97300000000001</v>
      </c>
    </row>
    <row r="740" spans="2:3">
      <c r="B740" s="134">
        <v>45664</v>
      </c>
      <c r="C740">
        <v>377.00580000000002</v>
      </c>
    </row>
    <row r="741" spans="2:3">
      <c r="B741" s="134">
        <v>45665</v>
      </c>
      <c r="C741">
        <v>377.0385</v>
      </c>
    </row>
    <row r="742" spans="2:3">
      <c r="B742" s="134">
        <v>45666</v>
      </c>
      <c r="C742">
        <v>377.07130000000001</v>
      </c>
    </row>
    <row r="743" spans="2:3">
      <c r="B743" s="134">
        <v>45667</v>
      </c>
      <c r="C743">
        <v>377.10410000000002</v>
      </c>
    </row>
    <row r="744" spans="2:3">
      <c r="B744" s="134">
        <v>45668</v>
      </c>
      <c r="C744">
        <v>377.13690000000003</v>
      </c>
    </row>
    <row r="745" spans="2:3">
      <c r="B745" s="134">
        <v>45669</v>
      </c>
      <c r="C745">
        <v>377.16980000000001</v>
      </c>
    </row>
    <row r="746" spans="2:3">
      <c r="B746" s="134">
        <v>45670</v>
      </c>
      <c r="C746">
        <v>377.20260000000002</v>
      </c>
    </row>
    <row r="747" spans="2:3">
      <c r="B747" s="134">
        <v>45671</v>
      </c>
      <c r="C747">
        <v>377.23540000000003</v>
      </c>
    </row>
    <row r="748" spans="2:3">
      <c r="B748" s="134">
        <v>45672</v>
      </c>
      <c r="C748">
        <v>377.26819999999998</v>
      </c>
    </row>
    <row r="749" spans="2:3">
      <c r="B749" s="134">
        <v>45673</v>
      </c>
      <c r="C749">
        <v>377.32409999999999</v>
      </c>
    </row>
    <row r="750" spans="2:3">
      <c r="B750" s="134">
        <v>45674</v>
      </c>
      <c r="C750">
        <v>377.37990000000002</v>
      </c>
    </row>
    <row r="751" spans="2:3">
      <c r="B751" s="134">
        <v>45675</v>
      </c>
      <c r="C751">
        <v>377.43579999999997</v>
      </c>
    </row>
    <row r="752" spans="2:3">
      <c r="B752" s="134">
        <v>45676</v>
      </c>
      <c r="C752">
        <v>377.49169999999998</v>
      </c>
    </row>
    <row r="753" spans="2:3">
      <c r="B753" s="134">
        <v>45677</v>
      </c>
      <c r="C753">
        <v>377.54759999999999</v>
      </c>
    </row>
    <row r="754" spans="2:3">
      <c r="B754" s="134">
        <v>45678</v>
      </c>
      <c r="C754">
        <v>377.6035</v>
      </c>
    </row>
    <row r="755" spans="2:3">
      <c r="B755" s="134">
        <v>45679</v>
      </c>
      <c r="C755">
        <v>377.65940000000001</v>
      </c>
    </row>
    <row r="756" spans="2:3">
      <c r="B756" s="134">
        <v>45680</v>
      </c>
      <c r="C756">
        <v>377.71530000000001</v>
      </c>
    </row>
    <row r="757" spans="2:3">
      <c r="B757" s="134">
        <v>45681</v>
      </c>
      <c r="C757">
        <v>377.77120000000002</v>
      </c>
    </row>
    <row r="758" spans="2:3">
      <c r="B758" s="134">
        <v>45682</v>
      </c>
      <c r="C758">
        <v>377.82709999999997</v>
      </c>
    </row>
    <row r="759" spans="2:3">
      <c r="B759" s="134">
        <v>45683</v>
      </c>
      <c r="C759">
        <v>377.88310000000001</v>
      </c>
    </row>
    <row r="760" spans="2:3">
      <c r="B760" s="134">
        <v>45684</v>
      </c>
      <c r="C760">
        <v>377.93900000000002</v>
      </c>
    </row>
    <row r="761" spans="2:3">
      <c r="B761" s="134">
        <v>45685</v>
      </c>
      <c r="C761">
        <v>377.995</v>
      </c>
    </row>
    <row r="762" spans="2:3">
      <c r="B762" s="134">
        <v>45686</v>
      </c>
      <c r="C762">
        <v>378.05099999999999</v>
      </c>
    </row>
    <row r="763" spans="2:3">
      <c r="B763" s="134">
        <v>45687</v>
      </c>
      <c r="C763">
        <v>378.1069</v>
      </c>
    </row>
    <row r="764" spans="2:3">
      <c r="B764" s="134">
        <v>45688</v>
      </c>
      <c r="C764">
        <v>378.16289999999998</v>
      </c>
    </row>
    <row r="765" spans="2:3">
      <c r="B765" s="134">
        <v>45689</v>
      </c>
      <c r="C765">
        <v>378.21890000000002</v>
      </c>
    </row>
    <row r="766" spans="2:3">
      <c r="B766" s="134">
        <v>45690</v>
      </c>
      <c r="C766">
        <v>378.2749</v>
      </c>
    </row>
    <row r="767" spans="2:3">
      <c r="B767" s="134">
        <v>45691</v>
      </c>
      <c r="C767">
        <v>378.33089999999999</v>
      </c>
    </row>
    <row r="768" spans="2:3">
      <c r="B768" s="134">
        <v>45692</v>
      </c>
      <c r="C768">
        <v>378.38690000000003</v>
      </c>
    </row>
    <row r="769" spans="2:3">
      <c r="B769" s="134">
        <v>45693</v>
      </c>
      <c r="C769">
        <v>378.44290000000001</v>
      </c>
    </row>
    <row r="770" spans="2:3">
      <c r="B770" s="134">
        <v>45694</v>
      </c>
      <c r="C770">
        <v>378.49900000000002</v>
      </c>
    </row>
    <row r="771" spans="2:3">
      <c r="B771" s="134">
        <v>45695</v>
      </c>
      <c r="C771">
        <v>378.55500000000001</v>
      </c>
    </row>
    <row r="772" spans="2:3">
      <c r="B772" s="134">
        <v>45696</v>
      </c>
      <c r="C772">
        <v>378.61110000000002</v>
      </c>
    </row>
    <row r="773" spans="2:3">
      <c r="B773" s="134">
        <v>45697</v>
      </c>
      <c r="C773">
        <v>378.6671</v>
      </c>
    </row>
    <row r="774" spans="2:3">
      <c r="B774" s="134">
        <v>45698</v>
      </c>
      <c r="C774">
        <v>378.72320000000002</v>
      </c>
    </row>
    <row r="775" spans="2:3">
      <c r="B775" s="134">
        <v>45699</v>
      </c>
      <c r="C775">
        <v>378.77929999999998</v>
      </c>
    </row>
    <row r="776" spans="2:3">
      <c r="B776" s="134">
        <v>45700</v>
      </c>
      <c r="C776">
        <v>378.83530000000002</v>
      </c>
    </row>
    <row r="777" spans="2:3">
      <c r="B777" s="134">
        <v>45701</v>
      </c>
      <c r="C777">
        <v>378.89139999999998</v>
      </c>
    </row>
    <row r="778" spans="2:3">
      <c r="B778" s="134">
        <v>45702</v>
      </c>
      <c r="C778">
        <v>378.94749999999999</v>
      </c>
    </row>
    <row r="779" spans="2:3">
      <c r="B779" s="134">
        <v>45703</v>
      </c>
      <c r="C779">
        <v>379.00360000000001</v>
      </c>
    </row>
    <row r="780" spans="2:3">
      <c r="B780" s="134">
        <v>45704</v>
      </c>
      <c r="C780">
        <v>379.13029999999998</v>
      </c>
    </row>
    <row r="781" spans="2:3">
      <c r="B781" s="134">
        <v>45705</v>
      </c>
      <c r="C781">
        <v>379.25700000000001</v>
      </c>
    </row>
    <row r="782" spans="2:3">
      <c r="B782" s="134">
        <v>45706</v>
      </c>
      <c r="C782">
        <v>379.38369999999998</v>
      </c>
    </row>
    <row r="783" spans="2:3">
      <c r="B783" s="134">
        <v>45707</v>
      </c>
      <c r="C783">
        <v>379.51049999999998</v>
      </c>
    </row>
    <row r="784" spans="2:3">
      <c r="B784" s="134">
        <v>45708</v>
      </c>
      <c r="C784">
        <v>379.63729999999998</v>
      </c>
    </row>
    <row r="785" spans="2:3">
      <c r="B785" s="134">
        <v>45709</v>
      </c>
      <c r="C785">
        <v>379.76420000000002</v>
      </c>
    </row>
    <row r="786" spans="2:3">
      <c r="B786" s="134">
        <v>45710</v>
      </c>
      <c r="C786">
        <v>379.89109999999999</v>
      </c>
    </row>
    <row r="787" spans="2:3">
      <c r="B787" s="134">
        <v>45711</v>
      </c>
      <c r="C787">
        <v>380.0181</v>
      </c>
    </row>
    <row r="788" spans="2:3">
      <c r="B788" s="134">
        <v>45712</v>
      </c>
      <c r="C788">
        <v>380.14510000000001</v>
      </c>
    </row>
    <row r="789" spans="2:3">
      <c r="B789" s="134">
        <v>45713</v>
      </c>
      <c r="C789">
        <v>380.27210000000002</v>
      </c>
    </row>
    <row r="790" spans="2:3">
      <c r="B790" s="134">
        <v>45714</v>
      </c>
      <c r="C790">
        <v>380.39920000000001</v>
      </c>
    </row>
    <row r="791" spans="2:3">
      <c r="B791" s="134">
        <v>45715</v>
      </c>
      <c r="C791">
        <v>380.52640000000002</v>
      </c>
    </row>
    <row r="792" spans="2:3">
      <c r="B792" s="134">
        <v>45716</v>
      </c>
      <c r="C792">
        <v>380.65350000000001</v>
      </c>
    </row>
    <row r="793" spans="2:3">
      <c r="B793" s="134">
        <v>45717</v>
      </c>
      <c r="C793">
        <v>380.7808</v>
      </c>
    </row>
    <row r="794" spans="2:3">
      <c r="B794" s="134">
        <v>45718</v>
      </c>
      <c r="C794">
        <v>380.90800000000002</v>
      </c>
    </row>
    <row r="795" spans="2:3">
      <c r="B795" s="134">
        <v>45719</v>
      </c>
      <c r="C795">
        <v>381.03530000000001</v>
      </c>
    </row>
    <row r="796" spans="2:3">
      <c r="B796" s="134">
        <v>45720</v>
      </c>
      <c r="C796">
        <v>381.16269999999997</v>
      </c>
    </row>
    <row r="797" spans="2:3">
      <c r="B797" s="134">
        <v>45721</v>
      </c>
      <c r="C797">
        <v>381.29</v>
      </c>
    </row>
    <row r="798" spans="2:3">
      <c r="B798" s="134">
        <v>45722</v>
      </c>
      <c r="C798">
        <v>381.41750000000002</v>
      </c>
    </row>
    <row r="799" spans="2:3">
      <c r="B799" s="134">
        <v>45723</v>
      </c>
      <c r="C799">
        <v>381.54489999999998</v>
      </c>
    </row>
    <row r="800" spans="2:3">
      <c r="B800" s="134">
        <v>45724</v>
      </c>
      <c r="C800">
        <v>381.67239999999998</v>
      </c>
    </row>
    <row r="801" spans="2:3">
      <c r="B801" s="134">
        <v>45725</v>
      </c>
      <c r="C801">
        <v>381.8</v>
      </c>
    </row>
    <row r="802" spans="2:3">
      <c r="B802" s="134">
        <v>45726</v>
      </c>
      <c r="C802">
        <v>381.92759999999998</v>
      </c>
    </row>
    <row r="803" spans="2:3">
      <c r="B803" s="134">
        <v>45727</v>
      </c>
      <c r="C803">
        <v>382.05520000000001</v>
      </c>
    </row>
    <row r="804" spans="2:3">
      <c r="B804" s="134">
        <v>45728</v>
      </c>
      <c r="C804">
        <v>382.18290000000002</v>
      </c>
    </row>
    <row r="805" spans="2:3">
      <c r="B805" s="134">
        <v>45729</v>
      </c>
      <c r="C805">
        <v>382.3107</v>
      </c>
    </row>
    <row r="806" spans="2:3">
      <c r="B806" s="134">
        <v>45730</v>
      </c>
      <c r="C806">
        <v>382.4384</v>
      </c>
    </row>
    <row r="807" spans="2:3">
      <c r="B807" s="134">
        <v>45731</v>
      </c>
      <c r="C807">
        <v>382.56619999999998</v>
      </c>
    </row>
    <row r="808" spans="2:3">
      <c r="B808" s="134">
        <v>45732</v>
      </c>
      <c r="C808">
        <v>382.70609999999999</v>
      </c>
    </row>
    <row r="809" spans="2:3">
      <c r="B809" s="134">
        <v>45733</v>
      </c>
      <c r="C809">
        <v>382.84609999999998</v>
      </c>
    </row>
    <row r="810" spans="2:3">
      <c r="B810" s="134">
        <v>45734</v>
      </c>
      <c r="C810">
        <v>382.98610000000002</v>
      </c>
    </row>
    <row r="811" spans="2:3">
      <c r="B811" s="134">
        <v>45735</v>
      </c>
      <c r="C811">
        <v>383.12619999999998</v>
      </c>
    </row>
    <row r="812" spans="2:3">
      <c r="B812" s="134">
        <v>45736</v>
      </c>
      <c r="C812">
        <v>383.2663</v>
      </c>
    </row>
    <row r="813" spans="2:3">
      <c r="B813" s="134">
        <v>45737</v>
      </c>
      <c r="C813">
        <v>383.40649999999999</v>
      </c>
    </row>
    <row r="814" spans="2:3">
      <c r="B814" s="134">
        <v>45738</v>
      </c>
      <c r="C814">
        <v>383.54669999999999</v>
      </c>
    </row>
    <row r="815" spans="2:3">
      <c r="B815" s="134">
        <v>45739</v>
      </c>
      <c r="C815">
        <v>383.68700000000001</v>
      </c>
    </row>
    <row r="816" spans="2:3">
      <c r="B816" s="134">
        <v>45740</v>
      </c>
      <c r="C816">
        <v>383.82729999999998</v>
      </c>
    </row>
    <row r="817" spans="2:3">
      <c r="B817" s="134">
        <v>45741</v>
      </c>
      <c r="C817">
        <v>383.96769999999998</v>
      </c>
    </row>
    <row r="818" spans="2:3">
      <c r="B818" s="134">
        <v>45742</v>
      </c>
      <c r="C818">
        <v>384.10809999999998</v>
      </c>
    </row>
    <row r="819" spans="2:3">
      <c r="B819" s="134">
        <v>45743</v>
      </c>
      <c r="C819">
        <v>384.24860000000001</v>
      </c>
    </row>
    <row r="820" spans="2:3">
      <c r="B820" s="134">
        <v>45744</v>
      </c>
      <c r="C820">
        <v>384.38909999999998</v>
      </c>
    </row>
    <row r="821" spans="2:3">
      <c r="B821" s="134">
        <v>45745</v>
      </c>
      <c r="C821">
        <v>384.52969999999999</v>
      </c>
    </row>
    <row r="822" spans="2:3">
      <c r="B822" s="134">
        <v>45746</v>
      </c>
      <c r="C822">
        <v>384.6703</v>
      </c>
    </row>
    <row r="823" spans="2:3">
      <c r="B823" s="134">
        <v>45747</v>
      </c>
      <c r="C823">
        <v>384.81099999999998</v>
      </c>
    </row>
    <row r="824" spans="2:3">
      <c r="B824" s="134">
        <v>45748</v>
      </c>
      <c r="C824">
        <v>384.95170000000002</v>
      </c>
    </row>
    <row r="825" spans="2:3">
      <c r="B825" s="134">
        <v>45749</v>
      </c>
      <c r="C825">
        <v>385.09249999999997</v>
      </c>
    </row>
    <row r="826" spans="2:3">
      <c r="B826" s="134">
        <v>45750</v>
      </c>
      <c r="C826">
        <v>385.23340000000002</v>
      </c>
    </row>
    <row r="827" spans="2:3">
      <c r="B827" s="134">
        <v>45751</v>
      </c>
      <c r="C827">
        <v>385.37430000000001</v>
      </c>
    </row>
    <row r="828" spans="2:3">
      <c r="B828" s="134">
        <v>45752</v>
      </c>
      <c r="C828">
        <v>385.51519999999999</v>
      </c>
    </row>
    <row r="829" spans="2:3">
      <c r="B829" s="134">
        <v>45753</v>
      </c>
      <c r="C829">
        <v>385.65620000000001</v>
      </c>
    </row>
    <row r="830" spans="2:3">
      <c r="B830" s="134">
        <v>45754</v>
      </c>
      <c r="C830">
        <v>385.79719999999998</v>
      </c>
    </row>
    <row r="831" spans="2:3">
      <c r="B831" s="134">
        <v>45755</v>
      </c>
      <c r="C831">
        <v>385.93830000000003</v>
      </c>
    </row>
    <row r="832" spans="2:3">
      <c r="B832" s="134">
        <v>45756</v>
      </c>
      <c r="C832">
        <v>386.0795</v>
      </c>
    </row>
    <row r="833" spans="2:3">
      <c r="B833" s="134">
        <v>45757</v>
      </c>
      <c r="C833">
        <v>386.22070000000002</v>
      </c>
    </row>
    <row r="834" spans="2:3">
      <c r="B834" s="134">
        <v>45758</v>
      </c>
      <c r="C834">
        <v>386.36189999999999</v>
      </c>
    </row>
    <row r="835" spans="2:3">
      <c r="B835" s="134">
        <v>45759</v>
      </c>
      <c r="C835">
        <v>386.50319999999999</v>
      </c>
    </row>
    <row r="836" spans="2:3">
      <c r="B836" s="134">
        <v>45760</v>
      </c>
      <c r="C836">
        <v>386.64460000000003</v>
      </c>
    </row>
    <row r="837" spans="2:3">
      <c r="B837" s="134">
        <v>45761</v>
      </c>
      <c r="C837">
        <v>386.786</v>
      </c>
    </row>
    <row r="838" spans="2:3">
      <c r="B838" s="134">
        <v>45762</v>
      </c>
      <c r="C838">
        <v>386.92750000000001</v>
      </c>
    </row>
    <row r="839" spans="2:3">
      <c r="B839" s="134">
        <v>45763</v>
      </c>
      <c r="C839">
        <v>386.99439999999998</v>
      </c>
    </row>
    <row r="840" spans="2:3">
      <c r="B840" s="134">
        <v>45764</v>
      </c>
      <c r="C840">
        <v>387.06130000000002</v>
      </c>
    </row>
    <row r="841" spans="2:3">
      <c r="B841" s="134">
        <v>45765</v>
      </c>
      <c r="C841">
        <v>387.12819999999999</v>
      </c>
    </row>
    <row r="842" spans="2:3">
      <c r="B842" s="134">
        <v>45766</v>
      </c>
      <c r="C842">
        <v>387.1952</v>
      </c>
    </row>
    <row r="843" spans="2:3">
      <c r="B843" s="134">
        <v>45767</v>
      </c>
      <c r="C843">
        <v>387.26209999999998</v>
      </c>
    </row>
    <row r="844" spans="2:3">
      <c r="B844" s="134">
        <v>45768</v>
      </c>
      <c r="C844">
        <v>387.32909999999998</v>
      </c>
    </row>
    <row r="845" spans="2:3">
      <c r="B845" s="134">
        <v>45769</v>
      </c>
      <c r="C845">
        <v>387.39600000000002</v>
      </c>
    </row>
    <row r="846" spans="2:3">
      <c r="B846" s="134">
        <v>45770</v>
      </c>
      <c r="C846">
        <v>387.46300000000002</v>
      </c>
    </row>
    <row r="847" spans="2:3">
      <c r="B847" s="134">
        <v>45771</v>
      </c>
      <c r="C847">
        <v>387.53</v>
      </c>
    </row>
    <row r="848" spans="2:3">
      <c r="B848" s="134">
        <v>45772</v>
      </c>
      <c r="C848">
        <v>387.59699999999998</v>
      </c>
    </row>
    <row r="849" spans="2:3">
      <c r="B849" s="134">
        <v>45773</v>
      </c>
      <c r="C849">
        <v>387.66399999999999</v>
      </c>
    </row>
    <row r="850" spans="2:3">
      <c r="B850" s="134">
        <v>45774</v>
      </c>
      <c r="C850">
        <v>387.73110000000003</v>
      </c>
    </row>
    <row r="851" spans="2:3">
      <c r="B851" s="134">
        <v>45775</v>
      </c>
      <c r="C851">
        <v>387.79809999999998</v>
      </c>
    </row>
    <row r="852" spans="2:3">
      <c r="B852" s="134">
        <v>45776</v>
      </c>
      <c r="C852">
        <v>387.86509999999998</v>
      </c>
    </row>
    <row r="853" spans="2:3">
      <c r="B853" s="134">
        <v>45777</v>
      </c>
      <c r="C853">
        <v>387.93220000000002</v>
      </c>
    </row>
    <row r="854" spans="2:3">
      <c r="B854" s="134">
        <v>45778</v>
      </c>
      <c r="C854">
        <v>387.99930000000001</v>
      </c>
    </row>
    <row r="855" spans="2:3">
      <c r="B855" s="134">
        <v>45779</v>
      </c>
      <c r="C855">
        <v>388.06639999999999</v>
      </c>
    </row>
    <row r="856" spans="2:3">
      <c r="B856" s="134">
        <v>45780</v>
      </c>
      <c r="C856">
        <v>388.13350000000003</v>
      </c>
    </row>
    <row r="857" spans="2:3">
      <c r="B857" s="134">
        <v>45781</v>
      </c>
      <c r="C857">
        <v>388.20060000000001</v>
      </c>
    </row>
    <row r="858" spans="2:3">
      <c r="B858" s="134">
        <v>45782</v>
      </c>
      <c r="C858">
        <v>388.26769999999999</v>
      </c>
    </row>
    <row r="859" spans="2:3">
      <c r="B859" s="134">
        <v>45783</v>
      </c>
      <c r="C859">
        <v>388.33479999999997</v>
      </c>
    </row>
    <row r="860" spans="2:3">
      <c r="B860" s="134">
        <v>45784</v>
      </c>
      <c r="C860">
        <v>388.40199999999999</v>
      </c>
    </row>
    <row r="861" spans="2:3">
      <c r="B861" s="134">
        <v>45785</v>
      </c>
      <c r="C861">
        <v>388.46910000000003</v>
      </c>
    </row>
    <row r="862" spans="2:3">
      <c r="B862" s="134">
        <v>45786</v>
      </c>
      <c r="C862">
        <v>388.53629999999998</v>
      </c>
    </row>
    <row r="863" spans="2:3">
      <c r="B863" s="134">
        <v>45787</v>
      </c>
      <c r="C863">
        <v>388.6035</v>
      </c>
    </row>
    <row r="864" spans="2:3">
      <c r="B864" s="134">
        <v>45788</v>
      </c>
      <c r="C864">
        <v>388.67059999999998</v>
      </c>
    </row>
    <row r="865" spans="2:3">
      <c r="B865" s="134">
        <v>45789</v>
      </c>
      <c r="C865">
        <v>388.73790000000002</v>
      </c>
    </row>
    <row r="866" spans="2:3">
      <c r="B866" s="134">
        <v>45790</v>
      </c>
      <c r="C866">
        <v>388.80509999999998</v>
      </c>
    </row>
    <row r="867" spans="2:3">
      <c r="B867" s="134">
        <v>45791</v>
      </c>
      <c r="C867">
        <v>388.8723</v>
      </c>
    </row>
    <row r="868" spans="2:3">
      <c r="B868" s="134">
        <v>45792</v>
      </c>
      <c r="C868">
        <v>388.93950000000001</v>
      </c>
    </row>
    <row r="869" spans="2:3">
      <c r="B869" s="134">
        <v>45793</v>
      </c>
      <c r="C869" s="179">
        <v>389.02199999999999</v>
      </c>
    </row>
    <row r="870" spans="2:3">
      <c r="B870" s="134">
        <v>45794</v>
      </c>
      <c r="C870" s="179">
        <v>389.1046</v>
      </c>
    </row>
    <row r="871" spans="2:3">
      <c r="B871" s="134">
        <v>45795</v>
      </c>
      <c r="C871" s="179">
        <v>389.18720000000002</v>
      </c>
    </row>
    <row r="872" spans="2:3">
      <c r="B872" s="134">
        <v>45796</v>
      </c>
      <c r="C872" s="179">
        <v>389.26979999999998</v>
      </c>
    </row>
    <row r="873" spans="2:3">
      <c r="B873" s="134">
        <v>45797</v>
      </c>
      <c r="C873" s="179">
        <v>389.35239999999999</v>
      </c>
    </row>
    <row r="874" spans="2:3">
      <c r="B874" s="134">
        <v>45798</v>
      </c>
      <c r="C874" s="179">
        <v>389.435</v>
      </c>
    </row>
    <row r="875" spans="2:3">
      <c r="B875" s="134">
        <v>45799</v>
      </c>
      <c r="C875" s="179">
        <v>389.51769999999999</v>
      </c>
    </row>
    <row r="876" spans="2:3">
      <c r="B876" s="134">
        <v>45800</v>
      </c>
      <c r="C876" s="179">
        <v>389.6003</v>
      </c>
    </row>
    <row r="877" spans="2:3">
      <c r="B877" s="134">
        <v>45801</v>
      </c>
      <c r="C877" s="179">
        <v>389.68299999999999</v>
      </c>
    </row>
    <row r="878" spans="2:3">
      <c r="B878" s="134">
        <v>45802</v>
      </c>
      <c r="C878" s="179">
        <v>389.76569999999998</v>
      </c>
    </row>
    <row r="879" spans="2:3">
      <c r="B879" s="134">
        <v>45803</v>
      </c>
      <c r="C879" s="179">
        <v>389.84840000000003</v>
      </c>
    </row>
    <row r="880" spans="2:3">
      <c r="B880" s="134">
        <v>45804</v>
      </c>
      <c r="C880" s="179">
        <v>389.93119999999999</v>
      </c>
    </row>
    <row r="881" spans="2:3">
      <c r="B881" s="134">
        <v>45805</v>
      </c>
      <c r="C881" s="179">
        <v>390.01389999999998</v>
      </c>
    </row>
    <row r="882" spans="2:3">
      <c r="B882" s="134">
        <v>45806</v>
      </c>
      <c r="C882" s="179">
        <v>390.0967</v>
      </c>
    </row>
    <row r="883" spans="2:3">
      <c r="B883" s="134">
        <v>45807</v>
      </c>
      <c r="C883" s="179">
        <v>390.17950000000002</v>
      </c>
    </row>
    <row r="884" spans="2:3">
      <c r="B884" s="134">
        <v>45808</v>
      </c>
      <c r="C884" s="179">
        <v>390.26229999999998</v>
      </c>
    </row>
    <row r="885" spans="2:3">
      <c r="B885" s="134">
        <v>45809</v>
      </c>
      <c r="C885" s="179">
        <v>390.3451</v>
      </c>
    </row>
    <row r="886" spans="2:3">
      <c r="B886" s="134">
        <v>45810</v>
      </c>
      <c r="C886" s="179">
        <v>390.428</v>
      </c>
    </row>
    <row r="887" spans="2:3">
      <c r="B887" s="134">
        <v>45811</v>
      </c>
      <c r="C887" s="179">
        <v>390.51080000000002</v>
      </c>
    </row>
    <row r="888" spans="2:3">
      <c r="B888" s="134">
        <v>45812</v>
      </c>
      <c r="C888" s="179">
        <v>390.59370000000001</v>
      </c>
    </row>
    <row r="889" spans="2:3">
      <c r="B889" s="134">
        <v>45813</v>
      </c>
      <c r="C889" s="179">
        <v>390.67660000000001</v>
      </c>
    </row>
    <row r="890" spans="2:3">
      <c r="B890" s="134">
        <v>45814</v>
      </c>
      <c r="C890" s="179">
        <v>390.7595</v>
      </c>
    </row>
    <row r="891" spans="2:3">
      <c r="B891" s="134">
        <v>45815</v>
      </c>
      <c r="C891" s="179">
        <v>390.8424</v>
      </c>
    </row>
    <row r="892" spans="2:3">
      <c r="B892" s="134">
        <v>45816</v>
      </c>
      <c r="C892" s="179">
        <v>390.92540000000002</v>
      </c>
    </row>
    <row r="893" spans="2:3">
      <c r="B893" s="134">
        <v>45817</v>
      </c>
      <c r="C893" s="179">
        <v>391.00830000000002</v>
      </c>
    </row>
    <row r="894" spans="2:3">
      <c r="B894" s="134">
        <v>45818</v>
      </c>
      <c r="C894" s="179">
        <v>391.09129999999999</v>
      </c>
    </row>
    <row r="895" spans="2:3">
      <c r="B895" s="134">
        <v>45819</v>
      </c>
      <c r="C895" s="179">
        <v>391.17430000000002</v>
      </c>
    </row>
    <row r="896" spans="2:3">
      <c r="B896" s="134">
        <v>45820</v>
      </c>
      <c r="C896" s="179">
        <v>391.25729999999999</v>
      </c>
    </row>
    <row r="897" spans="2:3">
      <c r="B897" s="134">
        <v>45821</v>
      </c>
      <c r="C897" s="179">
        <v>391.34039999999999</v>
      </c>
    </row>
    <row r="898" spans="2:3">
      <c r="B898" s="134">
        <v>45822</v>
      </c>
      <c r="C898" s="179">
        <v>391.42340000000002</v>
      </c>
    </row>
    <row r="899" spans="2:3">
      <c r="B899" s="134">
        <v>45823</v>
      </c>
      <c r="C899" s="179">
        <v>391.50650000000002</v>
      </c>
    </row>
    <row r="900" spans="2:3">
      <c r="B900" s="134">
        <v>45824</v>
      </c>
      <c r="C900">
        <v>391.54820000000001</v>
      </c>
    </row>
    <row r="901" spans="2:3">
      <c r="B901" s="134">
        <v>45825</v>
      </c>
      <c r="C901">
        <v>391.5899</v>
      </c>
    </row>
    <row r="902" spans="2:3">
      <c r="B902" s="134">
        <v>45826</v>
      </c>
      <c r="C902">
        <v>391.63159999999999</v>
      </c>
    </row>
    <row r="903" spans="2:3">
      <c r="B903" s="134">
        <v>45827</v>
      </c>
      <c r="C903">
        <v>391.67329999999998</v>
      </c>
    </row>
    <row r="904" spans="2:3">
      <c r="B904" s="134">
        <v>45828</v>
      </c>
      <c r="C904">
        <v>391.71499999999997</v>
      </c>
    </row>
    <row r="905" spans="2:3">
      <c r="B905" s="134">
        <v>45829</v>
      </c>
      <c r="C905">
        <v>391.75670000000002</v>
      </c>
    </row>
    <row r="906" spans="2:3">
      <c r="B906" s="134">
        <v>45830</v>
      </c>
      <c r="C906">
        <v>391.79849999999999</v>
      </c>
    </row>
    <row r="907" spans="2:3">
      <c r="B907" s="134">
        <v>45831</v>
      </c>
      <c r="C907">
        <v>391.84019999999998</v>
      </c>
    </row>
    <row r="908" spans="2:3">
      <c r="B908" s="134">
        <v>45832</v>
      </c>
      <c r="C908">
        <v>391.88189999999997</v>
      </c>
    </row>
    <row r="909" spans="2:3">
      <c r="B909" s="134">
        <v>45833</v>
      </c>
      <c r="C909">
        <v>391.9237</v>
      </c>
    </row>
    <row r="910" spans="2:3">
      <c r="B910" s="134">
        <v>45834</v>
      </c>
      <c r="C910">
        <v>391.96539999999999</v>
      </c>
    </row>
    <row r="911" spans="2:3">
      <c r="B911" s="134">
        <v>45835</v>
      </c>
      <c r="C911">
        <v>392.00709999999998</v>
      </c>
    </row>
    <row r="912" spans="2:3">
      <c r="B912" s="134">
        <v>45836</v>
      </c>
      <c r="C912">
        <v>392.0489</v>
      </c>
    </row>
    <row r="913" spans="2:3">
      <c r="B913" s="134">
        <v>45837</v>
      </c>
      <c r="C913">
        <v>392.09070000000003</v>
      </c>
    </row>
    <row r="914" spans="2:3">
      <c r="B914" s="134">
        <v>45838</v>
      </c>
      <c r="C914">
        <v>392.13240000000002</v>
      </c>
    </row>
    <row r="915" spans="2:3">
      <c r="B915" s="134">
        <v>45839</v>
      </c>
      <c r="C915">
        <v>392.17419999999998</v>
      </c>
    </row>
    <row r="916" spans="2:3">
      <c r="B916" s="134">
        <v>45840</v>
      </c>
      <c r="C916">
        <v>392.21589999999998</v>
      </c>
    </row>
    <row r="917" spans="2:3">
      <c r="B917" s="134">
        <v>45841</v>
      </c>
      <c r="C917">
        <v>392.2577</v>
      </c>
    </row>
    <row r="918" spans="2:3">
      <c r="B918" s="134">
        <v>45842</v>
      </c>
      <c r="C918">
        <v>392.29950000000002</v>
      </c>
    </row>
    <row r="919" spans="2:3">
      <c r="B919" s="134">
        <v>45843</v>
      </c>
      <c r="C919">
        <v>392.34129999999999</v>
      </c>
    </row>
    <row r="920" spans="2:3">
      <c r="B920" s="134">
        <v>45844</v>
      </c>
      <c r="C920">
        <v>392.38310000000001</v>
      </c>
    </row>
    <row r="921" spans="2:3">
      <c r="B921" s="134">
        <v>45845</v>
      </c>
      <c r="C921">
        <v>392.4248</v>
      </c>
    </row>
    <row r="922" spans="2:3">
      <c r="B922" s="134">
        <v>45846</v>
      </c>
      <c r="C922">
        <v>392.46660000000003</v>
      </c>
    </row>
    <row r="923" spans="2:3">
      <c r="B923" s="134">
        <v>45847</v>
      </c>
      <c r="C923">
        <v>392.50839999999999</v>
      </c>
    </row>
    <row r="924" spans="2:3">
      <c r="B924" s="134">
        <v>45848</v>
      </c>
      <c r="C924">
        <v>392.55020000000002</v>
      </c>
    </row>
    <row r="925" spans="2:3">
      <c r="B925" s="134">
        <v>45849</v>
      </c>
      <c r="C925">
        <v>392.59199999999998</v>
      </c>
    </row>
    <row r="926" spans="2:3">
      <c r="B926" s="134">
        <v>45850</v>
      </c>
      <c r="C926">
        <v>392.63389999999998</v>
      </c>
    </row>
    <row r="927" spans="2:3">
      <c r="B927" s="134">
        <v>45851</v>
      </c>
      <c r="C927">
        <v>392.67570000000001</v>
      </c>
    </row>
    <row r="928" spans="2:3">
      <c r="B928" s="134">
        <v>45852</v>
      </c>
      <c r="C928">
        <v>392.71749999999997</v>
      </c>
    </row>
    <row r="929" spans="2:3">
      <c r="B929" s="134">
        <v>45853</v>
      </c>
      <c r="C929">
        <v>392.7593</v>
      </c>
    </row>
    <row r="930" spans="2:3">
      <c r="B930" s="134">
        <v>45854</v>
      </c>
      <c r="C930">
        <v>392.77199999999999</v>
      </c>
    </row>
    <row r="931" spans="2:3">
      <c r="B931" s="134">
        <v>45855</v>
      </c>
      <c r="C931">
        <v>392.78460000000001</v>
      </c>
    </row>
    <row r="932" spans="2:3">
      <c r="B932" s="134">
        <v>45856</v>
      </c>
      <c r="C932">
        <v>392.79730000000001</v>
      </c>
    </row>
    <row r="933" spans="2:3">
      <c r="B933" s="134">
        <v>45857</v>
      </c>
      <c r="C933">
        <v>392.81</v>
      </c>
    </row>
    <row r="934" spans="2:3">
      <c r="B934" s="134">
        <v>45858</v>
      </c>
      <c r="C934">
        <v>392.82260000000002</v>
      </c>
    </row>
    <row r="935" spans="2:3">
      <c r="B935" s="134">
        <v>45859</v>
      </c>
      <c r="C935">
        <v>392.83530000000002</v>
      </c>
    </row>
    <row r="936" spans="2:3">
      <c r="B936" s="134">
        <v>45860</v>
      </c>
      <c r="C936">
        <v>392.84800000000001</v>
      </c>
    </row>
    <row r="937" spans="2:3">
      <c r="B937" s="134">
        <v>45861</v>
      </c>
      <c r="C937">
        <v>392.86059999999998</v>
      </c>
    </row>
    <row r="938" spans="2:3">
      <c r="B938" s="134">
        <v>45862</v>
      </c>
      <c r="C938">
        <v>392.87329999999997</v>
      </c>
    </row>
    <row r="939" spans="2:3">
      <c r="B939" s="134">
        <v>45863</v>
      </c>
      <c r="C939">
        <v>392.88600000000002</v>
      </c>
    </row>
    <row r="940" spans="2:3">
      <c r="B940" s="134">
        <v>45864</v>
      </c>
      <c r="C940">
        <v>392.89859999999999</v>
      </c>
    </row>
    <row r="941" spans="2:3">
      <c r="B941" s="134">
        <v>45865</v>
      </c>
      <c r="C941">
        <v>392.91129999999998</v>
      </c>
    </row>
    <row r="942" spans="2:3">
      <c r="B942" s="134">
        <v>45866</v>
      </c>
      <c r="C942">
        <v>392.92399999999998</v>
      </c>
    </row>
    <row r="943" spans="2:3">
      <c r="B943" s="134">
        <v>45867</v>
      </c>
      <c r="C943">
        <v>392.9366</v>
      </c>
    </row>
    <row r="944" spans="2:3">
      <c r="B944" s="134">
        <v>45868</v>
      </c>
      <c r="C944">
        <v>392.94929999999999</v>
      </c>
    </row>
    <row r="945" spans="2:3">
      <c r="B945" s="134">
        <v>45869</v>
      </c>
      <c r="C945">
        <v>392.96199999999999</v>
      </c>
    </row>
    <row r="946" spans="2:3">
      <c r="B946" s="134">
        <v>45870</v>
      </c>
      <c r="C946">
        <v>392.97460000000001</v>
      </c>
    </row>
    <row r="947" spans="2:3">
      <c r="B947" s="134">
        <v>45871</v>
      </c>
      <c r="C947">
        <v>392.9873</v>
      </c>
    </row>
    <row r="948" spans="2:3">
      <c r="B948" s="134">
        <v>45872</v>
      </c>
      <c r="C948">
        <v>393</v>
      </c>
    </row>
    <row r="949" spans="2:3">
      <c r="B949" s="134">
        <v>45873</v>
      </c>
      <c r="C949">
        <v>393.01260000000002</v>
      </c>
    </row>
    <row r="950" spans="2:3">
      <c r="B950" s="134">
        <v>45874</v>
      </c>
      <c r="C950">
        <v>393.02530000000002</v>
      </c>
    </row>
    <row r="951" spans="2:3">
      <c r="B951" s="134">
        <v>45875</v>
      </c>
      <c r="C951">
        <v>393.03800000000001</v>
      </c>
    </row>
    <row r="952" spans="2:3">
      <c r="B952" s="134">
        <v>45876</v>
      </c>
      <c r="C952">
        <v>393.05070000000001</v>
      </c>
    </row>
    <row r="953" spans="2:3">
      <c r="B953" s="134">
        <v>45877</v>
      </c>
      <c r="C953">
        <v>393.06330000000003</v>
      </c>
    </row>
    <row r="954" spans="2:3">
      <c r="B954" s="134">
        <v>45878</v>
      </c>
      <c r="C954">
        <v>393.07600000000002</v>
      </c>
    </row>
    <row r="955" spans="2:3">
      <c r="B955" s="134">
        <v>45879</v>
      </c>
      <c r="C955">
        <v>393.08870000000002</v>
      </c>
    </row>
    <row r="956" spans="2:3">
      <c r="B956" s="134">
        <v>45880</v>
      </c>
      <c r="C956">
        <v>393.10140000000001</v>
      </c>
    </row>
    <row r="957" spans="2:3">
      <c r="B957" s="134">
        <v>45881</v>
      </c>
      <c r="C957">
        <v>393.11399999999998</v>
      </c>
    </row>
    <row r="958" spans="2:3">
      <c r="B958" s="134">
        <v>45882</v>
      </c>
      <c r="C958">
        <v>393.12670000000003</v>
      </c>
    </row>
    <row r="959" spans="2:3">
      <c r="B959" s="134">
        <v>45883</v>
      </c>
      <c r="C959">
        <v>393.13940000000002</v>
      </c>
    </row>
    <row r="960" spans="2:3">
      <c r="B960" s="134">
        <v>45884</v>
      </c>
      <c r="C960">
        <v>393.15210000000002</v>
      </c>
    </row>
    <row r="961" spans="2:3">
      <c r="B961" s="134">
        <v>45885</v>
      </c>
      <c r="C961" s="507">
        <v>393.18759999999997</v>
      </c>
    </row>
    <row r="962" spans="2:3">
      <c r="B962" s="134">
        <v>45886</v>
      </c>
      <c r="C962" s="507">
        <v>393.22300000000001</v>
      </c>
    </row>
    <row r="963" spans="2:3">
      <c r="B963" s="134">
        <v>45887</v>
      </c>
      <c r="C963" s="507">
        <v>393.25850000000003</v>
      </c>
    </row>
    <row r="964" spans="2:3">
      <c r="B964" s="134">
        <v>45888</v>
      </c>
      <c r="C964" s="507">
        <v>393.29399999999998</v>
      </c>
    </row>
    <row r="965" spans="2:3">
      <c r="B965" s="134">
        <v>45889</v>
      </c>
      <c r="C965" s="507">
        <v>393.32940000000002</v>
      </c>
    </row>
    <row r="966" spans="2:3">
      <c r="B966" s="134">
        <v>45890</v>
      </c>
      <c r="C966" s="507">
        <v>393.36489999999998</v>
      </c>
    </row>
    <row r="967" spans="2:3">
      <c r="B967" s="134">
        <v>45891</v>
      </c>
      <c r="C967" s="507">
        <v>393.40039999999999</v>
      </c>
    </row>
    <row r="968" spans="2:3">
      <c r="B968" s="134">
        <v>45892</v>
      </c>
      <c r="C968" s="507">
        <v>393.4359</v>
      </c>
    </row>
    <row r="969" spans="2:3">
      <c r="B969" s="134">
        <v>45893</v>
      </c>
      <c r="C969" s="507">
        <v>393.47140000000002</v>
      </c>
    </row>
    <row r="970" spans="2:3">
      <c r="B970" s="134">
        <v>45894</v>
      </c>
      <c r="C970" s="507">
        <v>393.50689999999997</v>
      </c>
    </row>
    <row r="971" spans="2:3">
      <c r="B971" s="134">
        <v>45895</v>
      </c>
      <c r="C971" s="507">
        <v>393.54239999999999</v>
      </c>
    </row>
    <row r="972" spans="2:3">
      <c r="B972" s="134">
        <v>45896</v>
      </c>
      <c r="C972" s="507">
        <v>393.5779</v>
      </c>
    </row>
    <row r="973" spans="2:3">
      <c r="B973" s="134">
        <v>45897</v>
      </c>
      <c r="C973" s="507">
        <v>393.61340000000001</v>
      </c>
    </row>
    <row r="974" spans="2:3">
      <c r="B974" s="134">
        <v>45898</v>
      </c>
      <c r="C974" s="507">
        <v>393.64890000000003</v>
      </c>
    </row>
    <row r="975" spans="2:3">
      <c r="B975" s="134">
        <v>45899</v>
      </c>
      <c r="C975" s="507">
        <v>393.68439999999998</v>
      </c>
    </row>
    <row r="976" spans="2:3">
      <c r="B976" s="134">
        <v>45900</v>
      </c>
      <c r="C976" s="507">
        <v>393.7199</v>
      </c>
    </row>
    <row r="977" spans="2:3">
      <c r="B977" s="134">
        <v>45901</v>
      </c>
      <c r="C977" s="507">
        <v>393.75540000000001</v>
      </c>
    </row>
    <row r="978" spans="2:3">
      <c r="B978" s="134">
        <v>45902</v>
      </c>
      <c r="C978" s="507">
        <v>393.79090000000002</v>
      </c>
    </row>
    <row r="979" spans="2:3">
      <c r="B979" s="134">
        <v>45903</v>
      </c>
      <c r="C979" s="507">
        <v>393.82639999999998</v>
      </c>
    </row>
    <row r="980" spans="2:3">
      <c r="B980" s="134">
        <v>45904</v>
      </c>
      <c r="C980" s="507">
        <v>393.86200000000002</v>
      </c>
    </row>
    <row r="981" spans="2:3">
      <c r="B981" s="134">
        <v>45905</v>
      </c>
      <c r="C981" s="507">
        <v>393.89749999999998</v>
      </c>
    </row>
    <row r="982" spans="2:3">
      <c r="B982" s="134">
        <v>45906</v>
      </c>
      <c r="C982" s="507">
        <v>393.93299999999999</v>
      </c>
    </row>
    <row r="983" spans="2:3">
      <c r="B983" s="134">
        <v>45907</v>
      </c>
      <c r="C983" s="507">
        <v>393.96850000000001</v>
      </c>
    </row>
    <row r="984" spans="2:3">
      <c r="B984" s="134">
        <v>45908</v>
      </c>
      <c r="C984" s="507">
        <v>394.00409999999999</v>
      </c>
    </row>
    <row r="985" spans="2:3">
      <c r="B985" s="134">
        <v>45909</v>
      </c>
      <c r="C985" s="507">
        <v>394.03960000000001</v>
      </c>
    </row>
    <row r="986" spans="2:3">
      <c r="B986" s="134">
        <v>45910</v>
      </c>
      <c r="C986" s="507">
        <v>394.0752</v>
      </c>
    </row>
    <row r="987" spans="2:3">
      <c r="B987" s="134">
        <v>45911</v>
      </c>
      <c r="C987" s="507">
        <v>394.11070000000001</v>
      </c>
    </row>
    <row r="988" spans="2:3">
      <c r="B988" s="134">
        <v>45912</v>
      </c>
      <c r="C988" s="507">
        <v>394.1463</v>
      </c>
    </row>
    <row r="989" spans="2:3">
      <c r="B989" s="134">
        <v>45913</v>
      </c>
      <c r="C989" s="507">
        <v>394.18180000000001</v>
      </c>
    </row>
    <row r="990" spans="2:3">
      <c r="B990" s="134">
        <v>45914</v>
      </c>
      <c r="C990" s="507">
        <v>394.2174</v>
      </c>
    </row>
    <row r="991" spans="2:3">
      <c r="B991" s="134">
        <v>45915</v>
      </c>
      <c r="C991" s="507">
        <v>394.25290000000001</v>
      </c>
    </row>
    <row r="992" spans="2:3">
      <c r="B992" s="134">
        <v>45916</v>
      </c>
      <c r="C992" s="507">
        <v>394.27780000000001</v>
      </c>
    </row>
    <row r="993" spans="2:3">
      <c r="B993" s="134">
        <v>45917</v>
      </c>
      <c r="C993" s="507">
        <v>394.30279999999999</v>
      </c>
    </row>
    <row r="994" spans="2:3">
      <c r="B994" s="134">
        <v>45918</v>
      </c>
      <c r="C994" s="507">
        <v>394.32769999999999</v>
      </c>
    </row>
    <row r="995" spans="2:3">
      <c r="B995" s="134">
        <v>45919</v>
      </c>
      <c r="C995" s="507">
        <v>394.35270000000003</v>
      </c>
    </row>
    <row r="996" spans="2:3">
      <c r="B996" s="134">
        <v>45920</v>
      </c>
      <c r="C996" s="507">
        <v>394.37759999999997</v>
      </c>
    </row>
    <row r="997" spans="2:3">
      <c r="B997" s="134">
        <v>45921</v>
      </c>
      <c r="C997" s="507">
        <v>394.40260000000001</v>
      </c>
    </row>
    <row r="998" spans="2:3">
      <c r="B998" s="134">
        <v>45922</v>
      </c>
      <c r="C998" s="507">
        <v>394.42759999999998</v>
      </c>
    </row>
    <row r="999" spans="2:3">
      <c r="B999" s="134">
        <v>45923</v>
      </c>
      <c r="C999" s="507">
        <v>394.45249999999999</v>
      </c>
    </row>
    <row r="1000" spans="2:3">
      <c r="B1000" s="134">
        <v>45924</v>
      </c>
      <c r="C1000" s="507">
        <v>394.47750000000002</v>
      </c>
    </row>
    <row r="1001" spans="2:3">
      <c r="B1001" s="134">
        <v>45925</v>
      </c>
      <c r="C1001" s="507">
        <v>394.50240000000002</v>
      </c>
    </row>
    <row r="1002" spans="2:3">
      <c r="B1002" s="134">
        <v>45926</v>
      </c>
      <c r="C1002" s="507">
        <v>394.5274</v>
      </c>
    </row>
    <row r="1003" spans="2:3">
      <c r="B1003" s="134">
        <v>45927</v>
      </c>
      <c r="C1003" s="507">
        <v>394.55239999999998</v>
      </c>
    </row>
    <row r="1004" spans="2:3">
      <c r="B1004" s="134">
        <v>45928</v>
      </c>
      <c r="C1004" s="507">
        <v>394.57729999999998</v>
      </c>
    </row>
    <row r="1005" spans="2:3">
      <c r="B1005" s="134">
        <v>45929</v>
      </c>
      <c r="C1005" s="507">
        <v>394.60230000000001</v>
      </c>
    </row>
    <row r="1006" spans="2:3">
      <c r="B1006" s="134">
        <v>45930</v>
      </c>
      <c r="C1006" s="507">
        <v>394.62729999999999</v>
      </c>
    </row>
    <row r="1007" spans="2:3">
      <c r="B1007" s="134">
        <v>45931</v>
      </c>
      <c r="C1007" s="507">
        <v>394.65219999999999</v>
      </c>
    </row>
    <row r="1008" spans="2:3">
      <c r="B1008" s="134">
        <v>45932</v>
      </c>
      <c r="C1008" s="507">
        <v>394.67720000000003</v>
      </c>
    </row>
    <row r="1009" spans="2:3">
      <c r="B1009" s="134">
        <v>45933</v>
      </c>
      <c r="C1009" s="507">
        <v>394.7022</v>
      </c>
    </row>
    <row r="1010" spans="2:3">
      <c r="B1010" s="134">
        <v>45934</v>
      </c>
      <c r="C1010" s="507">
        <v>394.72719999999998</v>
      </c>
    </row>
    <row r="1011" spans="2:3">
      <c r="B1011" s="134">
        <v>45935</v>
      </c>
      <c r="C1011" s="507">
        <v>394.75209999999998</v>
      </c>
    </row>
    <row r="1012" spans="2:3">
      <c r="B1012" s="134">
        <v>45936</v>
      </c>
      <c r="C1012" s="507">
        <v>394.77710000000002</v>
      </c>
    </row>
    <row r="1013" spans="2:3">
      <c r="B1013" s="134">
        <v>45937</v>
      </c>
      <c r="C1013" s="507">
        <v>394.8021</v>
      </c>
    </row>
    <row r="1014" spans="2:3">
      <c r="B1014" s="134">
        <v>45938</v>
      </c>
      <c r="C1014" s="507">
        <v>394.82709999999997</v>
      </c>
    </row>
    <row r="1015" spans="2:3">
      <c r="B1015" s="134">
        <v>45939</v>
      </c>
      <c r="C1015" s="507">
        <v>394.85210000000001</v>
      </c>
    </row>
    <row r="1016" spans="2:3">
      <c r="B1016" s="134">
        <v>45940</v>
      </c>
      <c r="C1016" s="507">
        <v>394.87700000000001</v>
      </c>
    </row>
    <row r="1017" spans="2:3">
      <c r="B1017" s="134">
        <v>45941</v>
      </c>
      <c r="C1017" s="507">
        <v>394.90199999999999</v>
      </c>
    </row>
    <row r="1018" spans="2:3">
      <c r="B1018" s="134">
        <v>45942</v>
      </c>
      <c r="C1018" s="507">
        <v>394.92700000000002</v>
      </c>
    </row>
    <row r="1019" spans="2:3">
      <c r="B1019" s="134">
        <v>45943</v>
      </c>
      <c r="C1019" s="507">
        <v>394.952</v>
      </c>
    </row>
    <row r="1020" spans="2:3">
      <c r="B1020" s="134">
        <v>45944</v>
      </c>
      <c r="C1020" s="507">
        <v>394.97699999999998</v>
      </c>
    </row>
    <row r="1021" spans="2:3">
      <c r="B1021" s="134">
        <v>45945</v>
      </c>
      <c r="C1021" s="507">
        <v>395.00200000000001</v>
      </c>
    </row>
    <row r="1022" spans="2:3">
      <c r="B1022" s="134">
        <v>45946</v>
      </c>
      <c r="C1022" s="507">
        <v>395.04270000000002</v>
      </c>
    </row>
    <row r="1023" spans="2:3">
      <c r="B1023" s="134">
        <v>45947</v>
      </c>
      <c r="C1023" s="507">
        <v>395.08339999999998</v>
      </c>
    </row>
    <row r="1024" spans="2:3">
      <c r="B1024" s="134">
        <v>45948</v>
      </c>
      <c r="C1024" s="507">
        <v>395.1241</v>
      </c>
    </row>
    <row r="1025" spans="2:3">
      <c r="B1025" s="134">
        <v>45949</v>
      </c>
      <c r="C1025" s="507">
        <v>395.16489999999999</v>
      </c>
    </row>
    <row r="1026" spans="2:3">
      <c r="B1026" s="134">
        <v>45950</v>
      </c>
      <c r="C1026" s="507">
        <v>395.2056</v>
      </c>
    </row>
    <row r="1027" spans="2:3">
      <c r="B1027" s="134">
        <v>45951</v>
      </c>
      <c r="C1027" s="507">
        <v>395.24630000000002</v>
      </c>
    </row>
    <row r="1028" spans="2:3">
      <c r="B1028" s="134">
        <v>45952</v>
      </c>
      <c r="C1028" s="507">
        <v>395.28710000000001</v>
      </c>
    </row>
    <row r="1029" spans="2:3">
      <c r="B1029" s="134">
        <v>45953</v>
      </c>
      <c r="C1029" s="507">
        <v>395.32780000000002</v>
      </c>
    </row>
    <row r="1030" spans="2:3">
      <c r="B1030" s="134">
        <v>45954</v>
      </c>
      <c r="C1030" s="507">
        <v>395.36860000000001</v>
      </c>
    </row>
    <row r="1031" spans="2:3">
      <c r="B1031" s="134">
        <v>45955</v>
      </c>
      <c r="C1031" s="507">
        <v>395.40929999999997</v>
      </c>
    </row>
    <row r="1032" spans="2:3">
      <c r="B1032" s="134">
        <v>45956</v>
      </c>
      <c r="C1032" s="507">
        <v>395.45010000000002</v>
      </c>
    </row>
    <row r="1033" spans="2:3">
      <c r="B1033" s="134">
        <v>45957</v>
      </c>
      <c r="C1033" s="507">
        <v>395.49079999999998</v>
      </c>
    </row>
    <row r="1034" spans="2:3">
      <c r="B1034" s="134">
        <v>45958</v>
      </c>
      <c r="C1034" s="507">
        <v>395.53160000000003</v>
      </c>
    </row>
    <row r="1035" spans="2:3">
      <c r="B1035" s="134">
        <v>45959</v>
      </c>
      <c r="C1035" s="507">
        <v>395.57229999999998</v>
      </c>
    </row>
    <row r="1036" spans="2:3">
      <c r="B1036" s="134">
        <v>45960</v>
      </c>
      <c r="C1036" s="507">
        <v>395.61309999999997</v>
      </c>
    </row>
    <row r="1037" spans="2:3">
      <c r="B1037" s="134">
        <v>45961</v>
      </c>
      <c r="C1037" s="507">
        <v>395.65390000000002</v>
      </c>
    </row>
    <row r="1038" spans="2:3">
      <c r="B1038" s="134">
        <v>45962</v>
      </c>
      <c r="C1038" s="507">
        <v>395.69470000000001</v>
      </c>
    </row>
    <row r="1039" spans="2:3">
      <c r="B1039" s="134">
        <v>45963</v>
      </c>
      <c r="C1039" s="507">
        <v>395.73540000000003</v>
      </c>
    </row>
    <row r="1040" spans="2:3">
      <c r="B1040" s="134">
        <v>45964</v>
      </c>
      <c r="C1040" s="507">
        <v>395.77620000000002</v>
      </c>
    </row>
    <row r="1041" spans="2:3">
      <c r="B1041" s="134">
        <v>45965</v>
      </c>
      <c r="C1041" s="507">
        <v>395.81700000000001</v>
      </c>
    </row>
    <row r="1042" spans="2:3">
      <c r="B1042" s="134">
        <v>45966</v>
      </c>
      <c r="C1042" s="507">
        <v>395.8578</v>
      </c>
    </row>
    <row r="1043" spans="2:3">
      <c r="B1043" s="134">
        <v>45967</v>
      </c>
      <c r="C1043" s="507">
        <v>395.89859999999999</v>
      </c>
    </row>
    <row r="1044" spans="2:3">
      <c r="B1044" s="134">
        <v>45968</v>
      </c>
      <c r="C1044" s="507">
        <v>395.93939999999998</v>
      </c>
    </row>
    <row r="1045" spans="2:3">
      <c r="B1045" s="134">
        <v>45969</v>
      </c>
      <c r="C1045" s="507">
        <v>395.98020000000002</v>
      </c>
    </row>
    <row r="1046" spans="2:3">
      <c r="B1046" s="134">
        <v>45970</v>
      </c>
      <c r="C1046" s="507">
        <v>396.02100000000002</v>
      </c>
    </row>
    <row r="1047" spans="2:3">
      <c r="B1047" s="134">
        <v>45971</v>
      </c>
      <c r="C1047" s="507">
        <v>396.06189999999998</v>
      </c>
    </row>
    <row r="1048" spans="2:3">
      <c r="B1048" s="134">
        <v>45972</v>
      </c>
      <c r="C1048" s="507">
        <v>396.10270000000003</v>
      </c>
    </row>
    <row r="1049" spans="2:3">
      <c r="B1049" s="134">
        <v>45973</v>
      </c>
      <c r="C1049" s="507">
        <v>396.14350000000002</v>
      </c>
    </row>
    <row r="1050" spans="2:3">
      <c r="B1050" s="134">
        <v>45974</v>
      </c>
      <c r="C1050" s="507">
        <v>396.18430000000001</v>
      </c>
    </row>
    <row r="1051" spans="2:3">
      <c r="B1051" s="134">
        <v>45975</v>
      </c>
      <c r="C1051" s="507">
        <v>396.22519999999997</v>
      </c>
    </row>
    <row r="1052" spans="2:3">
      <c r="B1052" s="134">
        <v>45976</v>
      </c>
      <c r="C1052" s="507">
        <v>396.26600000000002</v>
      </c>
    </row>
    <row r="1053" spans="2:3">
      <c r="B1053" s="134">
        <v>45977</v>
      </c>
      <c r="C1053" s="507">
        <v>396.28980000000001</v>
      </c>
    </row>
    <row r="1054" spans="2:3">
      <c r="B1054" s="134">
        <v>45978</v>
      </c>
      <c r="C1054" s="507">
        <v>396.31349999999998</v>
      </c>
    </row>
    <row r="1055" spans="2:3">
      <c r="B1055" s="134">
        <v>45979</v>
      </c>
      <c r="C1055" s="507">
        <v>396.33730000000003</v>
      </c>
    </row>
    <row r="1056" spans="2:3">
      <c r="B1056" s="134">
        <v>45980</v>
      </c>
      <c r="C1056" s="507">
        <v>396.36099999999999</v>
      </c>
    </row>
    <row r="1057" spans="2:3">
      <c r="B1057" s="134">
        <v>45981</v>
      </c>
      <c r="C1057" s="507">
        <v>396.38479999999998</v>
      </c>
    </row>
    <row r="1058" spans="2:3">
      <c r="B1058" s="134">
        <v>45982</v>
      </c>
      <c r="C1058" s="507">
        <v>396.40859999999998</v>
      </c>
    </row>
    <row r="1059" spans="2:3">
      <c r="B1059" s="134">
        <v>45983</v>
      </c>
      <c r="C1059" s="507">
        <v>396.4323</v>
      </c>
    </row>
    <row r="1060" spans="2:3">
      <c r="B1060" s="134">
        <v>45984</v>
      </c>
      <c r="C1060" s="507">
        <v>396.45609999999999</v>
      </c>
    </row>
    <row r="1061" spans="2:3">
      <c r="B1061" s="134">
        <v>45985</v>
      </c>
      <c r="C1061" s="507">
        <v>396.47980000000001</v>
      </c>
    </row>
    <row r="1062" spans="2:3">
      <c r="B1062" s="134">
        <v>45986</v>
      </c>
      <c r="C1062" s="507">
        <v>396.50360000000001</v>
      </c>
    </row>
    <row r="1063" spans="2:3">
      <c r="B1063" s="134">
        <v>45987</v>
      </c>
      <c r="C1063" s="507">
        <v>396.5274</v>
      </c>
    </row>
    <row r="1064" spans="2:3">
      <c r="B1064" s="134">
        <v>45988</v>
      </c>
      <c r="C1064" s="507">
        <v>396.55119999999999</v>
      </c>
    </row>
    <row r="1065" spans="2:3">
      <c r="B1065" s="134">
        <v>45989</v>
      </c>
      <c r="C1065" s="507">
        <v>396.57490000000001</v>
      </c>
    </row>
    <row r="1066" spans="2:3">
      <c r="B1066" s="134">
        <v>45990</v>
      </c>
      <c r="C1066" s="507">
        <v>396.59870000000001</v>
      </c>
    </row>
    <row r="1067" spans="2:3">
      <c r="B1067" s="134">
        <v>45991</v>
      </c>
      <c r="C1067" s="507">
        <v>396.6225</v>
      </c>
    </row>
    <row r="1068" spans="2:3">
      <c r="B1068" s="134">
        <v>45992</v>
      </c>
      <c r="C1068" s="507">
        <v>396.6463</v>
      </c>
    </row>
    <row r="1069" spans="2:3">
      <c r="B1069" s="134">
        <v>45993</v>
      </c>
      <c r="C1069" s="507">
        <v>396.67</v>
      </c>
    </row>
    <row r="1070" spans="2:3">
      <c r="B1070" s="134">
        <v>45994</v>
      </c>
      <c r="C1070" s="507">
        <v>396.69380000000001</v>
      </c>
    </row>
    <row r="1071" spans="2:3">
      <c r="B1071" s="134">
        <v>45995</v>
      </c>
      <c r="C1071" s="507">
        <v>396.7176</v>
      </c>
    </row>
    <row r="1072" spans="2:3">
      <c r="B1072" s="134">
        <v>45996</v>
      </c>
      <c r="C1072" s="507">
        <v>396.7414</v>
      </c>
    </row>
    <row r="1073" spans="2:3">
      <c r="B1073" s="134">
        <v>45997</v>
      </c>
      <c r="C1073" s="507">
        <v>396.76519999999999</v>
      </c>
    </row>
    <row r="1074" spans="2:3">
      <c r="B1074" s="134">
        <v>45998</v>
      </c>
      <c r="C1074" s="507">
        <v>396.78890000000001</v>
      </c>
    </row>
    <row r="1075" spans="2:3">
      <c r="B1075" s="134">
        <v>45999</v>
      </c>
      <c r="C1075" s="507">
        <v>396.81270000000001</v>
      </c>
    </row>
    <row r="1076" spans="2:3">
      <c r="B1076" s="134">
        <v>46000</v>
      </c>
      <c r="C1076" s="507">
        <v>396.8365</v>
      </c>
    </row>
    <row r="1077" spans="2:3">
      <c r="B1077" s="134">
        <v>46001</v>
      </c>
      <c r="C1077" s="507">
        <v>396.8603</v>
      </c>
    </row>
    <row r="1078" spans="2:3">
      <c r="B1078" s="134">
        <v>46002</v>
      </c>
      <c r="C1078" s="507">
        <v>396.88409999999999</v>
      </c>
    </row>
    <row r="1079" spans="2:3">
      <c r="B1079" s="134">
        <v>46003</v>
      </c>
      <c r="C1079" s="507">
        <v>396.90789999999998</v>
      </c>
    </row>
    <row r="1080" spans="2:3">
      <c r="B1080" s="134">
        <v>46004</v>
      </c>
      <c r="C1080" s="507">
        <v>396.93169999999998</v>
      </c>
    </row>
    <row r="1081" spans="2:3">
      <c r="B1081" s="134">
        <v>46005</v>
      </c>
      <c r="C1081" s="507">
        <v>396.95549999999997</v>
      </c>
    </row>
    <row r="1082" spans="2:3">
      <c r="B1082" s="134">
        <v>46006</v>
      </c>
      <c r="C1082" s="507">
        <v>396.97930000000002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78CC-63C8-4C30-AEEB-8C1802F01D2E}">
  <sheetPr codeName="Hoja141"/>
  <dimension ref="A2:AF105"/>
  <sheetViews>
    <sheetView workbookViewId="0">
      <selection activeCell="G23" sqref="G23"/>
    </sheetView>
  </sheetViews>
  <sheetFormatPr baseColWidth="10" defaultColWidth="11.42578125" defaultRowHeight="15"/>
  <cols>
    <col min="1" max="1" width="16.42578125" bestFit="1" customWidth="1"/>
    <col min="3" max="3" width="15" bestFit="1" customWidth="1"/>
    <col min="5" max="5" width="20.28515625" bestFit="1" customWidth="1"/>
    <col min="18" max="18" width="11.85546875" bestFit="1" customWidth="1"/>
    <col min="19" max="20" width="11.85546875" customWidth="1"/>
    <col min="21" max="21" width="11.42578125" customWidth="1"/>
    <col min="25" max="25" width="17.28515625" customWidth="1"/>
    <col min="28" max="28" width="23.85546875" customWidth="1"/>
  </cols>
  <sheetData>
    <row r="2" spans="1:32" ht="19.5">
      <c r="B2" s="137" t="s">
        <v>464</v>
      </c>
      <c r="C2" s="138">
        <v>45786</v>
      </c>
    </row>
    <row r="3" spans="1:32">
      <c r="B3" t="s">
        <v>6</v>
      </c>
      <c r="C3">
        <f>+_xlfn.XLOOKUP(C2,UVR[Fecha (dd/mm/aaaa)],UVR[Pesos colombianos por UVR],"",0,1)</f>
        <v>388.53629999999998</v>
      </c>
    </row>
    <row r="5" spans="1:32" ht="19.5" customHeight="1">
      <c r="B5" s="529" t="s">
        <v>286</v>
      </c>
      <c r="C5" s="529" t="s">
        <v>465</v>
      </c>
      <c r="D5" s="529" t="s">
        <v>466</v>
      </c>
      <c r="E5" s="529" t="s">
        <v>467</v>
      </c>
      <c r="F5" s="139"/>
      <c r="G5" s="517" t="s">
        <v>468</v>
      </c>
      <c r="H5" s="517" t="s">
        <v>469</v>
      </c>
      <c r="I5" s="517" t="s">
        <v>470</v>
      </c>
      <c r="J5" s="517" t="s">
        <v>471</v>
      </c>
      <c r="K5" s="517" t="s">
        <v>472</v>
      </c>
      <c r="L5" s="517" t="s">
        <v>473</v>
      </c>
      <c r="M5" s="517" t="s">
        <v>474</v>
      </c>
      <c r="V5" s="517" t="s">
        <v>475</v>
      </c>
    </row>
    <row r="6" spans="1:32" ht="19.5">
      <c r="B6" s="530"/>
      <c r="C6" s="530"/>
      <c r="D6" s="530"/>
      <c r="E6" s="530"/>
      <c r="F6" s="139"/>
      <c r="G6" s="518"/>
      <c r="H6" s="518"/>
      <c r="I6" s="518"/>
      <c r="J6" s="518"/>
      <c r="K6" s="518"/>
      <c r="L6" s="518"/>
      <c r="M6" s="518"/>
      <c r="O6">
        <v>100.764</v>
      </c>
      <c r="P6">
        <v>101.44799999999999</v>
      </c>
      <c r="Q6">
        <v>101.45</v>
      </c>
      <c r="R6">
        <v>8.4290000000000003</v>
      </c>
      <c r="S6">
        <v>8.4</v>
      </c>
      <c r="T6">
        <v>8.4169999999999998</v>
      </c>
      <c r="V6" s="518"/>
    </row>
    <row r="7" spans="1:32" ht="19.5">
      <c r="B7" s="530"/>
      <c r="C7" s="530"/>
      <c r="D7" s="530"/>
      <c r="E7" s="530"/>
      <c r="F7" s="139"/>
      <c r="G7" s="518"/>
      <c r="H7" s="518"/>
      <c r="I7" s="518"/>
      <c r="J7" s="518"/>
      <c r="K7" s="518"/>
      <c r="L7" s="518"/>
      <c r="M7" s="518"/>
      <c r="R7" t="s">
        <v>476</v>
      </c>
      <c r="S7" s="520" t="s">
        <v>477</v>
      </c>
      <c r="T7" s="520"/>
      <c r="V7" s="518"/>
      <c r="AB7" s="109"/>
    </row>
    <row r="8" spans="1:32" ht="20.25" thickBot="1">
      <c r="B8" s="531"/>
      <c r="C8" s="531"/>
      <c r="D8" s="531"/>
      <c r="E8" s="531"/>
      <c r="F8" s="139"/>
      <c r="G8" s="519"/>
      <c r="H8" s="519"/>
      <c r="I8" s="519"/>
      <c r="J8" s="519"/>
      <c r="K8" s="519"/>
      <c r="L8" s="519"/>
      <c r="M8" s="519"/>
      <c r="R8" s="140" t="s">
        <v>165</v>
      </c>
      <c r="S8" s="140" t="s">
        <v>478</v>
      </c>
      <c r="T8" s="140" t="s">
        <v>479</v>
      </c>
      <c r="V8" s="519"/>
    </row>
    <row r="9" spans="1:32" s="136" customFormat="1" ht="21.75" customHeight="1">
      <c r="A9" s="136" t="s">
        <v>7</v>
      </c>
      <c r="B9" s="521" t="s">
        <v>4</v>
      </c>
      <c r="C9" s="141"/>
      <c r="D9" s="142"/>
      <c r="E9" s="143"/>
      <c r="F9" s="139"/>
      <c r="G9" s="144"/>
      <c r="H9" s="145"/>
      <c r="I9" s="145"/>
      <c r="J9" s="145"/>
      <c r="K9" s="145"/>
      <c r="L9" s="145"/>
      <c r="M9" s="146"/>
      <c r="N9" s="136" t="e">
        <f>PRICE([5]Resumen_con!$B$1,C9,D9,L9%,100,1,3)</f>
        <v>#NUM!</v>
      </c>
      <c r="O9" s="136" t="e">
        <f>+COUPDAYBS([5]Resumen_con!$B$1,C9,1,3)*D9*100/365</f>
        <v>#NUM!</v>
      </c>
      <c r="P9" s="136" t="e">
        <f>ROUND(+N9+O9,3)</f>
        <v>#NUM!</v>
      </c>
      <c r="R9" s="136">
        <f>_xlfn.DAYS(C9,'[5]Optimo 1 (COP) (2)'!$B$1)</f>
        <v>-45702</v>
      </c>
      <c r="S9" s="147">
        <f>+K9</f>
        <v>0</v>
      </c>
      <c r="T9" s="147">
        <f>+L9</f>
        <v>0</v>
      </c>
      <c r="U9"/>
      <c r="V9" s="109"/>
      <c r="W9"/>
      <c r="X9"/>
      <c r="Y9"/>
      <c r="Z9"/>
      <c r="AA9"/>
      <c r="AB9"/>
      <c r="AC9"/>
      <c r="AD9"/>
      <c r="AE9"/>
      <c r="AF9"/>
    </row>
    <row r="10" spans="1:32" ht="21.75">
      <c r="A10" t="s">
        <v>309</v>
      </c>
      <c r="B10" s="522"/>
      <c r="C10" s="148">
        <v>45987</v>
      </c>
      <c r="D10" s="149">
        <v>6.25E-2</v>
      </c>
      <c r="E10" s="150">
        <v>4011268</v>
      </c>
      <c r="F10" s="139"/>
      <c r="G10" s="151" t="s">
        <v>367</v>
      </c>
      <c r="H10" s="152" t="s">
        <v>367</v>
      </c>
      <c r="I10" s="152">
        <v>103.17700000000001</v>
      </c>
      <c r="J10" s="152" t="s">
        <v>367</v>
      </c>
      <c r="K10" s="152" t="s">
        <v>367</v>
      </c>
      <c r="L10" s="152">
        <v>8.8019999999999996</v>
      </c>
      <c r="M10" s="153" t="s">
        <v>367</v>
      </c>
      <c r="N10">
        <f>PRICE('[5]Optimo 1 (COP) (1)'!$B$1,C10,D10,L10%,100,1,3)</f>
        <v>98.047393245631056</v>
      </c>
      <c r="O10">
        <f>+COUPDAYBS([5]Resumen_con!$B$1,C10,1,3)*D10*100/365</f>
        <v>1.5924657534246576</v>
      </c>
      <c r="P10">
        <f t="shared" ref="P10:P25" si="0">ROUND(+N10+O10,3)</f>
        <v>99.64</v>
      </c>
      <c r="R10" s="136">
        <f>_xlfn.DAYS(C10,'[5]Optimo 1 (COP) (2)'!$B$1)</f>
        <v>285</v>
      </c>
      <c r="S10" s="147" t="str">
        <f t="shared" ref="S10:T15" si="1">+K10</f>
        <v/>
      </c>
      <c r="T10" s="147">
        <f>+L10</f>
        <v>8.8019999999999996</v>
      </c>
      <c r="V10" s="154">
        <f t="shared" ref="V10:V25" si="2">+E10/$E$39</f>
        <v>6.4732436963275781E-3</v>
      </c>
      <c r="X10" s="155">
        <v>2025</v>
      </c>
      <c r="Y10" s="150">
        <f>+E10+E27</f>
        <v>4011268</v>
      </c>
      <c r="Z10" s="156">
        <f t="shared" ref="Z10:Z29" si="3">+Y10/SUM($Y$10:$Y$41)</f>
        <v>6.1837349671337097E-3</v>
      </c>
      <c r="AB10" t="s">
        <v>309</v>
      </c>
      <c r="AC10" s="49">
        <f>T10/100</f>
        <v>8.8020000000000001E-2</v>
      </c>
    </row>
    <row r="11" spans="1:32" ht="21.75">
      <c r="A11" t="s">
        <v>211</v>
      </c>
      <c r="B11" s="522"/>
      <c r="C11" s="141">
        <v>46260</v>
      </c>
      <c r="D11" s="142">
        <v>7.4999999999999997E-2</v>
      </c>
      <c r="E11" s="143">
        <v>17169776</v>
      </c>
      <c r="F11" s="139"/>
      <c r="G11" s="144">
        <v>104.155</v>
      </c>
      <c r="H11" s="145">
        <v>105.319</v>
      </c>
      <c r="I11" s="145">
        <v>105.346</v>
      </c>
      <c r="J11" s="145">
        <v>9.2850000000000001</v>
      </c>
      <c r="K11" s="145">
        <v>8.9060000000000006</v>
      </c>
      <c r="L11" s="145">
        <v>8.9039999999999999</v>
      </c>
      <c r="M11" s="153">
        <v>-0.20000000000006679</v>
      </c>
      <c r="N11">
        <f>PRICE('[5]Optimo 1 (COP) (1)'!$B$1,C11,D11,L11%,100,1,3)</f>
        <v>97.992643586934548</v>
      </c>
      <c r="O11">
        <f>+COUPDAYBS([5]Resumen_con!$B$1,C11,1,3)*D11*100/365</f>
        <v>3.8013698630136985</v>
      </c>
      <c r="P11">
        <f t="shared" si="0"/>
        <v>101.794</v>
      </c>
      <c r="R11" s="136">
        <f>_xlfn.DAYS(C11,'[5]Optimo 1 (COP) (2)'!$B$1)</f>
        <v>558</v>
      </c>
      <c r="S11" s="147">
        <f t="shared" si="1"/>
        <v>8.9060000000000006</v>
      </c>
      <c r="T11" s="147">
        <f t="shared" si="1"/>
        <v>8.9039999999999999</v>
      </c>
      <c r="V11" s="154">
        <f t="shared" si="2"/>
        <v>2.7707982677636234E-2</v>
      </c>
      <c r="X11" s="155">
        <v>2026</v>
      </c>
      <c r="Y11" s="150">
        <f>+E11</f>
        <v>17169776</v>
      </c>
      <c r="Z11" s="156">
        <f t="shared" si="3"/>
        <v>2.6468773522251104E-2</v>
      </c>
      <c r="AB11" t="s">
        <v>211</v>
      </c>
      <c r="AC11" s="49">
        <f t="shared" ref="AC11:AC24" si="4">T11/100</f>
        <v>8.9039999999999994E-2</v>
      </c>
    </row>
    <row r="12" spans="1:32" ht="21.75">
      <c r="A12" t="s">
        <v>203</v>
      </c>
      <c r="B12" s="522"/>
      <c r="C12" s="148">
        <v>46694</v>
      </c>
      <c r="D12" s="149">
        <v>5.7500000000000002E-2</v>
      </c>
      <c r="E12" s="150">
        <v>20410991</v>
      </c>
      <c r="F12" s="139"/>
      <c r="G12" s="151">
        <v>95.445999999999998</v>
      </c>
      <c r="H12" s="152">
        <v>96.81</v>
      </c>
      <c r="I12" s="152">
        <v>96.724000000000004</v>
      </c>
      <c r="J12" s="152">
        <v>9.7360000000000007</v>
      </c>
      <c r="K12" s="152">
        <v>9.41</v>
      </c>
      <c r="L12" s="152">
        <v>9.4689999999999994</v>
      </c>
      <c r="M12" s="153">
        <v>5.8999999999999275</v>
      </c>
      <c r="N12">
        <f>PRICE('[5]Optimo 1 (COP) (1)'!$B$1,C12,D12,L12%,100,1,3)</f>
        <v>91.386126636264933</v>
      </c>
      <c r="O12">
        <f>+COUPDAYBS([5]Resumen_con!$B$1,C12,1,3)*D12*100/365</f>
        <v>1.8273972602739725</v>
      </c>
      <c r="P12">
        <f t="shared" si="0"/>
        <v>93.213999999999999</v>
      </c>
      <c r="R12" s="136">
        <f>_xlfn.DAYS(C12,'[5]Optimo 1 (COP) (2)'!$B$1)</f>
        <v>992</v>
      </c>
      <c r="S12" s="147">
        <f t="shared" si="1"/>
        <v>9.41</v>
      </c>
      <c r="T12" s="147">
        <f t="shared" si="1"/>
        <v>9.4689999999999994</v>
      </c>
      <c r="V12" s="154">
        <f t="shared" si="2"/>
        <v>3.2938541834290035E-2</v>
      </c>
      <c r="X12" s="155">
        <v>2027</v>
      </c>
      <c r="Y12" s="150">
        <f>+E12+E28</f>
        <v>46441582.305833399</v>
      </c>
      <c r="Z12" s="156">
        <f t="shared" si="3"/>
        <v>7.1593929010377796E-2</v>
      </c>
      <c r="AB12" t="s">
        <v>203</v>
      </c>
      <c r="AC12" s="49">
        <f t="shared" si="4"/>
        <v>9.4689999999999996E-2</v>
      </c>
    </row>
    <row r="13" spans="1:32" ht="21.75">
      <c r="A13" t="s">
        <v>212</v>
      </c>
      <c r="B13" s="522"/>
      <c r="C13" s="157">
        <v>46871</v>
      </c>
      <c r="D13" s="158">
        <v>0.06</v>
      </c>
      <c r="E13" s="159">
        <v>40127204</v>
      </c>
      <c r="F13" s="160"/>
      <c r="G13" s="161">
        <v>90.659000000000006</v>
      </c>
      <c r="H13" s="162">
        <v>92.260999999999996</v>
      </c>
      <c r="I13" s="162">
        <v>92.225999999999999</v>
      </c>
      <c r="J13" s="162">
        <v>10.292999999999999</v>
      </c>
      <c r="K13" s="162">
        <v>9.9030000000000005</v>
      </c>
      <c r="L13" s="162">
        <v>9.93</v>
      </c>
      <c r="M13" s="153">
        <v>2.6999999999999247</v>
      </c>
      <c r="N13">
        <f>PRICE('[5]Optimo 1 (COP) (1)'!$B$1,C13,D13,L13%,100,1,3)</f>
        <v>89.609957108903302</v>
      </c>
      <c r="O13">
        <f>+COUPDAYBS([5]Resumen_con!$B$1,C13,1,3)*D13*100/365</f>
        <v>5.0136986301369859</v>
      </c>
      <c r="P13">
        <f t="shared" si="0"/>
        <v>94.623999999999995</v>
      </c>
      <c r="R13" s="136">
        <f>_xlfn.DAYS(C13,'[5]Optimo 1 (COP) (2)'!$B$1)</f>
        <v>1169</v>
      </c>
      <c r="S13" s="147">
        <f t="shared" si="1"/>
        <v>9.9030000000000005</v>
      </c>
      <c r="T13" s="147">
        <f t="shared" si="1"/>
        <v>9.93</v>
      </c>
      <c r="V13" s="154">
        <f t="shared" si="2"/>
        <v>6.4755875285383763E-2</v>
      </c>
      <c r="X13" s="155">
        <v>2028</v>
      </c>
      <c r="Y13" s="150">
        <f>+E13</f>
        <v>40127204</v>
      </c>
      <c r="Z13" s="156">
        <f t="shared" si="3"/>
        <v>6.1859739740178825E-2</v>
      </c>
      <c r="AB13" t="s">
        <v>212</v>
      </c>
      <c r="AC13" s="49">
        <f t="shared" si="4"/>
        <v>9.9299999999999999E-2</v>
      </c>
    </row>
    <row r="14" spans="1:32" ht="21.75">
      <c r="A14" t="s">
        <v>484</v>
      </c>
      <c r="B14" s="522"/>
      <c r="C14" s="157">
        <v>47352</v>
      </c>
      <c r="D14" s="158">
        <v>0.11</v>
      </c>
      <c r="E14" s="159">
        <v>17735951</v>
      </c>
      <c r="F14" s="160"/>
      <c r="G14" s="161">
        <v>108.57299999999999</v>
      </c>
      <c r="H14" s="162">
        <v>111.265</v>
      </c>
      <c r="I14" s="162">
        <v>110.97799999999999</v>
      </c>
      <c r="J14" s="162">
        <v>11.138999999999999</v>
      </c>
      <c r="K14" s="162">
        <v>10.6</v>
      </c>
      <c r="L14" s="162">
        <v>10.699</v>
      </c>
      <c r="M14" s="153">
        <v>9.9000000000000199</v>
      </c>
      <c r="N14">
        <f>PRICE('[5]Optimo 1 (COP) (1)'!$B$1,C14,D14,L14%,100,1,3)</f>
        <v>100.89645518893268</v>
      </c>
      <c r="O14">
        <f>+COUPDAYBS([5]Resumen_con!$B$1,C14,1,3)*D14*100/365</f>
        <v>5.6958904109589037</v>
      </c>
      <c r="P14">
        <f t="shared" ref="P14" si="5">ROUND(+N14+O14,3)</f>
        <v>106.592</v>
      </c>
      <c r="R14" s="136">
        <f>_xlfn.DAYS(C14,'[5]Optimo 1 (COP) (2)'!$B$1)</f>
        <v>1650</v>
      </c>
      <c r="S14" s="147">
        <f t="shared" ref="S14" si="6">+K14</f>
        <v>10.6</v>
      </c>
      <c r="T14" s="147">
        <f t="shared" ref="T14" si="7">+L14</f>
        <v>10.699</v>
      </c>
      <c r="V14" s="154">
        <f t="shared" si="2"/>
        <v>2.8621656047196249E-2</v>
      </c>
      <c r="X14" s="155">
        <v>2029</v>
      </c>
      <c r="Y14" s="150">
        <f>+E14</f>
        <v>17735951</v>
      </c>
      <c r="Z14" s="156">
        <f t="shared" si="3"/>
        <v>2.7341583851806978E-2</v>
      </c>
      <c r="AB14" t="s">
        <v>484</v>
      </c>
      <c r="AC14" s="49">
        <f t="shared" si="4"/>
        <v>0.10699</v>
      </c>
    </row>
    <row r="15" spans="1:32" ht="21.75">
      <c r="A15" t="s">
        <v>199</v>
      </c>
      <c r="B15" s="522"/>
      <c r="C15" s="148">
        <v>47744</v>
      </c>
      <c r="D15" s="149">
        <v>7.7499999999999999E-2</v>
      </c>
      <c r="E15" s="150">
        <v>27749357</v>
      </c>
      <c r="F15" s="139"/>
      <c r="G15" s="151">
        <v>91.787999999999997</v>
      </c>
      <c r="H15" s="152">
        <v>94.397999999999996</v>
      </c>
      <c r="I15" s="152">
        <v>94.164000000000001</v>
      </c>
      <c r="J15" s="152">
        <v>11.436999999999999</v>
      </c>
      <c r="K15" s="152">
        <v>10.925000000000001</v>
      </c>
      <c r="L15" s="152">
        <v>11</v>
      </c>
      <c r="M15" s="153">
        <v>7.4999999999999289</v>
      </c>
      <c r="N15">
        <f>PRICE('[5]Optimo 1 (COP) (1)'!$B$1,C15,D15,L15%,100,1,3)</f>
        <v>86.840879226332106</v>
      </c>
      <c r="O15">
        <f>+COUPDAYBS([5]Resumen_con!$B$1,C15,1,3)*D15*100/365</f>
        <v>3.4397260273972603</v>
      </c>
      <c r="P15">
        <f t="shared" si="0"/>
        <v>90.281000000000006</v>
      </c>
      <c r="R15" s="136">
        <f>_xlfn.DAYS(C15,'[5]Optimo 1 (COP) (2)'!$B$1)</f>
        <v>2042</v>
      </c>
      <c r="S15" s="147">
        <f t="shared" si="1"/>
        <v>10.925000000000001</v>
      </c>
      <c r="T15" s="147">
        <f t="shared" si="1"/>
        <v>11</v>
      </c>
      <c r="V15" s="154">
        <f t="shared" si="2"/>
        <v>4.4780939662319635E-2</v>
      </c>
      <c r="X15" s="155">
        <v>2029</v>
      </c>
      <c r="Y15" s="150">
        <f>+E29</f>
        <v>29794683.610426903</v>
      </c>
      <c r="Z15" s="156">
        <f t="shared" si="3"/>
        <v>4.593121847667183E-2</v>
      </c>
      <c r="AB15" t="s">
        <v>199</v>
      </c>
      <c r="AC15" s="49">
        <f t="shared" si="4"/>
        <v>0.11</v>
      </c>
    </row>
    <row r="16" spans="1:32" ht="21.75">
      <c r="B16" s="522"/>
      <c r="C16" s="141" t="s">
        <v>494</v>
      </c>
      <c r="D16" s="142">
        <v>7.0000000000000007E-2</v>
      </c>
      <c r="E16" s="143">
        <v>4277969</v>
      </c>
      <c r="F16" s="139"/>
      <c r="G16" s="144">
        <v>82.376999999999995</v>
      </c>
      <c r="H16" s="145">
        <v>84.370999999999995</v>
      </c>
      <c r="I16" s="145">
        <v>84.649000000000001</v>
      </c>
      <c r="J16" s="145">
        <v>11.76</v>
      </c>
      <c r="K16" s="145">
        <v>11.4</v>
      </c>
      <c r="L16" s="145">
        <v>11.329000000000001</v>
      </c>
      <c r="M16" s="153">
        <v>-7.099999999999973</v>
      </c>
      <c r="N16" t="e">
        <f>PRICE('[5]Optimo 1 (COP) (1)'!$B$1,C16,D16,L16%,100,1,3)</f>
        <v>#VALUE!</v>
      </c>
      <c r="O16" t="e">
        <f>+COUPDAYBS([5]Resumen_con!$B$1,C16,1,3)*D16*100/365</f>
        <v>#VALUE!</v>
      </c>
      <c r="P16" t="e">
        <f t="shared" si="0"/>
        <v>#VALUE!</v>
      </c>
      <c r="R16" s="136">
        <f>_xlfn.DAYS(C17,'[5]Optimo 1 (COP) (2)'!$B$1)</f>
        <v>2231</v>
      </c>
      <c r="S16" s="147">
        <f>+K17</f>
        <v>11.28</v>
      </c>
      <c r="T16" s="147">
        <f>+L17</f>
        <v>11.3</v>
      </c>
      <c r="V16" s="154">
        <f t="shared" si="2"/>
        <v>6.9036364217835338E-3</v>
      </c>
      <c r="X16" s="155">
        <v>2030</v>
      </c>
      <c r="Y16" s="150">
        <f>+E15</f>
        <v>27749357</v>
      </c>
      <c r="Z16" s="156">
        <f t="shared" si="3"/>
        <v>4.2778161218940389E-2</v>
      </c>
      <c r="AB16" t="s">
        <v>207</v>
      </c>
      <c r="AC16" s="49">
        <f t="shared" si="4"/>
        <v>0.113</v>
      </c>
    </row>
    <row r="17" spans="1:32" ht="21.75">
      <c r="A17" t="s">
        <v>207</v>
      </c>
      <c r="B17" s="522"/>
      <c r="C17" s="148">
        <v>47933</v>
      </c>
      <c r="D17" s="149">
        <v>7.0000000000000007E-2</v>
      </c>
      <c r="E17" s="150">
        <v>31073344</v>
      </c>
      <c r="F17" s="139"/>
      <c r="G17" s="151">
        <v>82.287000000000006</v>
      </c>
      <c r="H17" s="152">
        <v>84.897999999999996</v>
      </c>
      <c r="I17" s="152">
        <v>84.850999999999999</v>
      </c>
      <c r="J17" s="152">
        <v>11.8</v>
      </c>
      <c r="K17" s="152">
        <v>11.28</v>
      </c>
      <c r="L17" s="152">
        <v>11.3</v>
      </c>
      <c r="M17" s="153">
        <v>2.000000000000135</v>
      </c>
      <c r="N17">
        <f>PRICE('[5]Optimo 1 (COP) (1)'!$B$1,C17,D17,L17%,100,1,3)</f>
        <v>81.694268761620066</v>
      </c>
      <c r="O17">
        <f>+COUPDAYBS([5]Resumen_con!$B$1,C17,1,3)*D17*100/365</f>
        <v>6.4821917808219194</v>
      </c>
      <c r="P17">
        <f t="shared" si="0"/>
        <v>88.176000000000002</v>
      </c>
      <c r="R17" s="136">
        <f>_xlfn.DAYS(C18,'[5]Optimo 1 (COP) (2)'!$B$1)</f>
        <v>2693</v>
      </c>
      <c r="S17" s="147">
        <f t="shared" ref="S17:T24" si="8">+K18</f>
        <v>11.391999999999999</v>
      </c>
      <c r="T17" s="147">
        <f t="shared" si="8"/>
        <v>11.601000000000001</v>
      </c>
      <c r="V17" s="154">
        <f t="shared" si="2"/>
        <v>5.014507337126773E-2</v>
      </c>
      <c r="X17" s="155">
        <v>2031</v>
      </c>
      <c r="Y17" s="150">
        <f>+E16+E17</f>
        <v>35351313</v>
      </c>
      <c r="Z17" s="156">
        <f t="shared" si="3"/>
        <v>5.4497268776902585E-2</v>
      </c>
      <c r="AB17" t="s">
        <v>197</v>
      </c>
      <c r="AC17" s="49">
        <f t="shared" si="4"/>
        <v>0.11601</v>
      </c>
    </row>
    <row r="18" spans="1:32" ht="21.75">
      <c r="A18" t="s">
        <v>197</v>
      </c>
      <c r="B18" s="522"/>
      <c r="C18" s="141">
        <v>48395</v>
      </c>
      <c r="D18" s="142">
        <v>7.0000000000000007E-2</v>
      </c>
      <c r="E18" s="143">
        <v>27992627</v>
      </c>
      <c r="F18" s="139"/>
      <c r="G18" s="144">
        <v>83.632000000000005</v>
      </c>
      <c r="H18" s="145">
        <v>80.058999999999997</v>
      </c>
      <c r="I18" s="145">
        <v>79.256</v>
      </c>
      <c r="J18" s="145">
        <v>12.074999999999999</v>
      </c>
      <c r="K18" s="145">
        <v>11.391999999999999</v>
      </c>
      <c r="L18" s="145">
        <v>11.601000000000001</v>
      </c>
      <c r="M18" s="153">
        <v>20.900000000000141</v>
      </c>
      <c r="N18">
        <f>PRICE('[5]Optimo 1 (COP) (1)'!$B$1,C18,D18,L18%,100,1,3)</f>
        <v>77.906506027037253</v>
      </c>
      <c r="O18">
        <f>+COUPDAYBS([5]Resumen_con!$B$1,C18,1,3)*D18*100/365</f>
        <v>4.6410958904109592</v>
      </c>
      <c r="P18">
        <f t="shared" si="0"/>
        <v>82.548000000000002</v>
      </c>
      <c r="Q18" s="136"/>
      <c r="R18" s="136">
        <f>_xlfn.DAYS(C19,'[5]Optimo 1 (COP) (2)'!$B$1)</f>
        <v>2917</v>
      </c>
      <c r="S18" s="147">
        <f t="shared" si="8"/>
        <v>11.541</v>
      </c>
      <c r="T18" s="147">
        <f t="shared" si="8"/>
        <v>11.659000000000001</v>
      </c>
      <c r="V18" s="154">
        <f t="shared" si="2"/>
        <v>4.5173520261273782E-2</v>
      </c>
      <c r="X18" s="155">
        <v>2032</v>
      </c>
      <c r="Y18" s="150">
        <f>+E18</f>
        <v>27992627</v>
      </c>
      <c r="Z18" s="156">
        <f t="shared" si="3"/>
        <v>4.3153184080901894E-2</v>
      </c>
      <c r="AB18" t="s">
        <v>213</v>
      </c>
      <c r="AC18" s="49">
        <f t="shared" si="4"/>
        <v>0.11659000000000001</v>
      </c>
    </row>
    <row r="19" spans="1:32" s="136" customFormat="1" ht="21.75">
      <c r="A19" s="136" t="s">
        <v>213</v>
      </c>
      <c r="B19" s="522"/>
      <c r="C19" s="163">
        <v>48619</v>
      </c>
      <c r="D19" s="164">
        <v>0.13250000000000001</v>
      </c>
      <c r="E19" s="165">
        <v>31574717</v>
      </c>
      <c r="F19" s="166"/>
      <c r="G19" s="167">
        <v>109.89100000000001</v>
      </c>
      <c r="H19" s="168">
        <v>114.023</v>
      </c>
      <c r="I19" s="168">
        <v>113.45</v>
      </c>
      <c r="J19" s="168">
        <v>12.145</v>
      </c>
      <c r="K19" s="168">
        <v>11.541</v>
      </c>
      <c r="L19" s="168">
        <v>11.659000000000001</v>
      </c>
      <c r="M19" s="153">
        <v>11.800000000000033</v>
      </c>
      <c r="N19">
        <f>PRICE('[5]Optimo 1 (COP) (1)'!$B$1,C19,D19,L19%,100,1,3)</f>
        <v>107.980341717111</v>
      </c>
      <c r="O19">
        <f>+COUPDAYBS([5]Resumen_con!$B$1,C19,1,3)*D19*100/365</f>
        <v>0.65342465753424661</v>
      </c>
      <c r="P19">
        <f t="shared" si="0"/>
        <v>108.634</v>
      </c>
      <c r="R19" s="136">
        <f>_xlfn.DAYS(C20,'[5]Optimo 1 (COP) (2)'!$B$1)</f>
        <v>3533</v>
      </c>
      <c r="S19" s="147">
        <f t="shared" si="8"/>
        <v>11.51</v>
      </c>
      <c r="T19" s="147">
        <f t="shared" si="8"/>
        <v>11.666</v>
      </c>
      <c r="U19"/>
      <c r="V19" s="154">
        <f t="shared" si="2"/>
        <v>5.0954171544653017E-2</v>
      </c>
      <c r="W19"/>
      <c r="X19" s="155">
        <v>2033</v>
      </c>
      <c r="Y19" s="150">
        <f>+E19+E31</f>
        <v>48864419.214061201</v>
      </c>
      <c r="Z19" s="156">
        <f t="shared" si="3"/>
        <v>7.5328952775698496E-2</v>
      </c>
      <c r="AA19"/>
      <c r="AB19" t="s">
        <v>196</v>
      </c>
      <c r="AC19" s="49">
        <f t="shared" si="4"/>
        <v>0.11666</v>
      </c>
      <c r="AD19"/>
      <c r="AE19"/>
      <c r="AF19"/>
    </row>
    <row r="20" spans="1:32" ht="21.75">
      <c r="A20" s="136" t="s">
        <v>196</v>
      </c>
      <c r="B20" s="522"/>
      <c r="C20" s="141">
        <v>49235</v>
      </c>
      <c r="D20" s="142">
        <v>7.2499999999999995E-2</v>
      </c>
      <c r="E20" s="143">
        <v>28484312</v>
      </c>
      <c r="F20" s="139"/>
      <c r="G20" s="144">
        <v>78.811000000000007</v>
      </c>
      <c r="H20" s="145">
        <v>81.917000000000002</v>
      </c>
      <c r="I20" s="145">
        <v>81.228999999999999</v>
      </c>
      <c r="J20" s="145">
        <v>12.03</v>
      </c>
      <c r="K20" s="145">
        <v>11.51</v>
      </c>
      <c r="L20" s="145">
        <v>11.666</v>
      </c>
      <c r="M20" s="153">
        <v>15.600000000000058</v>
      </c>
      <c r="N20">
        <f>PRICE('[5]Optimo 1 (COP) (1)'!$B$1,C20,D20,L20%,100,1,3)</f>
        <v>75.076402816700806</v>
      </c>
      <c r="O20">
        <f>+COUPDAYBS([5]Resumen_con!$B$1,C20,1,3)*D20*100/365</f>
        <v>2.6219178082191776</v>
      </c>
      <c r="P20">
        <f t="shared" si="0"/>
        <v>77.697999999999993</v>
      </c>
      <c r="R20" s="136">
        <f>_xlfn.DAYS(C21,'[5]Optimo 1 (COP) (2)'!$B$1)</f>
        <v>4163</v>
      </c>
      <c r="S20" s="147">
        <f t="shared" si="8"/>
        <v>11.53</v>
      </c>
      <c r="T20" s="147">
        <f t="shared" si="8"/>
        <v>11.677</v>
      </c>
      <c r="V20" s="154">
        <f t="shared" si="2"/>
        <v>4.5966984279840688E-2</v>
      </c>
      <c r="X20" s="155">
        <v>2034</v>
      </c>
      <c r="Y20" s="150">
        <f>+E20</f>
        <v>28484312</v>
      </c>
      <c r="Z20" s="156">
        <f t="shared" si="3"/>
        <v>4.3911161290930027E-2</v>
      </c>
      <c r="AB20" t="s">
        <v>321</v>
      </c>
      <c r="AC20" s="49">
        <f t="shared" si="4"/>
        <v>0.11677</v>
      </c>
    </row>
    <row r="21" spans="1:32" ht="21.75">
      <c r="A21" t="s">
        <v>321</v>
      </c>
      <c r="B21" s="522"/>
      <c r="C21" s="148">
        <v>49865</v>
      </c>
      <c r="D21" s="149">
        <v>6.25E-2</v>
      </c>
      <c r="E21" s="150">
        <v>28868529</v>
      </c>
      <c r="F21" s="139"/>
      <c r="G21" s="151">
        <v>70.552999999999997</v>
      </c>
      <c r="H21" s="152">
        <v>68.239000000000004</v>
      </c>
      <c r="I21" s="152">
        <v>67.581999999999994</v>
      </c>
      <c r="J21" s="152">
        <v>12.257</v>
      </c>
      <c r="K21" s="152">
        <v>11.53</v>
      </c>
      <c r="L21" s="152">
        <v>11.677</v>
      </c>
      <c r="M21" s="153">
        <v>14.700000000000024</v>
      </c>
      <c r="N21">
        <f>PRICE('[5]Optimo 1 (COP) (1)'!$B$1,C21,D21,L21%,100,1,3)</f>
        <v>66.641072084390558</v>
      </c>
      <c r="O21">
        <f>+COUPDAYBS([5]Resumen_con!$B$1,C21,1,3)*D21*100/365</f>
        <v>3.9897260273972601</v>
      </c>
      <c r="P21">
        <f t="shared" si="0"/>
        <v>70.631</v>
      </c>
      <c r="R21" s="136">
        <f>_xlfn.DAYS(C23,'[5]Optimo 1 (COP) (2)'!$B$1)</f>
        <v>6312</v>
      </c>
      <c r="S21" s="147">
        <f>+K23</f>
        <v>11.771000000000001</v>
      </c>
      <c r="T21" s="147">
        <f>+L23</f>
        <v>11.95</v>
      </c>
      <c r="V21" s="154">
        <f t="shared" si="2"/>
        <v>4.658702020695199E-2</v>
      </c>
      <c r="X21" s="155">
        <v>2035</v>
      </c>
      <c r="Y21" s="150">
        <f>+E32</f>
        <v>37658446.481052101</v>
      </c>
      <c r="Z21" s="156">
        <f t="shared" si="3"/>
        <v>5.8053925170997119E-2</v>
      </c>
      <c r="AB21" t="s">
        <v>209</v>
      </c>
      <c r="AC21" s="49">
        <f t="shared" si="4"/>
        <v>0.1195</v>
      </c>
    </row>
    <row r="22" spans="1:32" ht="21.75">
      <c r="A22" t="s">
        <v>486</v>
      </c>
      <c r="B22" s="522"/>
      <c r="C22" s="148">
        <v>51468</v>
      </c>
      <c r="D22" s="149">
        <v>0.1275</v>
      </c>
      <c r="E22" s="150">
        <v>3061388</v>
      </c>
      <c r="F22" s="139"/>
      <c r="G22" s="151">
        <v>107.93899999999999</v>
      </c>
      <c r="H22" s="152">
        <v>113.483</v>
      </c>
      <c r="I22" s="152">
        <v>112.518</v>
      </c>
      <c r="J22" s="152">
        <v>12.6</v>
      </c>
      <c r="K22" s="152">
        <v>11.96</v>
      </c>
      <c r="L22" s="152">
        <v>12.1</v>
      </c>
      <c r="M22" s="153">
        <v>13.999999999999879</v>
      </c>
      <c r="N22">
        <f>PRICE('[5]Optimo 1 (COP) (1)'!$B$1,C22,D22,L22%,100,1,3)</f>
        <v>104.36570789584657</v>
      </c>
      <c r="O22">
        <f>+COUPDAYBS([5]Resumen_con!$B$1,C22,1,3)*D22*100/365</f>
        <v>3.1787671232876713</v>
      </c>
      <c r="P22">
        <f t="shared" ref="P22" si="9">ROUND(+N22+O22,3)</f>
        <v>107.544</v>
      </c>
      <c r="R22" s="136">
        <f>_xlfn.DAYS(C24,'[5]Optimo 1 (COP) (2)'!$B$1)</f>
        <v>7831</v>
      </c>
      <c r="S22" s="147">
        <f>+K24</f>
        <v>11.903</v>
      </c>
      <c r="T22" s="147">
        <f>+L24</f>
        <v>12.137</v>
      </c>
      <c r="V22" s="154">
        <f t="shared" si="2"/>
        <v>4.9403606473097514E-3</v>
      </c>
      <c r="X22" s="155">
        <v>2036</v>
      </c>
      <c r="Y22" s="150">
        <f>+E33</f>
        <v>43460346.436872207</v>
      </c>
      <c r="Z22" s="156">
        <f t="shared" si="3"/>
        <v>6.6998082388270139E-2</v>
      </c>
      <c r="AB22" t="s">
        <v>486</v>
      </c>
      <c r="AC22" s="49">
        <f t="shared" si="4"/>
        <v>0.12137000000000001</v>
      </c>
    </row>
    <row r="23" spans="1:32" s="136" customFormat="1" ht="21.75">
      <c r="A23" t="s">
        <v>209</v>
      </c>
      <c r="B23" s="522"/>
      <c r="C23" s="163">
        <v>52014</v>
      </c>
      <c r="D23" s="164">
        <v>9.2499999999999999E-2</v>
      </c>
      <c r="E23" s="165">
        <v>50337061</v>
      </c>
      <c r="F23" s="166"/>
      <c r="G23" s="167">
        <v>78.224000000000004</v>
      </c>
      <c r="H23" s="168">
        <v>83.171000000000006</v>
      </c>
      <c r="I23" s="168">
        <v>83.209000000000003</v>
      </c>
      <c r="J23" s="168">
        <v>12.476000000000001</v>
      </c>
      <c r="K23" s="168">
        <v>11.771000000000001</v>
      </c>
      <c r="L23" s="168">
        <v>11.95</v>
      </c>
      <c r="M23" s="153">
        <v>17.899999999999849</v>
      </c>
      <c r="N23">
        <f>PRICE('[5]Optimo 1 (COP) (1)'!$B$1,C23,D23,L23%,100,1,3)</f>
        <v>80.511087683510496</v>
      </c>
      <c r="O23">
        <f>+COUPDAYBS([5]Resumen_con!$B$1,C23,1,3)*D23*100/365</f>
        <v>6.9691780821917808</v>
      </c>
      <c r="P23">
        <f t="shared" si="0"/>
        <v>87.48</v>
      </c>
      <c r="Q23"/>
      <c r="R23" s="136">
        <f>_xlfn.DAYS(C24,'[5]Optimo 1 (COP) (2)'!$B$1)</f>
        <v>7831</v>
      </c>
      <c r="S23" s="147">
        <f t="shared" si="8"/>
        <v>11.903</v>
      </c>
      <c r="T23" s="147">
        <f t="shared" si="8"/>
        <v>12.137</v>
      </c>
      <c r="U23"/>
      <c r="V23" s="154">
        <f t="shared" si="2"/>
        <v>8.1232184638350455E-2</v>
      </c>
      <c r="W23"/>
      <c r="X23" s="155">
        <v>2036</v>
      </c>
      <c r="Y23" s="150">
        <f>+E21</f>
        <v>28868529</v>
      </c>
      <c r="Z23" s="156">
        <f t="shared" si="3"/>
        <v>4.4503466790803692E-2</v>
      </c>
      <c r="AA23"/>
      <c r="AB23" t="s">
        <v>360</v>
      </c>
      <c r="AC23" s="49">
        <f t="shared" si="4"/>
        <v>0.12137000000000001</v>
      </c>
      <c r="AD23"/>
      <c r="AE23"/>
      <c r="AF23"/>
    </row>
    <row r="24" spans="1:32" s="136" customFormat="1" ht="21.75">
      <c r="A24" s="136" t="s">
        <v>360</v>
      </c>
      <c r="B24" s="522"/>
      <c r="C24" s="148">
        <v>53533</v>
      </c>
      <c r="D24" s="149">
        <v>0.115</v>
      </c>
      <c r="E24" s="150">
        <v>38816775</v>
      </c>
      <c r="F24" s="139"/>
      <c r="G24" s="151">
        <v>102.057</v>
      </c>
      <c r="H24" s="152">
        <v>108.3</v>
      </c>
      <c r="I24" s="152">
        <v>106.624</v>
      </c>
      <c r="J24" s="152">
        <v>12.638999999999999</v>
      </c>
      <c r="K24" s="152">
        <v>11.903</v>
      </c>
      <c r="L24" s="152">
        <v>12.137</v>
      </c>
      <c r="M24" s="153">
        <v>23.4</v>
      </c>
      <c r="N24">
        <f>PRICE('[5]Optimo 1 (COP) (1)'!$B$1,C24,D24,L24%,100,1,3)</f>
        <v>95.039031980029719</v>
      </c>
      <c r="O24">
        <f>+COUPDAYBS([5]Resumen_con!$B$1,C24,1,3)*D24*100/365</f>
        <v>6.8369863013698629</v>
      </c>
      <c r="P24">
        <f t="shared" si="0"/>
        <v>101.876</v>
      </c>
      <c r="Q24"/>
      <c r="R24" s="136">
        <f>_xlfn.DAYS(C25,'[5]Optimo 1 (COP) (2)'!$B$1)</f>
        <v>9385</v>
      </c>
      <c r="S24" s="147">
        <f t="shared" si="8"/>
        <v>11.651999999999999</v>
      </c>
      <c r="T24" s="147">
        <f t="shared" si="8"/>
        <v>11.94</v>
      </c>
      <c r="U24"/>
      <c r="V24" s="154">
        <f t="shared" si="2"/>
        <v>6.2641150898049183E-2</v>
      </c>
      <c r="W24"/>
      <c r="X24" s="155">
        <v>2037</v>
      </c>
      <c r="Y24" s="150">
        <f>+E33</f>
        <v>43460346.436872207</v>
      </c>
      <c r="Z24" s="156">
        <f t="shared" si="3"/>
        <v>6.6998082388270139E-2</v>
      </c>
      <c r="AA24"/>
      <c r="AB24" t="s">
        <v>324</v>
      </c>
      <c r="AC24" s="49">
        <f t="shared" si="4"/>
        <v>0.11939999999999999</v>
      </c>
      <c r="AD24"/>
      <c r="AE24"/>
      <c r="AF24"/>
    </row>
    <row r="25" spans="1:32" ht="22.5" thickBot="1">
      <c r="A25" s="136" t="s">
        <v>324</v>
      </c>
      <c r="B25" s="523"/>
      <c r="C25" s="141">
        <v>55087</v>
      </c>
      <c r="D25" s="142">
        <v>7.2499999999999995E-2</v>
      </c>
      <c r="E25" s="143">
        <v>47024555</v>
      </c>
      <c r="F25" s="139"/>
      <c r="G25" s="144">
        <v>65.222999999999999</v>
      </c>
      <c r="H25" s="145">
        <v>69.799000000000007</v>
      </c>
      <c r="I25" s="145">
        <v>68.257000000000005</v>
      </c>
      <c r="J25" s="145">
        <v>12.4</v>
      </c>
      <c r="K25" s="145">
        <v>11.651999999999999</v>
      </c>
      <c r="L25" s="145">
        <v>11.94</v>
      </c>
      <c r="M25" s="153">
        <v>28.800000000000026</v>
      </c>
      <c r="N25">
        <f>PRICE('[5]Optimo 1 (COP) (1)'!$B$1,C25,D25,L25%,100,1,3)</f>
        <v>62.799344120987648</v>
      </c>
      <c r="O25">
        <f>+COUPDAYBS([5]Resumen_con!$B$1,C25,1,3)*D25*100/365</f>
        <v>2.463013698630137</v>
      </c>
      <c r="P25">
        <f t="shared" si="0"/>
        <v>65.262</v>
      </c>
      <c r="R25" s="136"/>
      <c r="S25" s="136"/>
      <c r="T25" s="136"/>
      <c r="V25" s="154">
        <f t="shared" si="2"/>
        <v>7.5886578564772905E-2</v>
      </c>
      <c r="X25" s="155">
        <v>2038</v>
      </c>
      <c r="Y25" s="150"/>
      <c r="Z25" s="156">
        <f t="shared" si="3"/>
        <v>0</v>
      </c>
      <c r="AC25" s="49"/>
    </row>
    <row r="26" spans="1:32" ht="33.75" customHeight="1" thickBot="1">
      <c r="B26" s="169" t="s">
        <v>480</v>
      </c>
      <c r="C26" s="169"/>
      <c r="D26" s="169"/>
      <c r="E26" s="170">
        <v>418715824</v>
      </c>
      <c r="F26" s="171"/>
      <c r="G26" s="172"/>
      <c r="H26" s="173"/>
      <c r="I26" s="169"/>
      <c r="J26" s="174"/>
      <c r="K26" s="174"/>
      <c r="L26" s="169" t="s">
        <v>481</v>
      </c>
      <c r="M26" s="175">
        <f>+AVERAGE(M10:M25)</f>
        <v>11.18666666666666</v>
      </c>
      <c r="R26" s="136"/>
      <c r="S26" s="136"/>
      <c r="T26" s="136"/>
      <c r="V26" s="109"/>
      <c r="X26" s="155">
        <v>2039</v>
      </c>
      <c r="Y26" s="150"/>
      <c r="Z26" s="156">
        <f t="shared" si="3"/>
        <v>0</v>
      </c>
      <c r="AB26" t="s">
        <v>205</v>
      </c>
      <c r="AC26" s="49">
        <f>T28/100</f>
        <v>5.4699999999999999E-2</v>
      </c>
    </row>
    <row r="27" spans="1:32" ht="21.75" customHeight="1">
      <c r="A27" t="s">
        <v>208</v>
      </c>
      <c r="B27" s="524" t="s">
        <v>6</v>
      </c>
      <c r="C27" s="148"/>
      <c r="D27" s="149"/>
      <c r="E27" s="150"/>
      <c r="F27" s="139"/>
      <c r="G27" s="151"/>
      <c r="H27" s="152"/>
      <c r="I27" s="152"/>
      <c r="J27" s="152"/>
      <c r="K27" s="152"/>
      <c r="L27" s="152"/>
      <c r="M27" s="153"/>
      <c r="N27" t="e">
        <f>PRICE('[5]Optimo 1 (COP) (1)'!$B$1,C27,D27,L27%,100,1,3)</f>
        <v>#NUM!</v>
      </c>
      <c r="O27" t="e">
        <f>+COUPDAYBS([5]Resumen_con!$B$1,C27,1,3)*D27*100/365</f>
        <v>#NUM!</v>
      </c>
      <c r="P27" t="e">
        <f t="shared" ref="P27:P36" si="10">ROUND(+N27+O27,3)</f>
        <v>#NUM!</v>
      </c>
      <c r="R27" s="136">
        <f>_xlfn.DAYS(C27,'[5]Optimo 1 (COP) (2)'!$B$1)</f>
        <v>-45702</v>
      </c>
      <c r="S27" s="147">
        <f>+K27</f>
        <v>0</v>
      </c>
      <c r="T27" s="147">
        <f>+L27</f>
        <v>0</v>
      </c>
      <c r="V27" s="154">
        <f>+E27/$E$39</f>
        <v>0</v>
      </c>
      <c r="X27" s="155">
        <v>2040</v>
      </c>
      <c r="Y27" s="150"/>
      <c r="Z27" s="156">
        <f t="shared" si="3"/>
        <v>0</v>
      </c>
      <c r="AB27" t="s">
        <v>204</v>
      </c>
      <c r="AC27" s="49">
        <f t="shared" ref="AC27:AC34" si="11">T29/100</f>
        <v>6.0499999999999998E-2</v>
      </c>
    </row>
    <row r="28" spans="1:32" ht="21.75">
      <c r="A28" t="s">
        <v>205</v>
      </c>
      <c r="B28" s="525"/>
      <c r="C28" s="141">
        <v>46463</v>
      </c>
      <c r="D28" s="142">
        <v>3.3000000000000002E-2</v>
      </c>
      <c r="E28" s="143">
        <v>26030591.305833403</v>
      </c>
      <c r="F28" s="139"/>
      <c r="G28" s="144">
        <v>97.197999999999993</v>
      </c>
      <c r="H28" s="145">
        <v>97.561000000000007</v>
      </c>
      <c r="I28" s="145">
        <v>97.787000000000006</v>
      </c>
      <c r="J28" s="145">
        <v>5.5549999999999997</v>
      </c>
      <c r="K28" s="145">
        <v>5.6109999999999998</v>
      </c>
      <c r="L28" s="145">
        <v>5.47</v>
      </c>
      <c r="M28" s="153">
        <v>-14.100000000000001</v>
      </c>
      <c r="N28">
        <f>PRICE('[5]Optimo 1 (COP) (1)'!$B$1,C28,D28,L28%,100,1,3)</f>
        <v>95.823969009663301</v>
      </c>
      <c r="O28">
        <f>+COUPDAYBS([5]Resumen_con!$B$1,C28,1,3)*D28*100/365</f>
        <v>3.1372602739726032</v>
      </c>
      <c r="P28">
        <f t="shared" si="10"/>
        <v>98.960999999999999</v>
      </c>
      <c r="R28" s="136">
        <f>_xlfn.DAYS(C28,'[5]Optimo 1 (COP) (2)'!$B$1)</f>
        <v>761</v>
      </c>
      <c r="S28" s="147">
        <f t="shared" ref="S28:T36" si="12">+K28</f>
        <v>5.6109999999999998</v>
      </c>
      <c r="T28" s="147">
        <f t="shared" si="12"/>
        <v>5.47</v>
      </c>
      <c r="V28" s="154">
        <f>+E28/$E$39</f>
        <v>4.2007255830865835E-2</v>
      </c>
      <c r="X28" s="155">
        <v>2041</v>
      </c>
      <c r="Y28" s="150"/>
      <c r="Z28" s="156">
        <f t="shared" si="3"/>
        <v>0</v>
      </c>
      <c r="AB28" t="s">
        <v>206</v>
      </c>
      <c r="AC28" s="49">
        <f>T31/100</f>
        <v>6.2E-2</v>
      </c>
    </row>
    <row r="29" spans="1:32" s="136" customFormat="1" ht="21.75">
      <c r="A29" s="136" t="s">
        <v>204</v>
      </c>
      <c r="B29" s="525"/>
      <c r="C29" s="148">
        <v>47226</v>
      </c>
      <c r="D29" s="149">
        <v>2.2499999999999999E-2</v>
      </c>
      <c r="E29" s="150">
        <v>29794683.610426903</v>
      </c>
      <c r="F29" s="139"/>
      <c r="G29" s="151">
        <v>86.941000000000003</v>
      </c>
      <c r="H29" s="152">
        <v>87.783000000000001</v>
      </c>
      <c r="I29" s="152">
        <v>88.186000000000007</v>
      </c>
      <c r="J29" s="152">
        <v>6.3109999999999999</v>
      </c>
      <c r="K29" s="152">
        <v>6.18</v>
      </c>
      <c r="L29" s="152">
        <v>6.05</v>
      </c>
      <c r="M29" s="153">
        <v>-12.999999999999989</v>
      </c>
      <c r="N29">
        <f>PRICE('[5]Optimo 1 (COP) (1)'!$B$1,C29,D29,L29%,100,1,3)</f>
        <v>86.337239704491083</v>
      </c>
      <c r="O29">
        <f>+COUPDAYBS([5]Resumen_con!$B$1,C29,1,3)*D29*100/365</f>
        <v>1.9417808219178083</v>
      </c>
      <c r="P29">
        <f t="shared" si="10"/>
        <v>88.278999999999996</v>
      </c>
      <c r="R29" s="136">
        <f>_xlfn.DAYS(C29,'[5]Optimo 1 (COP) (2)'!$B$1)</f>
        <v>1524</v>
      </c>
      <c r="S29" s="147">
        <f t="shared" si="12"/>
        <v>6.18</v>
      </c>
      <c r="T29" s="147">
        <f t="shared" si="12"/>
        <v>6.05</v>
      </c>
      <c r="U29"/>
      <c r="V29" s="154">
        <f>+E29/$E$39</f>
        <v>4.8081616053893821E-2</v>
      </c>
      <c r="W29"/>
      <c r="X29" s="155">
        <v>2042</v>
      </c>
      <c r="Y29" s="150">
        <f>+E23</f>
        <v>50337061</v>
      </c>
      <c r="Z29" s="156">
        <f t="shared" si="3"/>
        <v>7.7599164216512709E-2</v>
      </c>
      <c r="AA29"/>
      <c r="AB29" t="s">
        <v>201</v>
      </c>
      <c r="AC29" s="49">
        <f>T32/100</f>
        <v>6.3299999999999995E-2</v>
      </c>
      <c r="AD29"/>
      <c r="AE29"/>
      <c r="AF29"/>
    </row>
    <row r="30" spans="1:32" s="136" customFormat="1" ht="21.75">
      <c r="A30" t="s">
        <v>496</v>
      </c>
      <c r="B30" s="525"/>
      <c r="C30" s="148">
        <v>47870</v>
      </c>
      <c r="D30" s="149">
        <v>6.5000000000000002E-2</v>
      </c>
      <c r="E30" s="150">
        <v>67168</v>
      </c>
      <c r="F30" s="139"/>
      <c r="G30" s="151" t="s">
        <v>367</v>
      </c>
      <c r="H30" s="152" t="s">
        <v>367</v>
      </c>
      <c r="I30" s="152">
        <v>103.312</v>
      </c>
      <c r="J30" s="152" t="s">
        <v>367</v>
      </c>
      <c r="K30" s="152" t="s">
        <v>367</v>
      </c>
      <c r="L30" s="152">
        <v>6.4690000000000003</v>
      </c>
      <c r="M30" s="153"/>
      <c r="N30"/>
      <c r="O30"/>
      <c r="P30"/>
      <c r="R30" s="136">
        <f>_xlfn.DAYS(C30,'[5]Optimo 1 (COP) (2)'!$B$1)</f>
        <v>2168</v>
      </c>
      <c r="S30" s="147" t="str">
        <f t="shared" si="12"/>
        <v/>
      </c>
      <c r="T30" s="147">
        <f t="shared" si="12"/>
        <v>6.4690000000000003</v>
      </c>
      <c r="U30"/>
      <c r="V30" s="154"/>
      <c r="W30"/>
      <c r="X30" s="155"/>
      <c r="Y30" s="150"/>
      <c r="Z30" s="156"/>
      <c r="AA30"/>
      <c r="AB30"/>
      <c r="AC30" s="49"/>
      <c r="AD30"/>
      <c r="AE30"/>
      <c r="AF30"/>
    </row>
    <row r="31" spans="1:32" ht="21.75">
      <c r="A31" t="s">
        <v>206</v>
      </c>
      <c r="B31" s="525"/>
      <c r="C31" s="163">
        <v>48663</v>
      </c>
      <c r="D31" s="164">
        <v>0.03</v>
      </c>
      <c r="E31" s="165">
        <v>17289702.214061197</v>
      </c>
      <c r="F31" s="166"/>
      <c r="G31" s="167">
        <v>79.983000000000004</v>
      </c>
      <c r="H31" s="168" t="s">
        <v>367</v>
      </c>
      <c r="I31" s="168">
        <v>81.875</v>
      </c>
      <c r="J31" s="168">
        <v>6.48</v>
      </c>
      <c r="K31" s="168" t="s">
        <v>367</v>
      </c>
      <c r="L31" s="168">
        <v>6.2</v>
      </c>
      <c r="M31" s="153" t="s">
        <v>367</v>
      </c>
      <c r="N31">
        <f>PRICE('[5]Optimo 1 (COP) (1)'!$B$1,C31,D31,L31%,100,1,3)</f>
        <v>80.071959485834171</v>
      </c>
      <c r="O31">
        <f>+COUPDAYBS([5]Resumen_con!$B$1,C31,1,3)*D31*100/365</f>
        <v>2.7863013698630139</v>
      </c>
      <c r="P31">
        <f t="shared" si="10"/>
        <v>82.858000000000004</v>
      </c>
      <c r="R31" s="136">
        <f>_xlfn.DAYS(C31,'[5]Optimo 1 (COP) (2)'!$B$1)</f>
        <v>2961</v>
      </c>
      <c r="S31" s="147" t="str">
        <f t="shared" si="12"/>
        <v/>
      </c>
      <c r="T31" s="147">
        <f t="shared" si="12"/>
        <v>6.2</v>
      </c>
      <c r="V31" s="154">
        <f t="shared" ref="V31:V36" si="13">+E31/$E$39</f>
        <v>2.7901515398261252E-2</v>
      </c>
      <c r="X31" s="155">
        <v>2043</v>
      </c>
      <c r="Y31" s="150"/>
      <c r="Z31" s="156">
        <f>+Y31/SUM($Y$10:$Y$41)</f>
        <v>0</v>
      </c>
      <c r="AB31" t="s">
        <v>198</v>
      </c>
      <c r="AC31" s="49">
        <f t="shared" si="11"/>
        <v>6.4530000000000004E-2</v>
      </c>
    </row>
    <row r="32" spans="1:32" ht="21.75">
      <c r="A32" t="s">
        <v>201</v>
      </c>
      <c r="B32" s="525"/>
      <c r="C32" s="148">
        <v>49403</v>
      </c>
      <c r="D32" s="149">
        <v>4.7500000000000001E-2</v>
      </c>
      <c r="E32" s="150">
        <v>37658446.481052101</v>
      </c>
      <c r="F32" s="139"/>
      <c r="G32" s="151">
        <v>88.915000000000006</v>
      </c>
      <c r="H32" s="152">
        <v>89.694999999999993</v>
      </c>
      <c r="I32" s="152">
        <v>90.188999999999993</v>
      </c>
      <c r="J32" s="152">
        <v>6.45</v>
      </c>
      <c r="K32" s="152">
        <v>6.4029999999999996</v>
      </c>
      <c r="L32" s="152">
        <v>6.33</v>
      </c>
      <c r="M32" s="153">
        <v>-7.299999999999951</v>
      </c>
      <c r="N32">
        <f>PRICE('[5]Optimo 1 (COP) (1)'!$B$1,C32,D32,L32%,100,1,3)</f>
        <v>88.422796058330889</v>
      </c>
      <c r="O32">
        <f>+COUPDAYBS([5]Resumen_con!$B$1,C32,1,3)*D32*100/365</f>
        <v>4.2815068493150683</v>
      </c>
      <c r="P32">
        <f t="shared" si="10"/>
        <v>92.703999999999994</v>
      </c>
      <c r="R32" s="136">
        <f>_xlfn.DAYS(C32,'[5]Optimo 1 (COP) (2)'!$B$1)</f>
        <v>3701</v>
      </c>
      <c r="S32" s="147">
        <f t="shared" si="12"/>
        <v>6.4029999999999996</v>
      </c>
      <c r="T32" s="147">
        <f t="shared" si="12"/>
        <v>6.33</v>
      </c>
      <c r="V32" s="154">
        <f t="shared" si="13"/>
        <v>6.0771880935644285E-2</v>
      </c>
      <c r="X32" s="155">
        <v>2044</v>
      </c>
      <c r="Y32" s="150"/>
      <c r="Z32" s="156">
        <f>+Y32/SUM($Y$10:$Y$41)</f>
        <v>0</v>
      </c>
      <c r="AB32" t="s">
        <v>371</v>
      </c>
      <c r="AC32" s="49">
        <f t="shared" si="11"/>
        <v>6.4500000000000002E-2</v>
      </c>
    </row>
    <row r="33" spans="1:29" ht="21.75">
      <c r="A33" t="s">
        <v>198</v>
      </c>
      <c r="B33" s="525"/>
      <c r="C33" s="141">
        <v>50096</v>
      </c>
      <c r="D33" s="142">
        <v>3.7499999999999999E-2</v>
      </c>
      <c r="E33" s="143">
        <v>43460346.436872207</v>
      </c>
      <c r="F33" s="139"/>
      <c r="G33" s="144">
        <v>78.64</v>
      </c>
      <c r="H33" s="145">
        <v>79.938999999999993</v>
      </c>
      <c r="I33" s="145">
        <v>79.876999999999995</v>
      </c>
      <c r="J33" s="145">
        <v>6.57</v>
      </c>
      <c r="K33" s="145">
        <v>6.4420000000000002</v>
      </c>
      <c r="L33" s="145">
        <v>6.4530000000000003</v>
      </c>
      <c r="M33" s="153">
        <v>1.1000000000000121</v>
      </c>
      <c r="N33">
        <f>PRICE('[5]Optimo 1 (COP) (1)'!$B$1,C33,D33,L33%,100,1,3)</f>
        <v>77.853820193205948</v>
      </c>
      <c r="O33">
        <f>+COUPDAYBS([5]Resumen_con!$B$1,C33,1,3)*D33*100/365</f>
        <v>2.0547945205479451E-2</v>
      </c>
      <c r="P33">
        <f t="shared" si="10"/>
        <v>77.873999999999995</v>
      </c>
      <c r="R33" s="136">
        <f>_xlfn.DAYS(C33,'[5]Optimo 1 (COP) (2)'!$B$1)</f>
        <v>4394</v>
      </c>
      <c r="S33" s="147">
        <f t="shared" si="12"/>
        <v>6.4420000000000002</v>
      </c>
      <c r="T33" s="147">
        <f t="shared" si="12"/>
        <v>6.4530000000000003</v>
      </c>
      <c r="V33" s="154">
        <f t="shared" si="13"/>
        <v>7.0134783717441904E-2</v>
      </c>
      <c r="X33" s="155">
        <v>2045</v>
      </c>
      <c r="Y33" s="150"/>
      <c r="Z33" s="156">
        <f>+Y33/SUM($Y$10:$Y$41)</f>
        <v>0</v>
      </c>
      <c r="AB33" t="s">
        <v>333</v>
      </c>
      <c r="AC33" s="49">
        <f t="shared" si="11"/>
        <v>6.4930000000000002E-2</v>
      </c>
    </row>
    <row r="34" spans="1:29" ht="21.75">
      <c r="A34" t="s">
        <v>371</v>
      </c>
      <c r="B34" s="525"/>
      <c r="C34" s="148">
        <v>51580</v>
      </c>
      <c r="D34" s="149">
        <v>0.05</v>
      </c>
      <c r="E34" s="150">
        <v>4659009.1329044998</v>
      </c>
      <c r="F34" s="139"/>
      <c r="G34" s="151">
        <v>85.590999999999994</v>
      </c>
      <c r="H34" s="152">
        <v>87.466999999999999</v>
      </c>
      <c r="I34" s="152">
        <v>87.63</v>
      </c>
      <c r="J34" s="152">
        <v>6.63</v>
      </c>
      <c r="K34" s="152">
        <v>6.4669999999999996</v>
      </c>
      <c r="L34" s="152">
        <v>6.45</v>
      </c>
      <c r="M34" s="153">
        <v>-1.699999999999946</v>
      </c>
      <c r="N34">
        <f>PRICE('[5]Optimo 1 (COP) (1)'!$B$1,C34,D34,L34%,100,1,3)</f>
        <v>85.727529159403801</v>
      </c>
      <c r="O34">
        <f>+COUPDAYBS([5]Resumen_con!$B$1,C34,1,3)*D34*100/365</f>
        <v>4.7123287671232879</v>
      </c>
      <c r="P34">
        <f t="shared" si="10"/>
        <v>90.44</v>
      </c>
      <c r="R34" s="136">
        <f>_xlfn.DAYS(C34,'[5]Optimo 1 (COP) (2)'!$B$1)</f>
        <v>5878</v>
      </c>
      <c r="S34" s="147">
        <f t="shared" si="12"/>
        <v>6.4669999999999996</v>
      </c>
      <c r="T34" s="147">
        <f t="shared" si="12"/>
        <v>6.45</v>
      </c>
      <c r="V34" s="154">
        <f t="shared" si="13"/>
        <v>7.5185456321309541E-3</v>
      </c>
      <c r="X34" s="155"/>
      <c r="Y34" s="150"/>
      <c r="Z34" s="156"/>
      <c r="AB34" t="s">
        <v>373</v>
      </c>
      <c r="AC34" s="49">
        <f t="shared" si="11"/>
        <v>6.2899999999999998E-2</v>
      </c>
    </row>
    <row r="35" spans="1:29" ht="21.75">
      <c r="A35" t="s">
        <v>333</v>
      </c>
      <c r="B35" s="525"/>
      <c r="C35" s="141">
        <v>54590</v>
      </c>
      <c r="D35" s="142">
        <v>3.7499999999999999E-2</v>
      </c>
      <c r="E35" s="143">
        <v>35331900.5614179</v>
      </c>
      <c r="F35" s="139"/>
      <c r="G35" s="144" t="s">
        <v>367</v>
      </c>
      <c r="H35" s="145">
        <v>68.710999999999999</v>
      </c>
      <c r="I35" s="145">
        <v>67.506</v>
      </c>
      <c r="J35" s="145" t="s">
        <v>367</v>
      </c>
      <c r="K35" s="145">
        <v>6.36</v>
      </c>
      <c r="L35" s="145">
        <v>6.4930000000000003</v>
      </c>
      <c r="M35" s="153">
        <v>13.3</v>
      </c>
      <c r="N35">
        <f>PRICE('[5]Optimo 1 (COP) (1)'!$B$1,C35,D35,L35%,100,1,3)</f>
        <v>66.868099401972046</v>
      </c>
      <c r="O35">
        <f>+COUPDAYBS([5]Resumen_con!$B$1,C35,1,3)*D35*100/365</f>
        <v>2.6301369863013697</v>
      </c>
      <c r="P35">
        <f t="shared" si="10"/>
        <v>69.498000000000005</v>
      </c>
      <c r="R35" s="136">
        <f>_xlfn.DAYS(C35,'[5]Optimo 1 (COP) (2)'!$B$1)</f>
        <v>8888</v>
      </c>
      <c r="S35" s="147">
        <f t="shared" si="12"/>
        <v>6.36</v>
      </c>
      <c r="T35" s="147">
        <f t="shared" si="12"/>
        <v>6.4930000000000003</v>
      </c>
      <c r="V35" s="154">
        <f t="shared" si="13"/>
        <v>5.7017382680107948E-2</v>
      </c>
      <c r="X35" s="155">
        <v>2046</v>
      </c>
      <c r="Y35" s="150">
        <f>+E24</f>
        <v>38816775</v>
      </c>
      <c r="Z35" s="156">
        <f>+Y35/SUM($Y$10:$Y$41)</f>
        <v>5.9839594083183067E-2</v>
      </c>
    </row>
    <row r="36" spans="1:29" ht="21.75">
      <c r="A36" t="s">
        <v>373</v>
      </c>
      <c r="B36" s="526"/>
      <c r="C36" s="148">
        <v>56753</v>
      </c>
      <c r="D36" s="149">
        <v>5.2499999999999998E-2</v>
      </c>
      <c r="E36" s="150">
        <v>6661259.040261101</v>
      </c>
      <c r="F36" s="139"/>
      <c r="G36" s="151">
        <v>87.296999999999997</v>
      </c>
      <c r="H36" s="152">
        <v>88.84</v>
      </c>
      <c r="I36" s="152">
        <v>87.043999999999997</v>
      </c>
      <c r="J36" s="152">
        <v>6.23</v>
      </c>
      <c r="K36" s="152">
        <v>6.14</v>
      </c>
      <c r="L36" s="152">
        <v>6.29</v>
      </c>
      <c r="M36" s="153">
        <v>15.000000000000036</v>
      </c>
      <c r="N36">
        <f>PRICE('[5]Optimo 1 (COP) (1)'!$B$1,C36,D36,L36%,100,1,3)</f>
        <v>86.045936787355046</v>
      </c>
      <c r="O36">
        <f>+COUPDAYBS([5]Resumen_con!$B$1,C36,1,3)*D36*100/365</f>
        <v>4.0849315068493155</v>
      </c>
      <c r="P36">
        <f t="shared" si="10"/>
        <v>90.131</v>
      </c>
      <c r="R36" s="136">
        <f>_xlfn.DAYS(C36,'[5]Optimo 1 (COP) (2)'!$B$1)</f>
        <v>11051</v>
      </c>
      <c r="S36" s="147">
        <f t="shared" si="12"/>
        <v>6.14</v>
      </c>
      <c r="T36" s="147">
        <f t="shared" si="12"/>
        <v>6.29</v>
      </c>
      <c r="V36" s="154">
        <f t="shared" si="13"/>
        <v>1.0749706350205288E-2</v>
      </c>
      <c r="X36" s="155"/>
      <c r="Y36" s="150"/>
      <c r="Z36" s="156"/>
    </row>
    <row r="37" spans="1:29" ht="21.75">
      <c r="B37" s="180"/>
      <c r="C37" s="148">
        <v>59203</v>
      </c>
      <c r="D37" s="149">
        <v>6.5000000000000002E-2</v>
      </c>
      <c r="E37" s="189">
        <v>646533</v>
      </c>
      <c r="F37" s="139"/>
      <c r="G37" s="152" t="s">
        <v>367</v>
      </c>
      <c r="H37" s="152">
        <v>106.542</v>
      </c>
      <c r="I37" s="152">
        <v>105.08</v>
      </c>
      <c r="J37" s="152" t="s">
        <v>367</v>
      </c>
      <c r="K37" s="152">
        <v>6.25</v>
      </c>
      <c r="L37" s="152">
        <v>6.3520000000000003</v>
      </c>
      <c r="M37" s="190">
        <v>10.200000000000031</v>
      </c>
      <c r="R37" s="136"/>
      <c r="S37" s="147"/>
      <c r="T37" s="147"/>
      <c r="V37" s="191"/>
      <c r="X37" s="155"/>
      <c r="Y37" s="150"/>
      <c r="Z37" s="156"/>
    </row>
    <row r="38" spans="1:29" ht="21.75">
      <c r="B38" s="176" t="s">
        <v>482</v>
      </c>
      <c r="C38" s="176"/>
      <c r="D38" s="176"/>
      <c r="E38" s="170">
        <f>+SUM(E27:E36)</f>
        <v>200953106.78282931</v>
      </c>
      <c r="F38" s="139"/>
      <c r="G38" s="177"/>
      <c r="H38" s="177"/>
      <c r="I38" s="177"/>
      <c r="J38" s="177"/>
      <c r="K38" s="177"/>
      <c r="L38" s="176" t="s">
        <v>481</v>
      </c>
      <c r="M38" s="178">
        <f>+AVERAGE(M27:M37)</f>
        <v>0.43750000000002442</v>
      </c>
      <c r="V38" s="109"/>
      <c r="X38" s="155">
        <v>2047</v>
      </c>
      <c r="Y38" s="150"/>
      <c r="Z38" s="156">
        <f>+Y38/SUM($Y$10:$Y$41)</f>
        <v>0</v>
      </c>
    </row>
    <row r="39" spans="1:29" ht="21.75">
      <c r="B39" s="176" t="s">
        <v>483</v>
      </c>
      <c r="C39" s="176"/>
      <c r="D39" s="176"/>
      <c r="E39" s="170">
        <f>+E26+E38</f>
        <v>619668930.78282928</v>
      </c>
      <c r="V39" s="109"/>
      <c r="X39" s="155">
        <v>2048</v>
      </c>
      <c r="Y39" s="150"/>
      <c r="Z39" s="156">
        <f>+Y39/SUM($Y$10:$Y$41)</f>
        <v>0</v>
      </c>
    </row>
    <row r="40" spans="1:29" ht="21.75" customHeight="1">
      <c r="B40" s="527">
        <v>45784</v>
      </c>
      <c r="C40" s="528"/>
      <c r="D40" s="528"/>
      <c r="E40" s="528"/>
      <c r="V40" s="109"/>
      <c r="X40" s="155">
        <v>2049</v>
      </c>
      <c r="Y40" s="150">
        <f>+E35</f>
        <v>35331900.5614179</v>
      </c>
      <c r="Z40" s="156">
        <f>+Y40/SUM($Y$10:$Y$41)</f>
        <v>5.4467342734748965E-2</v>
      </c>
    </row>
    <row r="41" spans="1:29" ht="21.75">
      <c r="V41" s="109"/>
      <c r="X41" s="155">
        <v>2050</v>
      </c>
      <c r="Y41" s="150">
        <f>+E25</f>
        <v>47024555</v>
      </c>
      <c r="Z41" s="156">
        <f>+Y41/SUM($Y$10:$Y$41)</f>
        <v>7.2492634515420637E-2</v>
      </c>
    </row>
    <row r="42" spans="1:29">
      <c r="V42" s="109"/>
    </row>
    <row r="43" spans="1:29">
      <c r="V43" s="109"/>
    </row>
    <row r="44" spans="1:29">
      <c r="V44" s="109"/>
    </row>
    <row r="45" spans="1:29">
      <c r="V45" s="109"/>
    </row>
    <row r="46" spans="1:29">
      <c r="V46" s="109"/>
    </row>
    <row r="47" spans="1:29">
      <c r="V47" s="109"/>
    </row>
    <row r="48" spans="1:29">
      <c r="V48" s="109"/>
    </row>
    <row r="49" spans="22:22">
      <c r="V49" s="109"/>
    </row>
    <row r="50" spans="22:22">
      <c r="V50" s="109"/>
    </row>
    <row r="51" spans="22:22">
      <c r="V51" s="109"/>
    </row>
    <row r="52" spans="22:22">
      <c r="V52" s="109"/>
    </row>
    <row r="53" spans="22:22">
      <c r="V53" s="109"/>
    </row>
    <row r="54" spans="22:22">
      <c r="V54" s="109"/>
    </row>
    <row r="55" spans="22:22">
      <c r="V55" s="109"/>
    </row>
    <row r="56" spans="22:22">
      <c r="V56" s="109"/>
    </row>
    <row r="57" spans="22:22">
      <c r="V57" s="109"/>
    </row>
    <row r="58" spans="22:22">
      <c r="V58" s="109"/>
    </row>
    <row r="59" spans="22:22">
      <c r="V59" s="109"/>
    </row>
    <row r="60" spans="22:22">
      <c r="V60" s="109"/>
    </row>
    <row r="61" spans="22:22">
      <c r="V61" s="109"/>
    </row>
    <row r="62" spans="22:22">
      <c r="V62" s="109"/>
    </row>
    <row r="63" spans="22:22">
      <c r="V63" s="109"/>
    </row>
    <row r="64" spans="22:22">
      <c r="V64" s="109"/>
    </row>
    <row r="65" spans="4:22">
      <c r="V65" s="109"/>
    </row>
    <row r="66" spans="4:22">
      <c r="V66" s="109"/>
    </row>
    <row r="67" spans="4:22">
      <c r="V67" s="109"/>
    </row>
    <row r="68" spans="4:22">
      <c r="V68" s="109"/>
    </row>
    <row r="69" spans="4:22">
      <c r="V69" s="109"/>
    </row>
    <row r="70" spans="4:22">
      <c r="V70" s="109"/>
    </row>
    <row r="71" spans="4:22">
      <c r="V71" s="109"/>
    </row>
    <row r="72" spans="4:22">
      <c r="D72" s="109">
        <v>44697</v>
      </c>
      <c r="E72">
        <v>304.25819999999999</v>
      </c>
      <c r="F72">
        <v>8.5500000000000007</v>
      </c>
      <c r="G72" s="109">
        <v>44713</v>
      </c>
      <c r="H72">
        <v>306.21530000000001</v>
      </c>
      <c r="I72">
        <v>8.92</v>
      </c>
      <c r="V72" s="109"/>
    </row>
    <row r="73" spans="4:22">
      <c r="D73" s="109">
        <v>44698</v>
      </c>
      <c r="E73">
        <v>304.38010000000003</v>
      </c>
      <c r="F73">
        <v>8.58</v>
      </c>
      <c r="G73" s="109">
        <v>44714</v>
      </c>
      <c r="H73">
        <v>306.33800000000002</v>
      </c>
      <c r="I73">
        <v>8.94</v>
      </c>
      <c r="V73" s="109"/>
    </row>
    <row r="74" spans="4:22">
      <c r="D74" s="109">
        <v>44699</v>
      </c>
      <c r="E74">
        <v>304.50209999999998</v>
      </c>
      <c r="F74">
        <v>8.6</v>
      </c>
      <c r="G74" s="109">
        <v>44715</v>
      </c>
      <c r="H74">
        <v>306.46080000000001</v>
      </c>
      <c r="I74">
        <v>8.9700000000000006</v>
      </c>
      <c r="V74" s="109"/>
    </row>
    <row r="75" spans="4:22">
      <c r="D75" s="109">
        <v>44700</v>
      </c>
      <c r="E75">
        <v>304.62419999999997</v>
      </c>
      <c r="F75">
        <v>8.6199999999999992</v>
      </c>
      <c r="G75" s="109">
        <v>44716</v>
      </c>
      <c r="H75">
        <v>306.58359999999999</v>
      </c>
      <c r="I75">
        <v>8.99</v>
      </c>
      <c r="V75" s="109"/>
    </row>
    <row r="76" spans="4:22">
      <c r="D76" s="109">
        <v>44701</v>
      </c>
      <c r="E76">
        <v>304.74630000000002</v>
      </c>
      <c r="F76">
        <v>8.64</v>
      </c>
      <c r="G76" s="109">
        <v>44717</v>
      </c>
      <c r="H76">
        <v>306.70650000000001</v>
      </c>
      <c r="I76">
        <v>9.01</v>
      </c>
      <c r="V76" s="109"/>
    </row>
    <row r="77" spans="4:22">
      <c r="D77" s="109">
        <v>44702</v>
      </c>
      <c r="E77">
        <v>304.86840000000001</v>
      </c>
      <c r="F77">
        <v>8.67</v>
      </c>
      <c r="G77" s="109">
        <v>44718</v>
      </c>
      <c r="H77">
        <v>306.82940000000002</v>
      </c>
      <c r="I77">
        <v>9.0299999999999994</v>
      </c>
      <c r="V77" s="109"/>
    </row>
    <row r="78" spans="4:22">
      <c r="D78" s="109">
        <v>44703</v>
      </c>
      <c r="E78">
        <v>304.99059999999997</v>
      </c>
      <c r="F78">
        <v>8.69</v>
      </c>
      <c r="G78" s="109">
        <v>44719</v>
      </c>
      <c r="H78">
        <v>306.95240000000001</v>
      </c>
      <c r="I78">
        <v>9.06</v>
      </c>
      <c r="V78" s="109"/>
    </row>
    <row r="79" spans="4:22">
      <c r="D79" s="109">
        <v>44704</v>
      </c>
      <c r="E79">
        <v>305.11290000000002</v>
      </c>
      <c r="F79">
        <v>8.7100000000000009</v>
      </c>
      <c r="G79" s="109">
        <v>44720</v>
      </c>
      <c r="H79">
        <v>307.0754</v>
      </c>
      <c r="I79">
        <v>9.08</v>
      </c>
      <c r="V79" s="109"/>
    </row>
    <row r="80" spans="4:22">
      <c r="D80" s="109">
        <v>44705</v>
      </c>
      <c r="E80">
        <v>305.23520000000002</v>
      </c>
      <c r="F80">
        <v>8.74</v>
      </c>
      <c r="G80" s="109">
        <v>44721</v>
      </c>
      <c r="H80">
        <v>307.19850000000002</v>
      </c>
      <c r="I80">
        <v>9.1</v>
      </c>
      <c r="V80" s="109"/>
    </row>
    <row r="81" spans="4:22">
      <c r="D81" s="109">
        <v>44706</v>
      </c>
      <c r="E81">
        <v>305.35750000000002</v>
      </c>
      <c r="F81">
        <v>8.76</v>
      </c>
      <c r="G81" s="109">
        <v>44722</v>
      </c>
      <c r="H81">
        <v>307.32159999999999</v>
      </c>
      <c r="I81">
        <v>9.1300000000000008</v>
      </c>
      <c r="V81" s="109"/>
    </row>
    <row r="82" spans="4:22">
      <c r="D82" s="109">
        <v>44707</v>
      </c>
      <c r="E82">
        <v>305.47989999999999</v>
      </c>
      <c r="F82">
        <v>8.7799999999999994</v>
      </c>
      <c r="G82" s="109">
        <v>44723</v>
      </c>
      <c r="H82">
        <v>307.44479999999999</v>
      </c>
      <c r="I82">
        <v>9.15</v>
      </c>
      <c r="V82" s="109"/>
    </row>
    <row r="83" spans="4:22">
      <c r="D83" s="109">
        <v>44708</v>
      </c>
      <c r="E83">
        <v>305.60230000000001</v>
      </c>
      <c r="F83">
        <v>8.8000000000000007</v>
      </c>
      <c r="G83" s="109">
        <v>44724</v>
      </c>
      <c r="H83">
        <v>307.56799999999998</v>
      </c>
      <c r="I83">
        <v>9.17</v>
      </c>
      <c r="V83" s="109"/>
    </row>
    <row r="84" spans="4:22">
      <c r="D84" s="109">
        <v>44709</v>
      </c>
      <c r="E84">
        <v>305.72480000000002</v>
      </c>
      <c r="F84">
        <v>8.83</v>
      </c>
      <c r="G84" s="109">
        <v>44725</v>
      </c>
      <c r="H84">
        <v>307.69130000000001</v>
      </c>
      <c r="I84">
        <v>9.1999999999999993</v>
      </c>
      <c r="V84" s="109"/>
    </row>
    <row r="85" spans="4:22">
      <c r="D85" s="109">
        <v>44710</v>
      </c>
      <c r="E85">
        <v>305.84739999999999</v>
      </c>
      <c r="F85">
        <v>8.85</v>
      </c>
      <c r="G85" s="109">
        <v>44726</v>
      </c>
      <c r="H85">
        <v>307.81459999999998</v>
      </c>
      <c r="I85">
        <v>9.2200000000000006</v>
      </c>
      <c r="V85" s="109"/>
    </row>
    <row r="86" spans="4:22">
      <c r="D86" s="109">
        <v>44711</v>
      </c>
      <c r="E86">
        <v>305.9699</v>
      </c>
      <c r="F86">
        <v>8.8699999999999992</v>
      </c>
      <c r="G86" s="109">
        <v>44727</v>
      </c>
      <c r="H86">
        <v>307.93799999999999</v>
      </c>
      <c r="I86">
        <v>9.24</v>
      </c>
      <c r="V86" s="109"/>
    </row>
    <row r="87" spans="4:22">
      <c r="D87" s="109">
        <v>44712</v>
      </c>
      <c r="E87">
        <v>306.0926</v>
      </c>
      <c r="F87">
        <v>8.9</v>
      </c>
      <c r="V87" s="109"/>
    </row>
    <row r="88" spans="4:22">
      <c r="V88" s="109"/>
    </row>
    <row r="89" spans="4:22">
      <c r="V89" s="109"/>
    </row>
    <row r="90" spans="4:22">
      <c r="V90" s="109"/>
    </row>
    <row r="91" spans="4:22">
      <c r="V91" s="109"/>
    </row>
    <row r="92" spans="4:22">
      <c r="V92" s="109"/>
    </row>
    <row r="93" spans="4:22">
      <c r="V93" s="109"/>
    </row>
    <row r="94" spans="4:22">
      <c r="V94" s="109"/>
    </row>
    <row r="95" spans="4:22">
      <c r="V95" s="109"/>
    </row>
    <row r="96" spans="4:22">
      <c r="V96" s="109"/>
    </row>
    <row r="97" spans="22:22">
      <c r="V97" s="109"/>
    </row>
    <row r="98" spans="22:22">
      <c r="V98" s="109"/>
    </row>
    <row r="99" spans="22:22">
      <c r="V99" s="109"/>
    </row>
    <row r="100" spans="22:22">
      <c r="V100" s="109"/>
    </row>
    <row r="101" spans="22:22">
      <c r="V101" s="109"/>
    </row>
    <row r="102" spans="22:22">
      <c r="V102" s="109"/>
    </row>
    <row r="103" spans="22:22">
      <c r="V103" s="109"/>
    </row>
    <row r="104" spans="22:22">
      <c r="V104" s="109"/>
    </row>
    <row r="105" spans="22:22">
      <c r="V105" s="109"/>
    </row>
  </sheetData>
  <mergeCells count="16">
    <mergeCell ref="B9:B25"/>
    <mergeCell ref="B27:B36"/>
    <mergeCell ref="B40:E40"/>
    <mergeCell ref="I5:I8"/>
    <mergeCell ref="J5:J8"/>
    <mergeCell ref="B5:B8"/>
    <mergeCell ref="C5:C8"/>
    <mergeCell ref="D5:D8"/>
    <mergeCell ref="E5:E8"/>
    <mergeCell ref="G5:G8"/>
    <mergeCell ref="H5:H8"/>
    <mergeCell ref="K5:K8"/>
    <mergeCell ref="L5:L8"/>
    <mergeCell ref="M5:M8"/>
    <mergeCell ref="V5:V8"/>
    <mergeCell ref="S7:T7"/>
  </mergeCells>
  <conditionalFormatting sqref="M9:M25">
    <cfRule type="cellIs" dxfId="17" priority="1" operator="greaterThan">
      <formula>0</formula>
    </cfRule>
    <cfRule type="cellIs" dxfId="16" priority="2" operator="lessThanOrEqual">
      <formula>0</formula>
    </cfRule>
  </conditionalFormatting>
  <conditionalFormatting sqref="M27:M37">
    <cfRule type="cellIs" dxfId="15" priority="5" operator="greaterThan">
      <formula>0</formula>
    </cfRule>
    <cfRule type="cellIs" dxfId="14" priority="6" operator="lessThanOrEqual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D2DF-9423-436A-8914-F5C0DB249E82}">
  <sheetPr codeName="Hoja2">
    <tabColor rgb="FFFF0000"/>
  </sheetPr>
  <dimension ref="B1:I19"/>
  <sheetViews>
    <sheetView workbookViewId="0"/>
  </sheetViews>
  <sheetFormatPr baseColWidth="10" defaultColWidth="11.42578125" defaultRowHeight="15"/>
  <cols>
    <col min="2" max="2" width="21" customWidth="1"/>
    <col min="3" max="3" width="25.28515625" customWidth="1"/>
    <col min="4" max="4" width="24.28515625" bestFit="1" customWidth="1"/>
    <col min="5" max="5" width="23" customWidth="1"/>
    <col min="6" max="6" width="12.7109375" bestFit="1" customWidth="1"/>
    <col min="7" max="8" width="8.7109375" bestFit="1" customWidth="1"/>
    <col min="9" max="9" width="8.42578125" bestFit="1" customWidth="1"/>
  </cols>
  <sheetData>
    <row r="1" spans="2:9">
      <c r="F1" s="532" t="s">
        <v>338</v>
      </c>
      <c r="G1" s="532"/>
      <c r="H1" s="532"/>
      <c r="I1" s="532"/>
    </row>
    <row r="2" spans="2:9" ht="20.25">
      <c r="B2" s="534" t="s">
        <v>339</v>
      </c>
      <c r="C2" s="534"/>
      <c r="D2" s="534"/>
      <c r="E2" s="52"/>
      <c r="F2" s="54"/>
      <c r="G2" s="54"/>
      <c r="H2" s="533" t="s">
        <v>340</v>
      </c>
      <c r="I2" s="533"/>
    </row>
    <row r="3" spans="2:9" ht="20.25" hidden="1">
      <c r="B3" s="52"/>
      <c r="C3" s="52"/>
      <c r="D3" s="52"/>
      <c r="E3" s="52"/>
      <c r="F3" s="60"/>
      <c r="G3" s="60"/>
      <c r="H3" s="60"/>
      <c r="I3" s="60"/>
    </row>
    <row r="4" spans="2:9" ht="15.75" thickBot="1">
      <c r="B4" s="53" t="s">
        <v>341</v>
      </c>
      <c r="C4" s="53" t="s">
        <v>342</v>
      </c>
      <c r="D4" s="53" t="s">
        <v>343</v>
      </c>
      <c r="E4" s="54"/>
      <c r="F4" s="54"/>
      <c r="G4" s="54"/>
      <c r="H4" s="61" t="s">
        <v>342</v>
      </c>
      <c r="I4" s="61" t="s">
        <v>343</v>
      </c>
    </row>
    <row r="5" spans="2:9" ht="15.75" thickTop="1">
      <c r="B5" s="54" t="s">
        <v>1</v>
      </c>
      <c r="C5" s="55">
        <f>SUMIFS(HISTORICO!I29:I61,HISTORICO!$F$29:$F$61,LEFT(C4,3))</f>
        <v>70843181673.779938</v>
      </c>
      <c r="D5" s="55">
        <f>SUMIFS(HISTORICO!I29:I61,HISTORICO!$F$29:$F$61,LEFT(D4,3))</f>
        <v>661257655519.4801</v>
      </c>
      <c r="E5" s="55"/>
      <c r="F5" s="535" t="s">
        <v>344</v>
      </c>
      <c r="G5" s="54" t="s">
        <v>345</v>
      </c>
      <c r="H5" s="63">
        <v>0.1</v>
      </c>
      <c r="I5" s="62">
        <v>0.3</v>
      </c>
    </row>
    <row r="6" spans="2:9">
      <c r="B6" s="54" t="s">
        <v>2</v>
      </c>
      <c r="C6" s="55">
        <f>SUMIFS(HISTORICO!J29:J61,HISTORICO!$F$29:$F$61,LEFT(C4,3))</f>
        <v>3910658141.79599</v>
      </c>
      <c r="D6" s="55">
        <f>SUMIFS(HISTORICO!J29:J61,HISTORICO!$F$29:$F$61,LEFT(D4,3))</f>
        <v>250302876350</v>
      </c>
      <c r="E6" s="55"/>
      <c r="F6" s="535"/>
      <c r="G6" s="54" t="s">
        <v>346</v>
      </c>
      <c r="H6" s="64">
        <v>0.1</v>
      </c>
      <c r="I6" s="62">
        <v>0.2</v>
      </c>
    </row>
    <row r="7" spans="2:9">
      <c r="B7" s="54" t="s">
        <v>347</v>
      </c>
      <c r="C7" s="55">
        <f>SUMIFS(HISTORICO!L29:L61,HISTORICO!$F$29:$F$61,LEFT(C4,3))</f>
        <v>31348507451.00005</v>
      </c>
      <c r="D7" s="55">
        <f>SUMIFS(HISTORICO!L29:L61,HISTORICO!$F$29:$F$61,LEFT(D4,3))</f>
        <v>-160464500593.95877</v>
      </c>
      <c r="E7" s="55"/>
      <c r="F7" s="535"/>
      <c r="G7" s="54" t="s">
        <v>348</v>
      </c>
      <c r="H7" s="64">
        <v>0.8</v>
      </c>
      <c r="I7" s="62">
        <v>0.5</v>
      </c>
    </row>
    <row r="8" spans="2:9" ht="15.75" thickBot="1">
      <c r="B8" s="53" t="s">
        <v>182</v>
      </c>
      <c r="C8" s="56">
        <f>SUMIFS(HISTORICO!N29:N61,HISTORICO!$F$29:$F$61,LEFT(C4,3))</f>
        <v>-522606.40002441406</v>
      </c>
      <c r="D8" s="56">
        <f>SUMIFS(HISTORICO!N29:N61,HISTORICO!$F$29:$F$61,LEFT(D4,3))</f>
        <v>-8499865.0002012253</v>
      </c>
      <c r="E8" s="55"/>
      <c r="G8" s="533"/>
      <c r="H8" s="533"/>
    </row>
    <row r="9" spans="2:9">
      <c r="B9" s="54" t="s">
        <v>349</v>
      </c>
      <c r="C9" s="55">
        <f>SUMIFS(HISTORICO!H29:H61,HISTORICO!$F$29:$F$61,LEFT(C4,3))</f>
        <v>1587064400000</v>
      </c>
      <c r="D9" s="55">
        <f>SUMIFS(HISTORICO!H29:H61,HISTORICO!$F$29:$F$61,LEFT(D4,3))</f>
        <v>11462791018565.604</v>
      </c>
      <c r="E9" s="55"/>
    </row>
    <row r="10" spans="2:9" ht="15.75" thickBot="1">
      <c r="B10" s="57" t="s">
        <v>350</v>
      </c>
      <c r="C10" s="58">
        <f>SUM(C5:C8)/C9</f>
        <v>6.6854139416255537E-2</v>
      </c>
      <c r="D10" s="58">
        <f>SUM(D5:D8)/D9</f>
        <v>6.5523966213292137E-2</v>
      </c>
      <c r="E10" s="59"/>
    </row>
    <row r="11" spans="2:9" ht="15.75" thickTop="1"/>
    <row r="12" spans="2:9">
      <c r="C12" s="45" t="s">
        <v>351</v>
      </c>
    </row>
    <row r="14" spans="2:9">
      <c r="B14" t="s">
        <v>352</v>
      </c>
      <c r="C14" s="46" t="s">
        <v>1</v>
      </c>
      <c r="D14" s="50">
        <f>C5+D5</f>
        <v>732100837193.26001</v>
      </c>
      <c r="E14" s="50"/>
    </row>
    <row r="15" spans="2:9">
      <c r="C15" s="46" t="s">
        <v>2</v>
      </c>
      <c r="D15" s="50">
        <f>C6+D6</f>
        <v>254213534491.79599</v>
      </c>
      <c r="E15" s="50"/>
    </row>
    <row r="16" spans="2:9">
      <c r="C16" s="46" t="s">
        <v>347</v>
      </c>
      <c r="D16" s="50">
        <f>C7+D7</f>
        <v>-129115993142.95872</v>
      </c>
      <c r="E16" s="50"/>
    </row>
    <row r="17" spans="3:5" ht="15.75" thickBot="1">
      <c r="C17" s="47" t="s">
        <v>182</v>
      </c>
      <c r="D17" s="48">
        <f>C8+D8</f>
        <v>-9022471.4002256393</v>
      </c>
      <c r="E17" s="48"/>
    </row>
    <row r="18" spans="3:5">
      <c r="C18" s="46" t="s">
        <v>349</v>
      </c>
      <c r="D18" s="48">
        <f>C9+D9</f>
        <v>13049855418565.604</v>
      </c>
      <c r="E18" s="48"/>
    </row>
    <row r="19" spans="3:5">
      <c r="D19" s="49">
        <f>(D17+D16+D15+D14)/D18</f>
        <v>6.5685735862728536E-2</v>
      </c>
      <c r="E19" s="49"/>
    </row>
  </sheetData>
  <mergeCells count="5">
    <mergeCell ref="F1:I1"/>
    <mergeCell ref="G8:H8"/>
    <mergeCell ref="B2:D2"/>
    <mergeCell ref="F5:F7"/>
    <mergeCell ref="H2:I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B01254-5CC9-4206-AD83-6A593903AE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4</vt:i4>
      </vt:variant>
    </vt:vector>
  </HeadingPairs>
  <TitlesOfParts>
    <vt:vector size="18" baseType="lpstr">
      <vt:lpstr>Resumen</vt:lpstr>
      <vt:lpstr>PONDERADAS</vt:lpstr>
      <vt:lpstr>VPP</vt:lpstr>
      <vt:lpstr>Emisiones</vt:lpstr>
      <vt:lpstr>Canjes desagregado</vt:lpstr>
      <vt:lpstr>HISTORICO</vt:lpstr>
      <vt:lpstr>Nuevo metod Cupón 2.0</vt:lpstr>
      <vt:lpstr>Inflación observada </vt:lpstr>
      <vt:lpstr>COSTO_OPORTUNIDAD</vt:lpstr>
      <vt:lpstr>Saldo</vt:lpstr>
      <vt:lpstr>Canjes desagregado 2023</vt:lpstr>
      <vt:lpstr>UVR</vt:lpstr>
      <vt:lpstr>Precios</vt:lpstr>
      <vt:lpstr>Tabla Resumen por canasta</vt:lpstr>
      <vt:lpstr>canjes</vt:lpstr>
      <vt:lpstr>COMPILADO</vt:lpstr>
      <vt:lpstr>Nemotecnicos</vt:lpstr>
      <vt:lpstr>VALOR_OP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57305</dc:creator>
  <cp:keywords/>
  <dc:description/>
  <cp:lastModifiedBy>Paula Yanetth Guzmán Becerra</cp:lastModifiedBy>
  <cp:revision/>
  <dcterms:created xsi:type="dcterms:W3CDTF">2022-03-10T13:46:47Z</dcterms:created>
  <dcterms:modified xsi:type="dcterms:W3CDTF">2025-12-12T22:26:04Z</dcterms:modified>
  <cp:category/>
  <cp:contentStatus/>
</cp:coreProperties>
</file>